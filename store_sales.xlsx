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roj\first proj\"/>
    </mc:Choice>
  </mc:AlternateContent>
  <xr:revisionPtr revIDLastSave="0" documentId="13_ncr:9_{78928371-4BD6-46CA-BBBE-8D6271147900}" xr6:coauthVersionLast="47" xr6:coauthVersionMax="47" xr10:uidLastSave="{00000000-0000-0000-0000-000000000000}"/>
  <bookViews>
    <workbookView xWindow="-120" yWindow="-120" windowWidth="29040" windowHeight="15720" activeTab="2" xr2:uid="{A1B932BE-FAE1-4FD2-9326-CD4173B01A8F}"/>
  </bookViews>
  <sheets>
    <sheet name="Sheet3" sheetId="4" r:id="rId1"/>
    <sheet name="store_sales" sheetId="1" r:id="rId2"/>
    <sheet name="excel_analysis" sheetId="3" r:id="rId3"/>
  </sheets>
  <definedNames>
    <definedName name="_xlnm._FilterDatabase" localSheetId="1" hidden="1">store_sales!$A$1:$L$5001</definedName>
  </definedNames>
  <calcPr calcId="0"/>
  <pivotCaches>
    <pivotCache cacheId="7" r:id="rId4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3" i="1" a="1"/>
  <c r="M3" i="1"/>
  <c r="M4" i="1" a="1"/>
  <c r="M4" i="1"/>
  <c r="M5" i="1" a="1"/>
  <c r="M5" i="1"/>
  <c r="M6" i="1" a="1"/>
  <c r="M6" i="1"/>
  <c r="M7" i="1" a="1"/>
  <c r="M7" i="1"/>
  <c r="M8" i="1" a="1"/>
  <c r="M8" i="1"/>
  <c r="M9" i="1" a="1"/>
  <c r="M9" i="1"/>
  <c r="M10" i="1" a="1"/>
  <c r="M10" i="1"/>
  <c r="M11" i="1" a="1"/>
  <c r="M11" i="1"/>
  <c r="M12" i="1" a="1"/>
  <c r="M12" i="1"/>
  <c r="M13" i="1" a="1"/>
  <c r="M13" i="1"/>
  <c r="M14" i="1" a="1"/>
  <c r="M14" i="1"/>
  <c r="M15" i="1" a="1"/>
  <c r="M15" i="1"/>
  <c r="M16" i="1" a="1"/>
  <c r="M16" i="1"/>
  <c r="M17" i="1" a="1"/>
  <c r="M17" i="1"/>
  <c r="M18" i="1" a="1"/>
  <c r="M18" i="1"/>
  <c r="M19" i="1" a="1"/>
  <c r="M19" i="1"/>
  <c r="M20" i="1" a="1"/>
  <c r="M20" i="1"/>
  <c r="M21" i="1" a="1"/>
  <c r="M21" i="1"/>
  <c r="M22" i="1" a="1"/>
  <c r="M22" i="1"/>
  <c r="M23" i="1" a="1"/>
  <c r="M23" i="1"/>
  <c r="M24" i="1" a="1"/>
  <c r="M24" i="1"/>
  <c r="M25" i="1" a="1"/>
  <c r="M25" i="1"/>
  <c r="M26" i="1" a="1"/>
  <c r="M26" i="1"/>
  <c r="M27" i="1" a="1"/>
  <c r="M27" i="1"/>
  <c r="M28" i="1" a="1"/>
  <c r="M28" i="1"/>
  <c r="M29" i="1" a="1"/>
  <c r="M29" i="1"/>
  <c r="M30" i="1" a="1"/>
  <c r="M30" i="1"/>
  <c r="M31" i="1" a="1"/>
  <c r="M31" i="1"/>
  <c r="M32" i="1" a="1"/>
  <c r="M32" i="1"/>
  <c r="M33" i="1" a="1"/>
  <c r="M33" i="1"/>
  <c r="M34" i="1" a="1"/>
  <c r="M34" i="1"/>
  <c r="M35" i="1" a="1"/>
  <c r="M35" i="1"/>
  <c r="M36" i="1" a="1"/>
  <c r="M36" i="1"/>
  <c r="M37" i="1" a="1"/>
  <c r="M37" i="1"/>
  <c r="M38" i="1" a="1"/>
  <c r="M38" i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/>
  <c r="M46" i="1" a="1"/>
  <c r="M46" i="1"/>
  <c r="M47" i="1" a="1"/>
  <c r="M47" i="1"/>
  <c r="M48" i="1" a="1"/>
  <c r="M48" i="1"/>
  <c r="M49" i="1" a="1"/>
  <c r="M49" i="1"/>
  <c r="M50" i="1" a="1"/>
  <c r="M50" i="1"/>
  <c r="M51" i="1" a="1"/>
  <c r="M51" i="1"/>
  <c r="M52" i="1" a="1"/>
  <c r="M52" i="1"/>
  <c r="M53" i="1" a="1"/>
  <c r="M53" i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/>
  <c r="M60" i="1" a="1"/>
  <c r="M60" i="1"/>
  <c r="M61" i="1" a="1"/>
  <c r="M61" i="1"/>
  <c r="M62" i="1" a="1"/>
  <c r="M62" i="1"/>
  <c r="M63" i="1" a="1"/>
  <c r="M63" i="1"/>
  <c r="M64" i="1" a="1"/>
  <c r="M64" i="1"/>
  <c r="M65" i="1" a="1"/>
  <c r="M65" i="1"/>
  <c r="M66" i="1" a="1"/>
  <c r="M66" i="1"/>
  <c r="M67" i="1" a="1"/>
  <c r="M67" i="1"/>
  <c r="M68" i="1" a="1"/>
  <c r="M68" i="1"/>
  <c r="M69" i="1" a="1"/>
  <c r="M69" i="1"/>
  <c r="M70" i="1" a="1"/>
  <c r="M70" i="1"/>
  <c r="M71" i="1" a="1"/>
  <c r="M71" i="1"/>
  <c r="M72" i="1" a="1"/>
  <c r="M72" i="1"/>
  <c r="M73" i="1" a="1"/>
  <c r="M73" i="1"/>
  <c r="M74" i="1" a="1"/>
  <c r="M74" i="1"/>
  <c r="M75" i="1" a="1"/>
  <c r="M75" i="1"/>
  <c r="M76" i="1" a="1"/>
  <c r="M76" i="1"/>
  <c r="M77" i="1" a="1"/>
  <c r="M77" i="1"/>
  <c r="M78" i="1" a="1"/>
  <c r="M78" i="1"/>
  <c r="M79" i="1" a="1"/>
  <c r="M79" i="1"/>
  <c r="M80" i="1" a="1"/>
  <c r="M80" i="1"/>
  <c r="M81" i="1" a="1"/>
  <c r="M81" i="1"/>
  <c r="M82" i="1" a="1"/>
  <c r="M82" i="1"/>
  <c r="M83" i="1" a="1"/>
  <c r="M83" i="1"/>
  <c r="M84" i="1" a="1"/>
  <c r="M84" i="1"/>
  <c r="M85" i="1" a="1"/>
  <c r="M85" i="1"/>
  <c r="M86" i="1" a="1"/>
  <c r="M86" i="1"/>
  <c r="M87" i="1" a="1"/>
  <c r="M87" i="1"/>
  <c r="M88" i="1" a="1"/>
  <c r="M88" i="1"/>
  <c r="M89" i="1" a="1"/>
  <c r="M89" i="1"/>
  <c r="M90" i="1" a="1"/>
  <c r="M90" i="1"/>
  <c r="M91" i="1" a="1"/>
  <c r="M91" i="1"/>
  <c r="M92" i="1" a="1"/>
  <c r="M92" i="1"/>
  <c r="M93" i="1" a="1"/>
  <c r="M93" i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/>
  <c r="M100" i="1" a="1"/>
  <c r="M100" i="1"/>
  <c r="M101" i="1" a="1"/>
  <c r="M101" i="1"/>
  <c r="M102" i="1" a="1"/>
  <c r="M102" i="1"/>
  <c r="M103" i="1" a="1"/>
  <c r="M103" i="1"/>
  <c r="M104" i="1" a="1"/>
  <c r="M104" i="1"/>
  <c r="M105" i="1" a="1"/>
  <c r="M105" i="1"/>
  <c r="M106" i="1" a="1"/>
  <c r="M106" i="1"/>
  <c r="M107" i="1" a="1"/>
  <c r="M107" i="1"/>
  <c r="M108" i="1" a="1"/>
  <c r="M108" i="1"/>
  <c r="M109" i="1" a="1"/>
  <c r="M109" i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/>
  <c r="M125" i="1" a="1"/>
  <c r="M125" i="1"/>
  <c r="M126" i="1" a="1"/>
  <c r="M126" i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/>
  <c r="M141" i="1" a="1"/>
  <c r="M141" i="1"/>
  <c r="M142" i="1" a="1"/>
  <c r="M142" i="1"/>
  <c r="M143" i="1" a="1"/>
  <c r="M143" i="1"/>
  <c r="M144" i="1" a="1"/>
  <c r="M144" i="1"/>
  <c r="M145" i="1" a="1"/>
  <c r="M145" i="1"/>
  <c r="M146" i="1" a="1"/>
  <c r="M146" i="1"/>
  <c r="M147" i="1" a="1"/>
  <c r="M147" i="1"/>
  <c r="M148" i="1" a="1"/>
  <c r="M148" i="1"/>
  <c r="M149" i="1" a="1"/>
  <c r="M149" i="1"/>
  <c r="M150" i="1" a="1"/>
  <c r="M150" i="1"/>
  <c r="M151" i="1" a="1"/>
  <c r="M151" i="1"/>
  <c r="M152" i="1" a="1"/>
  <c r="M152" i="1"/>
  <c r="M153" i="1" a="1"/>
  <c r="M153" i="1"/>
  <c r="M154" i="1" a="1"/>
  <c r="M154" i="1"/>
  <c r="M155" i="1" a="1"/>
  <c r="M155" i="1"/>
  <c r="M156" i="1" a="1"/>
  <c r="M156" i="1"/>
  <c r="M157" i="1" a="1"/>
  <c r="M157" i="1"/>
  <c r="M158" i="1" a="1"/>
  <c r="M158" i="1"/>
  <c r="M159" i="1" a="1"/>
  <c r="M159" i="1"/>
  <c r="M160" i="1" a="1"/>
  <c r="M160" i="1"/>
  <c r="M161" i="1" a="1"/>
  <c r="M161" i="1"/>
  <c r="M162" i="1" a="1"/>
  <c r="M162" i="1"/>
  <c r="M163" i="1" a="1"/>
  <c r="M163" i="1"/>
  <c r="M164" i="1" a="1"/>
  <c r="M164" i="1"/>
  <c r="M165" i="1" a="1"/>
  <c r="M165" i="1"/>
  <c r="M166" i="1" a="1"/>
  <c r="M166" i="1"/>
  <c r="M167" i="1" a="1"/>
  <c r="M167" i="1"/>
  <c r="M168" i="1" a="1"/>
  <c r="M168" i="1"/>
  <c r="M169" i="1" a="1"/>
  <c r="M169" i="1"/>
  <c r="M170" i="1" a="1"/>
  <c r="M170" i="1"/>
  <c r="M171" i="1" a="1"/>
  <c r="M171" i="1"/>
  <c r="M172" i="1" a="1"/>
  <c r="M172" i="1"/>
  <c r="M173" i="1" a="1"/>
  <c r="M173" i="1"/>
  <c r="M174" i="1" a="1"/>
  <c r="M174" i="1"/>
  <c r="M175" i="1" a="1"/>
  <c r="M175" i="1"/>
  <c r="M176" i="1" a="1"/>
  <c r="M176" i="1"/>
  <c r="M177" i="1" a="1"/>
  <c r="M177" i="1"/>
  <c r="M178" i="1" a="1"/>
  <c r="M178" i="1"/>
  <c r="M179" i="1" a="1"/>
  <c r="M179" i="1"/>
  <c r="M180" i="1" a="1"/>
  <c r="M180" i="1"/>
  <c r="M181" i="1" a="1"/>
  <c r="M181" i="1"/>
  <c r="M182" i="1" a="1"/>
  <c r="M182" i="1"/>
  <c r="M183" i="1" a="1"/>
  <c r="M183" i="1"/>
  <c r="M184" i="1" a="1"/>
  <c r="M184" i="1"/>
  <c r="M185" i="1" a="1"/>
  <c r="M185" i="1"/>
  <c r="M186" i="1" a="1"/>
  <c r="M186" i="1"/>
  <c r="M187" i="1" a="1"/>
  <c r="M187" i="1"/>
  <c r="M188" i="1" a="1"/>
  <c r="M188" i="1"/>
  <c r="M189" i="1" a="1"/>
  <c r="M189" i="1"/>
  <c r="M190" i="1" a="1"/>
  <c r="M190" i="1"/>
  <c r="M191" i="1" a="1"/>
  <c r="M191" i="1"/>
  <c r="M192" i="1" a="1"/>
  <c r="M192" i="1"/>
  <c r="M193" i="1" a="1"/>
  <c r="M193" i="1"/>
  <c r="M194" i="1" a="1"/>
  <c r="M194" i="1"/>
  <c r="M195" i="1" a="1"/>
  <c r="M195" i="1"/>
  <c r="M196" i="1" a="1"/>
  <c r="M196" i="1"/>
  <c r="M197" i="1" a="1"/>
  <c r="M197" i="1"/>
  <c r="M198" i="1" a="1"/>
  <c r="M198" i="1"/>
  <c r="M199" i="1" a="1"/>
  <c r="M199" i="1"/>
  <c r="M200" i="1" a="1"/>
  <c r="M200" i="1"/>
  <c r="M201" i="1" a="1"/>
  <c r="M201" i="1"/>
  <c r="M202" i="1" a="1"/>
  <c r="M202" i="1"/>
  <c r="M203" i="1" a="1"/>
  <c r="M203" i="1"/>
  <c r="M204" i="1" a="1"/>
  <c r="M204" i="1"/>
  <c r="M205" i="1" a="1"/>
  <c r="M205" i="1"/>
  <c r="M206" i="1" a="1"/>
  <c r="M206" i="1"/>
  <c r="M207" i="1" a="1"/>
  <c r="M207" i="1"/>
  <c r="M208" i="1" a="1"/>
  <c r="M208" i="1"/>
  <c r="M209" i="1" a="1"/>
  <c r="M209" i="1"/>
  <c r="M210" i="1" a="1"/>
  <c r="M210" i="1"/>
  <c r="M211" i="1" a="1"/>
  <c r="M211" i="1"/>
  <c r="M212" i="1" a="1"/>
  <c r="M212" i="1"/>
  <c r="M213" i="1" a="1"/>
  <c r="M213" i="1"/>
  <c r="M214" i="1" a="1"/>
  <c r="M214" i="1"/>
  <c r="M215" i="1" a="1"/>
  <c r="M215" i="1"/>
  <c r="M216" i="1" a="1"/>
  <c r="M216" i="1"/>
  <c r="M217" i="1" a="1"/>
  <c r="M217" i="1"/>
  <c r="M218" i="1" a="1"/>
  <c r="M218" i="1"/>
  <c r="M219" i="1" a="1"/>
  <c r="M219" i="1"/>
  <c r="M220" i="1" a="1"/>
  <c r="M220" i="1"/>
  <c r="M221" i="1" a="1"/>
  <c r="M221" i="1"/>
  <c r="M222" i="1" a="1"/>
  <c r="M222" i="1"/>
  <c r="M223" i="1" a="1"/>
  <c r="M223" i="1"/>
  <c r="M224" i="1" a="1"/>
  <c r="M224" i="1"/>
  <c r="M225" i="1" a="1"/>
  <c r="M225" i="1"/>
  <c r="M226" i="1" a="1"/>
  <c r="M226" i="1"/>
  <c r="M227" i="1" a="1"/>
  <c r="M227" i="1"/>
  <c r="M228" i="1" a="1"/>
  <c r="M228" i="1"/>
  <c r="M229" i="1" a="1"/>
  <c r="M229" i="1"/>
  <c r="M230" i="1" a="1"/>
  <c r="M230" i="1"/>
  <c r="M231" i="1" a="1"/>
  <c r="M231" i="1"/>
  <c r="M232" i="1" a="1"/>
  <c r="M232" i="1"/>
  <c r="M233" i="1" a="1"/>
  <c r="M233" i="1"/>
  <c r="M234" i="1" a="1"/>
  <c r="M234" i="1"/>
  <c r="M235" i="1" a="1"/>
  <c r="M235" i="1"/>
  <c r="M236" i="1" a="1"/>
  <c r="M236" i="1"/>
  <c r="M237" i="1" a="1"/>
  <c r="M237" i="1"/>
  <c r="M238" i="1" a="1"/>
  <c r="M238" i="1"/>
  <c r="M239" i="1" a="1"/>
  <c r="M239" i="1"/>
  <c r="M240" i="1" a="1"/>
  <c r="M240" i="1"/>
  <c r="M241" i="1" a="1"/>
  <c r="M241" i="1"/>
  <c r="M242" i="1" a="1"/>
  <c r="M242" i="1"/>
  <c r="M243" i="1" a="1"/>
  <c r="M243" i="1"/>
  <c r="M244" i="1" a="1"/>
  <c r="M244" i="1"/>
  <c r="M245" i="1" a="1"/>
  <c r="M245" i="1"/>
  <c r="M246" i="1" a="1"/>
  <c r="M246" i="1"/>
  <c r="M247" i="1" a="1"/>
  <c r="M247" i="1"/>
  <c r="M248" i="1" a="1"/>
  <c r="M248" i="1"/>
  <c r="M249" i="1" a="1"/>
  <c r="M249" i="1"/>
  <c r="M250" i="1" a="1"/>
  <c r="M250" i="1"/>
  <c r="M251" i="1" a="1"/>
  <c r="M251" i="1"/>
  <c r="M252" i="1" a="1"/>
  <c r="M252" i="1"/>
  <c r="M253" i="1" a="1"/>
  <c r="M253" i="1"/>
  <c r="M254" i="1" a="1"/>
  <c r="M254" i="1"/>
  <c r="M255" i="1" a="1"/>
  <c r="M255" i="1"/>
  <c r="M256" i="1" a="1"/>
  <c r="M256" i="1"/>
  <c r="M257" i="1" a="1"/>
  <c r="M257" i="1"/>
  <c r="M258" i="1" a="1"/>
  <c r="M258" i="1"/>
  <c r="M259" i="1" a="1"/>
  <c r="M259" i="1"/>
  <c r="M260" i="1" a="1"/>
  <c r="M260" i="1"/>
  <c r="M261" i="1" a="1"/>
  <c r="M261" i="1"/>
  <c r="M262" i="1" a="1"/>
  <c r="M262" i="1"/>
  <c r="M263" i="1" a="1"/>
  <c r="M263" i="1"/>
  <c r="M264" i="1" a="1"/>
  <c r="M264" i="1"/>
  <c r="M265" i="1" a="1"/>
  <c r="M265" i="1"/>
  <c r="M266" i="1" a="1"/>
  <c r="M266" i="1"/>
  <c r="M267" i="1" a="1"/>
  <c r="M267" i="1"/>
  <c r="M268" i="1" a="1"/>
  <c r="M268" i="1"/>
  <c r="M269" i="1" a="1"/>
  <c r="M269" i="1"/>
  <c r="M270" i="1" a="1"/>
  <c r="M270" i="1"/>
  <c r="M271" i="1" a="1"/>
  <c r="M271" i="1"/>
  <c r="M272" i="1" a="1"/>
  <c r="M272" i="1"/>
  <c r="M273" i="1" a="1"/>
  <c r="M273" i="1"/>
  <c r="M274" i="1" a="1"/>
  <c r="M274" i="1"/>
  <c r="M275" i="1" a="1"/>
  <c r="M275" i="1"/>
  <c r="M276" i="1" a="1"/>
  <c r="M276" i="1"/>
  <c r="M277" i="1" a="1"/>
  <c r="M277" i="1"/>
  <c r="M278" i="1" a="1"/>
  <c r="M278" i="1"/>
  <c r="M279" i="1" a="1"/>
  <c r="M279" i="1"/>
  <c r="M280" i="1" a="1"/>
  <c r="M280" i="1"/>
  <c r="M281" i="1" a="1"/>
  <c r="M281" i="1"/>
  <c r="M282" i="1" a="1"/>
  <c r="M282" i="1"/>
  <c r="M283" i="1" a="1"/>
  <c r="M283" i="1"/>
  <c r="M284" i="1" a="1"/>
  <c r="M284" i="1"/>
  <c r="M285" i="1" a="1"/>
  <c r="M285" i="1"/>
  <c r="M286" i="1" a="1"/>
  <c r="M286" i="1"/>
  <c r="M287" i="1" a="1"/>
  <c r="M287" i="1"/>
  <c r="M288" i="1" a="1"/>
  <c r="M288" i="1"/>
  <c r="M289" i="1" a="1"/>
  <c r="M289" i="1"/>
  <c r="M290" i="1" a="1"/>
  <c r="M290" i="1"/>
  <c r="M291" i="1" a="1"/>
  <c r="M291" i="1"/>
  <c r="M292" i="1" a="1"/>
  <c r="M292" i="1"/>
  <c r="M293" i="1" a="1"/>
  <c r="M293" i="1"/>
  <c r="M294" i="1" a="1"/>
  <c r="M294" i="1"/>
  <c r="M295" i="1" a="1"/>
  <c r="M295" i="1"/>
  <c r="M296" i="1" a="1"/>
  <c r="M296" i="1"/>
  <c r="M297" i="1" a="1"/>
  <c r="M297" i="1"/>
  <c r="M298" i="1" a="1"/>
  <c r="M298" i="1"/>
  <c r="M299" i="1" a="1"/>
  <c r="M299" i="1"/>
  <c r="M300" i="1" a="1"/>
  <c r="M300" i="1"/>
  <c r="M301" i="1" a="1"/>
  <c r="M301" i="1"/>
  <c r="M302" i="1" a="1"/>
  <c r="M302" i="1"/>
  <c r="M303" i="1" a="1"/>
  <c r="M303" i="1"/>
  <c r="M304" i="1" a="1"/>
  <c r="M304" i="1"/>
  <c r="M305" i="1" a="1"/>
  <c r="M305" i="1"/>
  <c r="M306" i="1" a="1"/>
  <c r="M306" i="1"/>
  <c r="M307" i="1" a="1"/>
  <c r="M307" i="1"/>
  <c r="M308" i="1" a="1"/>
  <c r="M308" i="1"/>
  <c r="M309" i="1" a="1"/>
  <c r="M309" i="1"/>
  <c r="M310" i="1" a="1"/>
  <c r="M310" i="1"/>
  <c r="M311" i="1" a="1"/>
  <c r="M311" i="1"/>
  <c r="M312" i="1" a="1"/>
  <c r="M312" i="1"/>
  <c r="M313" i="1" a="1"/>
  <c r="M313" i="1"/>
  <c r="M314" i="1" a="1"/>
  <c r="M314" i="1"/>
  <c r="M315" i="1" a="1"/>
  <c r="M315" i="1"/>
  <c r="M316" i="1" a="1"/>
  <c r="M316" i="1"/>
  <c r="M317" i="1" a="1"/>
  <c r="M317" i="1"/>
  <c r="M318" i="1" a="1"/>
  <c r="M318" i="1"/>
  <c r="M319" i="1" a="1"/>
  <c r="M319" i="1"/>
  <c r="M320" i="1" a="1"/>
  <c r="M320" i="1"/>
  <c r="M321" i="1" a="1"/>
  <c r="M321" i="1"/>
  <c r="M322" i="1" a="1"/>
  <c r="M322" i="1"/>
  <c r="M323" i="1" a="1"/>
  <c r="M323" i="1"/>
  <c r="M324" i="1" a="1"/>
  <c r="M324" i="1"/>
  <c r="M325" i="1" a="1"/>
  <c r="M325" i="1"/>
  <c r="M326" i="1" a="1"/>
  <c r="M326" i="1"/>
  <c r="M327" i="1" a="1"/>
  <c r="M327" i="1"/>
  <c r="M328" i="1" a="1"/>
  <c r="M328" i="1"/>
  <c r="M329" i="1" a="1"/>
  <c r="M329" i="1"/>
  <c r="M330" i="1" a="1"/>
  <c r="M330" i="1"/>
  <c r="M331" i="1" a="1"/>
  <c r="M331" i="1"/>
  <c r="M332" i="1" a="1"/>
  <c r="M332" i="1"/>
  <c r="M333" i="1" a="1"/>
  <c r="M333" i="1"/>
  <c r="M334" i="1" a="1"/>
  <c r="M334" i="1"/>
  <c r="M335" i="1" a="1"/>
  <c r="M335" i="1"/>
  <c r="M336" i="1" a="1"/>
  <c r="M336" i="1"/>
  <c r="M337" i="1" a="1"/>
  <c r="M337" i="1"/>
  <c r="M338" i="1" a="1"/>
  <c r="M338" i="1"/>
  <c r="M339" i="1" a="1"/>
  <c r="M339" i="1"/>
  <c r="M340" i="1" a="1"/>
  <c r="M340" i="1"/>
  <c r="M341" i="1" a="1"/>
  <c r="M341" i="1"/>
  <c r="M342" i="1" a="1"/>
  <c r="M342" i="1"/>
  <c r="M343" i="1" a="1"/>
  <c r="M343" i="1"/>
  <c r="M344" i="1" a="1"/>
  <c r="M344" i="1"/>
  <c r="M345" i="1" a="1"/>
  <c r="M345" i="1"/>
  <c r="M346" i="1" a="1"/>
  <c r="M346" i="1"/>
  <c r="M347" i="1" a="1"/>
  <c r="M347" i="1"/>
  <c r="M348" i="1" a="1"/>
  <c r="M348" i="1"/>
  <c r="M349" i="1" a="1"/>
  <c r="M349" i="1"/>
  <c r="M350" i="1" a="1"/>
  <c r="M350" i="1"/>
  <c r="M351" i="1" a="1"/>
  <c r="M351" i="1"/>
  <c r="M352" i="1" a="1"/>
  <c r="M352" i="1"/>
  <c r="M353" i="1" a="1"/>
  <c r="M353" i="1"/>
  <c r="M354" i="1" a="1"/>
  <c r="M354" i="1"/>
  <c r="M355" i="1" a="1"/>
  <c r="M355" i="1"/>
  <c r="M356" i="1" a="1"/>
  <c r="M356" i="1"/>
  <c r="M357" i="1" a="1"/>
  <c r="M357" i="1"/>
  <c r="M358" i="1" a="1"/>
  <c r="M358" i="1"/>
  <c r="M359" i="1" a="1"/>
  <c r="M359" i="1"/>
  <c r="M360" i="1" a="1"/>
  <c r="M360" i="1"/>
  <c r="M361" i="1" a="1"/>
  <c r="M361" i="1"/>
  <c r="M362" i="1" a="1"/>
  <c r="M362" i="1"/>
  <c r="M363" i="1" a="1"/>
  <c r="M363" i="1"/>
  <c r="M364" i="1" a="1"/>
  <c r="M364" i="1"/>
  <c r="M365" i="1" a="1"/>
  <c r="M365" i="1"/>
  <c r="M366" i="1" a="1"/>
  <c r="M366" i="1"/>
  <c r="M367" i="1" a="1"/>
  <c r="M367" i="1"/>
  <c r="M368" i="1" a="1"/>
  <c r="M368" i="1"/>
  <c r="M369" i="1" a="1"/>
  <c r="M369" i="1"/>
  <c r="M370" i="1" a="1"/>
  <c r="M370" i="1"/>
  <c r="M371" i="1" a="1"/>
  <c r="M371" i="1"/>
  <c r="M372" i="1" a="1"/>
  <c r="M372" i="1"/>
  <c r="M373" i="1" a="1"/>
  <c r="M373" i="1"/>
  <c r="M374" i="1" a="1"/>
  <c r="M374" i="1"/>
  <c r="M375" i="1" a="1"/>
  <c r="M375" i="1"/>
  <c r="M376" i="1" a="1"/>
  <c r="M376" i="1"/>
  <c r="M377" i="1" a="1"/>
  <c r="M377" i="1"/>
  <c r="M378" i="1" a="1"/>
  <c r="M378" i="1"/>
  <c r="M379" i="1" a="1"/>
  <c r="M379" i="1"/>
  <c r="M380" i="1" a="1"/>
  <c r="M380" i="1"/>
  <c r="M381" i="1" a="1"/>
  <c r="M381" i="1"/>
  <c r="M382" i="1" a="1"/>
  <c r="M382" i="1"/>
  <c r="M383" i="1" a="1"/>
  <c r="M383" i="1"/>
  <c r="M384" i="1" a="1"/>
  <c r="M384" i="1"/>
  <c r="M385" i="1" a="1"/>
  <c r="M385" i="1"/>
  <c r="M386" i="1" a="1"/>
  <c r="M386" i="1"/>
  <c r="M387" i="1" a="1"/>
  <c r="M387" i="1"/>
  <c r="M388" i="1" a="1"/>
  <c r="M388" i="1"/>
  <c r="M389" i="1" a="1"/>
  <c r="M389" i="1"/>
  <c r="M390" i="1" a="1"/>
  <c r="M390" i="1"/>
  <c r="M391" i="1" a="1"/>
  <c r="M391" i="1"/>
  <c r="M392" i="1" a="1"/>
  <c r="M392" i="1"/>
  <c r="M393" i="1" a="1"/>
  <c r="M393" i="1"/>
  <c r="M394" i="1" a="1"/>
  <c r="M394" i="1"/>
  <c r="M395" i="1" a="1"/>
  <c r="M395" i="1"/>
  <c r="M396" i="1" a="1"/>
  <c r="M396" i="1"/>
  <c r="M397" i="1" a="1"/>
  <c r="M397" i="1"/>
  <c r="M398" i="1" a="1"/>
  <c r="M398" i="1"/>
  <c r="M399" i="1" a="1"/>
  <c r="M399" i="1"/>
  <c r="M400" i="1" a="1"/>
  <c r="M400" i="1"/>
  <c r="M401" i="1" a="1"/>
  <c r="M401" i="1"/>
  <c r="M402" i="1" a="1"/>
  <c r="M402" i="1"/>
  <c r="M403" i="1" a="1"/>
  <c r="M403" i="1"/>
  <c r="M404" i="1" a="1"/>
  <c r="M404" i="1"/>
  <c r="M405" i="1" a="1"/>
  <c r="M405" i="1"/>
  <c r="M406" i="1" a="1"/>
  <c r="M406" i="1"/>
  <c r="M407" i="1" a="1"/>
  <c r="M407" i="1"/>
  <c r="M408" i="1" a="1"/>
  <c r="M408" i="1"/>
  <c r="M409" i="1" a="1"/>
  <c r="M409" i="1"/>
  <c r="M410" i="1" a="1"/>
  <c r="M410" i="1"/>
  <c r="M411" i="1" a="1"/>
  <c r="M411" i="1"/>
  <c r="M412" i="1" a="1"/>
  <c r="M412" i="1"/>
  <c r="M413" i="1" a="1"/>
  <c r="M413" i="1"/>
  <c r="M414" i="1" a="1"/>
  <c r="M414" i="1"/>
  <c r="M415" i="1" a="1"/>
  <c r="M415" i="1"/>
  <c r="M416" i="1" a="1"/>
  <c r="M416" i="1"/>
  <c r="M417" i="1" a="1"/>
  <c r="M417" i="1"/>
  <c r="M418" i="1" a="1"/>
  <c r="M418" i="1"/>
  <c r="M419" i="1" a="1"/>
  <c r="M419" i="1"/>
  <c r="M420" i="1" a="1"/>
  <c r="M420" i="1"/>
  <c r="M421" i="1" a="1"/>
  <c r="M421" i="1"/>
  <c r="M422" i="1" a="1"/>
  <c r="M422" i="1"/>
  <c r="M423" i="1" a="1"/>
  <c r="M423" i="1"/>
  <c r="M424" i="1" a="1"/>
  <c r="M424" i="1"/>
  <c r="M425" i="1" a="1"/>
  <c r="M425" i="1"/>
  <c r="M426" i="1" a="1"/>
  <c r="M426" i="1"/>
  <c r="M427" i="1" a="1"/>
  <c r="M427" i="1"/>
  <c r="M428" i="1" a="1"/>
  <c r="M428" i="1"/>
  <c r="M429" i="1" a="1"/>
  <c r="M429" i="1"/>
  <c r="M430" i="1" a="1"/>
  <c r="M430" i="1"/>
  <c r="M431" i="1" a="1"/>
  <c r="M431" i="1"/>
  <c r="M432" i="1" a="1"/>
  <c r="M432" i="1"/>
  <c r="M433" i="1" a="1"/>
  <c r="M433" i="1"/>
  <c r="M434" i="1" a="1"/>
  <c r="M434" i="1"/>
  <c r="M435" i="1" a="1"/>
  <c r="M435" i="1"/>
  <c r="M436" i="1" a="1"/>
  <c r="M436" i="1"/>
  <c r="M437" i="1" a="1"/>
  <c r="M437" i="1"/>
  <c r="M438" i="1" a="1"/>
  <c r="M438" i="1"/>
  <c r="M439" i="1" a="1"/>
  <c r="M439" i="1"/>
  <c r="M440" i="1" a="1"/>
  <c r="M440" i="1"/>
  <c r="M441" i="1" a="1"/>
  <c r="M441" i="1"/>
  <c r="M442" i="1" a="1"/>
  <c r="M442" i="1"/>
  <c r="M443" i="1" a="1"/>
  <c r="M443" i="1"/>
  <c r="M444" i="1" a="1"/>
  <c r="M444" i="1"/>
  <c r="M445" i="1" a="1"/>
  <c r="M445" i="1"/>
  <c r="M446" i="1" a="1"/>
  <c r="M446" i="1"/>
  <c r="M447" i="1" a="1"/>
  <c r="M447" i="1"/>
  <c r="M448" i="1" a="1"/>
  <c r="M448" i="1"/>
  <c r="M449" i="1" a="1"/>
  <c r="M449" i="1"/>
  <c r="M450" i="1" a="1"/>
  <c r="M450" i="1"/>
  <c r="M451" i="1" a="1"/>
  <c r="M451" i="1"/>
  <c r="M452" i="1" a="1"/>
  <c r="M452" i="1"/>
  <c r="M453" i="1" a="1"/>
  <c r="M453" i="1"/>
  <c r="M454" i="1" a="1"/>
  <c r="M454" i="1"/>
  <c r="M455" i="1" a="1"/>
  <c r="M455" i="1"/>
  <c r="M456" i="1" a="1"/>
  <c r="M456" i="1"/>
  <c r="M457" i="1" a="1"/>
  <c r="M457" i="1"/>
  <c r="M458" i="1" a="1"/>
  <c r="M458" i="1"/>
  <c r="M459" i="1" a="1"/>
  <c r="M459" i="1"/>
  <c r="M460" i="1" a="1"/>
  <c r="M460" i="1"/>
  <c r="M461" i="1" a="1"/>
  <c r="M461" i="1"/>
  <c r="M462" i="1" a="1"/>
  <c r="M462" i="1"/>
  <c r="M463" i="1" a="1"/>
  <c r="M463" i="1"/>
  <c r="M464" i="1" a="1"/>
  <c r="M464" i="1"/>
  <c r="M465" i="1" a="1"/>
  <c r="M465" i="1"/>
  <c r="M466" i="1" a="1"/>
  <c r="M466" i="1"/>
  <c r="M467" i="1" a="1"/>
  <c r="M467" i="1"/>
  <c r="M468" i="1" a="1"/>
  <c r="M468" i="1"/>
  <c r="M469" i="1" a="1"/>
  <c r="M469" i="1"/>
  <c r="M470" i="1" a="1"/>
  <c r="M470" i="1"/>
  <c r="M471" i="1" a="1"/>
  <c r="M471" i="1"/>
  <c r="M472" i="1" a="1"/>
  <c r="M472" i="1"/>
  <c r="M473" i="1" a="1"/>
  <c r="M473" i="1"/>
  <c r="M474" i="1" a="1"/>
  <c r="M474" i="1"/>
  <c r="M475" i="1" a="1"/>
  <c r="M475" i="1"/>
  <c r="M476" i="1" a="1"/>
  <c r="M476" i="1"/>
  <c r="M477" i="1" a="1"/>
  <c r="M477" i="1"/>
  <c r="M478" i="1" a="1"/>
  <c r="M478" i="1"/>
  <c r="M479" i="1" a="1"/>
  <c r="M479" i="1"/>
  <c r="M480" i="1" a="1"/>
  <c r="M480" i="1"/>
  <c r="M481" i="1" a="1"/>
  <c r="M481" i="1"/>
  <c r="M482" i="1" a="1"/>
  <c r="M482" i="1"/>
  <c r="M483" i="1" a="1"/>
  <c r="M483" i="1"/>
  <c r="M484" i="1" a="1"/>
  <c r="M484" i="1"/>
  <c r="M485" i="1" a="1"/>
  <c r="M485" i="1"/>
  <c r="M486" i="1" a="1"/>
  <c r="M486" i="1"/>
  <c r="M487" i="1" a="1"/>
  <c r="M487" i="1"/>
  <c r="M488" i="1" a="1"/>
  <c r="M488" i="1"/>
  <c r="M489" i="1" a="1"/>
  <c r="M489" i="1"/>
  <c r="M490" i="1" a="1"/>
  <c r="M490" i="1"/>
  <c r="M491" i="1" a="1"/>
  <c r="M491" i="1"/>
  <c r="M492" i="1" a="1"/>
  <c r="M492" i="1"/>
  <c r="M493" i="1" a="1"/>
  <c r="M493" i="1"/>
  <c r="M494" i="1" a="1"/>
  <c r="M494" i="1"/>
  <c r="M495" i="1" a="1"/>
  <c r="M495" i="1"/>
  <c r="M496" i="1" a="1"/>
  <c r="M496" i="1"/>
  <c r="M497" i="1" a="1"/>
  <c r="M497" i="1"/>
  <c r="M498" i="1" a="1"/>
  <c r="M498" i="1"/>
  <c r="M499" i="1" a="1"/>
  <c r="M499" i="1"/>
  <c r="M500" i="1" a="1"/>
  <c r="M500" i="1"/>
  <c r="M501" i="1" a="1"/>
  <c r="M501" i="1"/>
  <c r="M502" i="1" a="1"/>
  <c r="M502" i="1"/>
  <c r="M503" i="1" a="1"/>
  <c r="M503" i="1"/>
  <c r="M504" i="1" a="1"/>
  <c r="M504" i="1"/>
  <c r="M505" i="1" a="1"/>
  <c r="M505" i="1"/>
  <c r="M506" i="1" a="1"/>
  <c r="M506" i="1"/>
  <c r="M507" i="1" a="1"/>
  <c r="M507" i="1"/>
  <c r="M508" i="1" a="1"/>
  <c r="M508" i="1"/>
  <c r="M509" i="1" a="1"/>
  <c r="M509" i="1"/>
  <c r="M510" i="1" a="1"/>
  <c r="M510" i="1"/>
  <c r="M511" i="1" a="1"/>
  <c r="M511" i="1"/>
  <c r="M512" i="1" a="1"/>
  <c r="M512" i="1"/>
  <c r="M513" i="1" a="1"/>
  <c r="M513" i="1"/>
  <c r="M514" i="1" a="1"/>
  <c r="M514" i="1"/>
  <c r="M515" i="1" a="1"/>
  <c r="M515" i="1"/>
  <c r="M516" i="1" a="1"/>
  <c r="M516" i="1"/>
  <c r="M517" i="1" a="1"/>
  <c r="M517" i="1"/>
  <c r="M518" i="1" a="1"/>
  <c r="M518" i="1"/>
  <c r="M519" i="1" a="1"/>
  <c r="M519" i="1"/>
  <c r="M520" i="1" a="1"/>
  <c r="M520" i="1"/>
  <c r="M521" i="1" a="1"/>
  <c r="M521" i="1"/>
  <c r="M522" i="1" a="1"/>
  <c r="M522" i="1"/>
  <c r="M523" i="1" a="1"/>
  <c r="M523" i="1"/>
  <c r="M524" i="1" a="1"/>
  <c r="M524" i="1"/>
  <c r="M525" i="1" a="1"/>
  <c r="M525" i="1"/>
  <c r="M526" i="1" a="1"/>
  <c r="M526" i="1"/>
  <c r="M527" i="1" a="1"/>
  <c r="M527" i="1"/>
  <c r="M528" i="1" a="1"/>
  <c r="M528" i="1"/>
  <c r="M529" i="1" a="1"/>
  <c r="M529" i="1"/>
  <c r="M530" i="1" a="1"/>
  <c r="M530" i="1"/>
  <c r="M531" i="1" a="1"/>
  <c r="M531" i="1"/>
  <c r="M532" i="1" a="1"/>
  <c r="M532" i="1"/>
  <c r="M533" i="1" a="1"/>
  <c r="M533" i="1"/>
  <c r="M534" i="1" a="1"/>
  <c r="M534" i="1"/>
  <c r="M535" i="1" a="1"/>
  <c r="M535" i="1"/>
  <c r="M536" i="1" a="1"/>
  <c r="M536" i="1"/>
  <c r="M537" i="1" a="1"/>
  <c r="M537" i="1"/>
  <c r="M538" i="1" a="1"/>
  <c r="M538" i="1"/>
  <c r="M539" i="1" a="1"/>
  <c r="M539" i="1"/>
  <c r="M540" i="1" a="1"/>
  <c r="M540" i="1"/>
  <c r="M541" i="1" a="1"/>
  <c r="M541" i="1"/>
  <c r="M542" i="1" a="1"/>
  <c r="M542" i="1"/>
  <c r="M543" i="1" a="1"/>
  <c r="M543" i="1"/>
  <c r="M544" i="1" a="1"/>
  <c r="M544" i="1"/>
  <c r="M545" i="1" a="1"/>
  <c r="M545" i="1"/>
  <c r="M546" i="1" a="1"/>
  <c r="M546" i="1"/>
  <c r="M547" i="1" a="1"/>
  <c r="M547" i="1"/>
  <c r="M548" i="1" a="1"/>
  <c r="M548" i="1"/>
  <c r="M549" i="1" a="1"/>
  <c r="M549" i="1"/>
  <c r="M550" i="1" a="1"/>
  <c r="M550" i="1"/>
  <c r="M551" i="1" a="1"/>
  <c r="M551" i="1"/>
  <c r="M552" i="1" a="1"/>
  <c r="M552" i="1"/>
  <c r="M553" i="1" a="1"/>
  <c r="M553" i="1"/>
  <c r="M554" i="1" a="1"/>
  <c r="M554" i="1"/>
  <c r="M555" i="1" a="1"/>
  <c r="M555" i="1"/>
  <c r="M556" i="1" a="1"/>
  <c r="M556" i="1"/>
  <c r="M557" i="1" a="1"/>
  <c r="M557" i="1"/>
  <c r="M558" i="1" a="1"/>
  <c r="M558" i="1"/>
  <c r="M559" i="1" a="1"/>
  <c r="M559" i="1"/>
  <c r="M560" i="1" a="1"/>
  <c r="M560" i="1"/>
  <c r="M561" i="1" a="1"/>
  <c r="M561" i="1"/>
  <c r="M562" i="1" a="1"/>
  <c r="M562" i="1"/>
  <c r="M563" i="1" a="1"/>
  <c r="M563" i="1"/>
  <c r="M564" i="1" a="1"/>
  <c r="M564" i="1"/>
  <c r="M565" i="1" a="1"/>
  <c r="M565" i="1"/>
  <c r="M566" i="1" a="1"/>
  <c r="M566" i="1"/>
  <c r="M567" i="1" a="1"/>
  <c r="M567" i="1"/>
  <c r="M568" i="1" a="1"/>
  <c r="M568" i="1"/>
  <c r="M569" i="1" a="1"/>
  <c r="M569" i="1"/>
  <c r="M570" i="1" a="1"/>
  <c r="M570" i="1"/>
  <c r="M571" i="1" a="1"/>
  <c r="M571" i="1"/>
  <c r="M572" i="1" a="1"/>
  <c r="M572" i="1"/>
  <c r="M573" i="1" a="1"/>
  <c r="M573" i="1"/>
  <c r="M574" i="1" a="1"/>
  <c r="M574" i="1"/>
  <c r="M575" i="1" a="1"/>
  <c r="M575" i="1"/>
  <c r="M576" i="1" a="1"/>
  <c r="M576" i="1"/>
  <c r="M577" i="1" a="1"/>
  <c r="M577" i="1"/>
  <c r="M578" i="1" a="1"/>
  <c r="M578" i="1"/>
  <c r="M579" i="1" a="1"/>
  <c r="M579" i="1"/>
  <c r="M580" i="1" a="1"/>
  <c r="M580" i="1"/>
  <c r="M581" i="1" a="1"/>
  <c r="M581" i="1"/>
  <c r="M582" i="1" a="1"/>
  <c r="M582" i="1"/>
  <c r="M583" i="1" a="1"/>
  <c r="M583" i="1"/>
  <c r="M584" i="1" a="1"/>
  <c r="M584" i="1"/>
  <c r="M585" i="1" a="1"/>
  <c r="M585" i="1"/>
  <c r="M586" i="1" a="1"/>
  <c r="M586" i="1"/>
  <c r="M587" i="1" a="1"/>
  <c r="M587" i="1"/>
  <c r="M588" i="1" a="1"/>
  <c r="M588" i="1"/>
  <c r="M589" i="1" a="1"/>
  <c r="M589" i="1"/>
  <c r="M590" i="1" a="1"/>
  <c r="M590" i="1"/>
  <c r="M591" i="1" a="1"/>
  <c r="M591" i="1"/>
  <c r="M592" i="1" a="1"/>
  <c r="M592" i="1"/>
  <c r="M593" i="1" a="1"/>
  <c r="M593" i="1"/>
  <c r="M594" i="1" a="1"/>
  <c r="M594" i="1"/>
  <c r="M595" i="1" a="1"/>
  <c r="M595" i="1"/>
  <c r="M596" i="1" a="1"/>
  <c r="M596" i="1"/>
  <c r="M597" i="1" a="1"/>
  <c r="M597" i="1" s="1"/>
  <c r="M598" i="1" a="1"/>
  <c r="M598" i="1"/>
  <c r="M599" i="1" a="1"/>
  <c r="M599" i="1"/>
  <c r="M600" i="1" a="1"/>
  <c r="M600" i="1"/>
  <c r="M601" i="1" a="1"/>
  <c r="M601" i="1"/>
  <c r="M602" i="1" a="1"/>
  <c r="M602" i="1"/>
  <c r="M603" i="1" a="1"/>
  <c r="M603" i="1" s="1"/>
  <c r="M604" i="1" a="1"/>
  <c r="M604" i="1"/>
  <c r="M605" i="1" a="1"/>
  <c r="M605" i="1"/>
  <c r="M606" i="1" a="1"/>
  <c r="M606" i="1"/>
  <c r="M607" i="1" a="1"/>
  <c r="M607" i="1"/>
  <c r="M608" i="1" a="1"/>
  <c r="M608" i="1"/>
  <c r="M609" i="1" a="1"/>
  <c r="M609" i="1" s="1"/>
  <c r="M610" i="1" a="1"/>
  <c r="M610" i="1" s="1"/>
  <c r="M611" i="1" a="1"/>
  <c r="M611" i="1"/>
  <c r="M612" i="1" a="1"/>
  <c r="M612" i="1"/>
  <c r="M613" i="1" a="1"/>
  <c r="M613" i="1"/>
  <c r="M614" i="1" a="1"/>
  <c r="M614" i="1"/>
  <c r="M615" i="1" a="1"/>
  <c r="M615" i="1" s="1"/>
  <c r="M616" i="1" a="1"/>
  <c r="M616" i="1"/>
  <c r="M617" i="1" a="1"/>
  <c r="M617" i="1"/>
  <c r="M618" i="1" a="1"/>
  <c r="M618" i="1"/>
  <c r="M619" i="1" a="1"/>
  <c r="M619" i="1"/>
  <c r="M620" i="1" a="1"/>
  <c r="M620" i="1"/>
  <c r="M621" i="1" a="1"/>
  <c r="M621" i="1" s="1"/>
  <c r="M622" i="1" a="1"/>
  <c r="M622" i="1"/>
  <c r="M623" i="1" a="1"/>
  <c r="M623" i="1" s="1"/>
  <c r="M624" i="1" a="1"/>
  <c r="M624" i="1"/>
  <c r="M625" i="1" a="1"/>
  <c r="M625" i="1"/>
  <c r="M626" i="1" a="1"/>
  <c r="M626" i="1"/>
  <c r="M627" i="1" a="1"/>
  <c r="M627" i="1" s="1"/>
  <c r="M628" i="1" a="1"/>
  <c r="M628" i="1"/>
  <c r="M629" i="1" a="1"/>
  <c r="M629" i="1"/>
  <c r="M630" i="1" a="1"/>
  <c r="M630" i="1"/>
  <c r="M631" i="1" a="1"/>
  <c r="M631" i="1"/>
  <c r="M632" i="1" a="1"/>
  <c r="M632" i="1"/>
  <c r="M633" i="1" a="1"/>
  <c r="M633" i="1" s="1"/>
  <c r="M634" i="1" a="1"/>
  <c r="M634" i="1"/>
  <c r="M635" i="1" a="1"/>
  <c r="M635" i="1"/>
  <c r="M636" i="1" a="1"/>
  <c r="M636" i="1" s="1"/>
  <c r="M637" i="1" a="1"/>
  <c r="M637" i="1"/>
  <c r="M638" i="1" a="1"/>
  <c r="M638" i="1"/>
  <c r="M639" i="1" a="1"/>
  <c r="M639" i="1" s="1"/>
  <c r="M640" i="1" a="1"/>
  <c r="M640" i="1"/>
  <c r="M641" i="1" a="1"/>
  <c r="M641" i="1"/>
  <c r="M642" i="1" a="1"/>
  <c r="M642" i="1"/>
  <c r="M643" i="1" a="1"/>
  <c r="M643" i="1"/>
  <c r="M644" i="1" a="1"/>
  <c r="M644" i="1" s="1"/>
  <c r="M645" i="1" a="1"/>
  <c r="M645" i="1" s="1"/>
  <c r="M646" i="1" a="1"/>
  <c r="M646" i="1"/>
  <c r="M647" i="1" a="1"/>
  <c r="M647" i="1"/>
  <c r="M648" i="1" a="1"/>
  <c r="M648" i="1"/>
  <c r="M649" i="1" a="1"/>
  <c r="M649" i="1" s="1"/>
  <c r="M650" i="1" a="1"/>
  <c r="M650" i="1"/>
  <c r="M651" i="1" a="1"/>
  <c r="M651" i="1" s="1"/>
  <c r="M652" i="1" a="1"/>
  <c r="M652" i="1"/>
  <c r="M653" i="1" a="1"/>
  <c r="M653" i="1"/>
  <c r="M654" i="1" a="1"/>
  <c r="M654" i="1"/>
  <c r="M655" i="1" a="1"/>
  <c r="M655" i="1"/>
  <c r="M656" i="1" a="1"/>
  <c r="M656" i="1"/>
  <c r="M657" i="1" a="1"/>
  <c r="M657" i="1" s="1"/>
  <c r="M658" i="1" a="1"/>
  <c r="M658" i="1" s="1"/>
  <c r="M659" i="1" a="1"/>
  <c r="M659" i="1"/>
  <c r="M660" i="1" a="1"/>
  <c r="M660" i="1"/>
  <c r="M661" i="1" a="1"/>
  <c r="M661" i="1"/>
  <c r="M662" i="1" a="1"/>
  <c r="M662" i="1" s="1"/>
  <c r="M663" i="1" a="1"/>
  <c r="M663" i="1" s="1"/>
  <c r="M664" i="1" a="1"/>
  <c r="M664" i="1"/>
  <c r="M665" i="1" a="1"/>
  <c r="M665" i="1" s="1"/>
  <c r="M666" i="1" a="1"/>
  <c r="M666" i="1"/>
  <c r="M667" i="1" a="1"/>
  <c r="M667" i="1"/>
  <c r="M668" i="1" a="1"/>
  <c r="M668" i="1"/>
  <c r="M669" i="1" a="1"/>
  <c r="M669" i="1" s="1"/>
  <c r="M670" i="1" a="1"/>
  <c r="M670" i="1"/>
  <c r="M671" i="1" a="1"/>
  <c r="M671" i="1"/>
  <c r="M672" i="1" a="1"/>
  <c r="M672" i="1"/>
  <c r="M673" i="1" a="1"/>
  <c r="M673" i="1" s="1"/>
  <c r="M674" i="1" a="1"/>
  <c r="M674" i="1"/>
  <c r="M675" i="1" a="1"/>
  <c r="M675" i="1" s="1"/>
  <c r="M676" i="1" a="1"/>
  <c r="M676" i="1"/>
  <c r="M677" i="1" a="1"/>
  <c r="M677" i="1"/>
  <c r="M678" i="1" a="1"/>
  <c r="M678" i="1" s="1"/>
  <c r="M679" i="1" a="1"/>
  <c r="M679" i="1"/>
  <c r="M680" i="1" a="1"/>
  <c r="M680" i="1" s="1"/>
  <c r="M681" i="1" a="1"/>
  <c r="M681" i="1" s="1"/>
  <c r="M682" i="1" a="1"/>
  <c r="M682" i="1" s="1"/>
  <c r="M683" i="1" a="1"/>
  <c r="M683" i="1"/>
  <c r="M684" i="1" a="1"/>
  <c r="M684" i="1"/>
  <c r="M685" i="1" a="1"/>
  <c r="M685" i="1" s="1"/>
  <c r="M686" i="1" a="1"/>
  <c r="M686" i="1"/>
  <c r="M687" i="1" a="1"/>
  <c r="M687" i="1" s="1"/>
  <c r="M688" i="1" a="1"/>
  <c r="M688" i="1" s="1"/>
  <c r="M689" i="1" a="1"/>
  <c r="M689" i="1"/>
  <c r="M690" i="1" a="1"/>
  <c r="M690" i="1" s="1"/>
  <c r="M691" i="1" a="1"/>
  <c r="M691" i="1"/>
  <c r="M692" i="1" a="1"/>
  <c r="M692" i="1"/>
  <c r="M693" i="1" a="1"/>
  <c r="M693" i="1" s="1"/>
  <c r="M694" i="1" a="1"/>
  <c r="M694" i="1"/>
  <c r="M695" i="1" a="1"/>
  <c r="M695" i="1" s="1"/>
  <c r="M696" i="1" a="1"/>
  <c r="M696" i="1"/>
  <c r="M697" i="1" a="1"/>
  <c r="M697" i="1" s="1"/>
  <c r="M698" i="1" a="1"/>
  <c r="M698" i="1" s="1"/>
  <c r="M699" i="1" a="1"/>
  <c r="M699" i="1" s="1"/>
  <c r="M700" i="1" a="1"/>
  <c r="M700" i="1"/>
  <c r="M701" i="1" a="1"/>
  <c r="M701" i="1"/>
  <c r="M702" i="1" a="1"/>
  <c r="M702" i="1"/>
  <c r="M703" i="1" a="1"/>
  <c r="M703" i="1" s="1"/>
  <c r="M704" i="1" a="1"/>
  <c r="M704" i="1"/>
  <c r="M705" i="1" a="1"/>
  <c r="M705" i="1" s="1"/>
  <c r="M706" i="1" a="1"/>
  <c r="M706" i="1"/>
  <c r="M707" i="1" a="1"/>
  <c r="M707" i="1"/>
  <c r="M708" i="1" a="1"/>
  <c r="M708" i="1" s="1"/>
  <c r="M709" i="1" a="1"/>
  <c r="M709" i="1"/>
  <c r="M710" i="1" a="1"/>
  <c r="M710" i="1" s="1"/>
  <c r="M711" i="1" a="1"/>
  <c r="M711" i="1" s="1"/>
  <c r="M712" i="1" a="1"/>
  <c r="M712" i="1"/>
  <c r="M713" i="1" a="1"/>
  <c r="M713" i="1"/>
  <c r="M714" i="1" a="1"/>
  <c r="M714" i="1"/>
  <c r="M715" i="1" a="1"/>
  <c r="M715" i="1"/>
  <c r="M716" i="1" a="1"/>
  <c r="M716" i="1"/>
  <c r="M717" i="1" a="1"/>
  <c r="M717" i="1" s="1"/>
  <c r="M718" i="1" a="1"/>
  <c r="M718" i="1"/>
  <c r="M719" i="1" a="1"/>
  <c r="M719" i="1" s="1"/>
  <c r="M720" i="1" a="1"/>
  <c r="M720" i="1"/>
  <c r="M721" i="1" a="1"/>
  <c r="M721" i="1" s="1"/>
  <c r="M722" i="1" a="1"/>
  <c r="M722" i="1"/>
  <c r="M723" i="1" a="1"/>
  <c r="M723" i="1" s="1"/>
  <c r="M724" i="1" a="1"/>
  <c r="M724" i="1"/>
  <c r="M725" i="1" a="1"/>
  <c r="M725" i="1" s="1"/>
  <c r="M726" i="1" a="1"/>
  <c r="M726" i="1" s="1"/>
  <c r="M727" i="1" a="1"/>
  <c r="M727" i="1"/>
  <c r="M728" i="1" a="1"/>
  <c r="M728" i="1"/>
  <c r="M729" i="1" a="1"/>
  <c r="M729" i="1" s="1"/>
  <c r="M730" i="1" a="1"/>
  <c r="M730" i="1" s="1"/>
  <c r="M731" i="1" a="1"/>
  <c r="M731" i="1"/>
  <c r="M732" i="1" a="1"/>
  <c r="M732" i="1" s="1"/>
  <c r="M733" i="1" a="1"/>
  <c r="M733" i="1"/>
  <c r="M734" i="1" a="1"/>
  <c r="M734" i="1" s="1"/>
  <c r="M735" i="1" a="1"/>
  <c r="M735" i="1" s="1"/>
  <c r="M736" i="1" a="1"/>
  <c r="M736" i="1" s="1"/>
  <c r="M737" i="1" a="1"/>
  <c r="M737" i="1" s="1"/>
  <c r="M738" i="1" a="1"/>
  <c r="M738" i="1"/>
  <c r="M739" i="1" a="1"/>
  <c r="M739" i="1"/>
  <c r="M740" i="1" a="1"/>
  <c r="M740" i="1"/>
  <c r="M741" i="1" a="1"/>
  <c r="M741" i="1" s="1"/>
  <c r="M742" i="1" a="1"/>
  <c r="M742" i="1"/>
  <c r="M743" i="1" a="1"/>
  <c r="M743" i="1" s="1"/>
  <c r="M744" i="1" a="1"/>
  <c r="M744" i="1"/>
  <c r="M745" i="1" a="1"/>
  <c r="M745" i="1"/>
  <c r="M746" i="1" a="1"/>
  <c r="M746" i="1" s="1"/>
  <c r="M747" i="1" a="1"/>
  <c r="M747" i="1" s="1"/>
  <c r="M748" i="1" a="1"/>
  <c r="M748" i="1"/>
  <c r="M749" i="1" a="1"/>
  <c r="M749" i="1"/>
  <c r="M750" i="1" a="1"/>
  <c r="M750" i="1" s="1"/>
  <c r="M751" i="1" a="1"/>
  <c r="M751" i="1"/>
  <c r="M752" i="1" a="1"/>
  <c r="M752" i="1"/>
  <c r="M753" i="1" a="1"/>
  <c r="M753" i="1" s="1"/>
  <c r="M754" i="1" a="1"/>
  <c r="M754" i="1" s="1"/>
  <c r="M755" i="1" a="1"/>
  <c r="M755" i="1"/>
  <c r="M756" i="1" a="1"/>
  <c r="M756" i="1"/>
  <c r="M757" i="1" a="1"/>
  <c r="M757" i="1" s="1"/>
  <c r="M758" i="1" a="1"/>
  <c r="M758" i="1"/>
  <c r="M759" i="1" a="1"/>
  <c r="M759" i="1" s="1"/>
  <c r="M760" i="1" a="1"/>
  <c r="M760" i="1" s="1"/>
  <c r="M761" i="1" a="1"/>
  <c r="M761" i="1"/>
  <c r="M762" i="1" a="1"/>
  <c r="M762" i="1"/>
  <c r="M763" i="1" a="1"/>
  <c r="M763" i="1"/>
  <c r="M764" i="1" a="1"/>
  <c r="M764" i="1" s="1"/>
  <c r="M765" i="1" a="1"/>
  <c r="M765" i="1" s="1"/>
  <c r="M766" i="1" a="1"/>
  <c r="M766" i="1"/>
  <c r="M767" i="1" a="1"/>
  <c r="M767" i="1" s="1"/>
  <c r="M768" i="1" a="1"/>
  <c r="M768" i="1"/>
  <c r="M769" i="1" a="1"/>
  <c r="M769" i="1"/>
  <c r="M770" i="1" a="1"/>
  <c r="M770" i="1"/>
  <c r="M771" i="1" a="1"/>
  <c r="M771" i="1" s="1"/>
  <c r="M772" i="1" a="1"/>
  <c r="M772" i="1" s="1"/>
  <c r="M773" i="1" a="1"/>
  <c r="M773" i="1"/>
  <c r="M774" i="1" a="1"/>
  <c r="M774" i="1"/>
  <c r="M775" i="1" a="1"/>
  <c r="M775" i="1" s="1"/>
  <c r="M776" i="1" a="1"/>
  <c r="M776" i="1"/>
  <c r="M777" i="1" a="1"/>
  <c r="M777" i="1" s="1"/>
  <c r="M778" i="1" a="1"/>
  <c r="M778" i="1"/>
  <c r="M779" i="1" a="1"/>
  <c r="M779" i="1"/>
  <c r="M780" i="1" a="1"/>
  <c r="M780" i="1" s="1"/>
  <c r="M781" i="1" a="1"/>
  <c r="M781" i="1"/>
  <c r="M782" i="1" a="1"/>
  <c r="M782" i="1" s="1"/>
  <c r="M783" i="1" a="1"/>
  <c r="M783" i="1" s="1"/>
  <c r="M784" i="1" a="1"/>
  <c r="M784" i="1"/>
  <c r="M785" i="1" a="1"/>
  <c r="M785" i="1"/>
  <c r="M786" i="1" a="1"/>
  <c r="M786" i="1"/>
  <c r="M787" i="1" a="1"/>
  <c r="M787" i="1"/>
  <c r="M788" i="1" a="1"/>
  <c r="M788" i="1"/>
  <c r="M789" i="1" a="1"/>
  <c r="M789" i="1" s="1"/>
  <c r="M790" i="1" a="1"/>
  <c r="M790" i="1"/>
  <c r="M791" i="1" a="1"/>
  <c r="M791" i="1"/>
  <c r="M792" i="1" a="1"/>
  <c r="M792" i="1" s="1"/>
  <c r="M793" i="1" a="1"/>
  <c r="M793" i="1" s="1"/>
  <c r="M794" i="1" a="1"/>
  <c r="M794" i="1"/>
  <c r="M795" i="1" a="1"/>
  <c r="M795" i="1" s="1"/>
  <c r="M796" i="1" a="1"/>
  <c r="M796" i="1"/>
  <c r="M797" i="1" a="1"/>
  <c r="M797" i="1"/>
  <c r="M798" i="1" a="1"/>
  <c r="M798" i="1"/>
  <c r="M799" i="1" a="1"/>
  <c r="M799" i="1" s="1"/>
  <c r="M800" i="1" a="1"/>
  <c r="M800" i="1"/>
  <c r="M801" i="1" a="1"/>
  <c r="M801" i="1" s="1"/>
  <c r="M802" i="1" a="1"/>
  <c r="M802" i="1"/>
  <c r="M803" i="1" a="1"/>
  <c r="M803" i="1"/>
  <c r="M804" i="1" a="1"/>
  <c r="M804" i="1"/>
  <c r="M805" i="1" a="1"/>
  <c r="M805" i="1"/>
  <c r="M806" i="1" a="1"/>
  <c r="M806" i="1" s="1"/>
  <c r="M807" i="1" a="1"/>
  <c r="M807" i="1" s="1"/>
  <c r="M808" i="1" a="1"/>
  <c r="M808" i="1" s="1"/>
  <c r="M809" i="1" a="1"/>
  <c r="M809" i="1"/>
  <c r="M810" i="1" a="1"/>
  <c r="M810" i="1"/>
  <c r="M811" i="1" a="1"/>
  <c r="M811" i="1" s="1"/>
  <c r="M812" i="1" a="1"/>
  <c r="M812" i="1"/>
  <c r="M813" i="1" a="1"/>
  <c r="M813" i="1" s="1"/>
  <c r="M814" i="1" a="1"/>
  <c r="M814" i="1"/>
  <c r="M815" i="1" a="1"/>
  <c r="M815" i="1"/>
  <c r="M816" i="1" a="1"/>
  <c r="M816" i="1" s="1"/>
  <c r="M817" i="1" a="1"/>
  <c r="M817" i="1"/>
  <c r="M818" i="1" a="1"/>
  <c r="M818" i="1"/>
  <c r="M819" i="1" a="1"/>
  <c r="M819" i="1" s="1"/>
  <c r="M820" i="1" a="1"/>
  <c r="M820" i="1"/>
  <c r="M821" i="1" a="1"/>
  <c r="M821" i="1" s="1"/>
  <c r="M822" i="1" a="1"/>
  <c r="M822" i="1"/>
  <c r="M823" i="1" a="1"/>
  <c r="M823" i="1" s="1"/>
  <c r="M824" i="1" a="1"/>
  <c r="M824" i="1"/>
  <c r="M825" i="1" a="1"/>
  <c r="M825" i="1" s="1"/>
  <c r="M826" i="1" a="1"/>
  <c r="M826" i="1" s="1"/>
  <c r="M827" i="1" a="1"/>
  <c r="M827" i="1"/>
  <c r="M828" i="1" a="1"/>
  <c r="M828" i="1" s="1"/>
  <c r="M829" i="1" a="1"/>
  <c r="M829" i="1"/>
  <c r="M830" i="1" a="1"/>
  <c r="M830" i="1"/>
  <c r="M831" i="1" a="1"/>
  <c r="M831" i="1" s="1"/>
  <c r="M832" i="1" a="1"/>
  <c r="M832" i="1"/>
  <c r="M833" i="1" a="1"/>
  <c r="M833" i="1"/>
  <c r="M834" i="1" a="1"/>
  <c r="M834" i="1"/>
  <c r="M835" i="1" a="1"/>
  <c r="M835" i="1"/>
  <c r="M836" i="1" a="1"/>
  <c r="M836" i="1"/>
  <c r="M837" i="1" a="1"/>
  <c r="M837" i="1" s="1"/>
  <c r="M838" i="1" a="1"/>
  <c r="M838" i="1"/>
  <c r="M839" i="1" a="1"/>
  <c r="M839" i="1" s="1"/>
  <c r="M840" i="1" a="1"/>
  <c r="M840" i="1"/>
  <c r="M841" i="1" a="1"/>
  <c r="M841" i="1"/>
  <c r="M842" i="1" a="1"/>
  <c r="M842" i="1"/>
  <c r="M843" i="1" a="1"/>
  <c r="M843" i="1" s="1"/>
  <c r="M844" i="1" a="1"/>
  <c r="M844" i="1"/>
  <c r="M845" i="1" a="1"/>
  <c r="M845" i="1"/>
  <c r="M846" i="1" a="1"/>
  <c r="M846" i="1"/>
  <c r="M847" i="1" a="1"/>
  <c r="M847" i="1"/>
  <c r="M848" i="1" a="1"/>
  <c r="M848" i="1" s="1"/>
  <c r="M849" i="1" a="1"/>
  <c r="M849" i="1" s="1"/>
  <c r="M850" i="1" a="1"/>
  <c r="M850" i="1"/>
  <c r="M851" i="1" a="1"/>
  <c r="M851" i="1"/>
  <c r="M852" i="1" a="1"/>
  <c r="M852" i="1" s="1"/>
  <c r="M853" i="1" a="1"/>
  <c r="M853" i="1"/>
  <c r="M854" i="1" a="1"/>
  <c r="M854" i="1" s="1"/>
  <c r="M855" i="1" a="1"/>
  <c r="M855" i="1" s="1"/>
  <c r="M856" i="1" a="1"/>
  <c r="M856" i="1"/>
  <c r="M857" i="1" a="1"/>
  <c r="M857" i="1"/>
  <c r="M858" i="1" a="1"/>
  <c r="M858" i="1"/>
  <c r="M859" i="1" a="1"/>
  <c r="M859" i="1"/>
  <c r="M860" i="1" a="1"/>
  <c r="M860" i="1" s="1"/>
  <c r="M861" i="1" a="1"/>
  <c r="M861" i="1" s="1"/>
  <c r="M862" i="1" a="1"/>
  <c r="M862" i="1" s="1"/>
  <c r="M863" i="1" a="1"/>
  <c r="M863" i="1"/>
  <c r="M864" i="1" a="1"/>
  <c r="M864" i="1"/>
  <c r="M865" i="1" a="1"/>
  <c r="M865" i="1" s="1"/>
  <c r="M866" i="1" a="1"/>
  <c r="M866" i="1"/>
  <c r="M867" i="1" a="1"/>
  <c r="M867" i="1" s="1"/>
  <c r="M868" i="1" a="1"/>
  <c r="M868" i="1" s="1"/>
  <c r="M869" i="1" a="1"/>
  <c r="M869" i="1" s="1"/>
  <c r="M870" i="1" a="1"/>
  <c r="M870" i="1"/>
  <c r="M871" i="1" a="1"/>
  <c r="M871" i="1"/>
  <c r="M872" i="1" a="1"/>
  <c r="M872" i="1"/>
  <c r="M873" i="1" a="1"/>
  <c r="M873" i="1" s="1"/>
  <c r="M874" i="1" a="1"/>
  <c r="M874" i="1"/>
  <c r="M875" i="1" a="1"/>
  <c r="M875" i="1" s="1"/>
  <c r="M876" i="1" a="1"/>
  <c r="M876" i="1"/>
  <c r="M877" i="1" a="1"/>
  <c r="M877" i="1" s="1"/>
  <c r="M878" i="1" a="1"/>
  <c r="M878" i="1" s="1"/>
  <c r="M879" i="1" a="1"/>
  <c r="M879" i="1" s="1"/>
  <c r="M880" i="1" a="1"/>
  <c r="M880" i="1"/>
  <c r="M881" i="1" a="1"/>
  <c r="M881" i="1"/>
  <c r="M882" i="1" a="1"/>
  <c r="M882" i="1"/>
  <c r="M883" i="1" a="1"/>
  <c r="M883" i="1"/>
  <c r="M884" i="1" a="1"/>
  <c r="M884" i="1" s="1"/>
  <c r="M885" i="1" a="1"/>
  <c r="M885" i="1" s="1"/>
  <c r="M886" i="1" a="1"/>
  <c r="M886" i="1"/>
  <c r="M887" i="1" a="1"/>
  <c r="M887" i="1"/>
  <c r="M888" i="1" a="1"/>
  <c r="M888" i="1"/>
  <c r="M889" i="1" a="1"/>
  <c r="M889" i="1" s="1"/>
  <c r="M890" i="1" a="1"/>
  <c r="M890" i="1"/>
  <c r="M891" i="1" a="1"/>
  <c r="M891" i="1" s="1"/>
  <c r="M892" i="1" a="1"/>
  <c r="M892" i="1"/>
  <c r="M893" i="1" a="1"/>
  <c r="M893" i="1"/>
  <c r="M894" i="1" a="1"/>
  <c r="M894" i="1"/>
  <c r="M895" i="1" a="1"/>
  <c r="M895" i="1"/>
  <c r="M896" i="1" a="1"/>
  <c r="M896" i="1"/>
  <c r="M897" i="1" a="1"/>
  <c r="M897" i="1" s="1"/>
  <c r="M898" i="1" a="1"/>
  <c r="M898" i="1" s="1"/>
  <c r="M899" i="1" a="1"/>
  <c r="M899" i="1"/>
  <c r="M900" i="1" a="1"/>
  <c r="M900" i="1"/>
  <c r="M901" i="1" a="1"/>
  <c r="M901" i="1"/>
  <c r="M902" i="1" a="1"/>
  <c r="M902" i="1"/>
  <c r="M903" i="1" a="1"/>
  <c r="M903" i="1" s="1"/>
  <c r="M904" i="1" a="1"/>
  <c r="M904" i="1"/>
  <c r="M905" i="1" a="1"/>
  <c r="M905" i="1" s="1"/>
  <c r="M906" i="1" a="1"/>
  <c r="M906" i="1"/>
  <c r="M907" i="1" a="1"/>
  <c r="M907" i="1"/>
  <c r="M908" i="1" a="1"/>
  <c r="M908" i="1"/>
  <c r="M909" i="1" a="1"/>
  <c r="M909" i="1" s="1"/>
  <c r="M910" i="1" a="1"/>
  <c r="M910" i="1" s="1"/>
  <c r="M911" i="1" a="1"/>
  <c r="M911" i="1" s="1"/>
  <c r="M912" i="1" a="1"/>
  <c r="M912" i="1"/>
  <c r="M913" i="1" a="1"/>
  <c r="M913" i="1" s="1"/>
  <c r="M914" i="1" a="1"/>
  <c r="M914" i="1"/>
  <c r="M915" i="1" a="1"/>
  <c r="M915" i="1" s="1"/>
  <c r="M916" i="1" a="1"/>
  <c r="M916" i="1"/>
  <c r="M917" i="1" a="1"/>
  <c r="M917" i="1" s="1"/>
  <c r="M918" i="1" a="1"/>
  <c r="M918" i="1" s="1"/>
  <c r="M919" i="1" a="1"/>
  <c r="M919" i="1"/>
  <c r="M920" i="1" a="1"/>
  <c r="M920" i="1" s="1"/>
  <c r="M921" i="1" a="1"/>
  <c r="M921" i="1" s="1"/>
  <c r="M922" i="1" a="1"/>
  <c r="M922" i="1"/>
  <c r="M923" i="1" a="1"/>
  <c r="M923" i="1"/>
  <c r="M924" i="1" a="1"/>
  <c r="M924" i="1" s="1"/>
  <c r="M925" i="1" a="1"/>
  <c r="M925" i="1"/>
  <c r="M926" i="1" a="1"/>
  <c r="M926" i="1"/>
  <c r="M927" i="1" a="1"/>
  <c r="M927" i="1" s="1"/>
  <c r="M928" i="1" a="1"/>
  <c r="M928" i="1" s="1"/>
  <c r="M929" i="1" a="1"/>
  <c r="M929" i="1"/>
  <c r="M930" i="1" a="1"/>
  <c r="M930" i="1"/>
  <c r="M931" i="1" a="1"/>
  <c r="M931" i="1" s="1"/>
  <c r="M932" i="1" a="1"/>
  <c r="M932" i="1"/>
  <c r="M933" i="1" a="1"/>
  <c r="M933" i="1" s="1"/>
  <c r="M934" i="1" a="1"/>
  <c r="M934" i="1"/>
  <c r="M935" i="1" a="1"/>
  <c r="M935" i="1" s="1"/>
  <c r="M936" i="1" a="1"/>
  <c r="M936" i="1"/>
  <c r="M937" i="1" a="1"/>
  <c r="M937" i="1" s="1"/>
  <c r="M938" i="1" a="1"/>
  <c r="M938" i="1"/>
  <c r="M939" i="1" a="1"/>
  <c r="M939" i="1" s="1"/>
  <c r="M940" i="1" a="1"/>
  <c r="M940" i="1"/>
  <c r="M941" i="1" a="1"/>
  <c r="M941" i="1"/>
  <c r="M942" i="1" a="1"/>
  <c r="M942" i="1" s="1"/>
  <c r="M943" i="1" a="1"/>
  <c r="M943" i="1"/>
  <c r="M944" i="1" a="1"/>
  <c r="M944" i="1" s="1"/>
  <c r="M945" i="1" a="1"/>
  <c r="M945" i="1" s="1"/>
  <c r="M946" i="1" a="1"/>
  <c r="M946" i="1" s="1"/>
  <c r="M947" i="1" a="1"/>
  <c r="M947" i="1"/>
  <c r="M948" i="1" a="1"/>
  <c r="M948" i="1"/>
  <c r="M949" i="1" a="1"/>
  <c r="M949" i="1"/>
  <c r="M950" i="1" a="1"/>
  <c r="M950" i="1" s="1"/>
  <c r="M951" i="1" a="1"/>
  <c r="M951" i="1" s="1"/>
  <c r="M952" i="1" a="1"/>
  <c r="M952" i="1"/>
  <c r="M953" i="1" a="1"/>
  <c r="M953" i="1" s="1"/>
  <c r="M954" i="1" a="1"/>
  <c r="M954" i="1"/>
  <c r="M955" i="1" a="1"/>
  <c r="M955" i="1"/>
  <c r="M956" i="1" a="1"/>
  <c r="M956" i="1"/>
  <c r="M957" i="1" a="1"/>
  <c r="M957" i="1" s="1"/>
  <c r="M958" i="1" a="1"/>
  <c r="M958" i="1"/>
  <c r="M959" i="1" a="1"/>
  <c r="M959" i="1" s="1"/>
  <c r="M960" i="1" a="1"/>
  <c r="M960" i="1"/>
  <c r="M961" i="1" a="1"/>
  <c r="M961" i="1"/>
  <c r="M962" i="1" a="1"/>
  <c r="M962" i="1"/>
  <c r="M963" i="1" a="1"/>
  <c r="M963" i="1" s="1"/>
  <c r="M964" i="1" a="1"/>
  <c r="M964" i="1" s="1"/>
  <c r="M965" i="1" a="1"/>
  <c r="M965" i="1"/>
  <c r="M966" i="1" a="1"/>
  <c r="M966" i="1" s="1"/>
  <c r="M967" i="1" a="1"/>
  <c r="M967" i="1"/>
  <c r="M968" i="1" a="1"/>
  <c r="M968" i="1" s="1"/>
  <c r="M969" i="1" a="1"/>
  <c r="M969" i="1" s="1"/>
  <c r="M970" i="1" a="1"/>
  <c r="M970" i="1" s="1"/>
  <c r="M971" i="1" a="1"/>
  <c r="M971" i="1"/>
  <c r="M972" i="1" a="1"/>
  <c r="M972" i="1"/>
  <c r="M973" i="1" a="1"/>
  <c r="M973" i="1" s="1"/>
  <c r="M974" i="1" a="1"/>
  <c r="M974" i="1"/>
  <c r="M975" i="1" a="1"/>
  <c r="M975" i="1" s="1"/>
  <c r="M976" i="1" a="1"/>
  <c r="M976" i="1" s="1"/>
  <c r="M977" i="1" a="1"/>
  <c r="M977" i="1" s="1"/>
  <c r="M978" i="1" a="1"/>
  <c r="M978" i="1"/>
  <c r="M979" i="1" a="1"/>
  <c r="M979" i="1"/>
  <c r="M980" i="1" a="1"/>
  <c r="M980" i="1" s="1"/>
  <c r="M981" i="1" a="1"/>
  <c r="M981" i="1" s="1"/>
  <c r="M982" i="1" a="1"/>
  <c r="M982" i="1"/>
  <c r="M983" i="1" a="1"/>
  <c r="M983" i="1" s="1"/>
  <c r="M984" i="1" a="1"/>
  <c r="M984" i="1"/>
  <c r="M985" i="1" a="1"/>
  <c r="M985" i="1"/>
  <c r="M986" i="1" a="1"/>
  <c r="M986" i="1"/>
  <c r="M987" i="1" a="1"/>
  <c r="M987" i="1" s="1"/>
  <c r="M988" i="1" a="1"/>
  <c r="M988" i="1" s="1"/>
  <c r="M989" i="1" a="1"/>
  <c r="M989" i="1"/>
  <c r="M990" i="1" a="1"/>
  <c r="M990" i="1" s="1"/>
  <c r="M991" i="1" a="1"/>
  <c r="M991" i="1" s="1"/>
  <c r="M992" i="1" a="1"/>
  <c r="M992" i="1"/>
  <c r="M993" i="1" a="1"/>
  <c r="M993" i="1" s="1"/>
  <c r="M994" i="1" a="1"/>
  <c r="M994" i="1" s="1"/>
  <c r="M995" i="1" a="1"/>
  <c r="M995" i="1" s="1"/>
  <c r="M996" i="1" a="1"/>
  <c r="M996" i="1" s="1"/>
  <c r="M997" i="1" a="1"/>
  <c r="M997" i="1"/>
  <c r="M998" i="1" a="1"/>
  <c r="M998" i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/>
  <c r="M1007" i="1" a="1"/>
  <c r="M1007" i="1"/>
  <c r="M1008" i="1" a="1"/>
  <c r="M1008" i="1" s="1"/>
  <c r="M1009" i="1" a="1"/>
  <c r="M1009" i="1" s="1"/>
  <c r="M1010" i="1" a="1"/>
  <c r="M1010" i="1"/>
  <c r="M1011" i="1" a="1"/>
  <c r="M1011" i="1" s="1"/>
  <c r="M1012" i="1" a="1"/>
  <c r="M1012" i="1" s="1"/>
  <c r="M1013" i="1" a="1"/>
  <c r="M1013" i="1"/>
  <c r="M1014" i="1" a="1"/>
  <c r="M1014" i="1"/>
  <c r="M1015" i="1" a="1"/>
  <c r="M1015" i="1"/>
  <c r="M1016" i="1" a="1"/>
  <c r="M1016" i="1" s="1"/>
  <c r="M1017" i="1" a="1"/>
  <c r="M1017" i="1" s="1"/>
  <c r="M1018" i="1" a="1"/>
  <c r="M1018" i="1"/>
  <c r="M1019" i="1" a="1"/>
  <c r="M1019" i="1" s="1"/>
  <c r="M1020" i="1" a="1"/>
  <c r="M1020" i="1"/>
  <c r="M1021" i="1" a="1"/>
  <c r="M1021" i="1"/>
  <c r="M1022" i="1" a="1"/>
  <c r="M1022" i="1" s="1"/>
  <c r="M1023" i="1" a="1"/>
  <c r="M1023" i="1" s="1"/>
  <c r="M1024" i="1" a="1"/>
  <c r="M1024" i="1" s="1"/>
  <c r="M1025" i="1" a="1"/>
  <c r="M1025" i="1"/>
  <c r="M1026" i="1" a="1"/>
  <c r="M1026" i="1" s="1"/>
  <c r="M1027" i="1" a="1"/>
  <c r="M1027" i="1"/>
  <c r="M1028" i="1" a="1"/>
  <c r="M1028" i="1"/>
  <c r="M1029" i="1" a="1"/>
  <c r="M1029" i="1" s="1"/>
  <c r="M1030" i="1" a="1"/>
  <c r="M1030" i="1"/>
  <c r="M1031" i="1" a="1"/>
  <c r="M1031" i="1"/>
  <c r="M1032" i="1" a="1"/>
  <c r="M1032" i="1" s="1"/>
  <c r="M1033" i="1" a="1"/>
  <c r="M1033" i="1" s="1"/>
  <c r="M1034" i="1" a="1"/>
  <c r="M1034" i="1"/>
  <c r="M1035" i="1" a="1"/>
  <c r="M1035" i="1" s="1"/>
  <c r="M1036" i="1" a="1"/>
  <c r="M1036" i="1"/>
  <c r="M1037" i="1" a="1"/>
  <c r="M1037" i="1" s="1"/>
  <c r="M1038" i="1" a="1"/>
  <c r="M1038" i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/>
  <c r="M1044" i="1" a="1"/>
  <c r="M1044" i="1" s="1"/>
  <c r="M1045" i="1" a="1"/>
  <c r="M1045" i="1"/>
  <c r="M1046" i="1" a="1"/>
  <c r="M1046" i="1"/>
  <c r="M1047" i="1" a="1"/>
  <c r="M1047" i="1" s="1"/>
  <c r="M1048" i="1" a="1"/>
  <c r="M1048" i="1" s="1"/>
  <c r="M1049" i="1" a="1"/>
  <c r="M1049" i="1"/>
  <c r="M1050" i="1" a="1"/>
  <c r="M1050" i="1"/>
  <c r="M1051" i="1" a="1"/>
  <c r="M1051" i="1"/>
  <c r="M1052" i="1" a="1"/>
  <c r="M1052" i="1" s="1"/>
  <c r="M1053" i="1" a="1"/>
  <c r="M1053" i="1" s="1"/>
  <c r="M1054" i="1" a="1"/>
  <c r="M1054" i="1"/>
  <c r="M1055" i="1" a="1"/>
  <c r="M1055" i="1" s="1"/>
  <c r="M1056" i="1" a="1"/>
  <c r="M1056" i="1"/>
  <c r="M1057" i="1" a="1"/>
  <c r="M1057" i="1"/>
  <c r="M1058" i="1" a="1"/>
  <c r="M1058" i="1"/>
  <c r="M1059" i="1" a="1"/>
  <c r="M1059" i="1" s="1"/>
  <c r="M1060" i="1" a="1"/>
  <c r="M1060" i="1"/>
  <c r="M1061" i="1" a="1"/>
  <c r="M1061" i="1"/>
  <c r="M1062" i="1" a="1"/>
  <c r="M1062" i="1" s="1"/>
  <c r="M1063" i="1" a="1"/>
  <c r="M1063" i="1"/>
  <c r="M1064" i="1" a="1"/>
  <c r="M1064" i="1"/>
  <c r="M1065" i="1" a="1"/>
  <c r="M1065" i="1" s="1"/>
  <c r="M1066" i="1" a="1"/>
  <c r="M1066" i="1"/>
  <c r="M1067" i="1" a="1"/>
  <c r="M1067" i="1"/>
  <c r="M1068" i="1" a="1"/>
  <c r="M1068" i="1" s="1"/>
  <c r="M1069" i="1" a="1"/>
  <c r="M1069" i="1"/>
  <c r="M1070" i="1" a="1"/>
  <c r="M1070" i="1"/>
  <c r="M1071" i="1" a="1"/>
  <c r="M1071" i="1" s="1"/>
  <c r="M1072" i="1" a="1"/>
  <c r="M1072" i="1" s="1"/>
  <c r="M1073" i="1" a="1"/>
  <c r="M1073" i="1"/>
  <c r="M1074" i="1" a="1"/>
  <c r="M1074" i="1" s="1"/>
  <c r="M1075" i="1" a="1"/>
  <c r="M1075" i="1" s="1"/>
  <c r="M1076" i="1" a="1"/>
  <c r="M1076" i="1"/>
  <c r="M1077" i="1" a="1"/>
  <c r="M1077" i="1" s="1"/>
  <c r="M1078" i="1" a="1"/>
  <c r="M1078" i="1" s="1"/>
  <c r="M1079" i="1" a="1"/>
  <c r="M1079" i="1" s="1"/>
  <c r="M1080" i="1" a="1"/>
  <c r="M1080" i="1"/>
  <c r="M1081" i="1" a="1"/>
  <c r="M1081" i="1" s="1"/>
  <c r="M1082" i="1" a="1"/>
  <c r="M1082" i="1"/>
  <c r="M1083" i="1" a="1"/>
  <c r="M1083" i="1" s="1"/>
  <c r="M1084" i="1" a="1"/>
  <c r="M1084" i="1"/>
  <c r="M1085" i="1" a="1"/>
  <c r="M1085" i="1" s="1"/>
  <c r="M1086" i="1" a="1"/>
  <c r="M1086" i="1" s="1"/>
  <c r="M1087" i="1" a="1"/>
  <c r="M1087" i="1"/>
  <c r="M1088" i="1" a="1"/>
  <c r="M1088" i="1" s="1"/>
  <c r="M1089" i="1" a="1"/>
  <c r="M1089" i="1" s="1"/>
  <c r="M1090" i="1" a="1"/>
  <c r="M1090" i="1" s="1"/>
  <c r="M1091" i="1" a="1"/>
  <c r="M1091" i="1"/>
  <c r="M1092" i="1" a="1"/>
  <c r="M1092" i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/>
  <c r="M1099" i="1" a="1"/>
  <c r="M1099" i="1"/>
  <c r="M1100" i="1" a="1"/>
  <c r="M1100" i="1" s="1"/>
  <c r="M1101" i="1" a="1"/>
  <c r="M1101" i="1" s="1"/>
  <c r="M1102" i="1" a="1"/>
  <c r="M1102" i="1"/>
  <c r="M1103" i="1" a="1"/>
  <c r="M1103" i="1"/>
  <c r="M1104" i="1" a="1"/>
  <c r="M1104" i="1" s="1"/>
  <c r="M1105" i="1" a="1"/>
  <c r="M1105" i="1"/>
  <c r="M1106" i="1" a="1"/>
  <c r="M1106" i="1"/>
  <c r="M1107" i="1" a="1"/>
  <c r="M1107" i="1" s="1"/>
  <c r="M1108" i="1" a="1"/>
  <c r="M1108" i="1"/>
  <c r="M1109" i="1" a="1"/>
  <c r="M1109" i="1" s="1"/>
  <c r="M1110" i="1" a="1"/>
  <c r="M1110" i="1"/>
  <c r="M1111" i="1" a="1"/>
  <c r="M1111" i="1" s="1"/>
  <c r="M1112" i="1" a="1"/>
  <c r="M1112" i="1" s="1"/>
  <c r="M1113" i="1" a="1"/>
  <c r="M1113" i="1" s="1"/>
  <c r="M1114" i="1" a="1"/>
  <c r="M1114" i="1"/>
  <c r="M1115" i="1" a="1"/>
  <c r="M1115" i="1"/>
  <c r="M1116" i="1" a="1"/>
  <c r="M1116" i="1" s="1"/>
  <c r="M1117" i="1" a="1"/>
  <c r="M1117" i="1" s="1"/>
  <c r="M1118" i="1" a="1"/>
  <c r="M1118" i="1"/>
  <c r="M1119" i="1" a="1"/>
  <c r="M1119" i="1" s="1"/>
  <c r="M1120" i="1" a="1"/>
  <c r="M1120" i="1"/>
  <c r="M1121" i="1" a="1"/>
  <c r="M1121" i="1"/>
  <c r="M1122" i="1" a="1"/>
  <c r="M1122" i="1"/>
  <c r="M1123" i="1" a="1"/>
  <c r="M1123" i="1" s="1"/>
  <c r="M1124" i="1" a="1"/>
  <c r="M1124" i="1" s="1"/>
  <c r="M1125" i="1" a="1"/>
  <c r="M1125" i="1" s="1"/>
  <c r="M1126" i="1" a="1"/>
  <c r="M1126" i="1"/>
  <c r="M1127" i="1" a="1"/>
  <c r="M1127" i="1"/>
  <c r="M1128" i="1" a="1"/>
  <c r="M1128" i="1"/>
  <c r="M1129" i="1" a="1"/>
  <c r="M1129" i="1"/>
  <c r="M1130" i="1" a="1"/>
  <c r="M1130" i="1" s="1"/>
  <c r="M1131" i="1" a="1"/>
  <c r="M1131" i="1" s="1"/>
  <c r="M1132" i="1" a="1"/>
  <c r="M1132" i="1"/>
  <c r="M1133" i="1" a="1"/>
  <c r="M1133" i="1" s="1"/>
  <c r="M1134" i="1" a="1"/>
  <c r="M1134" i="1"/>
  <c r="M1135" i="1" a="1"/>
  <c r="M1135" i="1" s="1"/>
  <c r="M1136" i="1" a="1"/>
  <c r="M1136" i="1"/>
  <c r="M1137" i="1" a="1"/>
  <c r="M1137" i="1" s="1"/>
  <c r="M1138" i="1" a="1"/>
  <c r="M1138" i="1"/>
  <c r="M1139" i="1" a="1"/>
  <c r="M1139" i="1"/>
  <c r="M1140" i="1" a="1"/>
  <c r="M1140" i="1"/>
  <c r="M1141" i="1" a="1"/>
  <c r="M1141" i="1" s="1"/>
  <c r="M1142" i="1" a="1"/>
  <c r="M1142" i="1"/>
  <c r="M1143" i="1" a="1"/>
  <c r="M1143" i="1" s="1"/>
  <c r="M1144" i="1" a="1"/>
  <c r="M1144" i="1"/>
  <c r="M1145" i="1" a="1"/>
  <c r="M1145" i="1"/>
  <c r="M1146" i="1" a="1"/>
  <c r="M1146" i="1" s="1"/>
  <c r="M1147" i="1" a="1"/>
  <c r="M1147" i="1"/>
  <c r="M1148" i="1" a="1"/>
  <c r="M1148" i="1" s="1"/>
  <c r="M1149" i="1" a="1"/>
  <c r="M1149" i="1" s="1"/>
  <c r="M1150" i="1" a="1"/>
  <c r="M1150" i="1"/>
  <c r="M1151" i="1" a="1"/>
  <c r="M1151" i="1" s="1"/>
  <c r="M1152" i="1" a="1"/>
  <c r="M1152" i="1"/>
  <c r="M1153" i="1" a="1"/>
  <c r="M1153" i="1"/>
  <c r="M1154" i="1" a="1"/>
  <c r="M1154" i="1"/>
  <c r="M1155" i="1" a="1"/>
  <c r="M1155" i="1" s="1"/>
  <c r="M1156" i="1" a="1"/>
  <c r="M1156" i="1" s="1"/>
  <c r="M1157" i="1" a="1"/>
  <c r="M1157" i="1"/>
  <c r="M1158" i="1" a="1"/>
  <c r="M1158" i="1"/>
  <c r="M1159" i="1" a="1"/>
  <c r="M1159" i="1" s="1"/>
  <c r="M1160" i="1" a="1"/>
  <c r="M1160" i="1"/>
  <c r="M1161" i="1" a="1"/>
  <c r="M1161" i="1" s="1"/>
  <c r="M1162" i="1" a="1"/>
  <c r="M1162" i="1"/>
  <c r="M1163" i="1" a="1"/>
  <c r="M1163" i="1" s="1"/>
  <c r="M1164" i="1" a="1"/>
  <c r="M1164" i="1"/>
  <c r="M1165" i="1" a="1"/>
  <c r="M1165" i="1"/>
  <c r="M1166" i="1" a="1"/>
  <c r="M1166" i="1"/>
  <c r="M1167" i="1" a="1"/>
  <c r="M1167" i="1" s="1"/>
  <c r="M1168" i="1" a="1"/>
  <c r="M1168" i="1"/>
  <c r="M1169" i="1" a="1"/>
  <c r="M1169" i="1" s="1"/>
  <c r="M1170" i="1" a="1"/>
  <c r="M1170" i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/>
  <c r="M1176" i="1" a="1"/>
  <c r="M1176" i="1"/>
  <c r="M1177" i="1" a="1"/>
  <c r="M1177" i="1" s="1"/>
  <c r="M1178" i="1" a="1"/>
  <c r="M1178" i="1" s="1"/>
  <c r="M1179" i="1" a="1"/>
  <c r="M1179" i="1" s="1"/>
  <c r="M1180" i="1" a="1"/>
  <c r="M1180" i="1"/>
  <c r="M1181" i="1" a="1"/>
  <c r="M1181" i="1" s="1"/>
  <c r="M1182" i="1" a="1"/>
  <c r="M1182" i="1"/>
  <c r="M1183" i="1" a="1"/>
  <c r="M1183" i="1"/>
  <c r="M1184" i="1" a="1"/>
  <c r="M1184" i="1"/>
  <c r="M1185" i="1" a="1"/>
  <c r="M1185" i="1" s="1"/>
  <c r="M1186" i="1" a="1"/>
  <c r="M1186" i="1"/>
  <c r="M1187" i="1" a="1"/>
  <c r="M1187" i="1" s="1"/>
  <c r="M1188" i="1" a="1"/>
  <c r="M1188" i="1"/>
  <c r="M1189" i="1" a="1"/>
  <c r="M1189" i="1"/>
  <c r="M1190" i="1" a="1"/>
  <c r="M1190" i="1"/>
  <c r="M1191" i="1" a="1"/>
  <c r="M1191" i="1" s="1"/>
  <c r="M1192" i="1" a="1"/>
  <c r="M1192" i="1" s="1"/>
  <c r="M1193" i="1" a="1"/>
  <c r="M1193" i="1"/>
  <c r="M1194" i="1" a="1"/>
  <c r="M1194" i="1" s="1"/>
  <c r="M1195" i="1" a="1"/>
  <c r="M1195" i="1"/>
  <c r="M1196" i="1" a="1"/>
  <c r="M1196" i="1"/>
  <c r="M1197" i="1" a="1"/>
  <c r="M1197" i="1" s="1"/>
  <c r="M1198" i="1" a="1"/>
  <c r="M1198" i="1"/>
  <c r="M1199" i="1" a="1"/>
  <c r="M1199" i="1"/>
  <c r="M1200" i="1" a="1"/>
  <c r="M1200" i="1" s="1"/>
  <c r="M1201" i="1" a="1"/>
  <c r="M1201" i="1" s="1"/>
  <c r="M1202" i="1" a="1"/>
  <c r="M1202" i="1"/>
  <c r="M1203" i="1" a="1"/>
  <c r="M1203" i="1" s="1"/>
  <c r="M1204" i="1" a="1"/>
  <c r="M1204" i="1"/>
  <c r="M1205" i="1" a="1"/>
  <c r="M1205" i="1" s="1"/>
  <c r="M1206" i="1" a="1"/>
  <c r="M1206" i="1"/>
  <c r="M1207" i="1" a="1"/>
  <c r="M1207" i="1" s="1"/>
  <c r="M1208" i="1" a="1"/>
  <c r="M1208" i="1" s="1"/>
  <c r="M1209" i="1" a="1"/>
  <c r="M1209" i="1" s="1"/>
  <c r="M1210" i="1" a="1"/>
  <c r="M1210" i="1"/>
  <c r="M1211" i="1" a="1"/>
  <c r="M1211" i="1"/>
  <c r="M1212" i="1" a="1"/>
  <c r="M1212" i="1"/>
  <c r="M1213" i="1" a="1"/>
  <c r="M1213" i="1"/>
  <c r="M1214" i="1" a="1"/>
  <c r="M1214" i="1" s="1"/>
  <c r="M1215" i="1" a="1"/>
  <c r="M1215" i="1" s="1"/>
  <c r="M1216" i="1" a="1"/>
  <c r="M1216" i="1"/>
  <c r="M1217" i="1" a="1"/>
  <c r="M1217" i="1"/>
  <c r="M1218" i="1" a="1"/>
  <c r="M1218" i="1" s="1"/>
  <c r="M1219" i="1" a="1"/>
  <c r="M1219" i="1"/>
  <c r="M1220" i="1" a="1"/>
  <c r="M1220" i="1"/>
  <c r="M1221" i="1" a="1"/>
  <c r="M1221" i="1" s="1"/>
  <c r="M1222" i="1" a="1"/>
  <c r="M1222" i="1" s="1"/>
  <c r="M1223" i="1" a="1"/>
  <c r="M1223" i="1" s="1"/>
  <c r="M1224" i="1" a="1"/>
  <c r="M1224" i="1"/>
  <c r="M1225" i="1" a="1"/>
  <c r="M1225" i="1"/>
  <c r="M1226" i="1" a="1"/>
  <c r="M1226" i="1"/>
  <c r="M1227" i="1" a="1"/>
  <c r="M1227" i="1" s="1"/>
  <c r="M1228" i="1" a="1"/>
  <c r="M1228" i="1" s="1"/>
  <c r="M1229" i="1" a="1"/>
  <c r="M1229" i="1"/>
  <c r="M1230" i="1" a="1"/>
  <c r="M1230" i="1" s="1"/>
  <c r="M1231" i="1" a="1"/>
  <c r="M1231" i="1" s="1"/>
  <c r="M1232" i="1" a="1"/>
  <c r="M1232" i="1"/>
  <c r="M1233" i="1" a="1"/>
  <c r="M1233" i="1" s="1"/>
  <c r="M1234" i="1" a="1"/>
  <c r="M1234" i="1"/>
  <c r="M1235" i="1" a="1"/>
  <c r="M1235" i="1" s="1"/>
  <c r="M1236" i="1" a="1"/>
  <c r="M1236" i="1"/>
  <c r="M1237" i="1" a="1"/>
  <c r="M1237" i="1" s="1"/>
  <c r="M1238" i="1" a="1"/>
  <c r="M1238" i="1"/>
  <c r="M1239" i="1" a="1"/>
  <c r="M1239" i="1" s="1"/>
  <c r="M1240" i="1" a="1"/>
  <c r="M1240" i="1" s="1"/>
  <c r="M1241" i="1" a="1"/>
  <c r="M1241" i="1"/>
  <c r="M1242" i="1" a="1"/>
  <c r="M1242" i="1" s="1"/>
  <c r="M1243" i="1" a="1"/>
  <c r="M1243" i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/>
  <c r="M1249" i="1" a="1"/>
  <c r="M1249" i="1"/>
  <c r="M1250" i="1" a="1"/>
  <c r="M1250" i="1"/>
  <c r="M1251" i="1" a="1"/>
  <c r="M1251" i="1" s="1"/>
  <c r="M1252" i="1" a="1"/>
  <c r="M1252" i="1"/>
  <c r="M1253" i="1" a="1"/>
  <c r="M1253" i="1" s="1"/>
  <c r="M1254" i="1" a="1"/>
  <c r="M1254" i="1"/>
  <c r="M1255" i="1" a="1"/>
  <c r="M1255" i="1"/>
  <c r="M1256" i="1" a="1"/>
  <c r="M1256" i="1"/>
  <c r="M1257" i="1" a="1"/>
  <c r="M1257" i="1" s="1"/>
  <c r="M1258" i="1" a="1"/>
  <c r="M1258" i="1" s="1"/>
  <c r="M1259" i="1" a="1"/>
  <c r="M1259" i="1"/>
  <c r="M1260" i="1" a="1"/>
  <c r="M1260" i="1" s="1"/>
  <c r="M1261" i="1" a="1"/>
  <c r="M1261" i="1"/>
  <c r="M1262" i="1" a="1"/>
  <c r="M1262" i="1"/>
  <c r="M1263" i="1" a="1"/>
  <c r="M1263" i="1" s="1"/>
  <c r="M1264" i="1" a="1"/>
  <c r="M1264" i="1" s="1"/>
  <c r="M1265" i="1" a="1"/>
  <c r="M1265" i="1"/>
  <c r="M1266" i="1" a="1"/>
  <c r="M1266" i="1"/>
  <c r="M1267" i="1" a="1"/>
  <c r="M1267" i="1" s="1"/>
  <c r="M1268" i="1" a="1"/>
  <c r="M1268" i="1"/>
  <c r="M1269" i="1" a="1"/>
  <c r="M1269" i="1" s="1"/>
  <c r="M1270" i="1" a="1"/>
  <c r="M1270" i="1"/>
  <c r="M1271" i="1" a="1"/>
  <c r="M1271" i="1" s="1"/>
  <c r="M1272" i="1" a="1"/>
  <c r="M1272" i="1"/>
  <c r="M1273" i="1" a="1"/>
  <c r="M1273" i="1" s="1"/>
  <c r="M1274" i="1" a="1"/>
  <c r="M1274" i="1" s="1"/>
  <c r="M1275" i="1" a="1"/>
  <c r="M1275" i="1" s="1"/>
  <c r="M1276" i="1" a="1"/>
  <c r="M1276" i="1"/>
  <c r="M1277" i="1" a="1"/>
  <c r="M1277" i="1" s="1"/>
  <c r="M1278" i="1" a="1"/>
  <c r="M1278" i="1"/>
  <c r="M1279" i="1" a="1"/>
  <c r="M1279" i="1"/>
  <c r="M1280" i="1" a="1"/>
  <c r="M1280" i="1" s="1"/>
  <c r="M1281" i="1" a="1"/>
  <c r="M1281" i="1" s="1"/>
  <c r="M1282" i="1" a="1"/>
  <c r="M1282" i="1" s="1"/>
  <c r="M1283" i="1" a="1"/>
  <c r="M1283" i="1"/>
  <c r="M1284" i="1" a="1"/>
  <c r="M1284" i="1" s="1"/>
  <c r="M1285" i="1" a="1"/>
  <c r="M1285" i="1" s="1"/>
  <c r="M1286" i="1" a="1"/>
  <c r="M1286" i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/>
  <c r="M1292" i="1" a="1"/>
  <c r="M1292" i="1"/>
  <c r="M1293" i="1" a="1"/>
  <c r="M1293" i="1" s="1"/>
  <c r="M1294" i="1" a="1"/>
  <c r="M1294" i="1" s="1"/>
  <c r="M1295" i="1" a="1"/>
  <c r="M1295" i="1"/>
  <c r="M1296" i="1" a="1"/>
  <c r="M1296" i="1" s="1"/>
  <c r="M1297" i="1" a="1"/>
  <c r="M1297" i="1" s="1"/>
  <c r="M1298" i="1" a="1"/>
  <c r="M1298" i="1"/>
  <c r="M1299" i="1" a="1"/>
  <c r="M1299" i="1" s="1"/>
  <c r="M1300" i="1" a="1"/>
  <c r="M1300" i="1"/>
  <c r="M1301" i="1" a="1"/>
  <c r="M1301" i="1" s="1"/>
  <c r="M1302" i="1" a="1"/>
  <c r="M1302" i="1"/>
  <c r="M1303" i="1" a="1"/>
  <c r="M1303" i="1" s="1"/>
  <c r="M1304" i="1" a="1"/>
  <c r="M1304" i="1"/>
  <c r="M1305" i="1" a="1"/>
  <c r="M1305" i="1" s="1"/>
  <c r="M1306" i="1" a="1"/>
  <c r="M1306" i="1"/>
  <c r="M1307" i="1" a="1"/>
  <c r="M1307" i="1"/>
  <c r="M1308" i="1" a="1"/>
  <c r="M1308" i="1" s="1"/>
  <c r="M1309" i="1" a="1"/>
  <c r="M1309" i="1"/>
  <c r="M1310" i="1" a="1"/>
  <c r="M1310" i="1" s="1"/>
  <c r="M1311" i="1" a="1"/>
  <c r="M1311" i="1" s="1"/>
  <c r="M1312" i="1" a="1"/>
  <c r="M1312" i="1"/>
  <c r="M1313" i="1" a="1"/>
  <c r="M1313" i="1"/>
  <c r="M1314" i="1" a="1"/>
  <c r="M1314" i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/>
  <c r="M1320" i="1" a="1"/>
  <c r="M1320" i="1"/>
  <c r="M1321" i="1" a="1"/>
  <c r="M1321" i="1"/>
  <c r="M1322" i="1" a="1"/>
  <c r="M1322" i="1"/>
  <c r="M1323" i="1" a="1"/>
  <c r="M1323" i="1" s="1"/>
  <c r="M1324" i="1" a="1"/>
  <c r="M1324" i="1"/>
  <c r="M1325" i="1" a="1"/>
  <c r="M1325" i="1"/>
  <c r="M1326" i="1" a="1"/>
  <c r="M1326" i="1"/>
  <c r="M1327" i="1" a="1"/>
  <c r="M1327" i="1"/>
  <c r="M1328" i="1" a="1"/>
  <c r="M1328" i="1"/>
  <c r="M1329" i="1" a="1"/>
  <c r="M1329" i="1" s="1"/>
  <c r="M1330" i="1" a="1"/>
  <c r="M1330" i="1" s="1"/>
  <c r="M1331" i="1" a="1"/>
  <c r="M1331" i="1" s="1"/>
  <c r="M1332" i="1" a="1"/>
  <c r="M1332" i="1"/>
  <c r="M1333" i="1" a="1"/>
  <c r="M1333" i="1" s="1"/>
  <c r="M1334" i="1" a="1"/>
  <c r="M1334" i="1"/>
  <c r="M1335" i="1" a="1"/>
  <c r="M1335" i="1" s="1"/>
  <c r="M1336" i="1" a="1"/>
  <c r="M1336" i="1" s="1"/>
  <c r="M1337" i="1" a="1"/>
  <c r="M1337" i="1"/>
  <c r="M1338" i="1" a="1"/>
  <c r="M1338" i="1" s="1"/>
  <c r="M1339" i="1" a="1"/>
  <c r="M1339" i="1"/>
  <c r="M1340" i="1" a="1"/>
  <c r="M1340" i="1" s="1"/>
  <c r="M1341" i="1" a="1"/>
  <c r="M1341" i="1" s="1"/>
  <c r="M1342" i="1" a="1"/>
  <c r="M1342" i="1"/>
  <c r="M1343" i="1" a="1"/>
  <c r="M1343" i="1"/>
  <c r="M1344" i="1" a="1"/>
  <c r="M1344" i="1"/>
  <c r="M1345" i="1" a="1"/>
  <c r="M1345" i="1" s="1"/>
  <c r="M1346" i="1" a="1"/>
  <c r="M1346" i="1" s="1"/>
  <c r="M1347" i="1" a="1"/>
  <c r="M1347" i="1" s="1"/>
  <c r="M1348" i="1" a="1"/>
  <c r="M1348" i="1"/>
  <c r="M1349" i="1" a="1"/>
  <c r="M1349" i="1" s="1"/>
  <c r="M1350" i="1" a="1"/>
  <c r="M1350" i="1"/>
  <c r="M1351" i="1" a="1"/>
  <c r="M1351" i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/>
  <c r="M1357" i="1" a="1"/>
  <c r="M1357" i="1"/>
  <c r="M1358" i="1" a="1"/>
  <c r="M1358" i="1" s="1"/>
  <c r="M1359" i="1" a="1"/>
  <c r="M1359" i="1" s="1"/>
  <c r="M1360" i="1" a="1"/>
  <c r="M1360" i="1"/>
  <c r="M1361" i="1" a="1"/>
  <c r="M1361" i="1"/>
  <c r="M1362" i="1" a="1"/>
  <c r="M1362" i="1" s="1"/>
  <c r="M1363" i="1" a="1"/>
  <c r="M1363" i="1"/>
  <c r="M1364" i="1" a="1"/>
  <c r="M1364" i="1"/>
  <c r="M1365" i="1" a="1"/>
  <c r="M1365" i="1" s="1"/>
  <c r="M1366" i="1" a="1"/>
  <c r="M1366" i="1" s="1"/>
  <c r="M1367" i="1" a="1"/>
  <c r="M1367" i="1"/>
  <c r="M1368" i="1" a="1"/>
  <c r="M1368" i="1"/>
  <c r="M1369" i="1" a="1"/>
  <c r="M1369" i="1" s="1"/>
  <c r="M1370" i="1" a="1"/>
  <c r="M1370" i="1" s="1"/>
  <c r="M1371" i="1" a="1"/>
  <c r="M1371" i="1" s="1"/>
  <c r="M1372" i="1" a="1"/>
  <c r="M1372" i="1"/>
  <c r="M1373" i="1" a="1"/>
  <c r="M1373" i="1" s="1"/>
  <c r="M1374" i="1" a="1"/>
  <c r="M1374" i="1"/>
  <c r="M1375" i="1" a="1"/>
  <c r="M1375" i="1" s="1"/>
  <c r="M1376" i="1" a="1"/>
  <c r="M1376" i="1"/>
  <c r="M1377" i="1" a="1"/>
  <c r="M1377" i="1" s="1"/>
  <c r="M1378" i="1" a="1"/>
  <c r="M1378" i="1" s="1"/>
  <c r="M1379" i="1" a="1"/>
  <c r="M1379" i="1"/>
  <c r="M1380" i="1" a="1"/>
  <c r="M1380" i="1" s="1"/>
  <c r="M1381" i="1" a="1"/>
  <c r="M1381" i="1"/>
  <c r="M1382" i="1" a="1"/>
  <c r="M1382" i="1" s="1"/>
  <c r="M1383" i="1" a="1"/>
  <c r="M1383" i="1" s="1"/>
  <c r="M1384" i="1" a="1"/>
  <c r="M1384" i="1"/>
  <c r="M1385" i="1" a="1"/>
  <c r="M1385" i="1"/>
  <c r="M1386" i="1" a="1"/>
  <c r="M1386" i="1"/>
  <c r="M1387" i="1" a="1"/>
  <c r="M1387" i="1" s="1"/>
  <c r="M1388" i="1" a="1"/>
  <c r="M1388" i="1" s="1"/>
  <c r="M1389" i="1" a="1"/>
  <c r="M1389" i="1" s="1"/>
  <c r="M1390" i="1" a="1"/>
  <c r="M1390" i="1"/>
  <c r="M1391" i="1" a="1"/>
  <c r="M1391" i="1"/>
  <c r="M1392" i="1" a="1"/>
  <c r="M1392" i="1"/>
  <c r="M1393" i="1" a="1"/>
  <c r="M1393" i="1" s="1"/>
  <c r="M1394" i="1" a="1"/>
  <c r="M1394" i="1" s="1"/>
  <c r="M1395" i="1" a="1"/>
  <c r="M1395" i="1" s="1"/>
  <c r="M1396" i="1" a="1"/>
  <c r="M1396" i="1"/>
  <c r="M1397" i="1" a="1"/>
  <c r="M1397" i="1"/>
  <c r="M1398" i="1" a="1"/>
  <c r="M1398" i="1"/>
  <c r="M1399" i="1" a="1"/>
  <c r="M1399" i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/>
  <c r="M1405" i="1" a="1"/>
  <c r="M1405" i="1"/>
  <c r="M1406" i="1" a="1"/>
  <c r="M1406" i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/>
  <c r="M1412" i="1" a="1"/>
  <c r="M1412" i="1"/>
  <c r="M1413" i="1" a="1"/>
  <c r="M1413" i="1"/>
  <c r="M1414" i="1" a="1"/>
  <c r="M1414" i="1" s="1"/>
  <c r="M1415" i="1" a="1"/>
  <c r="M1415" i="1"/>
  <c r="M1416" i="1" a="1"/>
  <c r="M1416" i="1"/>
  <c r="M1417" i="1" a="1"/>
  <c r="M1417" i="1" s="1"/>
  <c r="M1418" i="1" a="1"/>
  <c r="M1418" i="1"/>
  <c r="M1419" i="1" a="1"/>
  <c r="M1419" i="1"/>
  <c r="M1420" i="1" a="1"/>
  <c r="M1420" i="1" s="1"/>
  <c r="M1421" i="1" a="1"/>
  <c r="M1421" i="1" s="1"/>
  <c r="M1422" i="1" a="1"/>
  <c r="M1422" i="1" s="1"/>
  <c r="M1423" i="1" a="1"/>
  <c r="M1423" i="1"/>
  <c r="M1424" i="1" a="1"/>
  <c r="M1424" i="1" s="1"/>
  <c r="M1425" i="1" a="1"/>
  <c r="M1425" i="1"/>
  <c r="M1426" i="1" a="1"/>
  <c r="M1426" i="1" s="1"/>
  <c r="M1427" i="1" a="1"/>
  <c r="M1427" i="1" s="1"/>
  <c r="M1428" i="1" a="1"/>
  <c r="M1428" i="1"/>
  <c r="M1429" i="1" a="1"/>
  <c r="M1429" i="1" s="1"/>
  <c r="M1430" i="1" a="1"/>
  <c r="M1430" i="1"/>
  <c r="M1431" i="1" a="1"/>
  <c r="M1431" i="1"/>
  <c r="M1432" i="1" a="1"/>
  <c r="M1432" i="1" s="1"/>
  <c r="M1433" i="1" a="1"/>
  <c r="M1433" i="1"/>
  <c r="M1434" i="1" a="1"/>
  <c r="M1434" i="1" s="1"/>
  <c r="M1435" i="1" a="1"/>
  <c r="M1435" i="1"/>
  <c r="M1436" i="1" a="1"/>
  <c r="M1436" i="1" s="1"/>
  <c r="M1437" i="1" a="1"/>
  <c r="M1437" i="1"/>
  <c r="M1438" i="1" a="1"/>
  <c r="M1438" i="1" s="1"/>
  <c r="M1439" i="1" a="1"/>
  <c r="M1439" i="1"/>
  <c r="M1440" i="1" a="1"/>
  <c r="M1440" i="1" s="1"/>
  <c r="M1441" i="1" a="1"/>
  <c r="M1441" i="1"/>
  <c r="M1442" i="1" a="1"/>
  <c r="M1442" i="1"/>
  <c r="M1443" i="1" a="1"/>
  <c r="M1443" i="1" s="1"/>
  <c r="M1444" i="1" a="1"/>
  <c r="M1444" i="1" s="1"/>
  <c r="M1445" i="1" a="1"/>
  <c r="M1445" i="1"/>
  <c r="M1446" i="1" a="1"/>
  <c r="M1446" i="1"/>
  <c r="M1447" i="1" a="1"/>
  <c r="M1447" i="1" s="1"/>
  <c r="M1448" i="1" a="1"/>
  <c r="M1448" i="1" s="1"/>
  <c r="M1449" i="1" a="1"/>
  <c r="M1449" i="1"/>
  <c r="M1450" i="1" a="1"/>
  <c r="M1450" i="1" s="1"/>
  <c r="M1451" i="1" a="1"/>
  <c r="M1451" i="1"/>
  <c r="M1452" i="1" a="1"/>
  <c r="M1452" i="1"/>
  <c r="M1453" i="1" a="1"/>
  <c r="M1453" i="1" s="1"/>
  <c r="M1454" i="1" a="1"/>
  <c r="M1454" i="1"/>
  <c r="M1455" i="1" a="1"/>
  <c r="M1455" i="1" s="1"/>
  <c r="M1456" i="1" a="1"/>
  <c r="M1456" i="1" s="1"/>
  <c r="M1457" i="1" a="1"/>
  <c r="M1457" i="1"/>
  <c r="M1458" i="1" a="1"/>
  <c r="M1458" i="1"/>
  <c r="M1459" i="1" a="1"/>
  <c r="M1459" i="1"/>
  <c r="M1460" i="1" a="1"/>
  <c r="M1460" i="1" s="1"/>
  <c r="M1461" i="1" a="1"/>
  <c r="M1461" i="1"/>
  <c r="M1462" i="1" a="1"/>
  <c r="M1462" i="1" s="1"/>
  <c r="M1463" i="1" a="1"/>
  <c r="M1463" i="1"/>
  <c r="M1464" i="1" a="1"/>
  <c r="M1464" i="1"/>
  <c r="M1465" i="1" a="1"/>
  <c r="M1465" i="1" s="1"/>
  <c r="M1466" i="1" a="1"/>
  <c r="M1466" i="1" s="1"/>
  <c r="M1467" i="1" a="1"/>
  <c r="M1467" i="1"/>
  <c r="M1468" i="1" a="1"/>
  <c r="M1468" i="1" s="1"/>
  <c r="M1469" i="1" a="1"/>
  <c r="M1469" i="1"/>
  <c r="M1470" i="1" a="1"/>
  <c r="M1470" i="1" s="1"/>
  <c r="M1471" i="1" a="1"/>
  <c r="M1471" i="1"/>
  <c r="M1472" i="1" a="1"/>
  <c r="M1472" i="1" s="1"/>
  <c r="M1473" i="1" a="1"/>
  <c r="M1473" i="1" s="1"/>
  <c r="M1474" i="1" a="1"/>
  <c r="M1474" i="1" s="1"/>
  <c r="M1475" i="1" a="1"/>
  <c r="M1475" i="1"/>
  <c r="M1476" i="1" a="1"/>
  <c r="M1476" i="1"/>
  <c r="M1477" i="1" a="1"/>
  <c r="M1477" i="1" s="1"/>
  <c r="M1478" i="1" a="1"/>
  <c r="M1478" i="1"/>
  <c r="M1479" i="1" a="1"/>
  <c r="M1479" i="1" s="1"/>
  <c r="M1480" i="1" a="1"/>
  <c r="M1480" i="1" s="1"/>
  <c r="M1481" i="1" a="1"/>
  <c r="M1481" i="1"/>
  <c r="M1482" i="1" a="1"/>
  <c r="M1482" i="1"/>
  <c r="M1483" i="1" a="1"/>
  <c r="M1483" i="1"/>
  <c r="M1484" i="1" a="1"/>
  <c r="M1484" i="1" s="1"/>
  <c r="M1485" i="1" a="1"/>
  <c r="M1485" i="1"/>
  <c r="M1486" i="1" a="1"/>
  <c r="M1486" i="1" s="1"/>
  <c r="M1487" i="1" a="1"/>
  <c r="M1487" i="1"/>
  <c r="M1488" i="1" a="1"/>
  <c r="M1488" i="1"/>
  <c r="M1489" i="1" a="1"/>
  <c r="M1489" i="1"/>
  <c r="M1490" i="1" a="1"/>
  <c r="M1490" i="1"/>
  <c r="M1491" i="1" a="1"/>
  <c r="M1491" i="1" s="1"/>
  <c r="M1492" i="1" a="1"/>
  <c r="M1492" i="1" s="1"/>
  <c r="M1493" i="1" a="1"/>
  <c r="M1493" i="1" s="1"/>
  <c r="M1494" i="1" a="1"/>
  <c r="M1494" i="1"/>
  <c r="M1495" i="1" a="1"/>
  <c r="M1495" i="1"/>
  <c r="M1496" i="1" a="1"/>
  <c r="M1496" i="1"/>
  <c r="M1497" i="1" a="1"/>
  <c r="M1497" i="1"/>
  <c r="M1498" i="1" a="1"/>
  <c r="M1498" i="1" s="1"/>
  <c r="M1499" i="1" a="1"/>
  <c r="M1499" i="1" s="1"/>
  <c r="M1500" i="1" a="1"/>
  <c r="M1500" i="1"/>
  <c r="M1501" i="1" a="1"/>
  <c r="M1501" i="1"/>
  <c r="M1502" i="1" a="1"/>
  <c r="M1502" i="1"/>
  <c r="M1503" i="1" a="1"/>
  <c r="M1503" i="1"/>
  <c r="M1504" i="1" a="1"/>
  <c r="M1504" i="1" s="1"/>
  <c r="M1505" i="1" a="1"/>
  <c r="M1505" i="1" s="1"/>
  <c r="M1506" i="1" a="1"/>
  <c r="M1506" i="1" s="1"/>
  <c r="M1507" i="1" a="1"/>
  <c r="M1507" i="1" s="1"/>
  <c r="M1508" i="1" a="1"/>
  <c r="M1508" i="1"/>
  <c r="M1509" i="1" a="1"/>
  <c r="M1509" i="1"/>
  <c r="M1510" i="1" a="1"/>
  <c r="M1510" i="1" s="1"/>
  <c r="M1511" i="1" a="1"/>
  <c r="M1511" i="1"/>
  <c r="M1512" i="1" a="1"/>
  <c r="M1512" i="1" s="1"/>
  <c r="M1513" i="1" a="1"/>
  <c r="M1513" i="1"/>
  <c r="M1514" i="1" a="1"/>
  <c r="M1514" i="1" s="1"/>
  <c r="M1515" i="1" a="1"/>
  <c r="M1515" i="1"/>
  <c r="M1516" i="1" a="1"/>
  <c r="M1516" i="1" s="1"/>
  <c r="M1517" i="1" a="1"/>
  <c r="M1517" i="1"/>
  <c r="M1518" i="1" a="1"/>
  <c r="M1518" i="1"/>
  <c r="M1519" i="1" a="1"/>
  <c r="M1519" i="1" s="1"/>
  <c r="M1520" i="1" a="1"/>
  <c r="M1520" i="1"/>
  <c r="M1521" i="1" a="1"/>
  <c r="M1521" i="1" s="1"/>
  <c r="M1522" i="1" a="1"/>
  <c r="M1522" i="1" s="1"/>
  <c r="M1523" i="1" a="1"/>
  <c r="M1523" i="1"/>
  <c r="M1524" i="1" a="1"/>
  <c r="M1524" i="1"/>
  <c r="M1525" i="1" a="1"/>
  <c r="M1525" i="1" s="1"/>
  <c r="M1526" i="1" a="1"/>
  <c r="M1526" i="1"/>
  <c r="M1527" i="1" a="1"/>
  <c r="M1527" i="1"/>
  <c r="M1528" i="1" a="1"/>
  <c r="M1528" i="1" s="1"/>
  <c r="M1529" i="1" a="1"/>
  <c r="M1529" i="1"/>
  <c r="M1530" i="1" a="1"/>
  <c r="M1530" i="1"/>
  <c r="M1531" i="1" a="1"/>
  <c r="M1531" i="1"/>
  <c r="M1532" i="1" a="1"/>
  <c r="M1532" i="1" s="1"/>
  <c r="M1533" i="1" a="1"/>
  <c r="M1533" i="1"/>
  <c r="M1534" i="1" a="1"/>
  <c r="M1534" i="1" s="1"/>
  <c r="M1535" i="1" a="1"/>
  <c r="M1535" i="1"/>
  <c r="M1536" i="1" a="1"/>
  <c r="M1536" i="1" s="1"/>
  <c r="M1537" i="1" a="1"/>
  <c r="M1537" i="1"/>
  <c r="M1538" i="1" a="1"/>
  <c r="M1538" i="1" s="1"/>
  <c r="M1539" i="1" a="1"/>
  <c r="M1539" i="1"/>
  <c r="M1540" i="1" a="1"/>
  <c r="M1540" i="1" s="1"/>
  <c r="M1541" i="1" a="1"/>
  <c r="M1541" i="1"/>
  <c r="M1542" i="1" a="1"/>
  <c r="M1542" i="1"/>
  <c r="M1543" i="1" a="1"/>
  <c r="M1543" i="1" s="1"/>
  <c r="M1544" i="1" a="1"/>
  <c r="M1544" i="1"/>
  <c r="M1545" i="1" a="1"/>
  <c r="M1545" i="1" s="1"/>
  <c r="M1546" i="1" a="1"/>
  <c r="M1546" i="1" s="1"/>
  <c r="M1547" i="1" a="1"/>
  <c r="M1547" i="1"/>
  <c r="M1548" i="1" a="1"/>
  <c r="M1548" i="1"/>
  <c r="M1549" i="1" a="1"/>
  <c r="M1549" i="1"/>
  <c r="M1550" i="1" a="1"/>
  <c r="M1550" i="1" s="1"/>
  <c r="M1551" i="1" a="1"/>
  <c r="M1551" i="1" s="1"/>
  <c r="M1552" i="1" a="1"/>
  <c r="M1552" i="1" s="1"/>
  <c r="M1553" i="1" a="1"/>
  <c r="M1553" i="1"/>
  <c r="M1554" i="1" a="1"/>
  <c r="M1554" i="1"/>
  <c r="M1555" i="1" a="1"/>
  <c r="M1555" i="1"/>
  <c r="M1556" i="1" a="1"/>
  <c r="M1556" i="1"/>
  <c r="M1557" i="1" a="1"/>
  <c r="M1557" i="1" s="1"/>
  <c r="M1558" i="1" a="1"/>
  <c r="M1558" i="1" s="1"/>
  <c r="M1559" i="1" a="1"/>
  <c r="M1559" i="1"/>
  <c r="M1560" i="1" a="1"/>
  <c r="M1560" i="1"/>
  <c r="M1561" i="1" a="1"/>
  <c r="M1561" i="1"/>
  <c r="M1562" i="1" a="1"/>
  <c r="M1562" i="1"/>
  <c r="M1563" i="1" a="1"/>
  <c r="M1563" i="1" s="1"/>
  <c r="M1564" i="1" a="1"/>
  <c r="M1564" i="1" s="1"/>
  <c r="M1565" i="1" a="1"/>
  <c r="M1565" i="1" s="1"/>
  <c r="M1566" i="1" a="1"/>
  <c r="M1566" i="1"/>
  <c r="M1567" i="1" a="1"/>
  <c r="M1567" i="1"/>
  <c r="M1568" i="1" a="1"/>
  <c r="M1568" i="1"/>
  <c r="M1569" i="1" a="1"/>
  <c r="M1569" i="1"/>
  <c r="M1570" i="1" a="1"/>
  <c r="M1570" i="1" s="1"/>
  <c r="M1571" i="1" a="1"/>
  <c r="M1571" i="1" s="1"/>
  <c r="M1572" i="1" a="1"/>
  <c r="M1572" i="1"/>
  <c r="M1573" i="1" a="1"/>
  <c r="M1573" i="1"/>
  <c r="M1574" i="1" a="1"/>
  <c r="M1574" i="1" s="1"/>
  <c r="M1575" i="1" a="1"/>
  <c r="M1575" i="1"/>
  <c r="M1576" i="1" a="1"/>
  <c r="M1576" i="1" s="1"/>
  <c r="M1577" i="1" a="1"/>
  <c r="M1577" i="1"/>
  <c r="M1578" i="1" a="1"/>
  <c r="M1578" i="1" s="1"/>
  <c r="M1579" i="1" a="1"/>
  <c r="M1579" i="1"/>
  <c r="M1580" i="1" a="1"/>
  <c r="M1580" i="1"/>
  <c r="M1581" i="1" a="1"/>
  <c r="M1581" i="1" s="1"/>
  <c r="M1582" i="1" a="1"/>
  <c r="M1582" i="1" s="1"/>
  <c r="M1583" i="1" a="1"/>
  <c r="M1583" i="1"/>
  <c r="M1584" i="1" a="1"/>
  <c r="M1584" i="1" s="1"/>
  <c r="M1585" i="1" a="1"/>
  <c r="M1585" i="1"/>
  <c r="M1586" i="1" a="1"/>
  <c r="M1586" i="1"/>
  <c r="M1587" i="1" a="1"/>
  <c r="M1587" i="1"/>
  <c r="M1588" i="1" a="1"/>
  <c r="M1588" i="1" s="1"/>
  <c r="M1589" i="1" a="1"/>
  <c r="M1589" i="1"/>
  <c r="M1590" i="1" a="1"/>
  <c r="M1590" i="1"/>
  <c r="M1591" i="1" a="1"/>
  <c r="M1591" i="1" s="1"/>
  <c r="M1592" i="1" a="1"/>
  <c r="M1592" i="1" s="1"/>
  <c r="M1593" i="1" a="1"/>
  <c r="M1593" i="1"/>
  <c r="M1594" i="1" a="1"/>
  <c r="M1594" i="1" s="1"/>
  <c r="M1595" i="1" a="1"/>
  <c r="M1595" i="1"/>
  <c r="M1596" i="1" a="1"/>
  <c r="M1596" i="1" s="1"/>
  <c r="M1597" i="1" a="1"/>
  <c r="M1597" i="1" s="1"/>
  <c r="M1598" i="1" a="1"/>
  <c r="M1598" i="1"/>
  <c r="M1599" i="1" a="1"/>
  <c r="M1599" i="1" s="1"/>
  <c r="M1600" i="1" a="1"/>
  <c r="M1600" i="1" s="1"/>
  <c r="M1601" i="1" a="1"/>
  <c r="M1601" i="1"/>
  <c r="M1602" i="1" a="1"/>
  <c r="M1602" i="1"/>
  <c r="M1603" i="1" a="1"/>
  <c r="M1603" i="1" s="1"/>
  <c r="M1604" i="1" a="1"/>
  <c r="M1604" i="1" s="1"/>
  <c r="M1605" i="1" a="1"/>
  <c r="M1605" i="1"/>
  <c r="M1606" i="1" a="1"/>
  <c r="M1606" i="1" s="1"/>
  <c r="M1607" i="1" a="1"/>
  <c r="M1607" i="1" s="1"/>
  <c r="M1608" i="1" a="1"/>
  <c r="M1608" i="1"/>
  <c r="M1609" i="1" a="1"/>
  <c r="M1609" i="1"/>
  <c r="M1610" i="1" a="1"/>
  <c r="M1610" i="1" s="1"/>
  <c r="M1611" i="1" a="1"/>
  <c r="M1611" i="1"/>
  <c r="M1612" i="1" a="1"/>
  <c r="M1612" i="1" s="1"/>
  <c r="M1613" i="1" a="1"/>
  <c r="M1613" i="1"/>
  <c r="M1614" i="1" a="1"/>
  <c r="M1614" i="1" s="1"/>
  <c r="M1615" i="1" a="1"/>
  <c r="M1615" i="1"/>
  <c r="M1616" i="1" a="1"/>
  <c r="M1616" i="1"/>
  <c r="M1617" i="1" a="1"/>
  <c r="M1617" i="1" s="1"/>
  <c r="M1618" i="1" a="1"/>
  <c r="M1618" i="1" s="1"/>
  <c r="M1619" i="1" a="1"/>
  <c r="M1619" i="1" s="1"/>
  <c r="M1620" i="1" a="1"/>
  <c r="M1620" i="1"/>
  <c r="M1621" i="1" a="1"/>
  <c r="M1621" i="1" s="1"/>
  <c r="M1622" i="1" a="1"/>
  <c r="M1622" i="1"/>
  <c r="M1623" i="1" a="1"/>
  <c r="M1623" i="1" s="1"/>
  <c r="M1624" i="1" a="1"/>
  <c r="M1624" i="1" s="1"/>
  <c r="M1625" i="1" a="1"/>
  <c r="M1625" i="1"/>
  <c r="M1626" i="1" a="1"/>
  <c r="M1626" i="1"/>
  <c r="M1627" i="1" a="1"/>
  <c r="M1627" i="1" s="1"/>
  <c r="M1628" i="1" a="1"/>
  <c r="M1628" i="1" s="1"/>
  <c r="M1629" i="1" a="1"/>
  <c r="M1629" i="1"/>
  <c r="M1630" i="1" a="1"/>
  <c r="M1630" i="1" s="1"/>
  <c r="M1631" i="1" a="1"/>
  <c r="M1631" i="1"/>
  <c r="M1632" i="1" a="1"/>
  <c r="M1632" i="1"/>
  <c r="M1633" i="1" a="1"/>
  <c r="M1633" i="1"/>
  <c r="M1634" i="1" a="1"/>
  <c r="M1634" i="1" s="1"/>
  <c r="M1635" i="1" a="1"/>
  <c r="M1635" i="1"/>
  <c r="M1636" i="1" a="1"/>
  <c r="M1636" i="1" s="1"/>
  <c r="M1637" i="1" a="1"/>
  <c r="M1637" i="1" s="1"/>
  <c r="M1638" i="1" a="1"/>
  <c r="M1638" i="1"/>
  <c r="M1639" i="1" a="1"/>
  <c r="M1639" i="1"/>
  <c r="M1640" i="1" a="1"/>
  <c r="M1640" i="1"/>
  <c r="M1641" i="1" a="1"/>
  <c r="M1641" i="1" s="1"/>
  <c r="M1642" i="1" a="1"/>
  <c r="M1642" i="1" s="1"/>
  <c r="M1643" i="1" a="1"/>
  <c r="M1643" i="1" s="1"/>
  <c r="M1644" i="1" a="1"/>
  <c r="M1644" i="1"/>
  <c r="M1645" i="1" a="1"/>
  <c r="M1645" i="1"/>
  <c r="M1646" i="1" a="1"/>
  <c r="M1646" i="1"/>
  <c r="M1647" i="1" a="1"/>
  <c r="M1647" i="1"/>
  <c r="M1648" i="1" a="1"/>
  <c r="M1648" i="1" s="1"/>
  <c r="M1649" i="1" a="1"/>
  <c r="M1649" i="1" s="1"/>
  <c r="M1650" i="1" a="1"/>
  <c r="M1650" i="1" s="1"/>
  <c r="M1651" i="1" a="1"/>
  <c r="M1651" i="1"/>
  <c r="M1652" i="1" a="1"/>
  <c r="M1652" i="1"/>
  <c r="M1653" i="1" a="1"/>
  <c r="M1653" i="1"/>
  <c r="M1654" i="1" a="1"/>
  <c r="M1654" i="1" s="1"/>
  <c r="M1655" i="1" a="1"/>
  <c r="M1655" i="1"/>
  <c r="M1656" i="1" a="1"/>
  <c r="M1656" i="1" s="1"/>
  <c r="M1657" i="1" a="1"/>
  <c r="M1657" i="1"/>
  <c r="M1658" i="1" a="1"/>
  <c r="M1658" i="1"/>
  <c r="M1659" i="1" a="1"/>
  <c r="M1659" i="1"/>
  <c r="M1660" i="1" a="1"/>
  <c r="M1660" i="1" s="1"/>
  <c r="M1661" i="1" a="1"/>
  <c r="M1661" i="1"/>
  <c r="M1662" i="1" a="1"/>
  <c r="M1662" i="1"/>
  <c r="M1663" i="1" a="1"/>
  <c r="M1663" i="1" s="1"/>
  <c r="M1664" i="1" a="1"/>
  <c r="M1664" i="1"/>
  <c r="M1665" i="1" a="1"/>
  <c r="M1665" i="1"/>
  <c r="M1666" i="1" a="1"/>
  <c r="M1666" i="1" s="1"/>
  <c r="M1667" i="1" a="1"/>
  <c r="M1667" i="1"/>
  <c r="M1668" i="1" a="1"/>
  <c r="M1668" i="1"/>
  <c r="M1669" i="1" a="1"/>
  <c r="M1669" i="1" s="1"/>
  <c r="M1670" i="1" a="1"/>
  <c r="M1670" i="1"/>
  <c r="M1671" i="1" a="1"/>
  <c r="M1671" i="1"/>
  <c r="M1672" i="1" a="1"/>
  <c r="M1672" i="1" s="1"/>
  <c r="M1673" i="1" a="1"/>
  <c r="M1673" i="1"/>
  <c r="M1674" i="1" a="1"/>
  <c r="M1674" i="1"/>
  <c r="M1675" i="1" a="1"/>
  <c r="M1675" i="1"/>
  <c r="M1676" i="1" a="1"/>
  <c r="M1676" i="1" s="1"/>
  <c r="M1677" i="1" a="1"/>
  <c r="M1677" i="1" s="1"/>
  <c r="M1678" i="1" a="1"/>
  <c r="M1678" i="1" s="1"/>
  <c r="M1679" i="1" a="1"/>
  <c r="M1679" i="1" s="1"/>
  <c r="M1680" i="1" a="1"/>
  <c r="M1680" i="1"/>
  <c r="M1681" i="1" a="1"/>
  <c r="M1681" i="1"/>
  <c r="M1682" i="1" a="1"/>
  <c r="M1682" i="1" s="1"/>
  <c r="M1683" i="1" a="1"/>
  <c r="M1683" i="1"/>
  <c r="M1684" i="1" a="1"/>
  <c r="M1684" i="1" s="1"/>
  <c r="M1685" i="1" a="1"/>
  <c r="M1685" i="1" s="1"/>
  <c r="M1686" i="1" a="1"/>
  <c r="M1686" i="1"/>
  <c r="M1687" i="1" a="1"/>
  <c r="M1687" i="1"/>
  <c r="M1688" i="1" a="1"/>
  <c r="M1688" i="1"/>
  <c r="M1689" i="1" a="1"/>
  <c r="M1689" i="1" s="1"/>
  <c r="M1690" i="1" a="1"/>
  <c r="M1690" i="1" s="1"/>
  <c r="M1691" i="1" a="1"/>
  <c r="M1691" i="1"/>
  <c r="M1692" i="1" a="1"/>
  <c r="M1692" i="1" s="1"/>
  <c r="M1693" i="1" a="1"/>
  <c r="M1693" i="1"/>
  <c r="M1694" i="1" a="1"/>
  <c r="M1694" i="1" s="1"/>
  <c r="M1695" i="1" a="1"/>
  <c r="M1695" i="1" s="1"/>
  <c r="M1696" i="1" a="1"/>
  <c r="M1696" i="1" s="1"/>
  <c r="M1697" i="1" a="1"/>
  <c r="M1697" i="1"/>
  <c r="M1698" i="1" a="1"/>
  <c r="M1698" i="1"/>
  <c r="M1699" i="1" a="1"/>
  <c r="M1699" i="1" s="1"/>
  <c r="M1700" i="1" a="1"/>
  <c r="M1700" i="1"/>
  <c r="M1701" i="1" a="1"/>
  <c r="M1701" i="1"/>
  <c r="M1702" i="1" a="1"/>
  <c r="M1702" i="1" s="1"/>
  <c r="M1703" i="1" a="1"/>
  <c r="M1703" i="1"/>
  <c r="M1704" i="1" a="1"/>
  <c r="M1704" i="1"/>
  <c r="M1705" i="1" a="1"/>
  <c r="M1705" i="1" s="1"/>
  <c r="M1706" i="1" a="1"/>
  <c r="M1706" i="1"/>
  <c r="M1707" i="1" a="1"/>
  <c r="M1707" i="1"/>
  <c r="M1708" i="1" a="1"/>
  <c r="M1708" i="1" s="1"/>
  <c r="M1709" i="1" a="1"/>
  <c r="M1709" i="1" s="1"/>
  <c r="M1710" i="1" a="1"/>
  <c r="M1710" i="1"/>
  <c r="M1711" i="1" a="1"/>
  <c r="M1711" i="1"/>
  <c r="M1712" i="1" a="1"/>
  <c r="M1712" i="1" s="1"/>
  <c r="M1713" i="1" a="1"/>
  <c r="M1713" i="1"/>
  <c r="M1714" i="1" a="1"/>
  <c r="M1714" i="1" s="1"/>
  <c r="M1715" i="1" a="1"/>
  <c r="M1715" i="1" s="1"/>
  <c r="M1716" i="1" a="1"/>
  <c r="M1716" i="1"/>
  <c r="M1717" i="1" a="1"/>
  <c r="M1717" i="1" s="1"/>
  <c r="M1718" i="1" a="1"/>
  <c r="M1718" i="1"/>
  <c r="M1719" i="1" a="1"/>
  <c r="M1719" i="1" s="1"/>
  <c r="M1720" i="1" a="1"/>
  <c r="M1720" i="1" s="1"/>
  <c r="M1721" i="1" a="1"/>
  <c r="M1721" i="1"/>
  <c r="M1722" i="1" a="1"/>
  <c r="M1722" i="1" s="1"/>
  <c r="M1723" i="1" a="1"/>
  <c r="M1723" i="1"/>
  <c r="M1724" i="1" a="1"/>
  <c r="M1724" i="1"/>
  <c r="M1725" i="1" a="1"/>
  <c r="M1725" i="1"/>
  <c r="M1726" i="1" a="1"/>
  <c r="M1726" i="1" s="1"/>
  <c r="M1727" i="1" a="1"/>
  <c r="M1727" i="1" s="1"/>
  <c r="M1728" i="1" a="1"/>
  <c r="M1728" i="1" s="1"/>
  <c r="M1729" i="1" a="1"/>
  <c r="M1729" i="1"/>
  <c r="M1730" i="1" a="1"/>
  <c r="M1730" i="1"/>
  <c r="M1731" i="1" a="1"/>
  <c r="M1731" i="1"/>
  <c r="M1732" i="1" a="1"/>
  <c r="M1732" i="1" s="1"/>
  <c r="M1733" i="1" a="1"/>
  <c r="M1733" i="1"/>
  <c r="M1734" i="1" a="1"/>
  <c r="M1734" i="1" s="1"/>
  <c r="M1735" i="1" a="1"/>
  <c r="M1735" i="1" s="1"/>
  <c r="M1736" i="1" a="1"/>
  <c r="M1736" i="1"/>
  <c r="M1737" i="1" a="1"/>
  <c r="M1737" i="1"/>
  <c r="M1738" i="1" a="1"/>
  <c r="M1738" i="1" s="1"/>
  <c r="M1739" i="1" a="1"/>
  <c r="M1739" i="1"/>
  <c r="M1740" i="1" a="1"/>
  <c r="M1740" i="1" s="1"/>
  <c r="M1741" i="1" a="1"/>
  <c r="M1741" i="1" s="1"/>
  <c r="M1742" i="1" a="1"/>
  <c r="M1742" i="1"/>
  <c r="M1743" i="1" a="1"/>
  <c r="M1743" i="1"/>
  <c r="M1744" i="1" a="1"/>
  <c r="M1744" i="1" s="1"/>
  <c r="M1745" i="1" a="1"/>
  <c r="M1745" i="1"/>
  <c r="M1746" i="1" a="1"/>
  <c r="M1746" i="1"/>
  <c r="M1747" i="1" a="1"/>
  <c r="M1747" i="1" s="1"/>
  <c r="M1748" i="1" a="1"/>
  <c r="M1748" i="1" s="1"/>
  <c r="M1749" i="1" a="1"/>
  <c r="M1749" i="1"/>
  <c r="M1750" i="1" a="1"/>
  <c r="M1750" i="1" s="1"/>
  <c r="M1751" i="1" a="1"/>
  <c r="M1751" i="1"/>
  <c r="M1752" i="1" a="1"/>
  <c r="M1752" i="1"/>
  <c r="M1753" i="1" a="1"/>
  <c r="M1753" i="1"/>
  <c r="M1754" i="1" a="1"/>
  <c r="M1754" i="1" s="1"/>
  <c r="M1755" i="1" a="1"/>
  <c r="M1755" i="1"/>
  <c r="M1756" i="1" a="1"/>
  <c r="M1756" i="1" s="1"/>
  <c r="M1757" i="1" a="1"/>
  <c r="M1757" i="1"/>
  <c r="M1758" i="1" a="1"/>
  <c r="M1758" i="1"/>
  <c r="M1759" i="1" a="1"/>
  <c r="M1759" i="1"/>
  <c r="M1760" i="1" a="1"/>
  <c r="M1760" i="1"/>
  <c r="M1761" i="1" a="1"/>
  <c r="M1761" i="1" s="1"/>
  <c r="M1762" i="1" a="1"/>
  <c r="M1762" i="1" s="1"/>
  <c r="M1763" i="1" a="1"/>
  <c r="M1763" i="1" s="1"/>
  <c r="M1764" i="1" a="1"/>
  <c r="M1764" i="1"/>
  <c r="M1765" i="1" a="1"/>
  <c r="M1765" i="1"/>
  <c r="M1766" i="1" a="1"/>
  <c r="M1766" i="1"/>
  <c r="M1767" i="1" a="1"/>
  <c r="M1767" i="1" s="1"/>
  <c r="M1768" i="1" a="1"/>
  <c r="M1768" i="1" s="1"/>
  <c r="M1769" i="1" a="1"/>
  <c r="M1769" i="1"/>
  <c r="M1770" i="1" a="1"/>
  <c r="M1770" i="1" s="1"/>
  <c r="M1771" i="1" a="1"/>
  <c r="M1771" i="1"/>
  <c r="M1772" i="1" a="1"/>
  <c r="M1772" i="1"/>
  <c r="M1773" i="1" a="1"/>
  <c r="M1773" i="1"/>
  <c r="M1774" i="1" a="1"/>
  <c r="M1774" i="1" s="1"/>
  <c r="M1775" i="1" a="1"/>
  <c r="M1775" i="1"/>
  <c r="M1776" i="1" a="1"/>
  <c r="M1776" i="1" s="1"/>
  <c r="M1777" i="1" a="1"/>
  <c r="M1777" i="1"/>
  <c r="M1778" i="1" a="1"/>
  <c r="M1778" i="1"/>
  <c r="M1779" i="1" a="1"/>
  <c r="M1779" i="1"/>
  <c r="M1780" i="1" a="1"/>
  <c r="M1780" i="1" s="1"/>
  <c r="M1781" i="1" a="1"/>
  <c r="M1781" i="1" s="1"/>
  <c r="M1782" i="1" a="1"/>
  <c r="M1782" i="1"/>
  <c r="M1783" i="1" a="1"/>
  <c r="M1783" i="1" s="1"/>
  <c r="M1784" i="1" a="1"/>
  <c r="M1784" i="1"/>
  <c r="M1785" i="1" a="1"/>
  <c r="M1785" i="1"/>
  <c r="M1786" i="1" a="1"/>
  <c r="M1786" i="1" s="1"/>
  <c r="M1787" i="1" a="1"/>
  <c r="M1787" i="1" s="1"/>
  <c r="M1788" i="1" a="1"/>
  <c r="M1788" i="1"/>
  <c r="M1789" i="1" a="1"/>
  <c r="M1789" i="1"/>
  <c r="M1790" i="1" a="1"/>
  <c r="M1790" i="1" s="1"/>
  <c r="M1791" i="1" a="1"/>
  <c r="M1791" i="1"/>
  <c r="M1792" i="1" a="1"/>
  <c r="M1792" i="1" s="1"/>
  <c r="M1793" i="1" a="1"/>
  <c r="M1793" i="1" s="1"/>
  <c r="M1794" i="1" a="1"/>
  <c r="M1794" i="1" s="1"/>
  <c r="M1795" i="1" a="1"/>
  <c r="M1795" i="1"/>
  <c r="M1796" i="1" a="1"/>
  <c r="M1796" i="1"/>
  <c r="M1797" i="1" a="1"/>
  <c r="M1797" i="1" s="1"/>
  <c r="M1798" i="1" a="1"/>
  <c r="M1798" i="1" s="1"/>
  <c r="M1799" i="1" a="1"/>
  <c r="M1799" i="1"/>
  <c r="M1800" i="1" a="1"/>
  <c r="M1800" i="1" s="1"/>
  <c r="M1801" i="1" a="1"/>
  <c r="M1801" i="1"/>
  <c r="M1802" i="1" a="1"/>
  <c r="M1802" i="1"/>
  <c r="M1803" i="1" a="1"/>
  <c r="M1803" i="1"/>
  <c r="M1804" i="1" a="1"/>
  <c r="M1804" i="1" s="1"/>
  <c r="M1805" i="1" a="1"/>
  <c r="M1805" i="1"/>
  <c r="M1806" i="1" a="1"/>
  <c r="M1806" i="1"/>
  <c r="M1807" i="1" a="1"/>
  <c r="M1807" i="1" s="1"/>
  <c r="M1808" i="1" a="1"/>
  <c r="M1808" i="1" s="1"/>
  <c r="M1809" i="1" a="1"/>
  <c r="M1809" i="1"/>
  <c r="M1810" i="1" a="1"/>
  <c r="M1810" i="1" s="1"/>
  <c r="M1811" i="1" a="1"/>
  <c r="M1811" i="1"/>
  <c r="M1812" i="1" a="1"/>
  <c r="M1812" i="1" s="1"/>
  <c r="M1813" i="1" a="1"/>
  <c r="M1813" i="1" s="1"/>
  <c r="M1814" i="1" a="1"/>
  <c r="M1814" i="1"/>
  <c r="M1815" i="1" a="1"/>
  <c r="M1815" i="1" s="1"/>
  <c r="M1816" i="1" a="1"/>
  <c r="M1816" i="1" s="1"/>
  <c r="M1817" i="1" a="1"/>
  <c r="M1817" i="1"/>
  <c r="M1818" i="1" a="1"/>
  <c r="M1818" i="1"/>
  <c r="M1819" i="1" a="1"/>
  <c r="M1819" i="1" s="1"/>
  <c r="M1820" i="1" a="1"/>
  <c r="M1820" i="1" s="1"/>
  <c r="M1821" i="1" a="1"/>
  <c r="M1821" i="1"/>
  <c r="M1822" i="1" a="1"/>
  <c r="M1822" i="1" s="1"/>
  <c r="M1823" i="1" a="1"/>
  <c r="M1823" i="1" s="1"/>
  <c r="M1824" i="1" a="1"/>
  <c r="M1824" i="1"/>
  <c r="M1825" i="1" a="1"/>
  <c r="M1825" i="1"/>
  <c r="M1826" i="1" a="1"/>
  <c r="M1826" i="1" s="1"/>
  <c r="M1827" i="1" a="1"/>
  <c r="M1827" i="1"/>
  <c r="M1828" i="1" a="1"/>
  <c r="M1828" i="1" s="1"/>
  <c r="M1829" i="1" a="1"/>
  <c r="M1829" i="1"/>
  <c r="M1830" i="1" a="1"/>
  <c r="M1830" i="1" s="1"/>
  <c r="M1831" i="1" a="1"/>
  <c r="M1831" i="1"/>
  <c r="M1832" i="1" a="1"/>
  <c r="M1832" i="1"/>
  <c r="M1833" i="1" a="1"/>
  <c r="M1833" i="1" s="1"/>
  <c r="M1834" i="1" a="1"/>
  <c r="M1834" i="1" s="1"/>
  <c r="M1835" i="1" a="1"/>
  <c r="M1835" i="1"/>
  <c r="M1836" i="1" a="1"/>
  <c r="M1836" i="1"/>
  <c r="M1837" i="1" a="1"/>
  <c r="M1837" i="1" s="1"/>
  <c r="M1838" i="1" a="1"/>
  <c r="M1838" i="1"/>
  <c r="M1839" i="1" a="1"/>
  <c r="M1839" i="1" s="1"/>
  <c r="M1840" i="1" a="1"/>
  <c r="M1840" i="1" s="1"/>
  <c r="M1841" i="1" a="1"/>
  <c r="M1841" i="1" s="1"/>
  <c r="M1842" i="1" a="1"/>
  <c r="M1842" i="1"/>
  <c r="M1843" i="1" a="1"/>
  <c r="M1843" i="1"/>
  <c r="M1844" i="1" a="1"/>
  <c r="M1844" i="1"/>
  <c r="M1845" i="1" a="1"/>
  <c r="M1845" i="1"/>
  <c r="M1846" i="1" a="1"/>
  <c r="M1846" i="1" s="1"/>
  <c r="M1847" i="1" a="1"/>
  <c r="M1847" i="1"/>
  <c r="M1848" i="1" a="1"/>
  <c r="M1848" i="1"/>
  <c r="M1849" i="1" a="1"/>
  <c r="M1849" i="1"/>
  <c r="M1850" i="1" a="1"/>
  <c r="M1850" i="1"/>
  <c r="M1851" i="1" a="1"/>
  <c r="M1851" i="1" s="1"/>
  <c r="M1852" i="1" a="1"/>
  <c r="M1852" i="1" s="1"/>
  <c r="M1853" i="1" a="1"/>
  <c r="M1853" i="1" s="1"/>
  <c r="M1854" i="1" a="1"/>
  <c r="M1854" i="1" s="1"/>
  <c r="M1855" i="1" a="1"/>
  <c r="M1855" i="1"/>
  <c r="M1856" i="1" a="1"/>
  <c r="M1856" i="1"/>
  <c r="M1857" i="1" a="1"/>
  <c r="M1857" i="1"/>
  <c r="M1858" i="1" a="1"/>
  <c r="M1858" i="1" s="1"/>
  <c r="M1859" i="1" a="1"/>
  <c r="M1859" i="1" s="1"/>
  <c r="M1860" i="1" a="1"/>
  <c r="M1860" i="1"/>
  <c r="M1861" i="1" a="1"/>
  <c r="M1861" i="1" s="1"/>
  <c r="M1862" i="1" a="1"/>
  <c r="M1862" i="1"/>
  <c r="M1863" i="1" a="1"/>
  <c r="M1863" i="1"/>
  <c r="M1864" i="1" a="1"/>
  <c r="M1864" i="1" s="1"/>
  <c r="M1865" i="1" a="1"/>
  <c r="M1865" i="1"/>
  <c r="M1866" i="1" a="1"/>
  <c r="M1866" i="1" s="1"/>
  <c r="M1867" i="1" a="1"/>
  <c r="M1867" i="1" s="1"/>
  <c r="M1868" i="1" a="1"/>
  <c r="M1868" i="1" s="1"/>
  <c r="M1869" i="1" a="1"/>
  <c r="M1869" i="1"/>
  <c r="M1870" i="1" a="1"/>
  <c r="M1870" i="1" s="1"/>
  <c r="M1871" i="1" a="1"/>
  <c r="M1871" i="1"/>
  <c r="M1872" i="1" a="1"/>
  <c r="M1872" i="1" s="1"/>
  <c r="M1873" i="1" a="1"/>
  <c r="M1873" i="1"/>
  <c r="M1874" i="1" a="1"/>
  <c r="M1874" i="1"/>
  <c r="M1875" i="1" a="1"/>
  <c r="M1875" i="1" s="1"/>
  <c r="M1876" i="1" a="1"/>
  <c r="M1876" i="1" s="1"/>
  <c r="M1877" i="1" a="1"/>
  <c r="M1877" i="1"/>
  <c r="M1878" i="1" a="1"/>
  <c r="M1878" i="1"/>
  <c r="M1879" i="1" a="1"/>
  <c r="M1879" i="1" s="1"/>
  <c r="M1880" i="1" a="1"/>
  <c r="M1880" i="1"/>
  <c r="M1881" i="1" a="1"/>
  <c r="M1881" i="1"/>
  <c r="M1882" i="1" a="1"/>
  <c r="M1882" i="1" s="1"/>
  <c r="M1883" i="1" a="1"/>
  <c r="M1883" i="1"/>
  <c r="M1884" i="1" a="1"/>
  <c r="M1884" i="1"/>
  <c r="M1885" i="1" a="1"/>
  <c r="M1885" i="1" s="1"/>
  <c r="M1886" i="1" a="1"/>
  <c r="M1886" i="1"/>
  <c r="M1887" i="1" a="1"/>
  <c r="M1887" i="1"/>
  <c r="M1888" i="1" a="1"/>
  <c r="M1888" i="1" s="1"/>
  <c r="M1889" i="1" a="1"/>
  <c r="M1889" i="1"/>
  <c r="M1890" i="1" a="1"/>
  <c r="M1890" i="1"/>
  <c r="M1891" i="1" a="1"/>
  <c r="M1891" i="1"/>
  <c r="M1892" i="1" a="1"/>
  <c r="M1892" i="1" s="1"/>
  <c r="M1893" i="1" a="1"/>
  <c r="M1893" i="1"/>
  <c r="M1894" i="1" a="1"/>
  <c r="M1894" i="1" s="1"/>
  <c r="M1895" i="1" a="1"/>
  <c r="M1895" i="1"/>
  <c r="M1896" i="1" a="1"/>
  <c r="M1896" i="1"/>
  <c r="M1897" i="1" a="1"/>
  <c r="M1897" i="1" s="1"/>
  <c r="M1898" i="1" a="1"/>
  <c r="M1898" i="1" s="1"/>
  <c r="M1899" i="1" a="1"/>
  <c r="M1899" i="1"/>
  <c r="M1900" i="1" a="1"/>
  <c r="M1900" i="1" s="1"/>
  <c r="M1901" i="1" a="1"/>
  <c r="M1901" i="1"/>
  <c r="M1902" i="1" a="1"/>
  <c r="M1902" i="1"/>
  <c r="M1903" i="1" a="1"/>
  <c r="M1903" i="1"/>
  <c r="M1904" i="1" a="1"/>
  <c r="M1904" i="1" s="1"/>
  <c r="M1905" i="1" a="1"/>
  <c r="M1905" i="1" s="1"/>
  <c r="M1906" i="1" a="1"/>
  <c r="M1906" i="1" s="1"/>
  <c r="M1907" i="1" a="1"/>
  <c r="M1907" i="1"/>
  <c r="M1908" i="1" a="1"/>
  <c r="M1908" i="1"/>
  <c r="M1909" i="1" a="1"/>
  <c r="M1909" i="1"/>
  <c r="M1910" i="1" a="1"/>
  <c r="M1910" i="1"/>
  <c r="M1911" i="1" a="1"/>
  <c r="M1911" i="1" s="1"/>
  <c r="M1912" i="1" a="1"/>
  <c r="M1912" i="1" s="1"/>
  <c r="M1913" i="1" a="1"/>
  <c r="M1913" i="1"/>
  <c r="M1914" i="1" a="1"/>
  <c r="M1914" i="1"/>
  <c r="M1915" i="1" a="1"/>
  <c r="M1915" i="1"/>
  <c r="M1916" i="1" a="1"/>
  <c r="M1916" i="1"/>
  <c r="M1917" i="1" a="1"/>
  <c r="M1917" i="1"/>
  <c r="M1918" i="1" a="1"/>
  <c r="M1918" i="1" s="1"/>
  <c r="M1919" i="1" a="1"/>
  <c r="M1919" i="1"/>
  <c r="M1920" i="1" a="1"/>
  <c r="M1920" i="1"/>
  <c r="M1921" i="1" a="1"/>
  <c r="M1921" i="1"/>
  <c r="M1922" i="1" a="1"/>
  <c r="M1922" i="1"/>
  <c r="M1923" i="1" a="1"/>
  <c r="M1923" i="1"/>
  <c r="M1924" i="1" a="1"/>
  <c r="M1924" i="1" s="1"/>
  <c r="M1925" i="1" a="1"/>
  <c r="M1925" i="1" s="1"/>
  <c r="M1926" i="1" a="1"/>
  <c r="M1926" i="1"/>
  <c r="M1927" i="1" a="1"/>
  <c r="M1927" i="1"/>
  <c r="M1928" i="1" a="1"/>
  <c r="M1928" i="1"/>
  <c r="M1929" i="1" a="1"/>
  <c r="M1929" i="1"/>
  <c r="M1930" i="1" a="1"/>
  <c r="M1930" i="1" s="1"/>
  <c r="M1931" i="1" a="1"/>
  <c r="M1931" i="1" s="1"/>
  <c r="M1932" i="1" a="1"/>
  <c r="M1932" i="1"/>
  <c r="M1933" i="1" a="1"/>
  <c r="M1933" i="1"/>
  <c r="M1934" i="1" a="1"/>
  <c r="M1934" i="1"/>
  <c r="M1935" i="1" a="1"/>
  <c r="M1935" i="1"/>
  <c r="M1936" i="1" a="1"/>
  <c r="M1936" i="1" s="1"/>
  <c r="M1937" i="1" a="1"/>
  <c r="M1937" i="1"/>
  <c r="M1938" i="1" a="1"/>
  <c r="M1938" i="1" s="1"/>
  <c r="M1939" i="1" a="1"/>
  <c r="M1939" i="1" s="1"/>
  <c r="M1940" i="1" a="1"/>
  <c r="M1940" i="1"/>
  <c r="M1941" i="1" a="1"/>
  <c r="M1941" i="1"/>
  <c r="M1942" i="1" a="1"/>
  <c r="M1942" i="1" s="1"/>
  <c r="M1943" i="1" a="1"/>
  <c r="M1943" i="1"/>
  <c r="M1944" i="1" a="1"/>
  <c r="M1944" i="1" s="1"/>
  <c r="M1945" i="1" a="1"/>
  <c r="M1945" i="1"/>
  <c r="M1946" i="1" a="1"/>
  <c r="M1946" i="1" s="1"/>
  <c r="M1947" i="1" a="1"/>
  <c r="M1947" i="1"/>
  <c r="M1948" i="1" a="1"/>
  <c r="M1948" i="1" s="1"/>
  <c r="M1949" i="1" a="1"/>
  <c r="M1949" i="1"/>
  <c r="M1950" i="1" a="1"/>
  <c r="M1950" i="1"/>
  <c r="M1951" i="1" a="1"/>
  <c r="M1951" i="1" s="1"/>
  <c r="M1952" i="1" a="1"/>
  <c r="M1952" i="1"/>
  <c r="M1953" i="1" a="1"/>
  <c r="M1953" i="1" s="1"/>
  <c r="M1954" i="1" a="1"/>
  <c r="M1954" i="1" s="1"/>
  <c r="M1955" i="1" a="1"/>
  <c r="M1955" i="1"/>
  <c r="M1956" i="1" a="1"/>
  <c r="M1956" i="1" s="1"/>
  <c r="M1957" i="1" a="1"/>
  <c r="M1957" i="1" s="1"/>
  <c r="M1958" i="1" a="1"/>
  <c r="M1958" i="1"/>
  <c r="M1959" i="1" a="1"/>
  <c r="M1959" i="1"/>
  <c r="M1960" i="1" a="1"/>
  <c r="M1960" i="1" s="1"/>
  <c r="M1961" i="1" a="1"/>
  <c r="M1961" i="1"/>
  <c r="M1962" i="1" a="1"/>
  <c r="M1962" i="1"/>
  <c r="M1963" i="1" a="1"/>
  <c r="M1963" i="1" s="1"/>
  <c r="M1964" i="1" a="1"/>
  <c r="M1964" i="1" s="1"/>
  <c r="M1965" i="1" a="1"/>
  <c r="M1965" i="1"/>
  <c r="M1966" i="1" a="1"/>
  <c r="M1966" i="1" s="1"/>
  <c r="M1967" i="1" a="1"/>
  <c r="M1967" i="1"/>
  <c r="M1968" i="1" a="1"/>
  <c r="M1968" i="1"/>
  <c r="M1969" i="1" a="1"/>
  <c r="M1969" i="1"/>
  <c r="M1970" i="1" a="1"/>
  <c r="M1970" i="1" s="1"/>
  <c r="M1971" i="1" a="1"/>
  <c r="M1971" i="1"/>
  <c r="M1972" i="1" a="1"/>
  <c r="M1972" i="1" s="1"/>
  <c r="M1973" i="1" a="1"/>
  <c r="M1973" i="1"/>
  <c r="M1974" i="1" a="1"/>
  <c r="M1974" i="1"/>
  <c r="M1975" i="1" a="1"/>
  <c r="M1975" i="1" s="1"/>
  <c r="M1976" i="1" a="1"/>
  <c r="M1976" i="1"/>
  <c r="M1977" i="1" a="1"/>
  <c r="M1977" i="1" s="1"/>
  <c r="M1978" i="1" a="1"/>
  <c r="M1978" i="1" s="1"/>
  <c r="M1979" i="1" a="1"/>
  <c r="M1979" i="1"/>
  <c r="M1980" i="1" a="1"/>
  <c r="M1980" i="1"/>
  <c r="M1981" i="1" a="1"/>
  <c r="M1981" i="1"/>
  <c r="M1982" i="1" a="1"/>
  <c r="M1982" i="1" s="1"/>
  <c r="M1983" i="1" a="1"/>
  <c r="M1983" i="1" s="1"/>
  <c r="M1984" i="1" a="1"/>
  <c r="M1984" i="1" s="1"/>
  <c r="M1985" i="1" a="1"/>
  <c r="M1985" i="1"/>
  <c r="M1986" i="1" a="1"/>
  <c r="M1986" i="1" s="1"/>
  <c r="M1987" i="1" a="1"/>
  <c r="M1987" i="1"/>
  <c r="M1988" i="1" a="1"/>
  <c r="M1988" i="1"/>
  <c r="M1989" i="1" a="1"/>
  <c r="M1989" i="1" s="1"/>
  <c r="M1990" i="1" a="1"/>
  <c r="M1990" i="1" s="1"/>
  <c r="M1991" i="1" a="1"/>
  <c r="M1991" i="1"/>
  <c r="M1992" i="1" a="1"/>
  <c r="M1992" i="1"/>
  <c r="M1993" i="1" a="1"/>
  <c r="M1993" i="1" s="1"/>
  <c r="M1994" i="1" a="1"/>
  <c r="M1994" i="1"/>
  <c r="M1995" i="1" a="1"/>
  <c r="M1995" i="1" s="1"/>
  <c r="M1996" i="1" a="1"/>
  <c r="M1996" i="1" s="1"/>
  <c r="M1997" i="1" a="1"/>
  <c r="M1997" i="1" s="1"/>
  <c r="M1998" i="1" a="1"/>
  <c r="M1998" i="1"/>
  <c r="M1999" i="1" a="1"/>
  <c r="M1999" i="1"/>
  <c r="M2000" i="1" a="1"/>
  <c r="M2000" i="1"/>
  <c r="M2001" i="1" a="1"/>
  <c r="M2001" i="1"/>
  <c r="M2002" i="1" a="1"/>
  <c r="M2002" i="1" s="1"/>
  <c r="M2003" i="1" a="1"/>
  <c r="M2003" i="1" s="1"/>
  <c r="M2004" i="1" a="1"/>
  <c r="M2004" i="1"/>
  <c r="M2005" i="1" a="1"/>
  <c r="M2005" i="1"/>
  <c r="M2006" i="1" a="1"/>
  <c r="M2006" i="1"/>
  <c r="M2007" i="1" a="1"/>
  <c r="M2007" i="1"/>
  <c r="M2008" i="1" a="1"/>
  <c r="M2008" i="1" s="1"/>
  <c r="M2009" i="1" a="1"/>
  <c r="M2009" i="1"/>
  <c r="M2010" i="1" a="1"/>
  <c r="M2010" i="1" s="1"/>
  <c r="M2011" i="1" a="1"/>
  <c r="M2011" i="1"/>
  <c r="M2012" i="1" a="1"/>
  <c r="M2012" i="1"/>
  <c r="M2013" i="1" a="1"/>
  <c r="M2013" i="1"/>
  <c r="M2014" i="1" a="1"/>
  <c r="M2014" i="1" s="1"/>
  <c r="M2015" i="1" a="1"/>
  <c r="M2015" i="1" s="1"/>
  <c r="M2016" i="1" a="1"/>
  <c r="M2016" i="1" s="1"/>
  <c r="M2017" i="1" a="1"/>
  <c r="M2017" i="1"/>
  <c r="M2018" i="1" a="1"/>
  <c r="M2018" i="1"/>
  <c r="M2019" i="1" a="1"/>
  <c r="M2019" i="1"/>
  <c r="M2020" i="1" a="1"/>
  <c r="M2020" i="1" s="1"/>
  <c r="M2021" i="1" a="1"/>
  <c r="M2021" i="1"/>
  <c r="M2022" i="1" a="1"/>
  <c r="M2022" i="1" s="1"/>
  <c r="M2023" i="1" a="1"/>
  <c r="M2023" i="1" s="1"/>
  <c r="M2024" i="1" a="1"/>
  <c r="M2024" i="1" s="1"/>
  <c r="M2025" i="1" a="1"/>
  <c r="M2025" i="1"/>
  <c r="M2026" i="1" a="1"/>
  <c r="M2026" i="1" s="1"/>
  <c r="M2027" i="1" a="1"/>
  <c r="M2027" i="1"/>
  <c r="M2028" i="1" a="1"/>
  <c r="M2028" i="1"/>
  <c r="M2029" i="1" a="1"/>
  <c r="M2029" i="1" s="1"/>
  <c r="M2030" i="1" a="1"/>
  <c r="M2030" i="1"/>
  <c r="M2031" i="1" a="1"/>
  <c r="M2031" i="1" s="1"/>
  <c r="M2032" i="1" a="1"/>
  <c r="M2032" i="1" s="1"/>
  <c r="M2033" i="1" a="1"/>
  <c r="M2033" i="1"/>
  <c r="M2034" i="1" a="1"/>
  <c r="M2034" i="1"/>
  <c r="M2035" i="1" a="1"/>
  <c r="M2035" i="1"/>
  <c r="M2036" i="1" a="1"/>
  <c r="M2036" i="1" s="1"/>
  <c r="M2037" i="1" a="1"/>
  <c r="M2037" i="1"/>
  <c r="M2038" i="1" a="1"/>
  <c r="M2038" i="1" s="1"/>
  <c r="M2039" i="1" a="1"/>
  <c r="M2039" i="1"/>
  <c r="M2040" i="1" a="1"/>
  <c r="M2040" i="1"/>
  <c r="M2041" i="1" a="1"/>
  <c r="M2041" i="1"/>
  <c r="M2042" i="1" a="1"/>
  <c r="M2042" i="1" s="1"/>
  <c r="M2043" i="1" a="1"/>
  <c r="M2043" i="1"/>
  <c r="M2044" i="1" a="1"/>
  <c r="M2044" i="1" s="1"/>
  <c r="M2045" i="1" a="1"/>
  <c r="M2045" i="1" s="1"/>
  <c r="M2046" i="1" a="1"/>
  <c r="M2046" i="1" s="1"/>
  <c r="M2047" i="1" a="1"/>
  <c r="M2047" i="1"/>
  <c r="M2048" i="1" a="1"/>
  <c r="M2048" i="1"/>
  <c r="M2049" i="1" a="1"/>
  <c r="M2049" i="1" s="1"/>
  <c r="M2050" i="1" a="1"/>
  <c r="M2050" i="1" s="1"/>
  <c r="M2051" i="1" a="1"/>
  <c r="M2051" i="1"/>
  <c r="M2052" i="1" a="1"/>
  <c r="M2052" i="1"/>
  <c r="M2053" i="1" a="1"/>
  <c r="M2053" i="1" s="1"/>
  <c r="M2054" i="1" a="1"/>
  <c r="M2054" i="1"/>
  <c r="M2055" i="1" a="1"/>
  <c r="M2055" i="1" s="1"/>
  <c r="M2056" i="1" a="1"/>
  <c r="M2056" i="1" s="1"/>
  <c r="M2057" i="1" a="1"/>
  <c r="M2057" i="1"/>
  <c r="M2058" i="1" a="1"/>
  <c r="M2058" i="1"/>
  <c r="M2059" i="1" a="1"/>
  <c r="M2059" i="1"/>
  <c r="M2060" i="1" a="1"/>
  <c r="M2060" i="1" s="1"/>
  <c r="M2061" i="1" a="1"/>
  <c r="M2061" i="1"/>
  <c r="M2062" i="1" a="1"/>
  <c r="M2062" i="1" s="1"/>
  <c r="M2063" i="1" a="1"/>
  <c r="M2063" i="1"/>
  <c r="M2064" i="1" a="1"/>
  <c r="M2064" i="1"/>
  <c r="M2065" i="1" a="1"/>
  <c r="M2065" i="1"/>
  <c r="M2066" i="1" a="1"/>
  <c r="M2066" i="1" s="1"/>
  <c r="M2067" i="1" a="1"/>
  <c r="M2067" i="1"/>
  <c r="M2068" i="1" a="1"/>
  <c r="M2068" i="1" s="1"/>
  <c r="M2069" i="1" a="1"/>
  <c r="M2069" i="1" s="1"/>
  <c r="M2070" i="1" a="1"/>
  <c r="M2070" i="1"/>
  <c r="M2071" i="1" a="1"/>
  <c r="M2071" i="1"/>
  <c r="M2072" i="1" a="1"/>
  <c r="M2072" i="1"/>
  <c r="M2073" i="1" a="1"/>
  <c r="M2073" i="1" s="1"/>
  <c r="M2074" i="1" a="1"/>
  <c r="M2074" i="1" s="1"/>
  <c r="M2075" i="1" a="1"/>
  <c r="M2075" i="1" s="1"/>
  <c r="M2076" i="1" a="1"/>
  <c r="M2076" i="1"/>
  <c r="M2077" i="1" a="1"/>
  <c r="M2077" i="1"/>
  <c r="M2078" i="1" a="1"/>
  <c r="M2078" i="1"/>
  <c r="M2079" i="1" a="1"/>
  <c r="M2079" i="1"/>
  <c r="M2080" i="1" a="1"/>
  <c r="M2080" i="1" s="1"/>
  <c r="M2081" i="1" a="1"/>
  <c r="M2081" i="1" s="1"/>
  <c r="M2082" i="1" a="1"/>
  <c r="M2082" i="1" s="1"/>
  <c r="M2083" i="1" a="1"/>
  <c r="M2083" i="1"/>
  <c r="M2084" i="1" a="1"/>
  <c r="M2084" i="1"/>
  <c r="M2085" i="1" a="1"/>
  <c r="M2085" i="1"/>
  <c r="M2086" i="1" a="1"/>
  <c r="M2086" i="1" s="1"/>
  <c r="M2087" i="1" a="1"/>
  <c r="M2087" i="1"/>
  <c r="M2088" i="1" a="1"/>
  <c r="M2088" i="1" s="1"/>
  <c r="M2089" i="1" a="1"/>
  <c r="M2089" i="1"/>
  <c r="M2090" i="1" a="1"/>
  <c r="M2090" i="1"/>
  <c r="M2091" i="1" a="1"/>
  <c r="M2091" i="1"/>
  <c r="M2092" i="1" a="1"/>
  <c r="M2092" i="1" s="1"/>
  <c r="M2093" i="1" a="1"/>
  <c r="M2093" i="1"/>
  <c r="M2094" i="1" a="1"/>
  <c r="M2094" i="1"/>
  <c r="M2095" i="1" a="1"/>
  <c r="M2095" i="1" s="1"/>
  <c r="M2096" i="1" a="1"/>
  <c r="M2096" i="1"/>
  <c r="M2097" i="1" a="1"/>
  <c r="M2097" i="1"/>
  <c r="M2098" i="1" a="1"/>
  <c r="M2098" i="1" s="1"/>
  <c r="M2099" i="1" a="1"/>
  <c r="M2099" i="1"/>
  <c r="M2100" i="1" a="1"/>
  <c r="M2100" i="1"/>
  <c r="M2101" i="1" a="1"/>
  <c r="M2101" i="1" s="1"/>
  <c r="M2102" i="1" a="1"/>
  <c r="M2102" i="1"/>
  <c r="M2103" i="1" a="1"/>
  <c r="M2103" i="1"/>
  <c r="M2104" i="1" a="1"/>
  <c r="M2104" i="1" s="1"/>
  <c r="M2105" i="1" a="1"/>
  <c r="M2105" i="1" s="1"/>
  <c r="M2106" i="1" a="1"/>
  <c r="M2106" i="1"/>
  <c r="M2107" i="1" a="1"/>
  <c r="M2107" i="1"/>
  <c r="M2108" i="1" a="1"/>
  <c r="M2108" i="1" s="1"/>
  <c r="M2109" i="1" a="1"/>
  <c r="M2109" i="1" s="1"/>
  <c r="M2110" i="1" a="1"/>
  <c r="M2110" i="1" s="1"/>
  <c r="M2111" i="1" a="1"/>
  <c r="M2111" i="1"/>
  <c r="M2112" i="1" a="1"/>
  <c r="M2112" i="1"/>
  <c r="M2113" i="1" a="1"/>
  <c r="M2113" i="1"/>
  <c r="M2114" i="1" a="1"/>
  <c r="M2114" i="1" s="1"/>
  <c r="M2115" i="1" a="1"/>
  <c r="M2115" i="1"/>
  <c r="M2116" i="1" a="1"/>
  <c r="M2116" i="1" s="1"/>
  <c r="M2117" i="1" a="1"/>
  <c r="M2117" i="1"/>
  <c r="M2118" i="1" a="1"/>
  <c r="M2118" i="1"/>
  <c r="M2119" i="1" a="1"/>
  <c r="M2119" i="1"/>
  <c r="M2120" i="1" a="1"/>
  <c r="M2120" i="1" s="1"/>
  <c r="M2121" i="1" a="1"/>
  <c r="M2121" i="1" s="1"/>
  <c r="M2122" i="1" a="1"/>
  <c r="M2122" i="1" s="1"/>
  <c r="M2123" i="1" a="1"/>
  <c r="M2123" i="1"/>
  <c r="M2124" i="1" a="1"/>
  <c r="M2124" i="1" s="1"/>
  <c r="M2125" i="1" a="1"/>
  <c r="M2125" i="1"/>
  <c r="M2126" i="1" a="1"/>
  <c r="M2126" i="1"/>
  <c r="M2127" i="1" a="1"/>
  <c r="M2127" i="1" s="1"/>
  <c r="M2128" i="1" a="1"/>
  <c r="M2128" i="1" s="1"/>
  <c r="M2129" i="1" a="1"/>
  <c r="M2129" i="1"/>
  <c r="M2130" i="1" a="1"/>
  <c r="M2130" i="1"/>
  <c r="M2131" i="1" a="1"/>
  <c r="M2131" i="1" s="1"/>
  <c r="M2132" i="1" a="1"/>
  <c r="M2132" i="1"/>
  <c r="M2133" i="1" a="1"/>
  <c r="M2133" i="1"/>
  <c r="M2134" i="1" a="1"/>
  <c r="M2134" i="1" s="1"/>
  <c r="M2135" i="1" a="1"/>
  <c r="M2135" i="1"/>
  <c r="M2136" i="1" a="1"/>
  <c r="M2136" i="1"/>
  <c r="M2137" i="1" a="1"/>
  <c r="M2137" i="1" s="1"/>
  <c r="M2138" i="1" a="1"/>
  <c r="M2138" i="1"/>
  <c r="M2139" i="1" a="1"/>
  <c r="M2139" i="1"/>
  <c r="M2140" i="1" a="1"/>
  <c r="M2140" i="1" s="1"/>
  <c r="M2141" i="1" a="1"/>
  <c r="M2141" i="1" s="1"/>
  <c r="M2142" i="1" a="1"/>
  <c r="M2142" i="1"/>
  <c r="M2143" i="1" a="1"/>
  <c r="M2143" i="1"/>
  <c r="M2144" i="1" a="1"/>
  <c r="M2144" i="1" s="1"/>
  <c r="M2145" i="1" a="1"/>
  <c r="M2145" i="1"/>
  <c r="M2146" i="1" a="1"/>
  <c r="M2146" i="1" s="1"/>
  <c r="M2147" i="1" a="1"/>
  <c r="M2147" i="1" s="1"/>
  <c r="M2148" i="1" a="1"/>
  <c r="M2148" i="1"/>
  <c r="M2149" i="1" a="1"/>
  <c r="M2149" i="1"/>
  <c r="M2150" i="1" a="1"/>
  <c r="M2150" i="1" s="1"/>
  <c r="M2151" i="1" a="1"/>
  <c r="M2151" i="1" s="1"/>
  <c r="M2152" i="1" a="1"/>
  <c r="M2152" i="1" s="1"/>
  <c r="M2153" i="1" a="1"/>
  <c r="M2153" i="1"/>
  <c r="M2154" i="1" a="1"/>
  <c r="M2154" i="1" s="1"/>
  <c r="M2155" i="1" a="1"/>
  <c r="M2155" i="1"/>
  <c r="M2156" i="1" a="1"/>
  <c r="M2156" i="1"/>
  <c r="M2157" i="1" a="1"/>
  <c r="M2157" i="1"/>
  <c r="M2158" i="1" a="1"/>
  <c r="M2158" i="1" s="1"/>
  <c r="M2159" i="1" a="1"/>
  <c r="M2159" i="1"/>
  <c r="M2160" i="1" a="1"/>
  <c r="M2160" i="1" s="1"/>
  <c r="M2161" i="1" a="1"/>
  <c r="M2161" i="1"/>
  <c r="M2162" i="1" a="1"/>
  <c r="M2162" i="1"/>
  <c r="M2163" i="1" a="1"/>
  <c r="M2163" i="1"/>
  <c r="M2164" i="1" a="1"/>
  <c r="M2164" i="1" s="1"/>
  <c r="M2165" i="1" a="1"/>
  <c r="M2165" i="1" s="1"/>
  <c r="M2166" i="1" a="1"/>
  <c r="M2166" i="1" s="1"/>
  <c r="M2167" i="1" a="1"/>
  <c r="M2167" i="1" s="1"/>
  <c r="M2168" i="1" a="1"/>
  <c r="M2168" i="1"/>
  <c r="M2169" i="1" a="1"/>
  <c r="M2169" i="1"/>
  <c r="M2170" i="1" a="1"/>
  <c r="M2170" i="1" s="1"/>
  <c r="M2171" i="1" a="1"/>
  <c r="M2171" i="1"/>
  <c r="M2172" i="1" a="1"/>
  <c r="M2172" i="1"/>
  <c r="M2173" i="1" a="1"/>
  <c r="M2173" i="1" s="1"/>
  <c r="M2174" i="1" a="1"/>
  <c r="M2174" i="1"/>
  <c r="M2175" i="1" a="1"/>
  <c r="M2175" i="1"/>
  <c r="M2176" i="1" a="1"/>
  <c r="M2176" i="1" s="1"/>
  <c r="M2177" i="1" a="1"/>
  <c r="M2177" i="1"/>
  <c r="M2178" i="1" a="1"/>
  <c r="M2178" i="1"/>
  <c r="M2179" i="1" a="1"/>
  <c r="M2179" i="1"/>
  <c r="M2180" i="1" a="1"/>
  <c r="M2180" i="1" s="1"/>
  <c r="M2181" i="1" a="1"/>
  <c r="M2181" i="1"/>
  <c r="M2182" i="1" a="1"/>
  <c r="M2182" i="1" s="1"/>
  <c r="M2183" i="1" a="1"/>
  <c r="M2183" i="1"/>
  <c r="M2184" i="1" a="1"/>
  <c r="M2184" i="1"/>
  <c r="M2185" i="1" a="1"/>
  <c r="M2185" i="1"/>
  <c r="M2186" i="1" a="1"/>
  <c r="M2186" i="1" s="1"/>
  <c r="M2187" i="1" a="1"/>
  <c r="M2187" i="1"/>
  <c r="M2188" i="1" a="1"/>
  <c r="M2188" i="1" s="1"/>
  <c r="M2189" i="1" a="1"/>
  <c r="M2189" i="1"/>
  <c r="M2190" i="1" a="1"/>
  <c r="M2190" i="1"/>
  <c r="M2191" i="1" a="1"/>
  <c r="M2191" i="1"/>
  <c r="M2192" i="1" a="1"/>
  <c r="M2192" i="1"/>
  <c r="M2193" i="1" a="1"/>
  <c r="M2193" i="1" s="1"/>
  <c r="M2194" i="1" a="1"/>
  <c r="M2194" i="1" s="1"/>
  <c r="M2195" i="1" a="1"/>
  <c r="M2195" i="1" s="1"/>
  <c r="M2196" i="1" a="1"/>
  <c r="M2196" i="1"/>
  <c r="M2197" i="1" a="1"/>
  <c r="M2197" i="1"/>
  <c r="M2198" i="1" a="1"/>
  <c r="M2198" i="1"/>
  <c r="M2199" i="1" a="1"/>
  <c r="M2199" i="1" s="1"/>
  <c r="M2200" i="1" a="1"/>
  <c r="M2200" i="1" s="1"/>
  <c r="M2201" i="1" a="1"/>
  <c r="M2201" i="1"/>
  <c r="M2202" i="1" a="1"/>
  <c r="M2202" i="1" s="1"/>
  <c r="M2203" i="1" a="1"/>
  <c r="M2203" i="1"/>
  <c r="M2204" i="1" a="1"/>
  <c r="M2204" i="1"/>
  <c r="M2205" i="1" a="1"/>
  <c r="M2205" i="1"/>
  <c r="M2206" i="1" a="1"/>
  <c r="M2206" i="1" s="1"/>
  <c r="M2207" i="1" a="1"/>
  <c r="M2207" i="1"/>
  <c r="M2208" i="1" a="1"/>
  <c r="M2208" i="1" s="1"/>
  <c r="M2209" i="1" a="1"/>
  <c r="M2209" i="1"/>
  <c r="M2210" i="1" a="1"/>
  <c r="M2210" i="1" s="1"/>
  <c r="M2211" i="1" a="1"/>
  <c r="M2211" i="1"/>
  <c r="M2212" i="1" a="1"/>
  <c r="M2212" i="1" s="1"/>
  <c r="M2213" i="1" a="1"/>
  <c r="M2213" i="1" s="1"/>
  <c r="M2214" i="1" a="1"/>
  <c r="M2214" i="1"/>
  <c r="M2215" i="1" a="1"/>
  <c r="M2215" i="1" s="1"/>
  <c r="M2216" i="1" a="1"/>
  <c r="M2216" i="1"/>
  <c r="M2217" i="1" a="1"/>
  <c r="M2217" i="1" s="1"/>
  <c r="M2218" i="1" a="1"/>
  <c r="M2218" i="1" s="1"/>
  <c r="M2219" i="1" a="1"/>
  <c r="M2219" i="1" s="1"/>
  <c r="M2220" i="1" a="1"/>
  <c r="M2220" i="1"/>
  <c r="M2221" i="1" a="1"/>
  <c r="M2221" i="1"/>
  <c r="M2222" i="1" a="1"/>
  <c r="M2222" i="1" s="1"/>
  <c r="M2223" i="1" a="1"/>
  <c r="M2223" i="1"/>
  <c r="M2224" i="1" a="1"/>
  <c r="M2224" i="1" s="1"/>
  <c r="M2225" i="1" a="1"/>
  <c r="M2225" i="1" s="1"/>
  <c r="M2226" i="1" a="1"/>
  <c r="M2226" i="1" s="1"/>
  <c r="M2227" i="1" a="1"/>
  <c r="M2227" i="1"/>
  <c r="M2228" i="1" a="1"/>
  <c r="M2228" i="1"/>
  <c r="M2229" i="1" a="1"/>
  <c r="M2229" i="1" s="1"/>
  <c r="M2230" i="1" a="1"/>
  <c r="M2230" i="1" s="1"/>
  <c r="M2231" i="1" a="1"/>
  <c r="M2231" i="1"/>
  <c r="M2232" i="1" a="1"/>
  <c r="M2232" i="1" s="1"/>
  <c r="M2233" i="1" a="1"/>
  <c r="M2233" i="1"/>
  <c r="M2234" i="1" a="1"/>
  <c r="M2234" i="1"/>
  <c r="M2235" i="1" a="1"/>
  <c r="M2235" i="1"/>
  <c r="M2236" i="1" a="1"/>
  <c r="M2236" i="1" s="1"/>
  <c r="M2237" i="1" a="1"/>
  <c r="M2237" i="1"/>
  <c r="M2238" i="1" a="1"/>
  <c r="M2238" i="1"/>
  <c r="M2239" i="1" a="1"/>
  <c r="M2239" i="1" s="1"/>
  <c r="M2240" i="1" a="1"/>
  <c r="M2240" i="1" s="1"/>
  <c r="M2241" i="1" a="1"/>
  <c r="M2241" i="1"/>
  <c r="M2242" i="1" a="1"/>
  <c r="M2242" i="1" s="1"/>
  <c r="M2243" i="1" a="1"/>
  <c r="M2243" i="1"/>
  <c r="M2244" i="1" a="1"/>
  <c r="M2244" i="1" s="1"/>
  <c r="M2245" i="1" a="1"/>
  <c r="M2245" i="1" s="1"/>
  <c r="M2246" i="1" a="1"/>
  <c r="M2246" i="1"/>
  <c r="M2247" i="1" a="1"/>
  <c r="M2247" i="1"/>
  <c r="M2248" i="1" a="1"/>
  <c r="M2248" i="1" s="1"/>
  <c r="M2249" i="1" a="1"/>
  <c r="M2249" i="1"/>
  <c r="M2250" i="1" a="1"/>
  <c r="M2250" i="1"/>
  <c r="M2251" i="1" a="1"/>
  <c r="M2251" i="1" s="1"/>
  <c r="M2252" i="1" a="1"/>
  <c r="M2252" i="1" s="1"/>
  <c r="M2253" i="1" a="1"/>
  <c r="M2253" i="1"/>
  <c r="M2254" i="1" a="1"/>
  <c r="M2254" i="1" s="1"/>
  <c r="M2255" i="1" a="1"/>
  <c r="M2255" i="1"/>
  <c r="M2256" i="1" a="1"/>
  <c r="M2256" i="1"/>
  <c r="M2257" i="1" a="1"/>
  <c r="M2257" i="1"/>
  <c r="M2258" i="1" a="1"/>
  <c r="M2258" i="1" s="1"/>
  <c r="M2259" i="1" a="1"/>
  <c r="M2259" i="1"/>
  <c r="M2260" i="1" a="1"/>
  <c r="M2260" i="1" s="1"/>
  <c r="M2261" i="1" a="1"/>
  <c r="M2261" i="1"/>
  <c r="M2262" i="1" a="1"/>
  <c r="M2262" i="1"/>
  <c r="M2263" i="1" a="1"/>
  <c r="M2263" i="1" s="1"/>
  <c r="M2264" i="1" a="1"/>
  <c r="M2264" i="1"/>
  <c r="M2265" i="1" a="1"/>
  <c r="M2265" i="1" s="1"/>
  <c r="M2266" i="1" a="1"/>
  <c r="M2266" i="1" s="1"/>
  <c r="M2267" i="1" a="1"/>
  <c r="M2267" i="1"/>
  <c r="M2268" i="1" a="1"/>
  <c r="M2268" i="1"/>
  <c r="M2269" i="1" a="1"/>
  <c r="M2269" i="1"/>
  <c r="M2270" i="1" a="1"/>
  <c r="M2270" i="1" s="1"/>
  <c r="M2271" i="1" a="1"/>
  <c r="M2271" i="1" s="1"/>
  <c r="M2272" i="1" a="1"/>
  <c r="M2272" i="1" s="1"/>
  <c r="M2273" i="1" a="1"/>
  <c r="M2273" i="1" s="1"/>
  <c r="M2274" i="1" a="1"/>
  <c r="M2274" i="1"/>
  <c r="M2275" i="1" a="1"/>
  <c r="M2275" i="1"/>
  <c r="M2276" i="1" a="1"/>
  <c r="M2276" i="1"/>
  <c r="M2277" i="1" a="1"/>
  <c r="M2277" i="1" s="1"/>
  <c r="M2278" i="1" a="1"/>
  <c r="M2278" i="1" s="1"/>
  <c r="M2279" i="1" a="1"/>
  <c r="M2279" i="1"/>
  <c r="M2280" i="1" a="1"/>
  <c r="M2280" i="1"/>
  <c r="M2281" i="1" a="1"/>
  <c r="M2281" i="1"/>
  <c r="M2282" i="1" a="1"/>
  <c r="M2282" i="1"/>
  <c r="M2283" i="1" a="1"/>
  <c r="M2283" i="1"/>
  <c r="M2284" i="1" a="1"/>
  <c r="M2284" i="1" s="1"/>
  <c r="M2285" i="1" a="1"/>
  <c r="M2285" i="1" s="1"/>
  <c r="M2286" i="1" a="1"/>
  <c r="M2286" i="1" s="1"/>
  <c r="M2287" i="1" a="1"/>
  <c r="M2287" i="1"/>
  <c r="M2288" i="1" a="1"/>
  <c r="M2288" i="1"/>
  <c r="M2289" i="1" a="1"/>
  <c r="M2289" i="1"/>
  <c r="M2290" i="1" a="1"/>
  <c r="M2290" i="1" s="1"/>
  <c r="M2291" i="1" a="1"/>
  <c r="M2291" i="1" s="1"/>
  <c r="M2292" i="1" a="1"/>
  <c r="M2292" i="1"/>
  <c r="M2293" i="1" a="1"/>
  <c r="M2293" i="1" s="1"/>
  <c r="M2294" i="1" a="1"/>
  <c r="M2294" i="1"/>
  <c r="M2295" i="1" a="1"/>
  <c r="M2295" i="1"/>
  <c r="M2296" i="1" a="1"/>
  <c r="M2296" i="1" s="1"/>
  <c r="M2297" i="1" a="1"/>
  <c r="M2297" i="1"/>
  <c r="M2298" i="1" a="1"/>
  <c r="M2298" i="1" s="1"/>
  <c r="M2299" i="1" a="1"/>
  <c r="M2299" i="1"/>
  <c r="M2300" i="1" a="1"/>
  <c r="M2300" i="1" s="1"/>
  <c r="M2301" i="1" a="1"/>
  <c r="M2301" i="1"/>
  <c r="M2302" i="1" a="1"/>
  <c r="M2302" i="1" s="1"/>
  <c r="M2303" i="1" a="1"/>
  <c r="M2303" i="1"/>
  <c r="M2304" i="1" a="1"/>
  <c r="M2304" i="1" s="1"/>
  <c r="M2305" i="1" a="1"/>
  <c r="M2305" i="1"/>
  <c r="M2306" i="1" a="1"/>
  <c r="M2306" i="1"/>
  <c r="M2307" i="1" a="1"/>
  <c r="M2307" i="1" s="1"/>
  <c r="M2308" i="1" a="1"/>
  <c r="M2308" i="1" s="1"/>
  <c r="M2309" i="1" a="1"/>
  <c r="M2309" i="1"/>
  <c r="M2310" i="1" a="1"/>
  <c r="M2310" i="1"/>
  <c r="M2311" i="1" a="1"/>
  <c r="M2311" i="1" s="1"/>
  <c r="M2312" i="1" a="1"/>
  <c r="M2312" i="1"/>
  <c r="M2313" i="1" a="1"/>
  <c r="M2313" i="1"/>
  <c r="M2314" i="1" a="1"/>
  <c r="M2314" i="1" s="1"/>
  <c r="M2315" i="1" a="1"/>
  <c r="M2315" i="1"/>
  <c r="M2316" i="1" a="1"/>
  <c r="M2316" i="1"/>
  <c r="M2317" i="1" a="1"/>
  <c r="M2317" i="1" s="1"/>
  <c r="M2318" i="1" a="1"/>
  <c r="M2318" i="1"/>
  <c r="M2319" i="1" a="1"/>
  <c r="M2319" i="1"/>
  <c r="M2320" i="1" a="1"/>
  <c r="M2320" i="1" s="1"/>
  <c r="M2321" i="1" a="1"/>
  <c r="M2321" i="1"/>
  <c r="M2322" i="1" a="1"/>
  <c r="M2322" i="1"/>
  <c r="M2323" i="1" a="1"/>
  <c r="M2323" i="1"/>
  <c r="M2324" i="1" a="1"/>
  <c r="M2324" i="1" s="1"/>
  <c r="M2325" i="1" a="1"/>
  <c r="M2325" i="1"/>
  <c r="M2326" i="1" a="1"/>
  <c r="M2326" i="1" s="1"/>
  <c r="M2327" i="1" a="1"/>
  <c r="M2327" i="1"/>
  <c r="M2328" i="1" a="1"/>
  <c r="M2328" i="1"/>
  <c r="M2329" i="1" a="1"/>
  <c r="M2329" i="1" s="1"/>
  <c r="M2330" i="1" a="1"/>
  <c r="M2330" i="1" s="1"/>
  <c r="M2331" i="1" a="1"/>
  <c r="M2331" i="1"/>
  <c r="M2332" i="1" a="1"/>
  <c r="M2332" i="1" s="1"/>
  <c r="M2333" i="1" a="1"/>
  <c r="M2333" i="1"/>
  <c r="M2334" i="1" a="1"/>
  <c r="M2334" i="1"/>
  <c r="M2335" i="1" a="1"/>
  <c r="M2335" i="1"/>
  <c r="M2336" i="1" a="1"/>
  <c r="M2336" i="1" s="1"/>
  <c r="M2337" i="1" a="1"/>
  <c r="M2337" i="1" s="1"/>
  <c r="M2338" i="1" a="1"/>
  <c r="M2338" i="1" s="1"/>
  <c r="M2339" i="1" a="1"/>
  <c r="M2339" i="1"/>
  <c r="M2340" i="1" a="1"/>
  <c r="M2340" i="1"/>
  <c r="M2341" i="1" a="1"/>
  <c r="M2341" i="1"/>
  <c r="M2342" i="1" a="1"/>
  <c r="M2342" i="1"/>
  <c r="M2343" i="1" a="1"/>
  <c r="M2343" i="1" s="1"/>
  <c r="M2344" i="1" a="1"/>
  <c r="M2344" i="1" s="1"/>
  <c r="M2345" i="1" a="1"/>
  <c r="M2345" i="1" s="1"/>
  <c r="M2346" i="1" a="1"/>
  <c r="M2346" i="1"/>
  <c r="M2347" i="1" a="1"/>
  <c r="M2347" i="1"/>
  <c r="M2348" i="1" a="1"/>
  <c r="M2348" i="1"/>
  <c r="M2349" i="1" a="1"/>
  <c r="M2349" i="1"/>
  <c r="M2350" i="1" a="1"/>
  <c r="M2350" i="1" s="1"/>
  <c r="M2351" i="1" a="1"/>
  <c r="M2351" i="1"/>
  <c r="M2352" i="1" a="1"/>
  <c r="M2352" i="1"/>
  <c r="M2353" i="1" a="1"/>
  <c r="M2353" i="1"/>
  <c r="M2354" i="1" a="1"/>
  <c r="M2354" i="1"/>
  <c r="M2355" i="1" a="1"/>
  <c r="M2355" i="1"/>
  <c r="M2356" i="1" a="1"/>
  <c r="M2356" i="1" s="1"/>
  <c r="M2357" i="1" a="1"/>
  <c r="M2357" i="1" s="1"/>
  <c r="M2358" i="1" a="1"/>
  <c r="M2358" i="1"/>
  <c r="M2359" i="1" a="1"/>
  <c r="M2359" i="1" s="1"/>
  <c r="M2360" i="1" a="1"/>
  <c r="M2360" i="1"/>
  <c r="M2361" i="1" a="1"/>
  <c r="M2361" i="1"/>
  <c r="M2362" i="1" a="1"/>
  <c r="M2362" i="1" s="1"/>
  <c r="M2363" i="1" a="1"/>
  <c r="M2363" i="1" s="1"/>
  <c r="M2364" i="1" a="1"/>
  <c r="M2364" i="1"/>
  <c r="M2365" i="1" a="1"/>
  <c r="M2365" i="1"/>
  <c r="M2366" i="1" a="1"/>
  <c r="M2366" i="1" s="1"/>
  <c r="M2367" i="1" a="1"/>
  <c r="M2367" i="1"/>
  <c r="M2368" i="1" a="1"/>
  <c r="M2368" i="1" s="1"/>
  <c r="M2369" i="1" a="1"/>
  <c r="M2369" i="1"/>
  <c r="M2370" i="1" a="1"/>
  <c r="M2370" i="1" s="1"/>
  <c r="M2371" i="1" a="1"/>
  <c r="M2371" i="1" s="1"/>
  <c r="M2372" i="1" a="1"/>
  <c r="M2372" i="1"/>
  <c r="M2373" i="1" a="1"/>
  <c r="M2373" i="1" s="1"/>
  <c r="M2374" i="1" a="1"/>
  <c r="M2374" i="1"/>
  <c r="M2375" i="1" a="1"/>
  <c r="M2375" i="1"/>
  <c r="M2376" i="1" a="1"/>
  <c r="M2376" i="1" s="1"/>
  <c r="M2377" i="1" a="1"/>
  <c r="M2377" i="1"/>
  <c r="M2378" i="1" a="1"/>
  <c r="M2378" i="1" s="1"/>
  <c r="M2379" i="1" a="1"/>
  <c r="M2379" i="1"/>
  <c r="M2380" i="1" a="1"/>
  <c r="M2380" i="1" s="1"/>
  <c r="M2381" i="1" a="1"/>
  <c r="M2381" i="1"/>
  <c r="M2382" i="1" a="1"/>
  <c r="M2382" i="1" s="1"/>
  <c r="M2383" i="1" a="1"/>
  <c r="M2383" i="1"/>
  <c r="M2384" i="1" a="1"/>
  <c r="M2384" i="1" s="1"/>
  <c r="M2385" i="1" a="1"/>
  <c r="M2385" i="1"/>
  <c r="M2386" i="1" a="1"/>
  <c r="M2386" i="1"/>
  <c r="M2387" i="1" a="1"/>
  <c r="M2387" i="1" s="1"/>
  <c r="M2388" i="1" a="1"/>
  <c r="M2388" i="1" s="1"/>
  <c r="M2389" i="1" a="1"/>
  <c r="M2389" i="1"/>
  <c r="M2390" i="1" a="1"/>
  <c r="M2390" i="1"/>
  <c r="M2391" i="1" a="1"/>
  <c r="M2391" i="1" s="1"/>
  <c r="M2392" i="1" a="1"/>
  <c r="M2392" i="1"/>
  <c r="M2393" i="1" a="1"/>
  <c r="M2393" i="1"/>
  <c r="M2394" i="1" a="1"/>
  <c r="M2394" i="1" s="1"/>
  <c r="M2395" i="1" a="1"/>
  <c r="M2395" i="1" s="1"/>
  <c r="M2396" i="1" a="1"/>
  <c r="M2396" i="1"/>
  <c r="M2397" i="1" a="1"/>
  <c r="M2397" i="1" s="1"/>
  <c r="M2398" i="1" a="1"/>
  <c r="M2398" i="1"/>
  <c r="M2399" i="1" a="1"/>
  <c r="M2399" i="1"/>
  <c r="M2400" i="1" a="1"/>
  <c r="M2400" i="1" s="1"/>
  <c r="M2401" i="1" a="1"/>
  <c r="M2401" i="1"/>
  <c r="M2402" i="1" a="1"/>
  <c r="M2402" i="1" s="1"/>
  <c r="M2403" i="1" a="1"/>
  <c r="M2403" i="1"/>
  <c r="M2404" i="1" a="1"/>
  <c r="M2404" i="1" s="1"/>
  <c r="M2405" i="1" a="1"/>
  <c r="M2405" i="1"/>
  <c r="M2406" i="1" a="1"/>
  <c r="M2406" i="1" s="1"/>
  <c r="M2407" i="1" a="1"/>
  <c r="M2407" i="1"/>
  <c r="M2408" i="1" a="1"/>
  <c r="M2408" i="1"/>
  <c r="M2409" i="1" a="1"/>
  <c r="M2409" i="1" s="1"/>
  <c r="M2410" i="1" a="1"/>
  <c r="M2410" i="1" s="1"/>
  <c r="M2411" i="1" a="1"/>
  <c r="M2411" i="1"/>
  <c r="M2412" i="1" a="1"/>
  <c r="M2412" i="1" s="1"/>
  <c r="M2413" i="1" a="1"/>
  <c r="M2413" i="1"/>
  <c r="M2414" i="1" a="1"/>
  <c r="M2414" i="1"/>
  <c r="M2415" i="1" a="1"/>
  <c r="M2415" i="1"/>
  <c r="M2416" i="1" a="1"/>
  <c r="M2416" i="1" s="1"/>
  <c r="M2417" i="1" a="1"/>
  <c r="M2417" i="1" s="1"/>
  <c r="M2418" i="1" a="1"/>
  <c r="M2418" i="1" s="1"/>
  <c r="M2419" i="1" a="1"/>
  <c r="M2419" i="1"/>
  <c r="M2420" i="1" a="1"/>
  <c r="M2420" i="1"/>
  <c r="M2421" i="1" a="1"/>
  <c r="M2421" i="1"/>
  <c r="M2422" i="1" a="1"/>
  <c r="M2422" i="1"/>
  <c r="M2423" i="1" a="1"/>
  <c r="M2423" i="1" s="1"/>
  <c r="M2424" i="1" a="1"/>
  <c r="M2424" i="1" s="1"/>
  <c r="M2425" i="1" a="1"/>
  <c r="M2425" i="1"/>
  <c r="M2426" i="1" a="1"/>
  <c r="M2426" i="1"/>
  <c r="M2427" i="1" a="1"/>
  <c r="M2427" i="1"/>
  <c r="M2428" i="1" a="1"/>
  <c r="M2428" i="1"/>
  <c r="M2429" i="1" a="1"/>
  <c r="M2429" i="1"/>
  <c r="M2430" i="1" a="1"/>
  <c r="M2430" i="1" s="1"/>
  <c r="M2431" i="1" a="1"/>
  <c r="M2431" i="1"/>
  <c r="M2432" i="1" a="1"/>
  <c r="M2432" i="1"/>
  <c r="M2433" i="1" a="1"/>
  <c r="M2433" i="1"/>
  <c r="M2434" i="1" a="1"/>
  <c r="M2434" i="1"/>
  <c r="M2435" i="1" a="1"/>
  <c r="M2435" i="1"/>
  <c r="M2436" i="1" a="1"/>
  <c r="M2436" i="1" s="1"/>
  <c r="M2437" i="1" a="1"/>
  <c r="M2437" i="1" s="1"/>
  <c r="M2438" i="1" a="1"/>
  <c r="M2438" i="1"/>
  <c r="M2439" i="1" a="1"/>
  <c r="M2439" i="1"/>
  <c r="M2440" i="1" a="1"/>
  <c r="M2440" i="1"/>
  <c r="M2441" i="1" a="1"/>
  <c r="M2441" i="1"/>
  <c r="M2442" i="1" a="1"/>
  <c r="M2442" i="1" s="1"/>
  <c r="M2443" i="1" a="1"/>
  <c r="M2443" i="1" s="1"/>
  <c r="M2444" i="1" a="1"/>
  <c r="M2444" i="1"/>
  <c r="M2445" i="1" a="1"/>
  <c r="M2445" i="1"/>
  <c r="M2446" i="1" a="1"/>
  <c r="M2446" i="1"/>
  <c r="M2447" i="1" a="1"/>
  <c r="M2447" i="1"/>
  <c r="M2448" i="1" a="1"/>
  <c r="M2448" i="1" s="1"/>
  <c r="M2449" i="1" a="1"/>
  <c r="M2449" i="1"/>
  <c r="M2450" i="1" a="1"/>
  <c r="M2450" i="1" s="1"/>
  <c r="M2451" i="1" a="1"/>
  <c r="M2451" i="1" s="1"/>
  <c r="M2452" i="1" a="1"/>
  <c r="M2452" i="1"/>
  <c r="M2453" i="1" a="1"/>
  <c r="M2453" i="1"/>
  <c r="M2454" i="1" a="1"/>
  <c r="M2454" i="1" s="1"/>
  <c r="M2455" i="1" a="1"/>
  <c r="M2455" i="1"/>
  <c r="M2456" i="1" a="1"/>
  <c r="M2456" i="1" s="1"/>
  <c r="M2457" i="1" a="1"/>
  <c r="M2457" i="1"/>
  <c r="M2458" i="1" a="1"/>
  <c r="M2458" i="1" s="1"/>
  <c r="M2459" i="1" a="1"/>
  <c r="M2459" i="1"/>
  <c r="M2460" i="1" a="1"/>
  <c r="M2460" i="1" s="1"/>
  <c r="M2461" i="1" a="1"/>
  <c r="M2461" i="1"/>
  <c r="M2462" i="1" a="1"/>
  <c r="M2462" i="1"/>
  <c r="M2463" i="1" a="1"/>
  <c r="M2463" i="1" s="1"/>
  <c r="M2464" i="1" a="1"/>
  <c r="M2464" i="1"/>
  <c r="M2465" i="1" a="1"/>
  <c r="M2465" i="1" s="1"/>
  <c r="M2466" i="1" a="1"/>
  <c r="M2466" i="1" s="1"/>
  <c r="M2467" i="1" a="1"/>
  <c r="M2467" i="1"/>
  <c r="M2468" i="1" a="1"/>
  <c r="M2468" i="1"/>
  <c r="M2469" i="1" a="1"/>
  <c r="M2469" i="1" s="1"/>
  <c r="M2470" i="1" a="1"/>
  <c r="M2470" i="1"/>
  <c r="M2471" i="1" a="1"/>
  <c r="M2471" i="1"/>
  <c r="M2472" i="1" a="1"/>
  <c r="M2472" i="1" s="1"/>
  <c r="M2473" i="1" a="1"/>
  <c r="M2473" i="1" s="1"/>
  <c r="M2474" i="1" a="1"/>
  <c r="M2474" i="1"/>
  <c r="M2475" i="1" a="1"/>
  <c r="M2475" i="1"/>
  <c r="M2476" i="1" a="1"/>
  <c r="M2476" i="1" s="1"/>
  <c r="M2477" i="1" a="1"/>
  <c r="M2477" i="1"/>
  <c r="M2478" i="1" a="1"/>
  <c r="M2478" i="1" s="1"/>
  <c r="M2479" i="1" a="1"/>
  <c r="M2479" i="1"/>
  <c r="M2480" i="1" a="1"/>
  <c r="M2480" i="1" s="1"/>
  <c r="M2481" i="1" a="1"/>
  <c r="M2481" i="1"/>
  <c r="M2482" i="1" a="1"/>
  <c r="M2482" i="1" s="1"/>
  <c r="M2483" i="1" a="1"/>
  <c r="M2483" i="1"/>
  <c r="M2484" i="1" a="1"/>
  <c r="M2484" i="1" s="1"/>
  <c r="M2485" i="1" a="1"/>
  <c r="M2485" i="1"/>
  <c r="M2486" i="1" a="1"/>
  <c r="M2486" i="1"/>
  <c r="M2487" i="1" a="1"/>
  <c r="M2487" i="1" s="1"/>
  <c r="M2488" i="1" a="1"/>
  <c r="M2488" i="1"/>
  <c r="M2489" i="1" a="1"/>
  <c r="M2489" i="1" s="1"/>
  <c r="M2490" i="1" a="1"/>
  <c r="M2490" i="1" s="1"/>
  <c r="M2491" i="1" a="1"/>
  <c r="M2491" i="1"/>
  <c r="M2492" i="1" a="1"/>
  <c r="M2492" i="1"/>
  <c r="M2493" i="1" a="1"/>
  <c r="M2493" i="1"/>
  <c r="M2494" i="1" a="1"/>
  <c r="M2494" i="1" s="1"/>
  <c r="M2495" i="1" a="1"/>
  <c r="M2495" i="1" s="1"/>
  <c r="M2496" i="1" a="1"/>
  <c r="M2496" i="1" s="1"/>
  <c r="M2497" i="1" a="1"/>
  <c r="M2497" i="1"/>
  <c r="M2498" i="1" a="1"/>
  <c r="M2498" i="1"/>
  <c r="M2499" i="1" a="1"/>
  <c r="M2499" i="1"/>
  <c r="M2500" i="1" a="1"/>
  <c r="M2500" i="1"/>
  <c r="M2501" i="1" a="1"/>
  <c r="M2501" i="1" s="1"/>
  <c r="M2502" i="1" a="1"/>
  <c r="M2502" i="1" s="1"/>
  <c r="M2503" i="1" a="1"/>
  <c r="M2503" i="1"/>
  <c r="M2504" i="1" a="1"/>
  <c r="M2504" i="1"/>
  <c r="M2505" i="1" a="1"/>
  <c r="M2505" i="1"/>
  <c r="M2506" i="1" a="1"/>
  <c r="M2506" i="1"/>
  <c r="M2507" i="1" a="1"/>
  <c r="M2507" i="1" s="1"/>
  <c r="M2508" i="1" a="1"/>
  <c r="M2508" i="1" s="1"/>
  <c r="M2509" i="1" a="1"/>
  <c r="M2509" i="1" s="1"/>
  <c r="M2510" i="1" a="1"/>
  <c r="M2510" i="1"/>
  <c r="M2511" i="1" a="1"/>
  <c r="M2511" i="1"/>
  <c r="M2512" i="1" a="1"/>
  <c r="M2512" i="1"/>
  <c r="M2513" i="1" a="1"/>
  <c r="M2513" i="1"/>
  <c r="M2514" i="1" a="1"/>
  <c r="M2514" i="1" s="1"/>
  <c r="M2515" i="1" a="1"/>
  <c r="M2515" i="1" s="1"/>
  <c r="M2516" i="1" a="1"/>
  <c r="M2516" i="1"/>
  <c r="M2517" i="1" a="1"/>
  <c r="M2517" i="1"/>
  <c r="M2518" i="1" a="1"/>
  <c r="M2518" i="1"/>
  <c r="M2519" i="1" a="1"/>
  <c r="M2519" i="1"/>
  <c r="M2520" i="1" a="1"/>
  <c r="M2520" i="1" s="1"/>
  <c r="M2521" i="1" a="1"/>
  <c r="M2521" i="1"/>
  <c r="M2522" i="1" a="1"/>
  <c r="M2522" i="1" s="1"/>
  <c r="M2523" i="1" a="1"/>
  <c r="M2523" i="1"/>
  <c r="M2524" i="1" a="1"/>
  <c r="M2524" i="1"/>
  <c r="M2525" i="1" a="1"/>
  <c r="M2525" i="1"/>
  <c r="M2526" i="1" a="1"/>
  <c r="M2526" i="1" s="1"/>
  <c r="M2527" i="1" a="1"/>
  <c r="M2527" i="1"/>
  <c r="M2528" i="1" a="1"/>
  <c r="M2528" i="1" s="1"/>
  <c r="M2529" i="1" a="1"/>
  <c r="M2529" i="1"/>
  <c r="M2530" i="1" a="1"/>
  <c r="M2530" i="1"/>
  <c r="M2531" i="1" a="1"/>
  <c r="M2531" i="1"/>
  <c r="M2532" i="1" a="1"/>
  <c r="M2532" i="1" s="1"/>
  <c r="M2533" i="1" a="1"/>
  <c r="M2533" i="1"/>
  <c r="M2534" i="1" a="1"/>
  <c r="M2534" i="1"/>
  <c r="M2535" i="1" a="1"/>
  <c r="M2535" i="1" s="1"/>
  <c r="M2536" i="1" a="1"/>
  <c r="M2536" i="1" s="1"/>
  <c r="M2537" i="1" a="1"/>
  <c r="M2537" i="1"/>
  <c r="M2538" i="1" a="1"/>
  <c r="M2538" i="1" s="1"/>
  <c r="M2539" i="1" a="1"/>
  <c r="M2539" i="1"/>
  <c r="M2540" i="1" a="1"/>
  <c r="M2540" i="1"/>
  <c r="M2541" i="1" a="1"/>
  <c r="M2541" i="1" s="1"/>
  <c r="M2542" i="1" a="1"/>
  <c r="M2542" i="1"/>
  <c r="M2543" i="1" a="1"/>
  <c r="M2543" i="1" s="1"/>
  <c r="M2544" i="1" a="1"/>
  <c r="M2544" i="1" s="1"/>
  <c r="M2545" i="1" a="1"/>
  <c r="M2545" i="1"/>
  <c r="M2546" i="1" a="1"/>
  <c r="M2546" i="1"/>
  <c r="M2547" i="1" a="1"/>
  <c r="M2547" i="1"/>
  <c r="M2548" i="1" a="1"/>
  <c r="M2548" i="1" s="1"/>
  <c r="M2549" i="1" a="1"/>
  <c r="M2549" i="1"/>
  <c r="M2550" i="1" a="1"/>
  <c r="M2550" i="1" s="1"/>
  <c r="M2551" i="1" a="1"/>
  <c r="M2551" i="1" s="1"/>
  <c r="M2552" i="1" a="1"/>
  <c r="M2552" i="1"/>
  <c r="M2553" i="1" a="1"/>
  <c r="M2553" i="1"/>
  <c r="M2554" i="1" a="1"/>
  <c r="M2554" i="1" s="1"/>
  <c r="M2555" i="1" a="1"/>
  <c r="M2555" i="1"/>
  <c r="M2556" i="1" a="1"/>
  <c r="M2556" i="1" s="1"/>
  <c r="M2557" i="1" a="1"/>
  <c r="M2557" i="1"/>
  <c r="M2558" i="1" a="1"/>
  <c r="M2558" i="1" s="1"/>
  <c r="M2559" i="1" a="1"/>
  <c r="M2559" i="1"/>
  <c r="M2560" i="1" a="1"/>
  <c r="M2560" i="1"/>
  <c r="M2561" i="1" a="1"/>
  <c r="M2561" i="1" s="1"/>
  <c r="M2562" i="1" a="1"/>
  <c r="M2562" i="1" s="1"/>
  <c r="M2563" i="1" a="1"/>
  <c r="M2563" i="1"/>
  <c r="M2564" i="1" a="1"/>
  <c r="M2564" i="1"/>
  <c r="M2565" i="1" a="1"/>
  <c r="M2565" i="1" s="1"/>
  <c r="M2566" i="1" a="1"/>
  <c r="M2566" i="1"/>
  <c r="M2567" i="1" a="1"/>
  <c r="M2567" i="1" s="1"/>
  <c r="M2568" i="1" a="1"/>
  <c r="M2568" i="1" s="1"/>
  <c r="M2569" i="1" a="1"/>
  <c r="M2569" i="1"/>
  <c r="M2570" i="1" a="1"/>
  <c r="M2570" i="1"/>
  <c r="M2571" i="1" a="1"/>
  <c r="M2571" i="1"/>
  <c r="M2572" i="1" a="1"/>
  <c r="M2572" i="1" s="1"/>
  <c r="M2573" i="1" a="1"/>
  <c r="M2573" i="1"/>
  <c r="M2574" i="1" a="1"/>
  <c r="M2574" i="1" s="1"/>
  <c r="M2575" i="1" a="1"/>
  <c r="M2575" i="1"/>
  <c r="M2576" i="1" a="1"/>
  <c r="M2576" i="1"/>
  <c r="M2577" i="1" a="1"/>
  <c r="M2577" i="1"/>
  <c r="M2578" i="1" a="1"/>
  <c r="M2578" i="1" s="1"/>
  <c r="M2579" i="1" a="1"/>
  <c r="M2579" i="1"/>
  <c r="M2580" i="1" a="1"/>
  <c r="M2580" i="1" s="1"/>
  <c r="M2581" i="1" a="1"/>
  <c r="M2581" i="1" s="1"/>
  <c r="M2582" i="1" a="1"/>
  <c r="M2582" i="1"/>
  <c r="M2583" i="1" a="1"/>
  <c r="M2583" i="1"/>
  <c r="M2584" i="1" a="1"/>
  <c r="M2584" i="1"/>
  <c r="M2585" i="1" a="1"/>
  <c r="M2585" i="1" s="1"/>
  <c r="M2586" i="1" a="1"/>
  <c r="M2586" i="1" s="1"/>
  <c r="M2587" i="1" a="1"/>
  <c r="M2587" i="1" s="1"/>
  <c r="M2588" i="1" a="1"/>
  <c r="M2588" i="1"/>
  <c r="M2589" i="1" a="1"/>
  <c r="M2589" i="1"/>
  <c r="M2590" i="1" a="1"/>
  <c r="M2590" i="1"/>
  <c r="M2591" i="1" a="1"/>
  <c r="M2591" i="1"/>
  <c r="M2592" i="1" a="1"/>
  <c r="M2592" i="1" s="1"/>
  <c r="M2593" i="1" a="1"/>
  <c r="M2593" i="1" s="1"/>
  <c r="M2594" i="1" a="1"/>
  <c r="M2594" i="1" s="1"/>
  <c r="M2595" i="1" a="1"/>
  <c r="M2595" i="1"/>
  <c r="M2596" i="1" a="1"/>
  <c r="M2596" i="1"/>
  <c r="M2597" i="1" a="1"/>
  <c r="M2597" i="1"/>
  <c r="M2598" i="1" a="1"/>
  <c r="M2598" i="1" s="1"/>
  <c r="M2599" i="1" a="1"/>
  <c r="M2599" i="1"/>
  <c r="M2600" i="1" a="1"/>
  <c r="M2600" i="1" s="1"/>
  <c r="M2601" i="1" a="1"/>
  <c r="M2601" i="1"/>
  <c r="M2602" i="1" a="1"/>
  <c r="M2602" i="1"/>
  <c r="M2603" i="1" a="1"/>
  <c r="M2603" i="1"/>
  <c r="M2604" i="1" a="1"/>
  <c r="M2604" i="1" s="1"/>
  <c r="M2605" i="1" a="1"/>
  <c r="M2605" i="1"/>
  <c r="M2606" i="1" a="1"/>
  <c r="M2606" i="1"/>
  <c r="M2607" i="1" a="1"/>
  <c r="M2607" i="1" s="1"/>
  <c r="M2608" i="1" a="1"/>
  <c r="M2608" i="1"/>
  <c r="M2609" i="1" a="1"/>
  <c r="M2609" i="1"/>
  <c r="M2610" i="1" a="1"/>
  <c r="M2610" i="1" s="1"/>
  <c r="M2611" i="1" a="1"/>
  <c r="M2611" i="1"/>
  <c r="M2612" i="1" a="1"/>
  <c r="M2612" i="1"/>
  <c r="M2613" i="1" a="1"/>
  <c r="M2613" i="1" s="1"/>
  <c r="M2614" i="1" a="1"/>
  <c r="M2614" i="1"/>
  <c r="M2615" i="1" a="1"/>
  <c r="M2615" i="1"/>
  <c r="M2616" i="1" a="1"/>
  <c r="M2616" i="1" s="1"/>
  <c r="M2617" i="1" a="1"/>
  <c r="M2617" i="1"/>
  <c r="M2618" i="1" a="1"/>
  <c r="M2618" i="1"/>
  <c r="M2619" i="1" a="1"/>
  <c r="M2619" i="1"/>
  <c r="M2620" i="1" a="1"/>
  <c r="M2620" i="1" s="1"/>
  <c r="M2621" i="1" a="1"/>
  <c r="M2621" i="1" s="1"/>
  <c r="M2622" i="1" a="1"/>
  <c r="M2622" i="1" s="1"/>
  <c r="M2623" i="1" a="1"/>
  <c r="M2623" i="1"/>
  <c r="M2624" i="1" a="1"/>
  <c r="M2624" i="1"/>
  <c r="M2625" i="1" a="1"/>
  <c r="M2625" i="1"/>
  <c r="M2626" i="1" a="1"/>
  <c r="M2626" i="1" s="1"/>
  <c r="M2627" i="1" a="1"/>
  <c r="M2627" i="1"/>
  <c r="M2628" i="1" a="1"/>
  <c r="M2628" i="1" s="1"/>
  <c r="M2629" i="1" a="1"/>
  <c r="M2629" i="1" s="1"/>
  <c r="M2630" i="1" a="1"/>
  <c r="M2630" i="1"/>
  <c r="M2631" i="1" a="1"/>
  <c r="M2631" i="1"/>
  <c r="M2632" i="1" a="1"/>
  <c r="M2632" i="1"/>
  <c r="M2633" i="1" a="1"/>
  <c r="M2633" i="1" s="1"/>
  <c r="M2634" i="1" a="1"/>
  <c r="M2634" i="1" s="1"/>
  <c r="M2635" i="1" a="1"/>
  <c r="M2635" i="1"/>
  <c r="M2636" i="1" a="1"/>
  <c r="M2636" i="1" s="1"/>
  <c r="M2637" i="1" a="1"/>
  <c r="M2637" i="1"/>
  <c r="M2638" i="1" a="1"/>
  <c r="M2638" i="1"/>
  <c r="M2639" i="1" a="1"/>
  <c r="M2639" i="1" s="1"/>
  <c r="M2640" i="1" a="1"/>
  <c r="M2640" i="1" s="1"/>
  <c r="M2641" i="1" a="1"/>
  <c r="M2641" i="1"/>
  <c r="M2642" i="1" a="1"/>
  <c r="M2642" i="1"/>
  <c r="M2643" i="1" a="1"/>
  <c r="M2643" i="1" s="1"/>
  <c r="M2644" i="1" a="1"/>
  <c r="M2644" i="1"/>
  <c r="M2645" i="1" a="1"/>
  <c r="M2645" i="1"/>
  <c r="M2646" i="1" a="1"/>
  <c r="M2646" i="1" s="1"/>
  <c r="M2647" i="1" a="1"/>
  <c r="M2647" i="1"/>
  <c r="M2648" i="1" a="1"/>
  <c r="M2648" i="1"/>
  <c r="M2649" i="1" a="1"/>
  <c r="M2649" i="1" s="1"/>
  <c r="M2650" i="1" a="1"/>
  <c r="M2650" i="1"/>
  <c r="M2651" i="1" a="1"/>
  <c r="M2651" i="1"/>
  <c r="M2652" i="1" a="1"/>
  <c r="M2652" i="1" s="1"/>
  <c r="M2653" i="1" a="1"/>
  <c r="M2653" i="1" s="1"/>
  <c r="M2654" i="1" a="1"/>
  <c r="M2654" i="1"/>
  <c r="M2655" i="1" a="1"/>
  <c r="M2655" i="1"/>
  <c r="M2656" i="1" a="1"/>
  <c r="M2656" i="1" s="1"/>
  <c r="M2657" i="1" a="1"/>
  <c r="M2657" i="1"/>
  <c r="M2658" i="1" a="1"/>
  <c r="M2658" i="1" s="1"/>
  <c r="M2659" i="1" a="1"/>
  <c r="M2659" i="1" s="1"/>
  <c r="M2660" i="1" a="1"/>
  <c r="M2660" i="1"/>
  <c r="M2661" i="1" a="1"/>
  <c r="M2661" i="1"/>
  <c r="M2662" i="1" a="1"/>
  <c r="M2662" i="1"/>
  <c r="M2663" i="1" a="1"/>
  <c r="M2663" i="1" s="1"/>
  <c r="M2664" i="1" a="1"/>
  <c r="M2664" i="1" s="1"/>
  <c r="M2665" i="1" a="1"/>
  <c r="M2665" i="1"/>
  <c r="M2666" i="1" a="1"/>
  <c r="M2666" i="1" s="1"/>
  <c r="M2667" i="1" a="1"/>
  <c r="M2667" i="1"/>
  <c r="M2668" i="1" a="1"/>
  <c r="M2668" i="1"/>
  <c r="M2669" i="1" a="1"/>
  <c r="M2669" i="1"/>
  <c r="M2670" i="1" a="1"/>
  <c r="M2670" i="1" s="1"/>
  <c r="M2671" i="1" a="1"/>
  <c r="M2671" i="1" s="1"/>
  <c r="M2672" i="1" a="1"/>
  <c r="M2672" i="1" s="1"/>
  <c r="M2673" i="1" a="1"/>
  <c r="M2673" i="1"/>
  <c r="M2674" i="1" a="1"/>
  <c r="M2674" i="1"/>
  <c r="M2675" i="1" a="1"/>
  <c r="M2675" i="1"/>
  <c r="M2676" i="1" a="1"/>
  <c r="M2676" i="1" s="1"/>
  <c r="M2677" i="1" a="1"/>
  <c r="M2677" i="1"/>
  <c r="M2678" i="1" a="1"/>
  <c r="M2678" i="1" s="1"/>
  <c r="M2679" i="1" a="1"/>
  <c r="M2679" i="1" s="1"/>
  <c r="M2680" i="1" a="1"/>
  <c r="M2680" i="1"/>
  <c r="M2681" i="1" a="1"/>
  <c r="M2681" i="1"/>
  <c r="M2682" i="1" a="1"/>
  <c r="M2682" i="1" s="1"/>
  <c r="M2683" i="1" a="1"/>
  <c r="M2683" i="1"/>
  <c r="M2684" i="1" a="1"/>
  <c r="M2684" i="1"/>
  <c r="M2685" i="1" a="1"/>
  <c r="M2685" i="1" s="1"/>
  <c r="M2686" i="1" a="1"/>
  <c r="M2686" i="1"/>
  <c r="M2687" i="1" a="1"/>
  <c r="M2687" i="1"/>
  <c r="M2688" i="1" a="1"/>
  <c r="M2688" i="1" s="1"/>
  <c r="M2689" i="1" a="1"/>
  <c r="M2689" i="1"/>
  <c r="M2690" i="1" a="1"/>
  <c r="M2690" i="1"/>
  <c r="M2691" i="1" a="1"/>
  <c r="M2691" i="1"/>
  <c r="M2692" i="1" a="1"/>
  <c r="M2692" i="1" s="1"/>
  <c r="M2693" i="1" a="1"/>
  <c r="M2693" i="1"/>
  <c r="M2694" i="1" a="1"/>
  <c r="M2694" i="1" s="1"/>
  <c r="M2695" i="1" a="1"/>
  <c r="M2695" i="1"/>
  <c r="M2696" i="1" a="1"/>
  <c r="M2696" i="1"/>
  <c r="M2697" i="1" a="1"/>
  <c r="M2697" i="1"/>
  <c r="M2698" i="1" a="1"/>
  <c r="M2698" i="1" s="1"/>
  <c r="M2699" i="1" a="1"/>
  <c r="M2699" i="1"/>
  <c r="M2700" i="1" a="1"/>
  <c r="M2700" i="1" s="1"/>
  <c r="M2701" i="1" a="1"/>
  <c r="M2701" i="1"/>
  <c r="M2702" i="1" a="1"/>
  <c r="M2702" i="1"/>
  <c r="M2703" i="1" a="1"/>
  <c r="M2703" i="1"/>
  <c r="M2704" i="1" a="1"/>
  <c r="M2704" i="1"/>
  <c r="M2705" i="1" a="1"/>
  <c r="M2705" i="1" s="1"/>
  <c r="M2706" i="1" a="1"/>
  <c r="M2706" i="1" s="1"/>
  <c r="M2707" i="1" a="1"/>
  <c r="M2707" i="1" s="1"/>
  <c r="M2708" i="1" a="1"/>
  <c r="M2708" i="1"/>
  <c r="M2709" i="1" a="1"/>
  <c r="M2709" i="1"/>
  <c r="M2710" i="1" a="1"/>
  <c r="M2710" i="1"/>
  <c r="M2711" i="1" a="1"/>
  <c r="M2711" i="1" s="1"/>
  <c r="M2712" i="1" a="1"/>
  <c r="M2712" i="1" s="1"/>
  <c r="M2713" i="1" a="1"/>
  <c r="M2713" i="1"/>
  <c r="M2714" i="1" a="1"/>
  <c r="M2714" i="1" s="1"/>
  <c r="M2715" i="1" a="1"/>
  <c r="M2715" i="1"/>
  <c r="M2716" i="1" a="1"/>
  <c r="M2716" i="1"/>
  <c r="M2717" i="1" a="1"/>
  <c r="M2717" i="1"/>
  <c r="M2718" i="1" a="1"/>
  <c r="M2718" i="1" s="1"/>
  <c r="M2719" i="1" a="1"/>
  <c r="M2719" i="1"/>
  <c r="M2720" i="1" a="1"/>
  <c r="M2720" i="1" s="1"/>
  <c r="M2721" i="1" a="1"/>
  <c r="M2721" i="1"/>
  <c r="M2722" i="1" a="1"/>
  <c r="M2722" i="1"/>
  <c r="M2723" i="1" a="1"/>
  <c r="M2723" i="1"/>
  <c r="M2724" i="1" a="1"/>
  <c r="M2724" i="1" s="1"/>
  <c r="M2725" i="1" a="1"/>
  <c r="M2725" i="1" s="1"/>
  <c r="M2726" i="1" a="1"/>
  <c r="M2726" i="1"/>
  <c r="M2727" i="1" a="1"/>
  <c r="M2727" i="1" s="1"/>
  <c r="M2728" i="1" a="1"/>
  <c r="M2728" i="1"/>
  <c r="M2729" i="1" a="1"/>
  <c r="M2729" i="1"/>
  <c r="M2730" i="1" a="1"/>
  <c r="M2730" i="1" s="1"/>
  <c r="M2731" i="1" a="1"/>
  <c r="M2731" i="1" s="1"/>
  <c r="M2732" i="1" a="1"/>
  <c r="M2732" i="1"/>
  <c r="M2733" i="1" a="1"/>
  <c r="M2733" i="1"/>
  <c r="M2734" i="1" a="1"/>
  <c r="M2734" i="1" s="1"/>
  <c r="M2735" i="1" a="1"/>
  <c r="M2735" i="1"/>
  <c r="M2736" i="1" a="1"/>
  <c r="M2736" i="1" s="1"/>
  <c r="M2737" i="1" a="1"/>
  <c r="M2737" i="1"/>
  <c r="M2738" i="1" a="1"/>
  <c r="M2738" i="1" s="1"/>
  <c r="M2739" i="1" a="1"/>
  <c r="M2739" i="1"/>
  <c r="M2740" i="1" a="1"/>
  <c r="M2740" i="1"/>
  <c r="M2741" i="1" a="1"/>
  <c r="M2741" i="1" s="1"/>
  <c r="M2742" i="1" a="1"/>
  <c r="M2742" i="1" s="1"/>
  <c r="M2743" i="1" a="1"/>
  <c r="M2743" i="1"/>
  <c r="M2744" i="1" a="1"/>
  <c r="M2744" i="1" s="1"/>
  <c r="M2745" i="1" a="1"/>
  <c r="M2745" i="1"/>
  <c r="M2746" i="1" a="1"/>
  <c r="M2746" i="1"/>
  <c r="M2747" i="1" a="1"/>
  <c r="M2747" i="1"/>
  <c r="M2748" i="1" a="1"/>
  <c r="M2748" i="1" s="1"/>
  <c r="M2749" i="1" a="1"/>
  <c r="M2749" i="1" s="1"/>
  <c r="M2750" i="1" a="1"/>
  <c r="M2750" i="1"/>
  <c r="M2751" i="1" a="1"/>
  <c r="M2751" i="1" s="1"/>
  <c r="M2752" i="1" a="1"/>
  <c r="M2752" i="1"/>
  <c r="M2753" i="1" a="1"/>
  <c r="M2753" i="1"/>
  <c r="M2754" i="1" a="1"/>
  <c r="M2754" i="1" s="1"/>
  <c r="M2755" i="1" a="1"/>
  <c r="M2755" i="1"/>
  <c r="M2756" i="1" a="1"/>
  <c r="M2756" i="1" s="1"/>
  <c r="M2757" i="1" a="1"/>
  <c r="M2757" i="1" s="1"/>
  <c r="M2758" i="1" a="1"/>
  <c r="M2758" i="1"/>
  <c r="M2759" i="1" a="1"/>
  <c r="M2759" i="1"/>
  <c r="M2760" i="1" a="1"/>
  <c r="M2760" i="1" s="1"/>
  <c r="M2761" i="1" a="1"/>
  <c r="M2761" i="1"/>
  <c r="M2762" i="1" a="1"/>
  <c r="M2762" i="1"/>
  <c r="M2763" i="1" a="1"/>
  <c r="M2763" i="1" s="1"/>
  <c r="M2764" i="1" a="1"/>
  <c r="M2764" i="1" s="1"/>
  <c r="M2765" i="1" a="1"/>
  <c r="M2765" i="1"/>
  <c r="M2766" i="1" a="1"/>
  <c r="M2766" i="1" s="1"/>
  <c r="M2767" i="1" a="1"/>
  <c r="M2767" i="1"/>
  <c r="M2768" i="1" a="1"/>
  <c r="M2768" i="1"/>
  <c r="M2769" i="1" a="1"/>
  <c r="M2769" i="1"/>
  <c r="M2770" i="1" a="1"/>
  <c r="M2770" i="1" s="1"/>
  <c r="M2771" i="1" a="1"/>
  <c r="M2771" i="1"/>
  <c r="M2772" i="1" a="1"/>
  <c r="M2772" i="1" s="1"/>
  <c r="M2773" i="1" a="1"/>
  <c r="M2773" i="1"/>
  <c r="M2774" i="1" a="1"/>
  <c r="M2774" i="1"/>
  <c r="M2775" i="1" a="1"/>
  <c r="M2775" i="1"/>
  <c r="M2776" i="1" a="1"/>
  <c r="M2776" i="1"/>
  <c r="M2777" i="1" a="1"/>
  <c r="M2777" i="1" s="1"/>
  <c r="M2778" i="1" a="1"/>
  <c r="M2778" i="1" s="1"/>
  <c r="M2779" i="1" a="1"/>
  <c r="M2779" i="1"/>
  <c r="M2780" i="1" a="1"/>
  <c r="M2780" i="1"/>
  <c r="M2781" i="1" a="1"/>
  <c r="M2781" i="1"/>
  <c r="M2782" i="1" a="1"/>
  <c r="M2782" i="1"/>
  <c r="M2783" i="1" a="1"/>
  <c r="M2783" i="1" s="1"/>
  <c r="M2784" i="1" a="1"/>
  <c r="M2784" i="1" s="1"/>
  <c r="M2785" i="1" a="1"/>
  <c r="M2785" i="1" s="1"/>
  <c r="M2786" i="1" a="1"/>
  <c r="M2786" i="1"/>
  <c r="M2787" i="1" a="1"/>
  <c r="M2787" i="1"/>
  <c r="M2788" i="1" a="1"/>
  <c r="M2788" i="1"/>
  <c r="M2789" i="1" a="1"/>
  <c r="M2789" i="1"/>
  <c r="M2790" i="1" a="1"/>
  <c r="M2790" i="1" s="1"/>
  <c r="M2791" i="1" a="1"/>
  <c r="M2791" i="1"/>
  <c r="M2792" i="1" a="1"/>
  <c r="M2792" i="1"/>
  <c r="M2793" i="1" a="1"/>
  <c r="M2793" i="1"/>
  <c r="M2794" i="1" a="1"/>
  <c r="M2794" i="1"/>
  <c r="M2795" i="1" a="1"/>
  <c r="M2795" i="1"/>
  <c r="M2796" i="1" a="1"/>
  <c r="M2796" i="1" s="1"/>
  <c r="M2797" i="1" a="1"/>
  <c r="M2797" i="1" s="1"/>
  <c r="M2798" i="1" a="1"/>
  <c r="M2798" i="1" s="1"/>
  <c r="M2799" i="1" a="1"/>
  <c r="M2799" i="1"/>
  <c r="M2800" i="1" a="1"/>
  <c r="M2800" i="1"/>
  <c r="M2801" i="1" a="1"/>
  <c r="M2801" i="1"/>
  <c r="M2802" i="1" a="1"/>
  <c r="M2802" i="1" s="1"/>
  <c r="M2803" i="1" a="1"/>
  <c r="M2803" i="1" s="1"/>
  <c r="M2804" i="1" a="1"/>
  <c r="M2804" i="1"/>
  <c r="M2805" i="1" a="1"/>
  <c r="M2805" i="1" s="1"/>
  <c r="M2806" i="1" a="1"/>
  <c r="M2806" i="1"/>
  <c r="M2807" i="1" a="1"/>
  <c r="M2807" i="1"/>
  <c r="M2808" i="1" a="1"/>
  <c r="M2808" i="1" s="1"/>
  <c r="M2809" i="1" a="1"/>
  <c r="M2809" i="1"/>
  <c r="M2810" i="1" a="1"/>
  <c r="M2810" i="1" s="1"/>
  <c r="M2811" i="1" a="1"/>
  <c r="M2811" i="1"/>
  <c r="M2812" i="1" a="1"/>
  <c r="M2812" i="1" s="1"/>
  <c r="M2813" i="1" a="1"/>
  <c r="M2813" i="1"/>
  <c r="M2814" i="1" a="1"/>
  <c r="M2814" i="1" s="1"/>
  <c r="M2815" i="1" a="1"/>
  <c r="M2815" i="1"/>
  <c r="M2816" i="1" a="1"/>
  <c r="M2816" i="1" s="1"/>
  <c r="M2817" i="1" a="1"/>
  <c r="M2817" i="1"/>
  <c r="M2818" i="1" a="1"/>
  <c r="M2818" i="1"/>
  <c r="M2819" i="1" a="1"/>
  <c r="M2819" i="1" s="1"/>
  <c r="M2820" i="1" a="1"/>
  <c r="M2820" i="1" s="1"/>
  <c r="M2821" i="1" a="1"/>
  <c r="M2821" i="1"/>
  <c r="M2822" i="1" a="1"/>
  <c r="M2822" i="1"/>
  <c r="M2823" i="1" a="1"/>
  <c r="M2823" i="1" s="1"/>
  <c r="M2824" i="1" a="1"/>
  <c r="M2824" i="1"/>
  <c r="M2825" i="1" a="1"/>
  <c r="M2825" i="1"/>
  <c r="M2826" i="1" a="1"/>
  <c r="M2826" i="1" s="1"/>
  <c r="M2827" i="1" a="1"/>
  <c r="M2827" i="1" s="1"/>
  <c r="M2828" i="1" a="1"/>
  <c r="M2828" i="1"/>
  <c r="M2829" i="1" a="1"/>
  <c r="M2829" i="1" s="1"/>
  <c r="M2830" i="1" a="1"/>
  <c r="M2830" i="1"/>
  <c r="M2831" i="1" a="1"/>
  <c r="M2831" i="1"/>
  <c r="M2832" i="1" a="1"/>
  <c r="M2832" i="1" s="1"/>
  <c r="M2833" i="1" a="1"/>
  <c r="M2833" i="1"/>
  <c r="M2834" i="1" a="1"/>
  <c r="M2834" i="1" s="1"/>
  <c r="M2835" i="1" a="1"/>
  <c r="M2835" i="1"/>
  <c r="M2836" i="1" a="1"/>
  <c r="M2836" i="1" s="1"/>
  <c r="M2837" i="1" a="1"/>
  <c r="M2837" i="1"/>
  <c r="M2838" i="1" a="1"/>
  <c r="M2838" i="1" s="1"/>
  <c r="M2839" i="1" a="1"/>
  <c r="M2839" i="1"/>
  <c r="M2840" i="1" a="1"/>
  <c r="M2840" i="1"/>
  <c r="M2841" i="1" a="1"/>
  <c r="M2841" i="1" s="1"/>
  <c r="M2842" i="1" a="1"/>
  <c r="M2842" i="1" s="1"/>
  <c r="M2843" i="1" a="1"/>
  <c r="M2843" i="1"/>
  <c r="M2844" i="1" a="1"/>
  <c r="M2844" i="1" s="1"/>
  <c r="M2845" i="1" a="1"/>
  <c r="M2845" i="1"/>
  <c r="M2846" i="1" a="1"/>
  <c r="M2846" i="1"/>
  <c r="M2847" i="1" a="1"/>
  <c r="M2847" i="1"/>
  <c r="M2848" i="1" a="1"/>
  <c r="M2848" i="1" s="1"/>
  <c r="M2849" i="1" a="1"/>
  <c r="M2849" i="1" s="1"/>
  <c r="M2850" i="1" a="1"/>
  <c r="M2850" i="1" s="1"/>
  <c r="M2851" i="1" a="1"/>
  <c r="M2851" i="1"/>
  <c r="M2852" i="1" a="1"/>
  <c r="M2852" i="1"/>
  <c r="M2853" i="1" a="1"/>
  <c r="M2853" i="1"/>
  <c r="M2854" i="1" a="1"/>
  <c r="M2854" i="1"/>
  <c r="M2855" i="1" a="1"/>
  <c r="M2855" i="1" s="1"/>
  <c r="M2856" i="1" a="1"/>
  <c r="M2856" i="1" s="1"/>
  <c r="M2857" i="1" a="1"/>
  <c r="M2857" i="1"/>
  <c r="M2858" i="1" a="1"/>
  <c r="M2858" i="1"/>
  <c r="M2859" i="1" a="1"/>
  <c r="M2859" i="1"/>
  <c r="M2860" i="1" a="1"/>
  <c r="M2860" i="1"/>
  <c r="M2861" i="1" a="1"/>
  <c r="M2861" i="1"/>
  <c r="M2862" i="1" a="1"/>
  <c r="M2862" i="1" s="1"/>
  <c r="M2863" i="1" a="1"/>
  <c r="M2863" i="1"/>
  <c r="M2864" i="1" a="1"/>
  <c r="M2864" i="1"/>
  <c r="M2865" i="1" a="1"/>
  <c r="M2865" i="1"/>
  <c r="M2866" i="1" a="1"/>
  <c r="M2866" i="1"/>
  <c r="M2867" i="1" a="1"/>
  <c r="M2867" i="1"/>
  <c r="M2868" i="1" a="1"/>
  <c r="M2868" i="1" s="1"/>
  <c r="M2869" i="1" a="1"/>
  <c r="M2869" i="1" s="1"/>
  <c r="M2870" i="1" a="1"/>
  <c r="M2870" i="1"/>
  <c r="M2871" i="1" a="1"/>
  <c r="M2871" i="1"/>
  <c r="M2872" i="1" a="1"/>
  <c r="M2872" i="1"/>
  <c r="M2873" i="1" a="1"/>
  <c r="M2873" i="1"/>
  <c r="M2874" i="1" a="1"/>
  <c r="M2874" i="1" s="1"/>
  <c r="M2875" i="1" a="1"/>
  <c r="M2875" i="1" s="1"/>
  <c r="M2876" i="1" a="1"/>
  <c r="M2876" i="1"/>
  <c r="M2877" i="1" a="1"/>
  <c r="M2877" i="1"/>
  <c r="M2878" i="1" a="1"/>
  <c r="M2878" i="1"/>
  <c r="M2879" i="1" a="1"/>
  <c r="M2879" i="1"/>
  <c r="M2880" i="1" a="1"/>
  <c r="M2880" i="1" s="1"/>
  <c r="M2881" i="1" a="1"/>
  <c r="M2881" i="1"/>
  <c r="M2882" i="1" a="1"/>
  <c r="M2882" i="1" s="1"/>
  <c r="M2883" i="1" a="1"/>
  <c r="M2883" i="1" s="1"/>
  <c r="M2884" i="1" a="1"/>
  <c r="M2884" i="1"/>
  <c r="M2885" i="1" a="1"/>
  <c r="M2885" i="1"/>
  <c r="M2886" i="1" a="1"/>
  <c r="M2886" i="1" s="1"/>
  <c r="M2887" i="1" a="1"/>
  <c r="M2887" i="1"/>
  <c r="M2888" i="1" a="1"/>
  <c r="M2888" i="1" s="1"/>
  <c r="M2889" i="1" a="1"/>
  <c r="M2889" i="1"/>
  <c r="M2890" i="1" a="1"/>
  <c r="M2890" i="1" s="1"/>
  <c r="M2891" i="1" a="1"/>
  <c r="M2891" i="1"/>
  <c r="M2892" i="1" a="1"/>
  <c r="M2892" i="1" s="1"/>
  <c r="M2893" i="1" a="1"/>
  <c r="M2893" i="1"/>
  <c r="M2894" i="1" a="1"/>
  <c r="M2894" i="1"/>
  <c r="M2895" i="1" a="1"/>
  <c r="M2895" i="1" s="1"/>
  <c r="M2896" i="1" a="1"/>
  <c r="M2896" i="1"/>
  <c r="M2897" i="1" a="1"/>
  <c r="M2897" i="1" s="1"/>
  <c r="M2898" i="1" a="1"/>
  <c r="M2898" i="1" s="1"/>
  <c r="M2899" i="1" a="1"/>
  <c r="M2899" i="1"/>
  <c r="M2900" i="1" a="1"/>
  <c r="M2900" i="1"/>
  <c r="M2901" i="1" a="1"/>
  <c r="M2901" i="1" s="1"/>
  <c r="M2902" i="1" a="1"/>
  <c r="M2902" i="1"/>
  <c r="M2903" i="1" a="1"/>
  <c r="M2903" i="1"/>
  <c r="M2904" i="1" a="1"/>
  <c r="M2904" i="1" s="1"/>
  <c r="M2905" i="1" a="1"/>
  <c r="M2905" i="1" s="1"/>
  <c r="M2906" i="1" a="1"/>
  <c r="M2906" i="1"/>
  <c r="M2907" i="1" a="1"/>
  <c r="M2907" i="1"/>
  <c r="M2908" i="1" a="1"/>
  <c r="M2908" i="1" s="1"/>
  <c r="M2909" i="1" a="1"/>
  <c r="M2909" i="1"/>
  <c r="M2910" i="1" a="1"/>
  <c r="M2910" i="1" s="1"/>
  <c r="M2911" i="1" a="1"/>
  <c r="M2911" i="1"/>
  <c r="M2912" i="1" a="1"/>
  <c r="M2912" i="1" s="1"/>
  <c r="M2913" i="1" a="1"/>
  <c r="M2913" i="1"/>
  <c r="M2914" i="1" a="1"/>
  <c r="M2914" i="1" s="1"/>
  <c r="M2915" i="1" a="1"/>
  <c r="M2915" i="1"/>
  <c r="M2916" i="1" a="1"/>
  <c r="M2916" i="1" s="1"/>
  <c r="M2917" i="1" a="1"/>
  <c r="M2917" i="1"/>
  <c r="M2918" i="1" a="1"/>
  <c r="M2918" i="1"/>
  <c r="M2919" i="1" a="1"/>
  <c r="M2919" i="1" s="1"/>
  <c r="M2920" i="1" a="1"/>
  <c r="M2920" i="1"/>
  <c r="M2921" i="1" a="1"/>
  <c r="M2921" i="1" s="1"/>
  <c r="M2922" i="1" a="1"/>
  <c r="M2922" i="1" s="1"/>
  <c r="M2923" i="1" a="1"/>
  <c r="M2923" i="1"/>
  <c r="M2924" i="1" a="1"/>
  <c r="M2924" i="1"/>
  <c r="M2925" i="1" a="1"/>
  <c r="M2925" i="1"/>
  <c r="M2926" i="1" a="1"/>
  <c r="M2926" i="1" s="1"/>
  <c r="M2927" i="1" a="1"/>
  <c r="M2927" i="1" s="1"/>
  <c r="M2928" i="1" a="1"/>
  <c r="M2928" i="1" s="1"/>
  <c r="M2929" i="1" a="1"/>
  <c r="M2929" i="1"/>
  <c r="M2930" i="1" a="1"/>
  <c r="M2930" i="1"/>
  <c r="M2931" i="1" a="1"/>
  <c r="M2931" i="1"/>
  <c r="M2932" i="1" a="1"/>
  <c r="M2932" i="1"/>
  <c r="M2933" i="1" a="1"/>
  <c r="M2933" i="1" s="1"/>
  <c r="M2934" i="1" a="1"/>
  <c r="M2934" i="1" s="1"/>
  <c r="M2935" i="1" a="1"/>
  <c r="M2935" i="1"/>
  <c r="M2936" i="1" a="1"/>
  <c r="M2936" i="1"/>
  <c r="M2937" i="1" a="1"/>
  <c r="M2937" i="1"/>
  <c r="M2938" i="1" a="1"/>
  <c r="M2938" i="1"/>
  <c r="M2939" i="1" a="1"/>
  <c r="M2939" i="1" s="1"/>
  <c r="M2940" i="1" a="1"/>
  <c r="M2940" i="1" s="1"/>
  <c r="M2941" i="1" a="1"/>
  <c r="M2941" i="1" s="1"/>
  <c r="M2942" i="1" a="1"/>
  <c r="M2942" i="1"/>
  <c r="M2943" i="1" a="1"/>
  <c r="M2943" i="1"/>
  <c r="M2944" i="1" a="1"/>
  <c r="M2944" i="1"/>
  <c r="M2945" i="1" a="1"/>
  <c r="M2945" i="1"/>
  <c r="M2946" i="1" a="1"/>
  <c r="M2946" i="1" s="1"/>
  <c r="M2947" i="1" a="1"/>
  <c r="M2947" i="1" s="1"/>
  <c r="M2948" i="1" a="1"/>
  <c r="M2948" i="1"/>
  <c r="M2949" i="1" a="1"/>
  <c r="M2949" i="1"/>
  <c r="M2950" i="1" a="1"/>
  <c r="M2950" i="1"/>
  <c r="M2951" i="1" a="1"/>
  <c r="M2951" i="1"/>
  <c r="M2952" i="1" a="1"/>
  <c r="M2952" i="1" s="1"/>
  <c r="M2953" i="1" a="1"/>
  <c r="M2953" i="1"/>
  <c r="M2954" i="1" a="1"/>
  <c r="M2954" i="1" s="1"/>
  <c r="M2955" i="1" a="1"/>
  <c r="M2955" i="1"/>
  <c r="M2956" i="1" a="1"/>
  <c r="M2956" i="1"/>
  <c r="M2957" i="1" a="1"/>
  <c r="M2957" i="1"/>
  <c r="M2958" i="1" a="1"/>
  <c r="M2958" i="1" s="1"/>
  <c r="M2959" i="1" a="1"/>
  <c r="M2959" i="1"/>
  <c r="M2960" i="1" a="1"/>
  <c r="M2960" i="1" s="1"/>
  <c r="M2961" i="1" a="1"/>
  <c r="M2961" i="1"/>
  <c r="M2962" i="1" a="1"/>
  <c r="M2962" i="1"/>
  <c r="M2963" i="1" a="1"/>
  <c r="M2963" i="1"/>
  <c r="M2964" i="1" a="1"/>
  <c r="M2964" i="1" s="1"/>
  <c r="M2965" i="1" a="1"/>
  <c r="M2965" i="1"/>
  <c r="M2966" i="1" a="1"/>
  <c r="M2966" i="1"/>
  <c r="M2967" i="1" a="1"/>
  <c r="M2967" i="1" s="1"/>
  <c r="M2968" i="1" a="1"/>
  <c r="M2968" i="1" s="1"/>
  <c r="M2969" i="1" a="1"/>
  <c r="M2969" i="1"/>
  <c r="M2970" i="1" a="1"/>
  <c r="M2970" i="1" s="1"/>
  <c r="M2971" i="1" a="1"/>
  <c r="M2971" i="1"/>
  <c r="M2972" i="1" a="1"/>
  <c r="M2972" i="1"/>
  <c r="M2973" i="1" a="1"/>
  <c r="M2973" i="1" s="1"/>
  <c r="M2974" i="1" a="1"/>
  <c r="M2974" i="1"/>
  <c r="M2975" i="1" a="1"/>
  <c r="M2975" i="1" s="1"/>
  <c r="M2976" i="1" a="1"/>
  <c r="M2976" i="1" s="1"/>
  <c r="M2977" i="1" a="1"/>
  <c r="M2977" i="1"/>
  <c r="M2978" i="1" a="1"/>
  <c r="M2978" i="1"/>
  <c r="M2979" i="1" a="1"/>
  <c r="M2979" i="1"/>
  <c r="M2980" i="1" a="1"/>
  <c r="M2980" i="1" s="1"/>
  <c r="M2981" i="1" a="1"/>
  <c r="M2981" i="1"/>
  <c r="M2982" i="1" a="1"/>
  <c r="M2982" i="1" s="1"/>
  <c r="M2983" i="1" a="1"/>
  <c r="M2983" i="1" s="1"/>
  <c r="M2984" i="1" a="1"/>
  <c r="M2984" i="1"/>
  <c r="M2985" i="1" a="1"/>
  <c r="M2985" i="1"/>
  <c r="M2986" i="1" a="1"/>
  <c r="M2986" i="1" s="1"/>
  <c r="M2987" i="1" a="1"/>
  <c r="M2987" i="1"/>
  <c r="M2988" i="1" a="1"/>
  <c r="M2988" i="1" s="1"/>
  <c r="M2989" i="1" a="1"/>
  <c r="M2989" i="1"/>
  <c r="M2990" i="1" a="1"/>
  <c r="M2990" i="1" s="1"/>
  <c r="M2991" i="1" a="1"/>
  <c r="M2991" i="1"/>
  <c r="M2992" i="1" a="1"/>
  <c r="M2992" i="1"/>
  <c r="M2993" i="1" a="1"/>
  <c r="M2993" i="1" s="1"/>
  <c r="M2994" i="1" a="1"/>
  <c r="M2994" i="1" s="1"/>
  <c r="M2995" i="1" a="1"/>
  <c r="M2995" i="1"/>
  <c r="M2996" i="1" a="1"/>
  <c r="M2996" i="1"/>
  <c r="M2997" i="1" a="1"/>
  <c r="M2997" i="1" s="1"/>
  <c r="M2998" i="1" a="1"/>
  <c r="M2998" i="1"/>
  <c r="M2999" i="1" a="1"/>
  <c r="M2999" i="1" s="1"/>
  <c r="M3000" i="1" a="1"/>
  <c r="M3000" i="1" s="1"/>
  <c r="M3001" i="1" a="1"/>
  <c r="M3001" i="1"/>
  <c r="M3002" i="1" a="1"/>
  <c r="M3002" i="1"/>
  <c r="M3003" i="1" a="1"/>
  <c r="M3003" i="1"/>
  <c r="M3004" i="1" a="1"/>
  <c r="M3004" i="1" s="1"/>
  <c r="M3005" i="1" a="1"/>
  <c r="M3005" i="1"/>
  <c r="M3006" i="1" a="1"/>
  <c r="M3006" i="1" s="1"/>
  <c r="M3007" i="1" a="1"/>
  <c r="M3007" i="1"/>
  <c r="M3008" i="1" a="1"/>
  <c r="M3008" i="1"/>
  <c r="M3009" i="1" a="1"/>
  <c r="M3009" i="1"/>
  <c r="M3010" i="1" a="1"/>
  <c r="M3010" i="1" s="1"/>
  <c r="M3011" i="1" a="1"/>
  <c r="M3011" i="1"/>
  <c r="M3012" i="1" a="1"/>
  <c r="M3012" i="1" s="1"/>
  <c r="M3013" i="1" a="1"/>
  <c r="M3013" i="1" s="1"/>
  <c r="M3014" i="1" a="1"/>
  <c r="M3014" i="1"/>
  <c r="M3015" i="1" a="1"/>
  <c r="M3015" i="1"/>
  <c r="M3016" i="1" a="1"/>
  <c r="M3016" i="1"/>
  <c r="M3017" i="1" a="1"/>
  <c r="M3017" i="1" s="1"/>
  <c r="M3018" i="1" a="1"/>
  <c r="M3018" i="1" s="1"/>
  <c r="M3019" i="1" a="1"/>
  <c r="M3019" i="1" s="1"/>
  <c r="M3020" i="1" a="1"/>
  <c r="M3020" i="1"/>
  <c r="M3021" i="1" a="1"/>
  <c r="M3021" i="1"/>
  <c r="M3022" i="1" a="1"/>
  <c r="M3022" i="1"/>
  <c r="M3023" i="1" a="1"/>
  <c r="M3023" i="1"/>
  <c r="M3024" i="1" a="1"/>
  <c r="M3024" i="1" s="1"/>
  <c r="M3025" i="1" a="1"/>
  <c r="M3025" i="1" s="1"/>
  <c r="M3026" i="1" a="1"/>
  <c r="M3026" i="1" s="1"/>
  <c r="M3027" i="1" a="1"/>
  <c r="M3027" i="1"/>
  <c r="M3028" i="1" a="1"/>
  <c r="M3028" i="1"/>
  <c r="M3029" i="1" a="1"/>
  <c r="M3029" i="1"/>
  <c r="M3030" i="1" a="1"/>
  <c r="M3030" i="1" s="1"/>
  <c r="M3031" i="1" a="1"/>
  <c r="M3031" i="1"/>
  <c r="M3032" i="1" a="1"/>
  <c r="M3032" i="1" s="1"/>
  <c r="M3033" i="1" a="1"/>
  <c r="M3033" i="1"/>
  <c r="M3034" i="1" a="1"/>
  <c r="M3034" i="1"/>
  <c r="M3035" i="1" a="1"/>
  <c r="M3035" i="1"/>
  <c r="M3036" i="1" a="1"/>
  <c r="M3036" i="1" s="1"/>
  <c r="M3037" i="1" a="1"/>
  <c r="M3037" i="1"/>
  <c r="M3038" i="1" a="1"/>
  <c r="M3038" i="1"/>
  <c r="M3039" i="1" a="1"/>
  <c r="M3039" i="1" s="1"/>
  <c r="M3040" i="1" a="1"/>
  <c r="M3040" i="1"/>
  <c r="M3041" i="1" a="1"/>
  <c r="M3041" i="1"/>
  <c r="M3042" i="1" a="1"/>
  <c r="M3042" i="1" s="1"/>
  <c r="M3043" i="1" a="1"/>
  <c r="M3043" i="1"/>
  <c r="M3044" i="1" a="1"/>
  <c r="M3044" i="1"/>
  <c r="M3045" i="1" a="1"/>
  <c r="M3045" i="1" s="1"/>
  <c r="M3046" i="1" a="1"/>
  <c r="M3046" i="1"/>
  <c r="M3047" i="1" a="1"/>
  <c r="M3047" i="1"/>
  <c r="M3048" i="1" a="1"/>
  <c r="M3048" i="1" s="1"/>
  <c r="M3049" i="1" a="1"/>
  <c r="M3049" i="1"/>
  <c r="M3050" i="1" a="1"/>
  <c r="M3050" i="1"/>
  <c r="M3051" i="1" a="1"/>
  <c r="M3051" i="1"/>
  <c r="M3052" i="1" a="1"/>
  <c r="M3052" i="1" s="1"/>
  <c r="M3053" i="1" a="1"/>
  <c r="M3053" i="1" s="1"/>
  <c r="M3054" i="1" a="1"/>
  <c r="M3054" i="1" s="1"/>
  <c r="M3055" i="1" a="1"/>
  <c r="M3055" i="1"/>
  <c r="M3056" i="1" a="1"/>
  <c r="M3056" i="1"/>
  <c r="M3057" i="1" a="1"/>
  <c r="M3057" i="1"/>
  <c r="M3058" i="1" a="1"/>
  <c r="M3058" i="1" s="1"/>
  <c r="M3059" i="1" a="1"/>
  <c r="M3059" i="1"/>
  <c r="M3060" i="1" a="1"/>
  <c r="M3060" i="1" s="1"/>
  <c r="M3061" i="1" a="1"/>
  <c r="M3061" i="1" s="1"/>
  <c r="M3062" i="1" a="1"/>
  <c r="M3062" i="1"/>
  <c r="M3063" i="1" a="1"/>
  <c r="M3063" i="1"/>
  <c r="M3064" i="1" a="1"/>
  <c r="M3064" i="1"/>
  <c r="M3065" i="1" a="1"/>
  <c r="M3065" i="1" s="1"/>
  <c r="M3066" i="1" a="1"/>
  <c r="M3066" i="1" s="1"/>
  <c r="M3067" i="1" a="1"/>
  <c r="M3067" i="1"/>
  <c r="M3068" i="1" a="1"/>
  <c r="M3068" i="1" s="1"/>
  <c r="M3069" i="1" a="1"/>
  <c r="M3069" i="1"/>
  <c r="M3070" i="1" a="1"/>
  <c r="M3070" i="1"/>
  <c r="M3071" i="1" a="1"/>
  <c r="M3071" i="1" s="1"/>
  <c r="M3072" i="1" a="1"/>
  <c r="M3072" i="1" s="1"/>
  <c r="M3073" i="1" a="1"/>
  <c r="M3073" i="1"/>
  <c r="M3074" i="1" a="1"/>
  <c r="M3074" i="1"/>
  <c r="M3075" i="1" a="1"/>
  <c r="M3075" i="1" s="1"/>
  <c r="M3076" i="1" a="1"/>
  <c r="M3076" i="1"/>
  <c r="M3077" i="1" a="1"/>
  <c r="M3077" i="1"/>
  <c r="M3078" i="1" a="1"/>
  <c r="M3078" i="1" s="1"/>
  <c r="M3079" i="1" a="1"/>
  <c r="M3079" i="1"/>
  <c r="M3080" i="1" a="1"/>
  <c r="M3080" i="1"/>
  <c r="M3081" i="1" a="1"/>
  <c r="M3081" i="1" s="1"/>
  <c r="M3082" i="1" a="1"/>
  <c r="M3082" i="1"/>
  <c r="M3083" i="1" a="1"/>
  <c r="M3083" i="1"/>
  <c r="M3084" i="1" a="1"/>
  <c r="M3084" i="1" s="1"/>
  <c r="M3085" i="1" a="1"/>
  <c r="M3085" i="1" s="1"/>
  <c r="M3086" i="1" a="1"/>
  <c r="M3086" i="1"/>
  <c r="M3087" i="1" a="1"/>
  <c r="M3087" i="1"/>
  <c r="M3088" i="1" a="1"/>
  <c r="M3088" i="1" s="1"/>
  <c r="M3089" i="1" a="1"/>
  <c r="M3089" i="1"/>
  <c r="M3090" i="1" a="1"/>
  <c r="M3090" i="1" s="1"/>
  <c r="M3091" i="1" a="1"/>
  <c r="M3091" i="1" s="1"/>
  <c r="M3092" i="1" a="1"/>
  <c r="M3092" i="1"/>
  <c r="M3093" i="1" a="1"/>
  <c r="M3093" i="1"/>
  <c r="M3094" i="1" a="1"/>
  <c r="M3094" i="1"/>
  <c r="M3095" i="1" a="1"/>
  <c r="M3095" i="1" s="1"/>
  <c r="M3096" i="1" a="1"/>
  <c r="M3096" i="1" s="1"/>
  <c r="M3097" i="1" a="1"/>
  <c r="M3097" i="1"/>
  <c r="M3098" i="1" a="1"/>
  <c r="M3098" i="1" s="1"/>
  <c r="M3099" i="1" a="1"/>
  <c r="M3099" i="1"/>
  <c r="M3100" i="1" a="1"/>
  <c r="M3100" i="1"/>
  <c r="M3101" i="1" a="1"/>
  <c r="M3101" i="1"/>
  <c r="M3102" i="1" a="1"/>
  <c r="M3102" i="1" s="1"/>
  <c r="M3103" i="1" a="1"/>
  <c r="M3103" i="1" s="1"/>
  <c r="M3104" i="1" a="1"/>
  <c r="M3104" i="1" s="1"/>
  <c r="M3105" i="1" a="1"/>
  <c r="M3105" i="1"/>
  <c r="M3106" i="1" a="1"/>
  <c r="M3106" i="1"/>
  <c r="M3107" i="1" a="1"/>
  <c r="M3107" i="1"/>
  <c r="M3108" i="1" a="1"/>
  <c r="M3108" i="1" s="1"/>
  <c r="M3109" i="1" a="1"/>
  <c r="M3109" i="1"/>
  <c r="M3110" i="1" a="1"/>
  <c r="M3110" i="1" s="1"/>
  <c r="M3111" i="1" a="1"/>
  <c r="M3111" i="1" s="1"/>
  <c r="M3112" i="1" a="1"/>
  <c r="M3112" i="1"/>
  <c r="M3113" i="1" a="1"/>
  <c r="M3113" i="1"/>
  <c r="M3114" i="1" a="1"/>
  <c r="M3114" i="1" s="1"/>
  <c r="M3115" i="1" a="1"/>
  <c r="M3115" i="1"/>
  <c r="M3116" i="1" a="1"/>
  <c r="M3116" i="1"/>
  <c r="M3117" i="1" a="1"/>
  <c r="M3117" i="1" s="1"/>
  <c r="M3118" i="1" a="1"/>
  <c r="M3118" i="1"/>
  <c r="M3119" i="1" a="1"/>
  <c r="M3119" i="1"/>
  <c r="M3120" i="1" a="1"/>
  <c r="M3120" i="1" s="1"/>
  <c r="M3121" i="1" a="1"/>
  <c r="M3121" i="1"/>
  <c r="M3122" i="1" a="1"/>
  <c r="M3122" i="1"/>
  <c r="M3123" i="1" a="1"/>
  <c r="M3123" i="1"/>
  <c r="M3124" i="1" a="1"/>
  <c r="M3124" i="1" s="1"/>
  <c r="M3125" i="1" a="1"/>
  <c r="M3125" i="1"/>
  <c r="M3126" i="1" a="1"/>
  <c r="M3126" i="1" s="1"/>
  <c r="M3127" i="1" a="1"/>
  <c r="M3127" i="1"/>
  <c r="M3128" i="1" a="1"/>
  <c r="M3128" i="1"/>
  <c r="M3129" i="1" a="1"/>
  <c r="M3129" i="1"/>
  <c r="M3130" i="1" a="1"/>
  <c r="M3130" i="1" s="1"/>
  <c r="M3131" i="1" a="1"/>
  <c r="M3131" i="1"/>
  <c r="M3132" i="1" a="1"/>
  <c r="M3132" i="1" s="1"/>
  <c r="M3133" i="1" a="1"/>
  <c r="M3133" i="1"/>
  <c r="M3134" i="1" a="1"/>
  <c r="M3134" i="1"/>
  <c r="M3135" i="1" a="1"/>
  <c r="M3135" i="1"/>
  <c r="M3136" i="1" a="1"/>
  <c r="M3136" i="1"/>
  <c r="M3137" i="1" a="1"/>
  <c r="M3137" i="1" s="1"/>
  <c r="M3138" i="1" a="1"/>
  <c r="M3138" i="1" s="1"/>
  <c r="M3139" i="1" a="1"/>
  <c r="M3139" i="1" s="1"/>
  <c r="M3140" i="1" a="1"/>
  <c r="M3140" i="1"/>
  <c r="M3141" i="1" a="1"/>
  <c r="M3141" i="1"/>
  <c r="M3142" i="1" a="1"/>
  <c r="M3142" i="1"/>
  <c r="M3143" i="1" a="1"/>
  <c r="M3143" i="1" s="1"/>
  <c r="M3144" i="1" a="1"/>
  <c r="M3144" i="1" s="1"/>
  <c r="M3145" i="1" a="1"/>
  <c r="M3145" i="1"/>
  <c r="M3146" i="1" a="1"/>
  <c r="M3146" i="1" s="1"/>
  <c r="M3147" i="1" a="1"/>
  <c r="M3147" i="1"/>
  <c r="M3148" i="1" a="1"/>
  <c r="M3148" i="1"/>
  <c r="M3149" i="1" a="1"/>
  <c r="M3149" i="1"/>
  <c r="M3150" i="1" a="1"/>
  <c r="M3150" i="1" s="1"/>
  <c r="M3151" i="1" a="1"/>
  <c r="M3151" i="1"/>
  <c r="M3152" i="1" a="1"/>
  <c r="M3152" i="1" s="1"/>
  <c r="M3153" i="1" a="1"/>
  <c r="M3153" i="1"/>
  <c r="M3154" i="1" a="1"/>
  <c r="M3154" i="1"/>
  <c r="M3155" i="1" a="1"/>
  <c r="M3155" i="1"/>
  <c r="M3156" i="1" a="1"/>
  <c r="M3156" i="1" s="1"/>
  <c r="M3157" i="1" a="1"/>
  <c r="M3157" i="1" s="1"/>
  <c r="M3158" i="1" a="1"/>
  <c r="M3158" i="1"/>
  <c r="M3159" i="1" a="1"/>
  <c r="M3159" i="1" s="1"/>
  <c r="M3160" i="1" a="1"/>
  <c r="M3160" i="1"/>
  <c r="M3161" i="1" a="1"/>
  <c r="M3161" i="1"/>
  <c r="M3162" i="1" a="1"/>
  <c r="M3162" i="1" s="1"/>
  <c r="M3163" i="1" a="1"/>
  <c r="M3163" i="1" s="1"/>
  <c r="M3164" i="1" a="1"/>
  <c r="M3164" i="1"/>
  <c r="M3165" i="1" a="1"/>
  <c r="M3165" i="1"/>
  <c r="M3166" i="1" a="1"/>
  <c r="M3166" i="1" s="1"/>
  <c r="M3167" i="1" a="1"/>
  <c r="M3167" i="1"/>
  <c r="M3168" i="1" a="1"/>
  <c r="M3168" i="1" s="1"/>
  <c r="M3169" i="1" a="1"/>
  <c r="M3169" i="1"/>
  <c r="M3170" i="1" a="1"/>
  <c r="M3170" i="1" s="1"/>
  <c r="M3171" i="1" a="1"/>
  <c r="M3171" i="1"/>
  <c r="M3172" i="1" a="1"/>
  <c r="M3172" i="1"/>
  <c r="M3173" i="1" a="1"/>
  <c r="M3173" i="1" s="1"/>
  <c r="M3174" i="1" a="1"/>
  <c r="M3174" i="1" s="1"/>
  <c r="M3175" i="1" a="1"/>
  <c r="M3175" i="1"/>
  <c r="M3176" i="1" a="1"/>
  <c r="M3176" i="1" s="1"/>
  <c r="M3177" i="1" a="1"/>
  <c r="M3177" i="1"/>
  <c r="M3178" i="1" a="1"/>
  <c r="M3178" i="1"/>
  <c r="M3179" i="1" a="1"/>
  <c r="M3179" i="1"/>
  <c r="M3180" i="1" a="1"/>
  <c r="M3180" i="1" s="1"/>
  <c r="M3181" i="1" a="1"/>
  <c r="M3181" i="1" s="1"/>
  <c r="M3182" i="1" a="1"/>
  <c r="M3182" i="1"/>
  <c r="M3183" i="1" a="1"/>
  <c r="M3183" i="1" s="1"/>
  <c r="M3184" i="1" a="1"/>
  <c r="M3184" i="1"/>
  <c r="M3185" i="1" a="1"/>
  <c r="M3185" i="1"/>
  <c r="M3186" i="1" a="1"/>
  <c r="M3186" i="1" s="1"/>
  <c r="M3187" i="1" a="1"/>
  <c r="M3187" i="1"/>
  <c r="M3188" i="1" a="1"/>
  <c r="M3188" i="1" s="1"/>
  <c r="M3189" i="1" a="1"/>
  <c r="M3189" i="1" s="1"/>
  <c r="M3190" i="1" a="1"/>
  <c r="M3190" i="1"/>
  <c r="M3191" i="1" a="1"/>
  <c r="M3191" i="1"/>
  <c r="M3192" i="1" a="1"/>
  <c r="M3192" i="1" s="1"/>
  <c r="M3193" i="1" a="1"/>
  <c r="M3193" i="1"/>
  <c r="M3194" i="1" a="1"/>
  <c r="M3194" i="1"/>
  <c r="M3195" i="1" a="1"/>
  <c r="M3195" i="1" s="1"/>
  <c r="M3196" i="1" a="1"/>
  <c r="M3196" i="1" s="1"/>
  <c r="M3197" i="1" a="1"/>
  <c r="M3197" i="1"/>
  <c r="M3198" i="1" a="1"/>
  <c r="M3198" i="1" s="1"/>
  <c r="M3199" i="1" a="1"/>
  <c r="M3199" i="1"/>
  <c r="M3200" i="1" a="1"/>
  <c r="M3200" i="1"/>
  <c r="M3201" i="1" a="1"/>
  <c r="M3201" i="1"/>
  <c r="M3202" i="1" a="1"/>
  <c r="M3202" i="1" s="1"/>
  <c r="M3203" i="1" a="1"/>
  <c r="M3203" i="1"/>
  <c r="M3204" i="1" a="1"/>
  <c r="M3204" i="1" s="1"/>
  <c r="M3205" i="1" a="1"/>
  <c r="M3205" i="1"/>
  <c r="M3206" i="1" a="1"/>
  <c r="M3206" i="1"/>
  <c r="M3207" i="1" a="1"/>
  <c r="M3207" i="1"/>
  <c r="M3208" i="1" a="1"/>
  <c r="M3208" i="1"/>
  <c r="M3209" i="1" a="1"/>
  <c r="M3209" i="1" s="1"/>
  <c r="M3210" i="1" a="1"/>
  <c r="M3210" i="1" s="1"/>
  <c r="M3211" i="1" a="1"/>
  <c r="M3211" i="1"/>
  <c r="M3212" i="1" a="1"/>
  <c r="M3212" i="1"/>
  <c r="M3213" i="1" a="1"/>
  <c r="M3213" i="1"/>
  <c r="M3214" i="1" a="1"/>
  <c r="M3214" i="1"/>
  <c r="M3215" i="1" a="1"/>
  <c r="M3215" i="1" s="1"/>
  <c r="M3216" i="1" a="1"/>
  <c r="M3216" i="1" s="1"/>
  <c r="M3217" i="1" a="1"/>
  <c r="M3217" i="1" s="1"/>
  <c r="M3218" i="1" a="1"/>
  <c r="M3218" i="1"/>
  <c r="M3219" i="1" a="1"/>
  <c r="M3219" i="1"/>
  <c r="M3220" i="1" a="1"/>
  <c r="M3220" i="1"/>
  <c r="M3221" i="1" a="1"/>
  <c r="M3221" i="1"/>
  <c r="M3222" i="1" a="1"/>
  <c r="M3222" i="1" s="1"/>
  <c r="M3223" i="1" a="1"/>
  <c r="M3223" i="1"/>
  <c r="M3224" i="1" a="1"/>
  <c r="M3224" i="1"/>
  <c r="M3225" i="1" a="1"/>
  <c r="M3225" i="1"/>
  <c r="M3226" i="1" a="1"/>
  <c r="M3226" i="1"/>
  <c r="M3227" i="1" a="1"/>
  <c r="M3227" i="1"/>
  <c r="M3228" i="1" a="1"/>
  <c r="M3228" i="1" s="1"/>
  <c r="M3229" i="1" a="1"/>
  <c r="M3229" i="1" s="1"/>
  <c r="M3230" i="1" a="1"/>
  <c r="M3230" i="1" s="1"/>
  <c r="M3231" i="1" a="1"/>
  <c r="M3231" i="1"/>
  <c r="M3232" i="1" a="1"/>
  <c r="M3232" i="1"/>
  <c r="M3233" i="1" a="1"/>
  <c r="M3233" i="1"/>
  <c r="M3234" i="1" a="1"/>
  <c r="M3234" i="1" s="1"/>
  <c r="M3235" i="1" a="1"/>
  <c r="M3235" i="1" s="1"/>
  <c r="M3236" i="1" a="1"/>
  <c r="M3236" i="1"/>
  <c r="M3237" i="1" a="1"/>
  <c r="M3237" i="1" s="1"/>
  <c r="M3238" i="1" a="1"/>
  <c r="M3238" i="1"/>
  <c r="M3239" i="1" a="1"/>
  <c r="M3239" i="1"/>
  <c r="M3240" i="1" a="1"/>
  <c r="M3240" i="1" s="1"/>
  <c r="M3241" i="1" a="1"/>
  <c r="M3241" i="1"/>
  <c r="M3242" i="1" a="1"/>
  <c r="M3242" i="1" s="1"/>
  <c r="M3243" i="1" a="1"/>
  <c r="M3243" i="1"/>
  <c r="M3244" i="1" a="1"/>
  <c r="M3244" i="1" s="1"/>
  <c r="M3245" i="1" a="1"/>
  <c r="M3245" i="1"/>
  <c r="M3246" i="1" a="1"/>
  <c r="M3246" i="1" s="1"/>
  <c r="M3247" i="1" a="1"/>
  <c r="M3247" i="1"/>
  <c r="M3248" i="1" a="1"/>
  <c r="M3248" i="1" s="1"/>
  <c r="M3249" i="1" a="1"/>
  <c r="M3249" i="1"/>
  <c r="M3250" i="1" a="1"/>
  <c r="M3250" i="1"/>
  <c r="M3251" i="1" a="1"/>
  <c r="M3251" i="1" s="1"/>
  <c r="M3252" i="1" a="1"/>
  <c r="M3252" i="1" s="1"/>
  <c r="M3253" i="1" a="1"/>
  <c r="M3253" i="1"/>
  <c r="M3254" i="1" a="1"/>
  <c r="M3254" i="1"/>
  <c r="M3255" i="1" a="1"/>
  <c r="M3255" i="1" s="1"/>
  <c r="M3256" i="1" a="1"/>
  <c r="M3256" i="1"/>
  <c r="M3257" i="1" a="1"/>
  <c r="M3257" i="1"/>
  <c r="M3258" i="1" a="1"/>
  <c r="M3258" i="1" s="1"/>
  <c r="M3259" i="1" a="1"/>
  <c r="M3259" i="1"/>
  <c r="M3260" i="1" a="1"/>
  <c r="M3260" i="1"/>
  <c r="M3261" i="1" a="1"/>
  <c r="M3261" i="1" s="1"/>
  <c r="M3262" i="1" a="1"/>
  <c r="M3262" i="1"/>
  <c r="M3263" i="1" a="1"/>
  <c r="M3263" i="1"/>
  <c r="M3264" i="1" a="1"/>
  <c r="M3264" i="1" s="1"/>
  <c r="M3265" i="1" a="1"/>
  <c r="M3265" i="1"/>
  <c r="M3266" i="1" a="1"/>
  <c r="M3266" i="1" s="1"/>
  <c r="M3267" i="1" a="1"/>
  <c r="M3267" i="1"/>
  <c r="M3268" i="1" a="1"/>
  <c r="M3268" i="1" s="1"/>
  <c r="M3269" i="1" a="1"/>
  <c r="M3269" i="1"/>
  <c r="M3270" i="1" a="1"/>
  <c r="M3270" i="1" s="1"/>
  <c r="M3271" i="1" a="1"/>
  <c r="M3271" i="1"/>
  <c r="M3272" i="1" a="1"/>
  <c r="M3272" i="1"/>
  <c r="M3273" i="1" a="1"/>
  <c r="M3273" i="1" s="1"/>
  <c r="M3274" i="1" a="1"/>
  <c r="M3274" i="1" s="1"/>
  <c r="M3275" i="1" a="1"/>
  <c r="M3275" i="1"/>
  <c r="M3276" i="1" a="1"/>
  <c r="M3276" i="1" s="1"/>
  <c r="M3277" i="1" a="1"/>
  <c r="M3277" i="1"/>
  <c r="M3278" i="1" a="1"/>
  <c r="M3278" i="1"/>
  <c r="M3279" i="1" a="1"/>
  <c r="M3279" i="1"/>
  <c r="M3280" i="1" a="1"/>
  <c r="M3280" i="1" s="1"/>
  <c r="M3281" i="1" a="1"/>
  <c r="M3281" i="1" s="1"/>
  <c r="M3282" i="1" a="1"/>
  <c r="M3282" i="1" s="1"/>
  <c r="M3283" i="1" a="1"/>
  <c r="M3283" i="1"/>
  <c r="M3284" i="1" a="1"/>
  <c r="M3284" i="1"/>
  <c r="M3285" i="1" a="1"/>
  <c r="M3285" i="1"/>
  <c r="M3286" i="1" a="1"/>
  <c r="M3286" i="1"/>
  <c r="M3287" i="1" a="1"/>
  <c r="M3287" i="1" s="1"/>
  <c r="M3288" i="1" a="1"/>
  <c r="M3288" i="1" s="1"/>
  <c r="M3289" i="1" a="1"/>
  <c r="M3289" i="1"/>
  <c r="M3290" i="1" a="1"/>
  <c r="M3290" i="1"/>
  <c r="M3291" i="1" a="1"/>
  <c r="M3291" i="1"/>
  <c r="M3292" i="1" a="1"/>
  <c r="M3292" i="1"/>
  <c r="M3293" i="1" a="1"/>
  <c r="M3293" i="1"/>
  <c r="M3294" i="1" a="1"/>
  <c r="M3294" i="1" s="1"/>
  <c r="M3295" i="1" a="1"/>
  <c r="M3295" i="1"/>
  <c r="M3296" i="1" a="1"/>
  <c r="M3296" i="1"/>
  <c r="M3297" i="1" a="1"/>
  <c r="M3297" i="1"/>
  <c r="M3298" i="1" a="1"/>
  <c r="M3298" i="1"/>
  <c r="M3299" i="1" a="1"/>
  <c r="M3299" i="1"/>
  <c r="M3300" i="1" a="1"/>
  <c r="M3300" i="1" s="1"/>
  <c r="M3301" i="1" a="1"/>
  <c r="M3301" i="1" s="1"/>
  <c r="M3302" i="1" a="1"/>
  <c r="M3302" i="1"/>
  <c r="M3303" i="1" a="1"/>
  <c r="M3303" i="1"/>
  <c r="M3304" i="1" a="1"/>
  <c r="M3304" i="1"/>
  <c r="M3305" i="1" a="1"/>
  <c r="M3305" i="1"/>
  <c r="M3306" i="1" a="1"/>
  <c r="M3306" i="1" s="1"/>
  <c r="M3307" i="1" a="1"/>
  <c r="M3307" i="1" s="1"/>
  <c r="M3308" i="1" a="1"/>
  <c r="M3308" i="1"/>
  <c r="M3309" i="1" a="1"/>
  <c r="M3309" i="1"/>
  <c r="M3310" i="1" a="1"/>
  <c r="M3310" i="1"/>
  <c r="M3311" i="1" a="1"/>
  <c r="M3311" i="1"/>
  <c r="M3312" i="1" a="1"/>
  <c r="M3312" i="1" s="1"/>
  <c r="M3313" i="1" a="1"/>
  <c r="M3313" i="1"/>
  <c r="M3314" i="1" a="1"/>
  <c r="M3314" i="1" s="1"/>
  <c r="M3315" i="1" a="1"/>
  <c r="M3315" i="1" s="1"/>
  <c r="M3316" i="1" a="1"/>
  <c r="M3316" i="1"/>
  <c r="M3317" i="1" a="1"/>
  <c r="M3317" i="1"/>
  <c r="M3318" i="1" a="1"/>
  <c r="M3318" i="1" s="1"/>
  <c r="M3319" i="1" a="1"/>
  <c r="M3319" i="1"/>
  <c r="M3320" i="1" a="1"/>
  <c r="M3320" i="1" s="1"/>
  <c r="M3321" i="1" a="1"/>
  <c r="M3321" i="1"/>
  <c r="M3322" i="1" a="1"/>
  <c r="M3322" i="1" s="1"/>
  <c r="M3323" i="1" a="1"/>
  <c r="M3323" i="1"/>
  <c r="M3324" i="1" a="1"/>
  <c r="M3324" i="1" s="1"/>
  <c r="M3325" i="1" a="1"/>
  <c r="M3325" i="1"/>
  <c r="M3326" i="1" a="1"/>
  <c r="M3326" i="1"/>
  <c r="M3327" i="1" a="1"/>
  <c r="M3327" i="1" s="1"/>
  <c r="M3328" i="1" a="1"/>
  <c r="M3328" i="1"/>
  <c r="M3329" i="1" a="1"/>
  <c r="M3329" i="1" s="1"/>
  <c r="M3330" i="1" a="1"/>
  <c r="M3330" i="1" s="1"/>
  <c r="M3331" i="1" a="1"/>
  <c r="M3331" i="1"/>
  <c r="M3332" i="1" a="1"/>
  <c r="M3332" i="1"/>
  <c r="M3333" i="1" a="1"/>
  <c r="M3333" i="1" s="1"/>
  <c r="M3334" i="1" a="1"/>
  <c r="M3334" i="1"/>
  <c r="M3335" i="1" a="1"/>
  <c r="M3335" i="1"/>
  <c r="M3336" i="1" a="1"/>
  <c r="M3336" i="1" s="1"/>
  <c r="M3337" i="1" a="1"/>
  <c r="M3337" i="1"/>
  <c r="M3338" i="1" a="1"/>
  <c r="M3338" i="1"/>
  <c r="M3339" i="1" a="1"/>
  <c r="M3339" i="1"/>
  <c r="M3340" i="1" a="1"/>
  <c r="M3340" i="1" s="1"/>
  <c r="M3341" i="1" a="1"/>
  <c r="M3341" i="1"/>
  <c r="M3342" i="1" a="1"/>
  <c r="M3342" i="1" s="1"/>
  <c r="M3343" i="1" a="1"/>
  <c r="M3343" i="1"/>
  <c r="M3344" i="1" a="1"/>
  <c r="M3344" i="1"/>
  <c r="M3345" i="1" a="1"/>
  <c r="M3345" i="1"/>
  <c r="M3346" i="1" a="1"/>
  <c r="M3346" i="1" s="1"/>
  <c r="M3347" i="1" a="1"/>
  <c r="M3347" i="1"/>
  <c r="M3348" i="1" a="1"/>
  <c r="M3348" i="1" s="1"/>
  <c r="M3349" i="1" a="1"/>
  <c r="M3349" i="1"/>
  <c r="M3350" i="1" a="1"/>
  <c r="M3350" i="1"/>
  <c r="M3351" i="1" a="1"/>
  <c r="M3351" i="1" s="1"/>
  <c r="M3352" i="1" a="1"/>
  <c r="M3352" i="1"/>
  <c r="M3353" i="1" a="1"/>
  <c r="M3353" i="1" s="1"/>
  <c r="M3354" i="1" a="1"/>
  <c r="M3354" i="1" s="1"/>
  <c r="M3355" i="1" a="1"/>
  <c r="M3355" i="1"/>
  <c r="M3356" i="1" a="1"/>
  <c r="M3356" i="1"/>
  <c r="M3357" i="1" a="1"/>
  <c r="M3357" i="1"/>
  <c r="M3358" i="1" a="1"/>
  <c r="M3358" i="1" s="1"/>
  <c r="M3359" i="1" a="1"/>
  <c r="M3359" i="1" s="1"/>
  <c r="M3360" i="1" a="1"/>
  <c r="M3360" i="1" s="1"/>
  <c r="M3361" i="1" a="1"/>
  <c r="M3361" i="1"/>
  <c r="M3362" i="1" a="1"/>
  <c r="M3362" i="1"/>
  <c r="M3363" i="1" a="1"/>
  <c r="M3363" i="1"/>
  <c r="M3364" i="1" a="1"/>
  <c r="M3364" i="1"/>
  <c r="M3365" i="1" a="1"/>
  <c r="M3365" i="1" s="1"/>
  <c r="M3366" i="1" a="1"/>
  <c r="M3366" i="1" s="1"/>
  <c r="M3367" i="1" a="1"/>
  <c r="M3367" i="1"/>
  <c r="M3368" i="1" a="1"/>
  <c r="M3368" i="1"/>
  <c r="M3369" i="1" a="1"/>
  <c r="M3369" i="1"/>
  <c r="M3370" i="1" a="1"/>
  <c r="M3370" i="1"/>
  <c r="M3371" i="1" a="1"/>
  <c r="M3371" i="1" s="1"/>
  <c r="M3372" i="1" a="1"/>
  <c r="M3372" i="1" s="1"/>
  <c r="M3373" i="1" a="1"/>
  <c r="M3373" i="1" s="1"/>
  <c r="M3374" i="1" a="1"/>
  <c r="M3374" i="1"/>
  <c r="M3375" i="1" a="1"/>
  <c r="M3375" i="1"/>
  <c r="M3376" i="1" a="1"/>
  <c r="M3376" i="1"/>
  <c r="M3377" i="1" a="1"/>
  <c r="M3377" i="1"/>
  <c r="M3378" i="1" a="1"/>
  <c r="M3378" i="1" s="1"/>
  <c r="M3379" i="1" a="1"/>
  <c r="M3379" i="1" s="1"/>
  <c r="M3380" i="1" a="1"/>
  <c r="M3380" i="1"/>
  <c r="M3381" i="1" a="1"/>
  <c r="M3381" i="1"/>
  <c r="M3382" i="1" a="1"/>
  <c r="M3382" i="1"/>
  <c r="M3383" i="1" a="1"/>
  <c r="M3383" i="1"/>
  <c r="M3384" i="1" a="1"/>
  <c r="M3384" i="1" s="1"/>
  <c r="M3385" i="1" a="1"/>
  <c r="M3385" i="1"/>
  <c r="M3386" i="1" a="1"/>
  <c r="M3386" i="1" s="1"/>
  <c r="M3387" i="1" a="1"/>
  <c r="M3387" i="1"/>
  <c r="M3388" i="1" a="1"/>
  <c r="M3388" i="1"/>
  <c r="M3389" i="1" a="1"/>
  <c r="M3389" i="1"/>
  <c r="M3390" i="1" a="1"/>
  <c r="M3390" i="1" s="1"/>
  <c r="M3391" i="1" a="1"/>
  <c r="M3391" i="1"/>
  <c r="M3392" i="1" a="1"/>
  <c r="M3392" i="1" s="1"/>
  <c r="M3393" i="1" a="1"/>
  <c r="M3393" i="1"/>
  <c r="M3394" i="1" a="1"/>
  <c r="M3394" i="1"/>
  <c r="M3395" i="1" a="1"/>
  <c r="M3395" i="1"/>
  <c r="M3396" i="1" a="1"/>
  <c r="M3396" i="1" s="1"/>
  <c r="M3397" i="1" a="1"/>
  <c r="M3397" i="1"/>
  <c r="M3398" i="1" a="1"/>
  <c r="M3398" i="1"/>
  <c r="M3399" i="1" a="1"/>
  <c r="M3399" i="1" s="1"/>
  <c r="M3400" i="1" a="1"/>
  <c r="M3400" i="1" s="1"/>
  <c r="M3401" i="1" a="1"/>
  <c r="M3401" i="1"/>
  <c r="M3402" i="1" a="1"/>
  <c r="M3402" i="1" s="1"/>
  <c r="M3403" i="1" a="1"/>
  <c r="M3403" i="1"/>
  <c r="M3404" i="1" a="1"/>
  <c r="M3404" i="1"/>
  <c r="M3405" i="1" a="1"/>
  <c r="M3405" i="1" s="1"/>
  <c r="M3406" i="1" a="1"/>
  <c r="M3406" i="1"/>
  <c r="M3407" i="1" a="1"/>
  <c r="M3407" i="1" s="1"/>
  <c r="M3408" i="1" a="1"/>
  <c r="M3408" i="1" s="1"/>
  <c r="M3409" i="1" a="1"/>
  <c r="M3409" i="1"/>
  <c r="M3410" i="1" a="1"/>
  <c r="M3410" i="1"/>
  <c r="M3411" i="1" a="1"/>
  <c r="M3411" i="1"/>
  <c r="M3412" i="1" a="1"/>
  <c r="M3412" i="1" s="1"/>
  <c r="M3413" i="1" a="1"/>
  <c r="M3413" i="1"/>
  <c r="M3414" i="1" a="1"/>
  <c r="M3414" i="1" s="1"/>
  <c r="M3415" i="1" a="1"/>
  <c r="M3415" i="1"/>
  <c r="M3416" i="1" a="1"/>
  <c r="M3416" i="1"/>
  <c r="M3417" i="1" a="1"/>
  <c r="M3417" i="1"/>
  <c r="M3418" i="1" a="1"/>
  <c r="M3418" i="1" s="1"/>
  <c r="M3419" i="1" a="1"/>
  <c r="M3419" i="1"/>
  <c r="M3420" i="1" a="1"/>
  <c r="M3420" i="1" s="1"/>
  <c r="M3421" i="1" a="1"/>
  <c r="M3421" i="1"/>
  <c r="M3422" i="1" a="1"/>
  <c r="M3422" i="1" s="1"/>
  <c r="M3423" i="1" a="1"/>
  <c r="M3423" i="1"/>
  <c r="M3424" i="1" a="1"/>
  <c r="M3424" i="1"/>
  <c r="M3425" i="1" a="1"/>
  <c r="M3425" i="1" s="1"/>
  <c r="M3426" i="1" a="1"/>
  <c r="M3426" i="1" s="1"/>
  <c r="M3427" i="1" a="1"/>
  <c r="M3427" i="1"/>
  <c r="M3428" i="1" a="1"/>
  <c r="M3428" i="1"/>
  <c r="M3429" i="1" a="1"/>
  <c r="M3429" i="1" s="1"/>
  <c r="M3430" i="1" a="1"/>
  <c r="M3430" i="1"/>
  <c r="M3431" i="1" a="1"/>
  <c r="M3431" i="1" s="1"/>
  <c r="M3432" i="1" a="1"/>
  <c r="M3432" i="1" s="1"/>
  <c r="M3433" i="1" a="1"/>
  <c r="M3433" i="1"/>
  <c r="M3434" i="1" a="1"/>
  <c r="M3434" i="1"/>
  <c r="M3435" i="1" a="1"/>
  <c r="M3435" i="1"/>
  <c r="M3436" i="1" a="1"/>
  <c r="M3436" i="1" s="1"/>
  <c r="M3437" i="1" a="1"/>
  <c r="M3437" i="1"/>
  <c r="M3438" i="1" a="1"/>
  <c r="M3438" i="1" s="1"/>
  <c r="M3439" i="1" a="1"/>
  <c r="M3439" i="1"/>
  <c r="M3440" i="1" a="1"/>
  <c r="M3440" i="1"/>
  <c r="M3441" i="1" a="1"/>
  <c r="M3441" i="1"/>
  <c r="M3442" i="1" a="1"/>
  <c r="M3442" i="1" s="1"/>
  <c r="M3443" i="1" a="1"/>
  <c r="M3443" i="1"/>
  <c r="M3444" i="1" a="1"/>
  <c r="M3444" i="1" s="1"/>
  <c r="M3445" i="1" a="1"/>
  <c r="M3445" i="1" s="1"/>
  <c r="M3446" i="1" a="1"/>
  <c r="M3446" i="1"/>
  <c r="M3447" i="1" a="1"/>
  <c r="M3447" i="1"/>
  <c r="M3448" i="1" a="1"/>
  <c r="M3448" i="1"/>
  <c r="M3449" i="1" a="1"/>
  <c r="M3449" i="1" s="1"/>
  <c r="M3450" i="1" a="1"/>
  <c r="M3450" i="1" s="1"/>
  <c r="M3451" i="1" a="1"/>
  <c r="M3451" i="1" s="1"/>
  <c r="M3452" i="1" a="1"/>
  <c r="M3452" i="1"/>
  <c r="M3453" i="1" a="1"/>
  <c r="M3453" i="1"/>
  <c r="M3454" i="1" a="1"/>
  <c r="M3454" i="1"/>
  <c r="M3455" i="1" a="1"/>
  <c r="M3455" i="1"/>
  <c r="M3456" i="1" a="1"/>
  <c r="M3456" i="1" s="1"/>
  <c r="M3457" i="1" a="1"/>
  <c r="M3457" i="1" s="1"/>
  <c r="M3458" i="1" a="1"/>
  <c r="M3458" i="1" s="1"/>
  <c r="M3459" i="1" a="1"/>
  <c r="M3459" i="1"/>
  <c r="M3460" i="1" a="1"/>
  <c r="M3460" i="1"/>
  <c r="M3461" i="1" a="1"/>
  <c r="M3461" i="1"/>
  <c r="M3462" i="1" a="1"/>
  <c r="M3462" i="1" s="1"/>
  <c r="M3463" i="1" a="1"/>
  <c r="M3463" i="1"/>
  <c r="M3464" i="1" a="1"/>
  <c r="M3464" i="1" s="1"/>
  <c r="M3465" i="1" a="1"/>
  <c r="M3465" i="1"/>
  <c r="M3466" i="1" a="1"/>
  <c r="M3466" i="1"/>
  <c r="M3467" i="1" a="1"/>
  <c r="M3467" i="1"/>
  <c r="M3468" i="1" a="1"/>
  <c r="M3468" i="1" s="1"/>
  <c r="M3469" i="1" a="1"/>
  <c r="M3469" i="1"/>
  <c r="M3470" i="1" a="1"/>
  <c r="M3470" i="1"/>
  <c r="M3471" i="1" a="1"/>
  <c r="M3471" i="1" s="1"/>
  <c r="M3472" i="1" a="1"/>
  <c r="M3472" i="1"/>
  <c r="M3473" i="1" a="1"/>
  <c r="M3473" i="1"/>
  <c r="M3474" i="1" a="1"/>
  <c r="M3474" i="1" s="1"/>
  <c r="M3475" i="1" a="1"/>
  <c r="M3475" i="1"/>
  <c r="M3476" i="1" a="1"/>
  <c r="M3476" i="1"/>
  <c r="M3477" i="1" a="1"/>
  <c r="M3477" i="1" s="1"/>
  <c r="M3478" i="1" a="1"/>
  <c r="M3478" i="1"/>
  <c r="M3479" i="1" a="1"/>
  <c r="M3479" i="1"/>
  <c r="M3480" i="1" a="1"/>
  <c r="M3480" i="1" s="1"/>
  <c r="M3481" i="1" a="1"/>
  <c r="M3481" i="1"/>
  <c r="M3482" i="1" a="1"/>
  <c r="M3482" i="1"/>
  <c r="M3483" i="1" a="1"/>
  <c r="M3483" i="1"/>
  <c r="M3484" i="1" a="1"/>
  <c r="M3484" i="1" s="1"/>
  <c r="M3485" i="1" a="1"/>
  <c r="M3485" i="1" s="1"/>
  <c r="M3486" i="1" a="1"/>
  <c r="M3486" i="1" s="1"/>
  <c r="M3487" i="1" a="1"/>
  <c r="M3487" i="1"/>
  <c r="M3488" i="1" a="1"/>
  <c r="M3488" i="1"/>
  <c r="M3489" i="1" a="1"/>
  <c r="M3489" i="1"/>
  <c r="M3490" i="1" a="1"/>
  <c r="M3490" i="1" s="1"/>
  <c r="M3491" i="1" a="1"/>
  <c r="M3491" i="1"/>
  <c r="M3492" i="1" a="1"/>
  <c r="M3492" i="1" s="1"/>
  <c r="M3493" i="1" a="1"/>
  <c r="M3493" i="1"/>
  <c r="M3494" i="1" a="1"/>
  <c r="M3494" i="1"/>
  <c r="M3495" i="1" a="1"/>
  <c r="M3495" i="1"/>
  <c r="M3496" i="1" a="1"/>
  <c r="M3496" i="1"/>
  <c r="M3497" i="1" a="1"/>
  <c r="M3497" i="1" s="1"/>
  <c r="M3498" i="1" a="1"/>
  <c r="M3498" i="1" s="1"/>
  <c r="M3499" i="1" a="1"/>
  <c r="M3499" i="1"/>
  <c r="M3500" i="1" a="1"/>
  <c r="M3500" i="1" s="1"/>
  <c r="M3501" i="1" a="1"/>
  <c r="M3501" i="1"/>
  <c r="M3502" i="1" a="1"/>
  <c r="M3502" i="1"/>
  <c r="M3503" i="1" a="1"/>
  <c r="M3503" i="1" s="1"/>
  <c r="M3504" i="1" a="1"/>
  <c r="M3504" i="1" s="1"/>
  <c r="M3505" i="1" a="1"/>
  <c r="M3505" i="1"/>
  <c r="M3506" i="1" a="1"/>
  <c r="M3506" i="1"/>
  <c r="M3507" i="1" a="1"/>
  <c r="M3507" i="1" s="1"/>
  <c r="M3508" i="1" a="1"/>
  <c r="M3508" i="1"/>
  <c r="M3509" i="1" a="1"/>
  <c r="M3509" i="1"/>
  <c r="M3510" i="1" a="1"/>
  <c r="M3510" i="1" s="1"/>
  <c r="M3511" i="1" a="1"/>
  <c r="M3511" i="1"/>
  <c r="M3512" i="1" a="1"/>
  <c r="M3512" i="1"/>
  <c r="M3513" i="1" a="1"/>
  <c r="M3513" i="1" s="1"/>
  <c r="M3514" i="1" a="1"/>
  <c r="M3514" i="1"/>
  <c r="M3515" i="1" a="1"/>
  <c r="M3515" i="1"/>
  <c r="M3516" i="1" a="1"/>
  <c r="M3516" i="1" s="1"/>
  <c r="M3517" i="1" a="1"/>
  <c r="M3517" i="1" s="1"/>
  <c r="M3518" i="1" a="1"/>
  <c r="M3518" i="1"/>
  <c r="M3519" i="1" a="1"/>
  <c r="M3519" i="1"/>
  <c r="M3520" i="1" a="1"/>
  <c r="M3520" i="1" s="1"/>
  <c r="M3521" i="1" a="1"/>
  <c r="M3521" i="1"/>
  <c r="M3522" i="1" a="1"/>
  <c r="M3522" i="1" s="1"/>
  <c r="M3523" i="1" a="1"/>
  <c r="M3523" i="1" s="1"/>
  <c r="M3524" i="1" a="1"/>
  <c r="M3524" i="1"/>
  <c r="M3525" i="1" a="1"/>
  <c r="M3525" i="1"/>
  <c r="M3526" i="1" a="1"/>
  <c r="M3526" i="1"/>
  <c r="M3527" i="1" a="1"/>
  <c r="M3527" i="1" s="1"/>
  <c r="M3528" i="1" a="1"/>
  <c r="M3528" i="1" s="1"/>
  <c r="M3529" i="1" a="1"/>
  <c r="M3529" i="1"/>
  <c r="M3530" i="1" a="1"/>
  <c r="M3530" i="1" s="1"/>
  <c r="M3531" i="1" a="1"/>
  <c r="M3531" i="1"/>
  <c r="M3532" i="1" a="1"/>
  <c r="M3532" i="1"/>
  <c r="M3533" i="1" a="1"/>
  <c r="M3533" i="1"/>
  <c r="M3534" i="1" a="1"/>
  <c r="M3534" i="1" s="1"/>
  <c r="M3535" i="1" a="1"/>
  <c r="M3535" i="1"/>
  <c r="M3536" i="1" a="1"/>
  <c r="M3536" i="1" s="1"/>
  <c r="M3537" i="1" a="1"/>
  <c r="M3537" i="1"/>
  <c r="M3538" i="1" a="1"/>
  <c r="M3538" i="1"/>
  <c r="M3539" i="1" a="1"/>
  <c r="M3539" i="1"/>
  <c r="M3540" i="1" a="1"/>
  <c r="M3540" i="1" s="1"/>
  <c r="M3541" i="1" a="1"/>
  <c r="M3541" i="1"/>
  <c r="M3542" i="1" a="1"/>
  <c r="M3542" i="1" s="1"/>
  <c r="M3543" i="1" a="1"/>
  <c r="M3543" i="1" s="1"/>
  <c r="M3544" i="1" a="1"/>
  <c r="M3544" i="1"/>
  <c r="M3545" i="1" a="1"/>
  <c r="M3545" i="1"/>
  <c r="M3546" i="1" a="1"/>
  <c r="M3546" i="1" s="1"/>
  <c r="M3547" i="1" a="1"/>
  <c r="M3547" i="1"/>
  <c r="M3548" i="1" a="1"/>
  <c r="M3548" i="1"/>
  <c r="M3549" i="1" a="1"/>
  <c r="M3549" i="1" s="1"/>
  <c r="M3550" i="1" a="1"/>
  <c r="M3550" i="1"/>
  <c r="M3551" i="1" a="1"/>
  <c r="M3551" i="1"/>
  <c r="M3552" i="1" a="1"/>
  <c r="M3552" i="1" s="1"/>
  <c r="M3553" i="1" a="1"/>
  <c r="M3553" i="1"/>
  <c r="M3554" i="1" a="1"/>
  <c r="M3554" i="1"/>
  <c r="M3555" i="1" a="1"/>
  <c r="M3555" i="1"/>
  <c r="M3556" i="1" a="1"/>
  <c r="M3556" i="1" s="1"/>
  <c r="M3557" i="1" a="1"/>
  <c r="M3557" i="1"/>
  <c r="M3558" i="1" a="1"/>
  <c r="M3558" i="1" s="1"/>
  <c r="M3559" i="1" a="1"/>
  <c r="M3559" i="1"/>
  <c r="M3560" i="1" a="1"/>
  <c r="M3560" i="1"/>
  <c r="M3561" i="1" a="1"/>
  <c r="M3561" i="1"/>
  <c r="M3562" i="1" a="1"/>
  <c r="M3562" i="1" s="1"/>
  <c r="M3563" i="1" a="1"/>
  <c r="M3563" i="1"/>
  <c r="M3564" i="1" a="1"/>
  <c r="M3564" i="1" s="1"/>
  <c r="M3565" i="1" a="1"/>
  <c r="M3565" i="1"/>
  <c r="M3566" i="1" a="1"/>
  <c r="M3566" i="1"/>
  <c r="M3567" i="1" a="1"/>
  <c r="M3567" i="1"/>
  <c r="M3568" i="1" a="1"/>
  <c r="M3568" i="1"/>
  <c r="M3569" i="1" a="1"/>
  <c r="M3569" i="1" s="1"/>
  <c r="M3570" i="1" a="1"/>
  <c r="M3570" i="1" s="1"/>
  <c r="M3571" i="1" a="1"/>
  <c r="M3571" i="1" s="1"/>
  <c r="M3572" i="1" a="1"/>
  <c r="M3572" i="1"/>
  <c r="M3573" i="1" a="1"/>
  <c r="M3573" i="1"/>
  <c r="M3574" i="1" a="1"/>
  <c r="M3574" i="1"/>
  <c r="M3575" i="1" a="1"/>
  <c r="M3575" i="1" s="1"/>
  <c r="M3576" i="1" a="1"/>
  <c r="M3576" i="1" s="1"/>
  <c r="M3577" i="1" a="1"/>
  <c r="M3577" i="1"/>
  <c r="M3578" i="1" a="1"/>
  <c r="M3578" i="1" s="1"/>
  <c r="M3579" i="1" a="1"/>
  <c r="M3579" i="1"/>
  <c r="M3580" i="1" a="1"/>
  <c r="M3580" i="1"/>
  <c r="M3581" i="1" a="1"/>
  <c r="M3581" i="1"/>
  <c r="M3582" i="1" a="1"/>
  <c r="M3582" i="1" s="1"/>
  <c r="M3583" i="1" a="1"/>
  <c r="M3583" i="1"/>
  <c r="M3584" i="1" a="1"/>
  <c r="M3584" i="1" s="1"/>
  <c r="M3585" i="1" a="1"/>
  <c r="M3585" i="1"/>
  <c r="M3586" i="1" a="1"/>
  <c r="M3586" i="1"/>
  <c r="M3587" i="1" a="1"/>
  <c r="M3587" i="1"/>
  <c r="M3588" i="1" a="1"/>
  <c r="M3588" i="1" s="1"/>
  <c r="M3589" i="1" a="1"/>
  <c r="M3589" i="1" s="1"/>
  <c r="M3590" i="1" a="1"/>
  <c r="M3590" i="1"/>
  <c r="M3591" i="1" a="1"/>
  <c r="M3591" i="1" s="1"/>
  <c r="M3592" i="1" a="1"/>
  <c r="M3592" i="1"/>
  <c r="M3593" i="1" a="1"/>
  <c r="M3593" i="1"/>
  <c r="M3594" i="1" a="1"/>
  <c r="M3594" i="1" s="1"/>
  <c r="M3595" i="1" a="1"/>
  <c r="M3595" i="1" s="1"/>
  <c r="M3596" i="1" a="1"/>
  <c r="M3596" i="1"/>
  <c r="M3597" i="1" a="1"/>
  <c r="M3597" i="1"/>
  <c r="M3598" i="1" a="1"/>
  <c r="M3598" i="1" s="1"/>
  <c r="M3599" i="1" a="1"/>
  <c r="M3599" i="1"/>
  <c r="M3600" i="1" a="1"/>
  <c r="M3600" i="1" s="1"/>
  <c r="M3601" i="1" a="1"/>
  <c r="M3601" i="1"/>
  <c r="M3602" i="1" a="1"/>
  <c r="M3602" i="1" s="1"/>
  <c r="M3603" i="1" a="1"/>
  <c r="M3603" i="1"/>
  <c r="M3604" i="1" a="1"/>
  <c r="M3604" i="1"/>
  <c r="M3605" i="1" a="1"/>
  <c r="M3605" i="1" s="1"/>
  <c r="M3606" i="1" a="1"/>
  <c r="M3606" i="1" s="1"/>
  <c r="M3607" i="1" a="1"/>
  <c r="M3607" i="1"/>
  <c r="M3608" i="1" a="1"/>
  <c r="M3608" i="1" s="1"/>
  <c r="M3609" i="1" a="1"/>
  <c r="M3609" i="1"/>
  <c r="M3610" i="1" a="1"/>
  <c r="M3610" i="1"/>
  <c r="M3611" i="1" a="1"/>
  <c r="M3611" i="1"/>
  <c r="M3612" i="1" a="1"/>
  <c r="M3612" i="1" s="1"/>
  <c r="M3613" i="1" a="1"/>
  <c r="M3613" i="1"/>
  <c r="M3614" i="1" a="1"/>
  <c r="M3614" i="1"/>
  <c r="M3615" i="1" a="1"/>
  <c r="M3615" i="1" s="1"/>
  <c r="M3616" i="1" a="1"/>
  <c r="M3616" i="1"/>
  <c r="M3617" i="1" a="1"/>
  <c r="M3617" i="1"/>
  <c r="M3618" i="1" a="1"/>
  <c r="M3618" i="1" s="1"/>
  <c r="M3619" i="1" a="1"/>
  <c r="M3619" i="1"/>
  <c r="M3620" i="1" a="1"/>
  <c r="M3620" i="1"/>
  <c r="M3621" i="1" a="1"/>
  <c r="M3621" i="1" s="1"/>
  <c r="M3622" i="1" a="1"/>
  <c r="M3622" i="1"/>
  <c r="M3623" i="1" a="1"/>
  <c r="M3623" i="1"/>
  <c r="M3624" i="1" a="1"/>
  <c r="M3624" i="1" s="1"/>
  <c r="M3625" i="1" a="1"/>
  <c r="M3625" i="1"/>
  <c r="M3626" i="1" a="1"/>
  <c r="M3626" i="1"/>
  <c r="M3627" i="1" a="1"/>
  <c r="M3627" i="1" s="1"/>
  <c r="M3628" i="1" a="1"/>
  <c r="M3628" i="1" s="1"/>
  <c r="M3629" i="1" a="1"/>
  <c r="M3629" i="1"/>
  <c r="M3630" i="1" a="1"/>
  <c r="M3630" i="1" s="1"/>
  <c r="M3631" i="1" a="1"/>
  <c r="M3631" i="1"/>
  <c r="M3632" i="1" a="1"/>
  <c r="M3632" i="1"/>
  <c r="M3633" i="1" a="1"/>
  <c r="M3633" i="1"/>
  <c r="M3634" i="1" a="1"/>
  <c r="M3634" i="1" s="1"/>
  <c r="M3635" i="1" a="1"/>
  <c r="M3635" i="1"/>
  <c r="M3636" i="1" a="1"/>
  <c r="M3636" i="1" s="1"/>
  <c r="M3637" i="1" a="1"/>
  <c r="M3637" i="1"/>
  <c r="M3638" i="1" a="1"/>
  <c r="M3638" i="1"/>
  <c r="M3639" i="1" a="1"/>
  <c r="M3639" i="1"/>
  <c r="M3640" i="1" a="1"/>
  <c r="M3640" i="1"/>
  <c r="M3641" i="1" a="1"/>
  <c r="M3641" i="1" s="1"/>
  <c r="M3642" i="1" a="1"/>
  <c r="M3642" i="1" s="1"/>
  <c r="M3643" i="1" a="1"/>
  <c r="M3643" i="1"/>
  <c r="M3644" i="1" a="1"/>
  <c r="M3644" i="1"/>
  <c r="M3645" i="1" a="1"/>
  <c r="M3645" i="1"/>
  <c r="M3646" i="1" a="1"/>
  <c r="M3646" i="1"/>
  <c r="M3647" i="1" a="1"/>
  <c r="M3647" i="1" s="1"/>
  <c r="M3648" i="1" a="1"/>
  <c r="M3648" i="1" s="1"/>
  <c r="M3649" i="1" a="1"/>
  <c r="M3649" i="1" s="1"/>
  <c r="M3650" i="1" a="1"/>
  <c r="M3650" i="1"/>
  <c r="M3651" i="1" a="1"/>
  <c r="M3651" i="1"/>
  <c r="M3652" i="1" a="1"/>
  <c r="M3652" i="1"/>
  <c r="M3653" i="1" a="1"/>
  <c r="M3653" i="1"/>
  <c r="M3654" i="1" a="1"/>
  <c r="M3654" i="1" s="1"/>
  <c r="M3655" i="1" a="1"/>
  <c r="M3655" i="1"/>
  <c r="M3656" i="1" a="1"/>
  <c r="M3656" i="1"/>
  <c r="M3657" i="1" a="1"/>
  <c r="M3657" i="1"/>
  <c r="M3658" i="1" a="1"/>
  <c r="M3658" i="1"/>
  <c r="M3659" i="1" a="1"/>
  <c r="M3659" i="1"/>
  <c r="M3660" i="1" a="1"/>
  <c r="M3660" i="1" s="1"/>
  <c r="M3661" i="1" a="1"/>
  <c r="M3661" i="1" s="1"/>
  <c r="M3662" i="1" a="1"/>
  <c r="M3662" i="1" s="1"/>
  <c r="M3663" i="1" a="1"/>
  <c r="M3663" i="1"/>
  <c r="M3664" i="1" a="1"/>
  <c r="M3664" i="1"/>
  <c r="M3665" i="1" a="1"/>
  <c r="M3665" i="1"/>
  <c r="M3666" i="1" a="1"/>
  <c r="M3666" i="1" s="1"/>
  <c r="M3667" i="1" a="1"/>
  <c r="M3667" i="1" s="1"/>
  <c r="M3668" i="1" a="1"/>
  <c r="M3668" i="1"/>
  <c r="M3669" i="1" a="1"/>
  <c r="M3669" i="1" s="1"/>
  <c r="M3670" i="1" a="1"/>
  <c r="M3670" i="1"/>
  <c r="M3671" i="1" a="1"/>
  <c r="M3671" i="1"/>
  <c r="M3672" i="1" a="1"/>
  <c r="M3672" i="1" s="1"/>
  <c r="M3673" i="1" a="1"/>
  <c r="M3673" i="1"/>
  <c r="M3674" i="1" a="1"/>
  <c r="M3674" i="1" s="1"/>
  <c r="M3675" i="1" a="1"/>
  <c r="M3675" i="1"/>
  <c r="M3676" i="1" a="1"/>
  <c r="M3676" i="1" s="1"/>
  <c r="M3677" i="1" a="1"/>
  <c r="M3677" i="1"/>
  <c r="M3678" i="1" a="1"/>
  <c r="M3678" i="1" s="1"/>
  <c r="M3679" i="1" a="1"/>
  <c r="M3679" i="1"/>
  <c r="M3680" i="1" a="1"/>
  <c r="M3680" i="1" s="1"/>
  <c r="M3681" i="1" a="1"/>
  <c r="M3681" i="1"/>
  <c r="M3682" i="1" a="1"/>
  <c r="M3682" i="1"/>
  <c r="M3683" i="1" a="1"/>
  <c r="M3683" i="1" s="1"/>
  <c r="M3684" i="1" a="1"/>
  <c r="M3684" i="1" s="1"/>
  <c r="M3685" i="1" a="1"/>
  <c r="M3685" i="1"/>
  <c r="M3686" i="1" a="1"/>
  <c r="M3686" i="1"/>
  <c r="M3687" i="1" a="1"/>
  <c r="M3687" i="1" s="1"/>
  <c r="M3688" i="1" a="1"/>
  <c r="M3688" i="1"/>
  <c r="M3689" i="1" a="1"/>
  <c r="M3689" i="1"/>
  <c r="M3690" i="1" a="1"/>
  <c r="M3690" i="1" s="1"/>
  <c r="M3691" i="1" a="1"/>
  <c r="M3691" i="1"/>
  <c r="M3692" i="1" a="1"/>
  <c r="M3692" i="1"/>
  <c r="M3693" i="1" a="1"/>
  <c r="M3693" i="1" s="1"/>
  <c r="M3694" i="1" a="1"/>
  <c r="M3694" i="1"/>
  <c r="M3695" i="1" a="1"/>
  <c r="M3695" i="1"/>
  <c r="M3696" i="1" a="1"/>
  <c r="M3696" i="1" s="1"/>
  <c r="M3697" i="1" a="1"/>
  <c r="M3697" i="1"/>
  <c r="M3698" i="1" a="1"/>
  <c r="M3698" i="1"/>
  <c r="M3699" i="1" a="1"/>
  <c r="M3699" i="1"/>
  <c r="M3700" i="1" a="1"/>
  <c r="M3700" i="1" s="1"/>
  <c r="M3701" i="1" a="1"/>
  <c r="M3701" i="1"/>
  <c r="M3702" i="1" a="1"/>
  <c r="M3702" i="1" s="1"/>
  <c r="M3703" i="1" a="1"/>
  <c r="M3703" i="1"/>
  <c r="M3704" i="1" a="1"/>
  <c r="M3704" i="1"/>
  <c r="M3705" i="1" a="1"/>
  <c r="M3705" i="1" s="1"/>
  <c r="M3706" i="1" a="1"/>
  <c r="M3706" i="1" s="1"/>
  <c r="M3707" i="1" a="1"/>
  <c r="M3707" i="1"/>
  <c r="M3708" i="1" a="1"/>
  <c r="M3708" i="1" s="1"/>
  <c r="M3709" i="1" a="1"/>
  <c r="M3709" i="1"/>
  <c r="M3710" i="1" a="1"/>
  <c r="M3710" i="1"/>
  <c r="M3711" i="1" a="1"/>
  <c r="M3711" i="1"/>
  <c r="M3712" i="1" a="1"/>
  <c r="M3712" i="1" s="1"/>
  <c r="M3713" i="1" a="1"/>
  <c r="M3713" i="1" s="1"/>
  <c r="M3714" i="1" a="1"/>
  <c r="M3714" i="1" s="1"/>
  <c r="M3715" i="1" a="1"/>
  <c r="M3715" i="1"/>
  <c r="M3716" i="1" a="1"/>
  <c r="M3716" i="1"/>
  <c r="M3717" i="1" a="1"/>
  <c r="M3717" i="1"/>
  <c r="M3718" i="1" a="1"/>
  <c r="M3718" i="1"/>
  <c r="M3719" i="1" a="1"/>
  <c r="M3719" i="1" s="1"/>
  <c r="M3720" i="1" a="1"/>
  <c r="M3720" i="1" s="1"/>
  <c r="M3721" i="1" a="1"/>
  <c r="M3721" i="1"/>
  <c r="M3722" i="1" a="1"/>
  <c r="M3722" i="1"/>
  <c r="M3723" i="1" a="1"/>
  <c r="M3723" i="1"/>
  <c r="M3724" i="1" a="1"/>
  <c r="M3724" i="1"/>
  <c r="M3725" i="1" a="1"/>
  <c r="M3725" i="1"/>
  <c r="M3726" i="1" a="1"/>
  <c r="M3726" i="1" s="1"/>
  <c r="M3727" i="1" a="1"/>
  <c r="M3727" i="1"/>
  <c r="M3728" i="1" a="1"/>
  <c r="M3728" i="1"/>
  <c r="M3729" i="1" a="1"/>
  <c r="M3729" i="1"/>
  <c r="M3730" i="1" a="1"/>
  <c r="M3730" i="1"/>
  <c r="M3731" i="1" a="1"/>
  <c r="M3731" i="1"/>
  <c r="M3732" i="1" a="1"/>
  <c r="M3732" i="1" s="1"/>
  <c r="M3733" i="1" a="1"/>
  <c r="M3733" i="1" s="1"/>
  <c r="M3734" i="1" a="1"/>
  <c r="M3734" i="1"/>
  <c r="M3735" i="1" a="1"/>
  <c r="M3735" i="1"/>
  <c r="M3736" i="1" a="1"/>
  <c r="M3736" i="1"/>
  <c r="M3737" i="1" a="1"/>
  <c r="M3737" i="1"/>
  <c r="M3738" i="1" a="1"/>
  <c r="M3738" i="1" s="1"/>
  <c r="M3739" i="1" a="1"/>
  <c r="M3739" i="1" s="1"/>
  <c r="M3740" i="1" a="1"/>
  <c r="M3740" i="1"/>
  <c r="M3741" i="1" a="1"/>
  <c r="M3741" i="1"/>
  <c r="M3742" i="1" a="1"/>
  <c r="M3742" i="1"/>
  <c r="M3743" i="1" a="1"/>
  <c r="M3743" i="1"/>
  <c r="M3744" i="1" a="1"/>
  <c r="M3744" i="1" s="1"/>
  <c r="M3745" i="1" a="1"/>
  <c r="M3745" i="1"/>
  <c r="M3746" i="1" a="1"/>
  <c r="M3746" i="1" s="1"/>
  <c r="M3747" i="1" a="1"/>
  <c r="M3747" i="1" s="1"/>
  <c r="M3748" i="1" a="1"/>
  <c r="M3748" i="1"/>
  <c r="M3749" i="1" a="1"/>
  <c r="M3749" i="1"/>
  <c r="M3750" i="1" a="1"/>
  <c r="M3750" i="1" s="1"/>
  <c r="M3751" i="1" a="1"/>
  <c r="M3751" i="1"/>
  <c r="M3752" i="1" a="1"/>
  <c r="M3752" i="1" s="1"/>
  <c r="M3753" i="1" a="1"/>
  <c r="M3753" i="1"/>
  <c r="M3754" i="1" a="1"/>
  <c r="M3754" i="1" s="1"/>
  <c r="M3755" i="1" a="1"/>
  <c r="M3755" i="1"/>
  <c r="M3756" i="1" a="1"/>
  <c r="M3756" i="1" s="1"/>
  <c r="M3757" i="1" a="1"/>
  <c r="M3757" i="1"/>
  <c r="M3758" i="1" a="1"/>
  <c r="M3758" i="1"/>
  <c r="M3759" i="1" a="1"/>
  <c r="M3759" i="1"/>
  <c r="M3760" i="1" a="1"/>
  <c r="M3760" i="1"/>
  <c r="M3761" i="1" a="1"/>
  <c r="M3761" i="1"/>
  <c r="M3762" i="1" a="1"/>
  <c r="M3762" i="1" s="1"/>
  <c r="M3763" i="1" a="1"/>
  <c r="M3763" i="1"/>
  <c r="M3764" i="1" a="1"/>
  <c r="M3764" i="1"/>
  <c r="M3765" i="1" a="1"/>
  <c r="M3765" i="1"/>
  <c r="M3766" i="1" a="1"/>
  <c r="M3766" i="1"/>
  <c r="M3767" i="1" a="1"/>
  <c r="M3767" i="1" s="1"/>
  <c r="M3768" i="1" a="1"/>
  <c r="M3768" i="1" s="1"/>
  <c r="M3769" i="1" a="1"/>
  <c r="M3769" i="1"/>
  <c r="M3770" i="1" a="1"/>
  <c r="M3770" i="1"/>
  <c r="M3771" i="1" a="1"/>
  <c r="M3771" i="1"/>
  <c r="M3772" i="1" a="1"/>
  <c r="M3772" i="1"/>
  <c r="M3773" i="1" a="1"/>
  <c r="M3773" i="1"/>
  <c r="M3774" i="1" a="1"/>
  <c r="M3774" i="1" s="1"/>
  <c r="M3775" i="1" a="1"/>
  <c r="M3775" i="1"/>
  <c r="M3776" i="1" a="1"/>
  <c r="M3776" i="1"/>
  <c r="M3777" i="1" a="1"/>
  <c r="M3777" i="1"/>
  <c r="M3778" i="1" a="1"/>
  <c r="M3778" i="1"/>
  <c r="M3779" i="1" a="1"/>
  <c r="M3779" i="1"/>
  <c r="M3780" i="1" a="1"/>
  <c r="M3780" i="1" s="1"/>
  <c r="M3781" i="1" a="1"/>
  <c r="M3781" i="1"/>
  <c r="M3782" i="1" a="1"/>
  <c r="M3782" i="1"/>
  <c r="M3783" i="1" a="1"/>
  <c r="M3783" i="1"/>
  <c r="M3784" i="1" a="1"/>
  <c r="M3784" i="1"/>
  <c r="M3785" i="1" a="1"/>
  <c r="M3785" i="1"/>
  <c r="M3786" i="1" a="1"/>
  <c r="M3786" i="1" s="1"/>
  <c r="M3787" i="1" a="1"/>
  <c r="M3787" i="1" s="1"/>
  <c r="M3788" i="1" a="1"/>
  <c r="M3788" i="1"/>
  <c r="M3789" i="1" a="1"/>
  <c r="M3789" i="1"/>
  <c r="M3790" i="1" a="1"/>
  <c r="M3790" i="1"/>
  <c r="M3791" i="1" a="1"/>
  <c r="M3791" i="1"/>
  <c r="M3792" i="1" a="1"/>
  <c r="M3792" i="1" s="1"/>
  <c r="M3793" i="1" a="1"/>
  <c r="M3793" i="1"/>
  <c r="M3794" i="1" a="1"/>
  <c r="M3794" i="1"/>
  <c r="M3795" i="1" a="1"/>
  <c r="M3795" i="1"/>
  <c r="M3796" i="1" a="1"/>
  <c r="M3796" i="1"/>
  <c r="M3797" i="1" a="1"/>
  <c r="M3797" i="1"/>
  <c r="M3798" i="1" a="1"/>
  <c r="M3798" i="1" s="1"/>
  <c r="M3799" i="1" a="1"/>
  <c r="M3799" i="1"/>
  <c r="M3800" i="1" a="1"/>
  <c r="M3800" i="1" s="1"/>
  <c r="M3801" i="1" a="1"/>
  <c r="M3801" i="1"/>
  <c r="M3802" i="1" a="1"/>
  <c r="M3802" i="1"/>
  <c r="M3803" i="1" a="1"/>
  <c r="M3803" i="1"/>
  <c r="M3804" i="1" a="1"/>
  <c r="M3804" i="1" s="1"/>
  <c r="M3805" i="1" a="1"/>
  <c r="M3805" i="1"/>
  <c r="M3806" i="1" a="1"/>
  <c r="M3806" i="1"/>
  <c r="M3807" i="1" a="1"/>
  <c r="M3807" i="1" s="1"/>
  <c r="M3808" i="1" a="1"/>
  <c r="M3808" i="1"/>
  <c r="M3809" i="1" a="1"/>
  <c r="M3809" i="1"/>
  <c r="M3810" i="1" a="1"/>
  <c r="M3810" i="1" s="1"/>
  <c r="M3811" i="1" a="1"/>
  <c r="M3811" i="1"/>
  <c r="M3812" i="1" a="1"/>
  <c r="M3812" i="1"/>
  <c r="M3813" i="1" a="1"/>
  <c r="M3813" i="1" s="1"/>
  <c r="M3814" i="1" a="1"/>
  <c r="M3814" i="1"/>
  <c r="M3815" i="1" a="1"/>
  <c r="M3815" i="1"/>
  <c r="M3816" i="1" a="1"/>
  <c r="M3816" i="1" s="1"/>
  <c r="M3817" i="1" a="1"/>
  <c r="M3817" i="1"/>
  <c r="M3818" i="1" a="1"/>
  <c r="M3818" i="1"/>
  <c r="M3819" i="1" a="1"/>
  <c r="M3819" i="1"/>
  <c r="M3820" i="1" a="1"/>
  <c r="M3820" i="1" s="1"/>
  <c r="M3821" i="1" a="1"/>
  <c r="M3821" i="1"/>
  <c r="M3822" i="1" a="1"/>
  <c r="M3822" i="1" s="1"/>
  <c r="M3823" i="1" a="1"/>
  <c r="M3823" i="1"/>
  <c r="M3824" i="1" a="1"/>
  <c r="M3824" i="1"/>
  <c r="M3825" i="1" a="1"/>
  <c r="M3825" i="1"/>
  <c r="M3826" i="1" a="1"/>
  <c r="M3826" i="1" s="1"/>
  <c r="M3827" i="1" a="1"/>
  <c r="M3827" i="1"/>
  <c r="M3828" i="1" a="1"/>
  <c r="M3828" i="1" s="1"/>
  <c r="M3829" i="1" a="1"/>
  <c r="M3829" i="1"/>
  <c r="M3830" i="1" a="1"/>
  <c r="M3830" i="1"/>
  <c r="M3831" i="1" a="1"/>
  <c r="M3831" i="1"/>
  <c r="M3832" i="1" a="1"/>
  <c r="M3832" i="1"/>
  <c r="M3833" i="1" a="1"/>
  <c r="M3833" i="1" s="1"/>
  <c r="M3834" i="1" a="1"/>
  <c r="M3834" i="1" s="1"/>
  <c r="M3835" i="1" a="1"/>
  <c r="M3835" i="1"/>
  <c r="M3836" i="1" a="1"/>
  <c r="M3836" i="1"/>
  <c r="M3837" i="1" a="1"/>
  <c r="M3837" i="1"/>
  <c r="M3838" i="1" a="1"/>
  <c r="M3838" i="1"/>
  <c r="M3839" i="1" a="1"/>
  <c r="M3839" i="1" s="1"/>
  <c r="M3840" i="1" a="1"/>
  <c r="M3840" i="1" s="1"/>
  <c r="M3841" i="1" a="1"/>
  <c r="M3841" i="1"/>
  <c r="M3842" i="1" a="1"/>
  <c r="M3842" i="1"/>
  <c r="M3843" i="1" a="1"/>
  <c r="M3843" i="1"/>
  <c r="M3844" i="1" a="1"/>
  <c r="M3844" i="1"/>
  <c r="M3845" i="1" a="1"/>
  <c r="M3845" i="1"/>
  <c r="M3846" i="1" a="1"/>
  <c r="M3846" i="1" s="1"/>
  <c r="M3847" i="1" a="1"/>
  <c r="M3847" i="1"/>
  <c r="M3848" i="1" a="1"/>
  <c r="M3848" i="1"/>
  <c r="M3849" i="1" a="1"/>
  <c r="M3849" i="1"/>
  <c r="M3850" i="1" a="1"/>
  <c r="M3850" i="1"/>
  <c r="M3851" i="1" a="1"/>
  <c r="M3851" i="1"/>
  <c r="M3852" i="1" a="1"/>
  <c r="M3852" i="1" s="1"/>
  <c r="M3853" i="1" a="1"/>
  <c r="M3853" i="1" s="1"/>
  <c r="M3854" i="1" a="1"/>
  <c r="M3854" i="1"/>
  <c r="M3855" i="1" a="1"/>
  <c r="M3855" i="1"/>
  <c r="M3856" i="1" a="1"/>
  <c r="M3856" i="1"/>
  <c r="M3857" i="1" a="1"/>
  <c r="M3857" i="1"/>
  <c r="M3858" i="1" a="1"/>
  <c r="M3858" i="1" s="1"/>
  <c r="M3859" i="1" a="1"/>
  <c r="M3859" i="1" s="1"/>
  <c r="M3860" i="1" a="1"/>
  <c r="M3860" i="1"/>
  <c r="M3861" i="1" a="1"/>
  <c r="M3861" i="1"/>
  <c r="M3862" i="1" a="1"/>
  <c r="M3862" i="1"/>
  <c r="M3863" i="1" a="1"/>
  <c r="M3863" i="1"/>
  <c r="M3864" i="1" a="1"/>
  <c r="M3864" i="1" s="1"/>
  <c r="M3865" i="1" a="1"/>
  <c r="M3865" i="1"/>
  <c r="M3866" i="1" a="1"/>
  <c r="M3866" i="1" s="1"/>
  <c r="M3867" i="1" a="1"/>
  <c r="M3867" i="1"/>
  <c r="M3868" i="1" a="1"/>
  <c r="M3868" i="1"/>
  <c r="M3869" i="1" a="1"/>
  <c r="M3869" i="1"/>
  <c r="M3870" i="1" a="1"/>
  <c r="M3870" i="1" s="1"/>
  <c r="M3871" i="1" a="1"/>
  <c r="M3871" i="1"/>
  <c r="M3872" i="1" a="1"/>
  <c r="M3872" i="1" s="1"/>
  <c r="M3873" i="1" a="1"/>
  <c r="M3873" i="1"/>
  <c r="M3874" i="1" a="1"/>
  <c r="M3874" i="1"/>
  <c r="M3875" i="1" a="1"/>
  <c r="M3875" i="1"/>
  <c r="M3876" i="1" a="1"/>
  <c r="M3876" i="1" s="1"/>
  <c r="M3877" i="1" a="1"/>
  <c r="M3877" i="1"/>
  <c r="M3878" i="1" a="1"/>
  <c r="M3878" i="1"/>
  <c r="M3879" i="1" a="1"/>
  <c r="M3879" i="1"/>
  <c r="M3880" i="1" a="1"/>
  <c r="M3880" i="1"/>
  <c r="M3881" i="1" a="1"/>
  <c r="M3881" i="1"/>
  <c r="M3882" i="1" a="1"/>
  <c r="M3882" i="1" s="1"/>
  <c r="M3883" i="1" a="1"/>
  <c r="M3883" i="1"/>
  <c r="M3884" i="1" a="1"/>
  <c r="M3884" i="1"/>
  <c r="M3885" i="1" a="1"/>
  <c r="M3885" i="1" s="1"/>
  <c r="M3886" i="1" a="1"/>
  <c r="M3886" i="1"/>
  <c r="M3887" i="1" a="1"/>
  <c r="M3887" i="1"/>
  <c r="M3888" i="1" a="1"/>
  <c r="M3888" i="1" s="1"/>
  <c r="M3889" i="1" a="1"/>
  <c r="M3889" i="1"/>
  <c r="M3890" i="1" a="1"/>
  <c r="M3890" i="1"/>
  <c r="M3891" i="1" a="1"/>
  <c r="M3891" i="1"/>
  <c r="M3892" i="1" a="1"/>
  <c r="M3892" i="1" s="1"/>
  <c r="M3893" i="1" a="1"/>
  <c r="M3893" i="1"/>
  <c r="M3894" i="1" a="1"/>
  <c r="M3894" i="1" s="1"/>
  <c r="M3895" i="1" a="1"/>
  <c r="M3895" i="1"/>
  <c r="M3896" i="1" a="1"/>
  <c r="M3896" i="1"/>
  <c r="M3897" i="1" a="1"/>
  <c r="M3897" i="1"/>
  <c r="M3898" i="1" a="1"/>
  <c r="M3898" i="1" s="1"/>
  <c r="M3899" i="1" a="1"/>
  <c r="M3899" i="1"/>
  <c r="M3900" i="1" a="1"/>
  <c r="M3900" i="1" s="1"/>
  <c r="M3901" i="1" a="1"/>
  <c r="M3901" i="1"/>
  <c r="M3902" i="1" a="1"/>
  <c r="M3902" i="1"/>
  <c r="M3903" i="1" a="1"/>
  <c r="M3903" i="1"/>
  <c r="M3904" i="1" a="1"/>
  <c r="M3904" i="1"/>
  <c r="M3905" i="1" a="1"/>
  <c r="M3905" i="1" s="1"/>
  <c r="M3906" i="1" a="1"/>
  <c r="M3906" i="1"/>
  <c r="M3907" i="1" a="1"/>
  <c r="M3907" i="1"/>
  <c r="M3908" i="1" a="1"/>
  <c r="M3908" i="1"/>
  <c r="M3909" i="1" a="1"/>
  <c r="M3909" i="1"/>
  <c r="M3910" i="1" a="1"/>
  <c r="M3910" i="1"/>
  <c r="M3911" i="1" a="1"/>
  <c r="M3911" i="1" s="1"/>
  <c r="M3912" i="1" a="1"/>
  <c r="M3912" i="1"/>
  <c r="M3913" i="1" a="1"/>
  <c r="M3913" i="1"/>
  <c r="M3914" i="1" a="1"/>
  <c r="M3914" i="1"/>
  <c r="M3915" i="1" a="1"/>
  <c r="M3915" i="1"/>
  <c r="M3916" i="1" a="1"/>
  <c r="M3916" i="1"/>
  <c r="M3917" i="1" a="1"/>
  <c r="M3917" i="1" s="1"/>
  <c r="M3918" i="1" a="1"/>
  <c r="M3918" i="1"/>
  <c r="M3919" i="1" a="1"/>
  <c r="M3919" i="1"/>
  <c r="M3920" i="1" a="1"/>
  <c r="M3920" i="1"/>
  <c r="M3921" i="1" a="1"/>
  <c r="M3921" i="1"/>
  <c r="M3922" i="1" a="1"/>
  <c r="M3922" i="1"/>
  <c r="M3923" i="1" a="1"/>
  <c r="M3923" i="1" s="1"/>
  <c r="M3924" i="1" a="1"/>
  <c r="M3924" i="1"/>
  <c r="M3925" i="1" a="1"/>
  <c r="M3925" i="1"/>
  <c r="M3926" i="1" a="1"/>
  <c r="M3926" i="1"/>
  <c r="M3927" i="1" a="1"/>
  <c r="M3927" i="1"/>
  <c r="M3928" i="1" a="1"/>
  <c r="M3928" i="1"/>
  <c r="M3929" i="1" a="1"/>
  <c r="M3929" i="1" s="1"/>
  <c r="M3930" i="1" a="1"/>
  <c r="M3930" i="1"/>
  <c r="M3931" i="1" a="1"/>
  <c r="M3931" i="1"/>
  <c r="M3932" i="1" a="1"/>
  <c r="M3932" i="1"/>
  <c r="M3933" i="1" a="1"/>
  <c r="M3933" i="1"/>
  <c r="M3934" i="1" a="1"/>
  <c r="M3934" i="1"/>
  <c r="M3935" i="1" a="1"/>
  <c r="M3935" i="1" s="1"/>
  <c r="M3936" i="1" a="1"/>
  <c r="M3936" i="1"/>
  <c r="M3937" i="1" a="1"/>
  <c r="M3937" i="1"/>
  <c r="M3938" i="1" a="1"/>
  <c r="M3938" i="1"/>
  <c r="M3939" i="1" a="1"/>
  <c r="M3939" i="1"/>
  <c r="M3940" i="1" a="1"/>
  <c r="M3940" i="1"/>
  <c r="M3941" i="1" a="1"/>
  <c r="M3941" i="1" s="1"/>
  <c r="M3942" i="1" a="1"/>
  <c r="M3942" i="1"/>
  <c r="M3943" i="1" a="1"/>
  <c r="M3943" i="1"/>
  <c r="M3944" i="1" a="1"/>
  <c r="M3944" i="1"/>
  <c r="M3945" i="1" a="1"/>
  <c r="M3945" i="1"/>
  <c r="M3946" i="1" a="1"/>
  <c r="M3946" i="1"/>
  <c r="M3947" i="1" a="1"/>
  <c r="M3947" i="1" s="1"/>
  <c r="M3948" i="1" a="1"/>
  <c r="M3948" i="1"/>
  <c r="M3949" i="1" a="1"/>
  <c r="M3949" i="1"/>
  <c r="M3950" i="1" a="1"/>
  <c r="M3950" i="1"/>
  <c r="M3951" i="1" a="1"/>
  <c r="M3951" i="1"/>
  <c r="M3952" i="1" a="1"/>
  <c r="M3952" i="1"/>
  <c r="M3953" i="1" a="1"/>
  <c r="M3953" i="1" s="1"/>
  <c r="M3954" i="1" a="1"/>
  <c r="M3954" i="1"/>
  <c r="M3955" i="1" a="1"/>
  <c r="M3955" i="1"/>
  <c r="M3956" i="1" a="1"/>
  <c r="M3956" i="1"/>
  <c r="M3957" i="1" a="1"/>
  <c r="M3957" i="1"/>
  <c r="M3958" i="1" a="1"/>
  <c r="M3958" i="1"/>
  <c r="M3959" i="1" a="1"/>
  <c r="M3959" i="1" s="1"/>
  <c r="M3960" i="1" a="1"/>
  <c r="M3960" i="1"/>
  <c r="M3961" i="1" a="1"/>
  <c r="M3961" i="1"/>
  <c r="M3962" i="1" a="1"/>
  <c r="M3962" i="1"/>
  <c r="M3963" i="1" a="1"/>
  <c r="M3963" i="1"/>
  <c r="M3964" i="1" a="1"/>
  <c r="M3964" i="1"/>
  <c r="M3965" i="1" a="1"/>
  <c r="M3965" i="1" s="1"/>
  <c r="M3966" i="1" a="1"/>
  <c r="M3966" i="1"/>
  <c r="M3967" i="1" a="1"/>
  <c r="M3967" i="1"/>
  <c r="M3968" i="1" a="1"/>
  <c r="M3968" i="1"/>
  <c r="M3969" i="1" a="1"/>
  <c r="M3969" i="1"/>
  <c r="M3970" i="1" a="1"/>
  <c r="M3970" i="1"/>
  <c r="M3971" i="1" a="1"/>
  <c r="M3971" i="1" s="1"/>
  <c r="M3972" i="1" a="1"/>
  <c r="M3972" i="1"/>
  <c r="M3973" i="1" a="1"/>
  <c r="M3973" i="1"/>
  <c r="M3974" i="1" a="1"/>
  <c r="M3974" i="1"/>
  <c r="M3975" i="1" a="1"/>
  <c r="M3975" i="1"/>
  <c r="M3976" i="1" a="1"/>
  <c r="M3976" i="1"/>
  <c r="M3977" i="1" a="1"/>
  <c r="M3977" i="1" s="1"/>
  <c r="M3978" i="1" a="1"/>
  <c r="M3978" i="1"/>
  <c r="M3979" i="1" a="1"/>
  <c r="M3979" i="1"/>
  <c r="M3980" i="1" a="1"/>
  <c r="M3980" i="1"/>
  <c r="M3981" i="1" a="1"/>
  <c r="M3981" i="1"/>
  <c r="M3982" i="1" a="1"/>
  <c r="M3982" i="1"/>
  <c r="M3983" i="1" a="1"/>
  <c r="M3983" i="1" s="1"/>
  <c r="M3984" i="1" a="1"/>
  <c r="M3984" i="1"/>
  <c r="M3985" i="1" a="1"/>
  <c r="M3985" i="1"/>
  <c r="M3986" i="1" a="1"/>
  <c r="M3986" i="1"/>
  <c r="M3987" i="1" a="1"/>
  <c r="M3987" i="1"/>
  <c r="M3988" i="1" a="1"/>
  <c r="M3988" i="1"/>
  <c r="M3989" i="1" a="1"/>
  <c r="M3989" i="1" s="1"/>
  <c r="M3990" i="1" a="1"/>
  <c r="M3990" i="1"/>
  <c r="M3991" i="1" a="1"/>
  <c r="M3991" i="1"/>
  <c r="M3992" i="1" a="1"/>
  <c r="M3992" i="1"/>
  <c r="M3993" i="1" a="1"/>
  <c r="M3993" i="1"/>
  <c r="M3994" i="1" a="1"/>
  <c r="M3994" i="1"/>
  <c r="M3995" i="1" a="1"/>
  <c r="M3995" i="1" s="1"/>
  <c r="M3996" i="1" a="1"/>
  <c r="M3996" i="1"/>
  <c r="M3997" i="1" a="1"/>
  <c r="M3997" i="1"/>
  <c r="M3998" i="1" a="1"/>
  <c r="M3998" i="1"/>
  <c r="M3999" i="1" a="1"/>
  <c r="M3999" i="1"/>
  <c r="M4000" i="1" a="1"/>
  <c r="M4000" i="1"/>
  <c r="M4001" i="1" a="1"/>
  <c r="M4001" i="1" s="1"/>
  <c r="M4002" i="1" a="1"/>
  <c r="M4002" i="1"/>
  <c r="M4003" i="1" a="1"/>
  <c r="M4003" i="1"/>
  <c r="M4004" i="1" a="1"/>
  <c r="M4004" i="1"/>
  <c r="M4005" i="1" a="1"/>
  <c r="M4005" i="1"/>
  <c r="M4006" i="1" a="1"/>
  <c r="M4006" i="1"/>
  <c r="M4007" i="1" a="1"/>
  <c r="M4007" i="1" s="1"/>
  <c r="M4008" i="1" a="1"/>
  <c r="M4008" i="1"/>
  <c r="M4009" i="1" a="1"/>
  <c r="M4009" i="1"/>
  <c r="M4010" i="1" a="1"/>
  <c r="M4010" i="1"/>
  <c r="M4011" i="1" a="1"/>
  <c r="M4011" i="1"/>
  <c r="M4012" i="1" a="1"/>
  <c r="M4012" i="1"/>
  <c r="M4013" i="1" a="1"/>
  <c r="M4013" i="1" s="1"/>
  <c r="M4014" i="1" a="1"/>
  <c r="M4014" i="1"/>
  <c r="M4015" i="1" a="1"/>
  <c r="M4015" i="1"/>
  <c r="M4016" i="1" a="1"/>
  <c r="M4016" i="1"/>
  <c r="M4017" i="1" a="1"/>
  <c r="M4017" i="1"/>
  <c r="M4018" i="1" a="1"/>
  <c r="M4018" i="1"/>
  <c r="M4019" i="1" a="1"/>
  <c r="M4019" i="1" s="1"/>
  <c r="M4020" i="1" a="1"/>
  <c r="M4020" i="1"/>
  <c r="M4021" i="1" a="1"/>
  <c r="M4021" i="1"/>
  <c r="M4022" i="1" a="1"/>
  <c r="M4022" i="1"/>
  <c r="M4023" i="1" a="1"/>
  <c r="M4023" i="1"/>
  <c r="M4024" i="1" a="1"/>
  <c r="M4024" i="1"/>
  <c r="M4025" i="1" a="1"/>
  <c r="M4025" i="1" s="1"/>
  <c r="M4026" i="1" a="1"/>
  <c r="M4026" i="1"/>
  <c r="M4027" i="1" a="1"/>
  <c r="M4027" i="1"/>
  <c r="M4028" i="1" a="1"/>
  <c r="M4028" i="1"/>
  <c r="M4029" i="1" a="1"/>
  <c r="M4029" i="1"/>
  <c r="M4030" i="1" a="1"/>
  <c r="M4030" i="1"/>
  <c r="M4031" i="1" a="1"/>
  <c r="M4031" i="1" s="1"/>
  <c r="M4032" i="1" a="1"/>
  <c r="M4032" i="1"/>
  <c r="M4033" i="1" a="1"/>
  <c r="M4033" i="1"/>
  <c r="M4034" i="1" a="1"/>
  <c r="M4034" i="1"/>
  <c r="M4035" i="1" a="1"/>
  <c r="M4035" i="1"/>
  <c r="M4036" i="1" a="1"/>
  <c r="M4036" i="1"/>
  <c r="M4037" i="1" a="1"/>
  <c r="M4037" i="1" s="1"/>
  <c r="M4038" i="1" a="1"/>
  <c r="M4038" i="1"/>
  <c r="M4039" i="1" a="1"/>
  <c r="M4039" i="1"/>
  <c r="M4040" i="1" a="1"/>
  <c r="M4040" i="1"/>
  <c r="M4041" i="1" a="1"/>
  <c r="M4041" i="1"/>
  <c r="M4042" i="1" a="1"/>
  <c r="M4042" i="1"/>
  <c r="M4043" i="1" a="1"/>
  <c r="M4043" i="1" s="1"/>
  <c r="M4044" i="1" a="1"/>
  <c r="M4044" i="1"/>
  <c r="M4045" i="1" a="1"/>
  <c r="M4045" i="1"/>
  <c r="M4046" i="1" a="1"/>
  <c r="M4046" i="1"/>
  <c r="M4047" i="1" a="1"/>
  <c r="M4047" i="1"/>
  <c r="M4048" i="1" a="1"/>
  <c r="M4048" i="1"/>
  <c r="M4049" i="1" a="1"/>
  <c r="M4049" i="1" s="1"/>
  <c r="M4050" i="1" a="1"/>
  <c r="M4050" i="1"/>
  <c r="M4051" i="1" a="1"/>
  <c r="M4051" i="1"/>
  <c r="M4052" i="1" a="1"/>
  <c r="M4052" i="1"/>
  <c r="M4053" i="1" a="1"/>
  <c r="M4053" i="1"/>
  <c r="M4054" i="1" a="1"/>
  <c r="M4054" i="1"/>
  <c r="M4055" i="1" a="1"/>
  <c r="M4055" i="1" s="1"/>
  <c r="M4056" i="1" a="1"/>
  <c r="M4056" i="1"/>
  <c r="M4057" i="1" a="1"/>
  <c r="M4057" i="1"/>
  <c r="M4058" i="1" a="1"/>
  <c r="M4058" i="1"/>
  <c r="M4059" i="1" a="1"/>
  <c r="M4059" i="1"/>
  <c r="M4060" i="1" a="1"/>
  <c r="M4060" i="1"/>
  <c r="M4061" i="1" a="1"/>
  <c r="M4061" i="1" s="1"/>
  <c r="M4062" i="1" a="1"/>
  <c r="M4062" i="1"/>
  <c r="M4063" i="1" a="1"/>
  <c r="M4063" i="1"/>
  <c r="M4064" i="1" a="1"/>
  <c r="M4064" i="1"/>
  <c r="M4065" i="1" a="1"/>
  <c r="M4065" i="1"/>
  <c r="M4066" i="1" a="1"/>
  <c r="M4066" i="1"/>
  <c r="M4067" i="1" a="1"/>
  <c r="M4067" i="1" s="1"/>
  <c r="M4068" i="1" a="1"/>
  <c r="M4068" i="1"/>
  <c r="M4069" i="1" a="1"/>
  <c r="M4069" i="1"/>
  <c r="M4070" i="1" a="1"/>
  <c r="M4070" i="1"/>
  <c r="M4071" i="1" a="1"/>
  <c r="M4071" i="1"/>
  <c r="M4072" i="1" a="1"/>
  <c r="M4072" i="1"/>
  <c r="M4073" i="1" a="1"/>
  <c r="M4073" i="1" s="1"/>
  <c r="M4074" i="1" a="1"/>
  <c r="M4074" i="1"/>
  <c r="M4075" i="1" a="1"/>
  <c r="M4075" i="1"/>
  <c r="M4076" i="1" a="1"/>
  <c r="M4076" i="1"/>
  <c r="M4077" i="1" a="1"/>
  <c r="M4077" i="1"/>
  <c r="M4078" i="1" a="1"/>
  <c r="M4078" i="1"/>
  <c r="M4079" i="1" a="1"/>
  <c r="M4079" i="1" s="1"/>
  <c r="M4080" i="1" a="1"/>
  <c r="M4080" i="1"/>
  <c r="M4081" i="1" a="1"/>
  <c r="M4081" i="1"/>
  <c r="M4082" i="1" a="1"/>
  <c r="M4082" i="1"/>
  <c r="M4083" i="1" a="1"/>
  <c r="M4083" i="1"/>
  <c r="M4084" i="1" a="1"/>
  <c r="M4084" i="1"/>
  <c r="M4085" i="1" a="1"/>
  <c r="M4085" i="1" s="1"/>
  <c r="M4086" i="1" a="1"/>
  <c r="M4086" i="1"/>
  <c r="M4087" i="1" a="1"/>
  <c r="M4087" i="1"/>
  <c r="M4088" i="1" a="1"/>
  <c r="M4088" i="1"/>
  <c r="M4089" i="1" a="1"/>
  <c r="M4089" i="1"/>
  <c r="M4090" i="1" a="1"/>
  <c r="M4090" i="1"/>
  <c r="M4091" i="1" a="1"/>
  <c r="M4091" i="1" s="1"/>
  <c r="M4092" i="1" a="1"/>
  <c r="M4092" i="1"/>
  <c r="M4093" i="1" a="1"/>
  <c r="M4093" i="1"/>
  <c r="M4094" i="1" a="1"/>
  <c r="M4094" i="1"/>
  <c r="M4095" i="1" a="1"/>
  <c r="M4095" i="1"/>
  <c r="M4096" i="1" a="1"/>
  <c r="M4096" i="1"/>
  <c r="M4097" i="1" a="1"/>
  <c r="M4097" i="1" s="1"/>
  <c r="M4098" i="1" a="1"/>
  <c r="M4098" i="1"/>
  <c r="M4099" i="1" a="1"/>
  <c r="M4099" i="1"/>
  <c r="M4100" i="1" a="1"/>
  <c r="M4100" i="1"/>
  <c r="M4101" i="1" a="1"/>
  <c r="M4101" i="1"/>
  <c r="M4102" i="1" a="1"/>
  <c r="M4102" i="1"/>
  <c r="M4103" i="1" a="1"/>
  <c r="M4103" i="1" s="1"/>
  <c r="M4104" i="1" a="1"/>
  <c r="M4104" i="1"/>
  <c r="M4105" i="1" a="1"/>
  <c r="M4105" i="1"/>
  <c r="M4106" i="1" a="1"/>
  <c r="M4106" i="1"/>
  <c r="M4107" i="1" a="1"/>
  <c r="M4107" i="1"/>
  <c r="M4108" i="1" a="1"/>
  <c r="M4108" i="1"/>
  <c r="M4109" i="1" a="1"/>
  <c r="M4109" i="1" s="1"/>
  <c r="M4110" i="1" a="1"/>
  <c r="M4110" i="1"/>
  <c r="M4111" i="1" a="1"/>
  <c r="M4111" i="1"/>
  <c r="M4112" i="1" a="1"/>
  <c r="M4112" i="1"/>
  <c r="M4113" i="1" a="1"/>
  <c r="M4113" i="1"/>
  <c r="M4114" i="1" a="1"/>
  <c r="M4114" i="1"/>
  <c r="M4115" i="1" a="1"/>
  <c r="M4115" i="1" s="1"/>
  <c r="M4116" i="1" a="1"/>
  <c r="M4116" i="1"/>
  <c r="M4117" i="1" a="1"/>
  <c r="M4117" i="1"/>
  <c r="M4118" i="1" a="1"/>
  <c r="M4118" i="1"/>
  <c r="M4119" i="1" a="1"/>
  <c r="M4119" i="1"/>
  <c r="M4120" i="1" a="1"/>
  <c r="M4120" i="1"/>
  <c r="M4121" i="1" a="1"/>
  <c r="M4121" i="1" s="1"/>
  <c r="M4122" i="1" a="1"/>
  <c r="M4122" i="1"/>
  <c r="M4123" i="1" a="1"/>
  <c r="M4123" i="1"/>
  <c r="M4124" i="1" a="1"/>
  <c r="M4124" i="1"/>
  <c r="M4125" i="1" a="1"/>
  <c r="M4125" i="1"/>
  <c r="M4126" i="1" a="1"/>
  <c r="M4126" i="1"/>
  <c r="M4127" i="1" a="1"/>
  <c r="M4127" i="1" s="1"/>
  <c r="M4128" i="1" a="1"/>
  <c r="M4128" i="1"/>
  <c r="M4129" i="1" a="1"/>
  <c r="M4129" i="1"/>
  <c r="M4130" i="1" a="1"/>
  <c r="M4130" i="1"/>
  <c r="M4131" i="1" a="1"/>
  <c r="M4131" i="1"/>
  <c r="M4132" i="1" a="1"/>
  <c r="M4132" i="1"/>
  <c r="M4133" i="1" a="1"/>
  <c r="M4133" i="1" s="1"/>
  <c r="M4134" i="1" a="1"/>
  <c r="M4134" i="1"/>
  <c r="M4135" i="1" a="1"/>
  <c r="M4135" i="1"/>
  <c r="M4136" i="1" a="1"/>
  <c r="M4136" i="1"/>
  <c r="M4137" i="1" a="1"/>
  <c r="M4137" i="1"/>
  <c r="M4138" i="1" a="1"/>
  <c r="M4138" i="1"/>
  <c r="M4139" i="1" a="1"/>
  <c r="M4139" i="1" s="1"/>
  <c r="M4140" i="1" a="1"/>
  <c r="M4140" i="1"/>
  <c r="M4141" i="1" a="1"/>
  <c r="M4141" i="1"/>
  <c r="M4142" i="1" a="1"/>
  <c r="M4142" i="1"/>
  <c r="M4143" i="1" a="1"/>
  <c r="M4143" i="1"/>
  <c r="M4144" i="1" a="1"/>
  <c r="M4144" i="1"/>
  <c r="M4145" i="1" a="1"/>
  <c r="M4145" i="1" s="1"/>
  <c r="M4146" i="1" a="1"/>
  <c r="M4146" i="1"/>
  <c r="M4147" i="1" a="1"/>
  <c r="M4147" i="1"/>
  <c r="M4148" i="1" a="1"/>
  <c r="M4148" i="1"/>
  <c r="M4149" i="1" a="1"/>
  <c r="M4149" i="1"/>
  <c r="M4150" i="1" a="1"/>
  <c r="M4150" i="1"/>
  <c r="M4151" i="1" a="1"/>
  <c r="M4151" i="1" s="1"/>
  <c r="M4152" i="1" a="1"/>
  <c r="M4152" i="1"/>
  <c r="M4153" i="1" a="1"/>
  <c r="M4153" i="1"/>
  <c r="M4154" i="1" a="1"/>
  <c r="M4154" i="1"/>
  <c r="M4155" i="1" a="1"/>
  <c r="M4155" i="1"/>
  <c r="M4156" i="1" a="1"/>
  <c r="M4156" i="1"/>
  <c r="M4157" i="1" a="1"/>
  <c r="M4157" i="1" s="1"/>
  <c r="M4158" i="1" a="1"/>
  <c r="M4158" i="1"/>
  <c r="M4159" i="1" a="1"/>
  <c r="M4159" i="1"/>
  <c r="M4160" i="1" a="1"/>
  <c r="M4160" i="1"/>
  <c r="M4161" i="1" a="1"/>
  <c r="M4161" i="1"/>
  <c r="M4162" i="1" a="1"/>
  <c r="M4162" i="1"/>
  <c r="M4163" i="1" a="1"/>
  <c r="M4163" i="1" s="1"/>
  <c r="M4164" i="1" a="1"/>
  <c r="M4164" i="1"/>
  <c r="M4165" i="1" a="1"/>
  <c r="M4165" i="1"/>
  <c r="M4166" i="1" a="1"/>
  <c r="M4166" i="1"/>
  <c r="M4167" i="1" a="1"/>
  <c r="M4167" i="1"/>
  <c r="M4168" i="1" a="1"/>
  <c r="M4168" i="1"/>
  <c r="M4169" i="1" a="1"/>
  <c r="M4169" i="1" s="1"/>
  <c r="M4170" i="1" a="1"/>
  <c r="M4170" i="1"/>
  <c r="M4171" i="1" a="1"/>
  <c r="M4171" i="1"/>
  <c r="M4172" i="1" a="1"/>
  <c r="M4172" i="1"/>
  <c r="M4173" i="1" a="1"/>
  <c r="M4173" i="1"/>
  <c r="M4174" i="1" a="1"/>
  <c r="M4174" i="1"/>
  <c r="M4175" i="1" a="1"/>
  <c r="M4175" i="1" s="1"/>
  <c r="M4176" i="1" a="1"/>
  <c r="M4176" i="1"/>
  <c r="M4177" i="1" a="1"/>
  <c r="M4177" i="1"/>
  <c r="M4178" i="1" a="1"/>
  <c r="M4178" i="1"/>
  <c r="M4179" i="1" a="1"/>
  <c r="M4179" i="1"/>
  <c r="M4180" i="1" a="1"/>
  <c r="M4180" i="1"/>
  <c r="M4181" i="1" a="1"/>
  <c r="M4181" i="1" s="1"/>
  <c r="M4182" i="1" a="1"/>
  <c r="M4182" i="1"/>
  <c r="M4183" i="1" a="1"/>
  <c r="M4183" i="1"/>
  <c r="M4184" i="1" a="1"/>
  <c r="M4184" i="1"/>
  <c r="M4185" i="1" a="1"/>
  <c r="M4185" i="1"/>
  <c r="M4186" i="1" a="1"/>
  <c r="M4186" i="1"/>
  <c r="M4187" i="1" a="1"/>
  <c r="M4187" i="1" s="1"/>
  <c r="M4188" i="1" a="1"/>
  <c r="M4188" i="1"/>
  <c r="M4189" i="1" a="1"/>
  <c r="M4189" i="1"/>
  <c r="M4190" i="1" a="1"/>
  <c r="M4190" i="1"/>
  <c r="M4191" i="1" a="1"/>
  <c r="M4191" i="1"/>
  <c r="M4192" i="1" a="1"/>
  <c r="M4192" i="1"/>
  <c r="M4193" i="1" a="1"/>
  <c r="M4193" i="1" s="1"/>
  <c r="M4194" i="1" a="1"/>
  <c r="M4194" i="1"/>
  <c r="M4195" i="1" a="1"/>
  <c r="M4195" i="1"/>
  <c r="M4196" i="1" a="1"/>
  <c r="M4196" i="1"/>
  <c r="M4197" i="1" a="1"/>
  <c r="M4197" i="1"/>
  <c r="M4198" i="1" a="1"/>
  <c r="M4198" i="1"/>
  <c r="M4199" i="1" a="1"/>
  <c r="M4199" i="1" s="1"/>
  <c r="M4200" i="1" a="1"/>
  <c r="M4200" i="1"/>
  <c r="M4201" i="1" a="1"/>
  <c r="M4201" i="1"/>
  <c r="M4202" i="1" a="1"/>
  <c r="M4202" i="1"/>
  <c r="M4203" i="1" a="1"/>
  <c r="M4203" i="1"/>
  <c r="M4204" i="1" a="1"/>
  <c r="M4204" i="1"/>
  <c r="M4205" i="1" a="1"/>
  <c r="M4205" i="1" s="1"/>
  <c r="M4206" i="1" a="1"/>
  <c r="M4206" i="1"/>
  <c r="M4207" i="1" a="1"/>
  <c r="M4207" i="1"/>
  <c r="M4208" i="1" a="1"/>
  <c r="M4208" i="1"/>
  <c r="M4209" i="1" a="1"/>
  <c r="M4209" i="1"/>
  <c r="M4210" i="1" a="1"/>
  <c r="M4210" i="1"/>
  <c r="M4211" i="1" a="1"/>
  <c r="M4211" i="1" s="1"/>
  <c r="M4212" i="1" a="1"/>
  <c r="M4212" i="1"/>
  <c r="M4213" i="1" a="1"/>
  <c r="M4213" i="1"/>
  <c r="M4214" i="1" a="1"/>
  <c r="M4214" i="1"/>
  <c r="M4215" i="1" a="1"/>
  <c r="M4215" i="1"/>
  <c r="M4216" i="1" a="1"/>
  <c r="M4216" i="1"/>
  <c r="M4217" i="1" a="1"/>
  <c r="M4217" i="1" s="1"/>
  <c r="M4218" i="1" a="1"/>
  <c r="M4218" i="1"/>
  <c r="M4219" i="1" a="1"/>
  <c r="M4219" i="1"/>
  <c r="M4220" i="1" a="1"/>
  <c r="M4220" i="1"/>
  <c r="M4221" i="1" a="1"/>
  <c r="M4221" i="1"/>
  <c r="M4222" i="1" a="1"/>
  <c r="M4222" i="1"/>
  <c r="M4223" i="1" a="1"/>
  <c r="M4223" i="1" s="1"/>
  <c r="M4224" i="1" a="1"/>
  <c r="M4224" i="1"/>
  <c r="M4225" i="1" a="1"/>
  <c r="M4225" i="1"/>
  <c r="M4226" i="1" a="1"/>
  <c r="M4226" i="1"/>
  <c r="M4227" i="1" a="1"/>
  <c r="M4227" i="1"/>
  <c r="M4228" i="1" a="1"/>
  <c r="M4228" i="1"/>
  <c r="M4229" i="1" a="1"/>
  <c r="M4229" i="1" s="1"/>
  <c r="M4230" i="1" a="1"/>
  <c r="M4230" i="1"/>
  <c r="M4231" i="1" a="1"/>
  <c r="M4231" i="1"/>
  <c r="M4232" i="1" a="1"/>
  <c r="M4232" i="1"/>
  <c r="M4233" i="1" a="1"/>
  <c r="M4233" i="1"/>
  <c r="M4234" i="1" a="1"/>
  <c r="M4234" i="1"/>
  <c r="M4235" i="1" a="1"/>
  <c r="M4235" i="1" s="1"/>
  <c r="M4236" i="1" a="1"/>
  <c r="M4236" i="1"/>
  <c r="M4237" i="1" a="1"/>
  <c r="M4237" i="1"/>
  <c r="M4238" i="1" a="1"/>
  <c r="M4238" i="1"/>
  <c r="M4239" i="1" a="1"/>
  <c r="M4239" i="1"/>
  <c r="M4240" i="1" a="1"/>
  <c r="M4240" i="1"/>
  <c r="M4241" i="1" a="1"/>
  <c r="M4241" i="1" s="1"/>
  <c r="M4242" i="1" a="1"/>
  <c r="M4242" i="1"/>
  <c r="M4243" i="1" a="1"/>
  <c r="M4243" i="1"/>
  <c r="M4244" i="1" a="1"/>
  <c r="M4244" i="1"/>
  <c r="M4245" i="1" a="1"/>
  <c r="M4245" i="1"/>
  <c r="M4246" i="1" a="1"/>
  <c r="M4246" i="1"/>
  <c r="M4247" i="1" a="1"/>
  <c r="M4247" i="1" s="1"/>
  <c r="M4248" i="1" a="1"/>
  <c r="M4248" i="1"/>
  <c r="M4249" i="1" a="1"/>
  <c r="M4249" i="1"/>
  <c r="M4250" i="1" a="1"/>
  <c r="M4250" i="1"/>
  <c r="M4251" i="1" a="1"/>
  <c r="M4251" i="1"/>
  <c r="M4252" i="1" a="1"/>
  <c r="M4252" i="1"/>
  <c r="M4253" i="1" a="1"/>
  <c r="M4253" i="1" s="1"/>
  <c r="M4254" i="1" a="1"/>
  <c r="M4254" i="1"/>
  <c r="M4255" i="1" a="1"/>
  <c r="M4255" i="1"/>
  <c r="M4256" i="1" a="1"/>
  <c r="M4256" i="1"/>
  <c r="M4257" i="1" a="1"/>
  <c r="M4257" i="1"/>
  <c r="M4258" i="1" a="1"/>
  <c r="M4258" i="1"/>
  <c r="M4259" i="1" a="1"/>
  <c r="M4259" i="1" s="1"/>
  <c r="M4260" i="1" a="1"/>
  <c r="M4260" i="1"/>
  <c r="M4261" i="1" a="1"/>
  <c r="M4261" i="1"/>
  <c r="M4262" i="1" a="1"/>
  <c r="M4262" i="1"/>
  <c r="M4263" i="1" a="1"/>
  <c r="M4263" i="1"/>
  <c r="M4264" i="1" a="1"/>
  <c r="M4264" i="1"/>
  <c r="M4265" i="1" a="1"/>
  <c r="M4265" i="1" s="1"/>
  <c r="M4266" i="1" a="1"/>
  <c r="M4266" i="1"/>
  <c r="M4267" i="1" a="1"/>
  <c r="M4267" i="1"/>
  <c r="M4268" i="1" a="1"/>
  <c r="M4268" i="1"/>
  <c r="M4269" i="1" a="1"/>
  <c r="M4269" i="1"/>
  <c r="M4270" i="1" a="1"/>
  <c r="M4270" i="1"/>
  <c r="M4271" i="1" a="1"/>
  <c r="M4271" i="1" s="1"/>
  <c r="M4272" i="1" a="1"/>
  <c r="M4272" i="1"/>
  <c r="M4273" i="1" a="1"/>
  <c r="M4273" i="1"/>
  <c r="M4274" i="1" a="1"/>
  <c r="M4274" i="1"/>
  <c r="M4275" i="1" a="1"/>
  <c r="M4275" i="1"/>
  <c r="M4276" i="1" a="1"/>
  <c r="M4276" i="1"/>
  <c r="M4277" i="1" a="1"/>
  <c r="M4277" i="1" s="1"/>
  <c r="M4278" i="1" a="1"/>
  <c r="M4278" i="1"/>
  <c r="M4279" i="1" a="1"/>
  <c r="M4279" i="1"/>
  <c r="M4280" i="1" a="1"/>
  <c r="M4280" i="1"/>
  <c r="M4281" i="1" a="1"/>
  <c r="M4281" i="1"/>
  <c r="M4282" i="1" a="1"/>
  <c r="M4282" i="1"/>
  <c r="M4283" i="1" a="1"/>
  <c r="M4283" i="1" s="1"/>
  <c r="M4284" i="1" a="1"/>
  <c r="M4284" i="1"/>
  <c r="M4285" i="1" a="1"/>
  <c r="M4285" i="1"/>
  <c r="M4286" i="1" a="1"/>
  <c r="M4286" i="1"/>
  <c r="M4287" i="1" a="1"/>
  <c r="M4287" i="1"/>
  <c r="M4288" i="1" a="1"/>
  <c r="M4288" i="1"/>
  <c r="M4289" i="1" a="1"/>
  <c r="M4289" i="1" s="1"/>
  <c r="M4290" i="1" a="1"/>
  <c r="M4290" i="1"/>
  <c r="M4291" i="1" a="1"/>
  <c r="M4291" i="1"/>
  <c r="M4292" i="1" a="1"/>
  <c r="M4292" i="1"/>
  <c r="M4293" i="1" a="1"/>
  <c r="M4293" i="1"/>
  <c r="M4294" i="1" a="1"/>
  <c r="M4294" i="1"/>
  <c r="M4295" i="1" a="1"/>
  <c r="M4295" i="1" s="1"/>
  <c r="M4296" i="1" a="1"/>
  <c r="M4296" i="1"/>
  <c r="M4297" i="1" a="1"/>
  <c r="M4297" i="1"/>
  <c r="M4298" i="1" a="1"/>
  <c r="M4298" i="1"/>
  <c r="M4299" i="1" a="1"/>
  <c r="M4299" i="1"/>
  <c r="M4300" i="1" a="1"/>
  <c r="M4300" i="1"/>
  <c r="M4301" i="1" a="1"/>
  <c r="M4301" i="1" s="1"/>
  <c r="M4302" i="1" a="1"/>
  <c r="M4302" i="1"/>
  <c r="M4303" i="1" a="1"/>
  <c r="M4303" i="1"/>
  <c r="M4304" i="1" a="1"/>
  <c r="M4304" i="1"/>
  <c r="M4305" i="1" a="1"/>
  <c r="M4305" i="1"/>
  <c r="M4306" i="1" a="1"/>
  <c r="M4306" i="1"/>
  <c r="M4307" i="1" a="1"/>
  <c r="M4307" i="1" s="1"/>
  <c r="M4308" i="1" a="1"/>
  <c r="M4308" i="1"/>
  <c r="M4309" i="1" a="1"/>
  <c r="M4309" i="1"/>
  <c r="M4310" i="1" a="1"/>
  <c r="M4310" i="1"/>
  <c r="M4311" i="1" a="1"/>
  <c r="M4311" i="1"/>
  <c r="M4312" i="1" a="1"/>
  <c r="M4312" i="1"/>
  <c r="M4313" i="1" a="1"/>
  <c r="M4313" i="1" s="1"/>
  <c r="M4314" i="1" a="1"/>
  <c r="M4314" i="1"/>
  <c r="M4315" i="1" a="1"/>
  <c r="M4315" i="1"/>
  <c r="M4316" i="1" a="1"/>
  <c r="M4316" i="1"/>
  <c r="M4317" i="1" a="1"/>
  <c r="M4317" i="1"/>
  <c r="M4318" i="1" a="1"/>
  <c r="M4318" i="1"/>
  <c r="M4319" i="1" a="1"/>
  <c r="M4319" i="1" s="1"/>
  <c r="M4320" i="1" a="1"/>
  <c r="M4320" i="1"/>
  <c r="M4321" i="1" a="1"/>
  <c r="M4321" i="1"/>
  <c r="M4322" i="1" a="1"/>
  <c r="M4322" i="1"/>
  <c r="M4323" i="1" a="1"/>
  <c r="M4323" i="1"/>
  <c r="M4324" i="1" a="1"/>
  <c r="M4324" i="1"/>
  <c r="M4325" i="1" a="1"/>
  <c r="M4325" i="1" s="1"/>
  <c r="M4326" i="1" a="1"/>
  <c r="M4326" i="1"/>
  <c r="M4327" i="1" a="1"/>
  <c r="M4327" i="1"/>
  <c r="M4328" i="1" a="1"/>
  <c r="M4328" i="1"/>
  <c r="M4329" i="1" a="1"/>
  <c r="M4329" i="1"/>
  <c r="M4330" i="1" a="1"/>
  <c r="M4330" i="1"/>
  <c r="M4331" i="1" a="1"/>
  <c r="M4331" i="1" s="1"/>
  <c r="M4332" i="1" a="1"/>
  <c r="M4332" i="1"/>
  <c r="M4333" i="1" a="1"/>
  <c r="M4333" i="1"/>
  <c r="M4334" i="1" a="1"/>
  <c r="M4334" i="1"/>
  <c r="M4335" i="1" a="1"/>
  <c r="M4335" i="1"/>
  <c r="M4336" i="1" a="1"/>
  <c r="M4336" i="1"/>
  <c r="M4337" i="1" a="1"/>
  <c r="M4337" i="1" s="1"/>
  <c r="M4338" i="1" a="1"/>
  <c r="M4338" i="1"/>
  <c r="M4339" i="1" a="1"/>
  <c r="M4339" i="1"/>
  <c r="M4340" i="1" a="1"/>
  <c r="M4340" i="1"/>
  <c r="M4341" i="1" a="1"/>
  <c r="M4341" i="1"/>
  <c r="M4342" i="1" a="1"/>
  <c r="M4342" i="1"/>
  <c r="M4343" i="1" a="1"/>
  <c r="M4343" i="1" s="1"/>
  <c r="M4344" i="1" a="1"/>
  <c r="M4344" i="1"/>
  <c r="M4345" i="1" a="1"/>
  <c r="M4345" i="1"/>
  <c r="M4346" i="1" a="1"/>
  <c r="M4346" i="1"/>
  <c r="M4347" i="1" a="1"/>
  <c r="M4347" i="1"/>
  <c r="M4348" i="1" a="1"/>
  <c r="M4348" i="1"/>
  <c r="M4349" i="1" a="1"/>
  <c r="M4349" i="1" s="1"/>
  <c r="M4350" i="1" a="1"/>
  <c r="M4350" i="1"/>
  <c r="M4351" i="1" a="1"/>
  <c r="M4351" i="1"/>
  <c r="M4352" i="1" a="1"/>
  <c r="M4352" i="1"/>
  <c r="M4353" i="1" a="1"/>
  <c r="M4353" i="1"/>
  <c r="M4354" i="1" a="1"/>
  <c r="M4354" i="1"/>
  <c r="M4355" i="1" a="1"/>
  <c r="M4355" i="1" s="1"/>
  <c r="M4356" i="1" a="1"/>
  <c r="M4356" i="1"/>
  <c r="M4357" i="1" a="1"/>
  <c r="M4357" i="1"/>
  <c r="M4358" i="1" a="1"/>
  <c r="M4358" i="1"/>
  <c r="M4359" i="1" a="1"/>
  <c r="M4359" i="1"/>
  <c r="M4360" i="1" a="1"/>
  <c r="M4360" i="1"/>
  <c r="M4361" i="1" a="1"/>
  <c r="M4361" i="1" s="1"/>
  <c r="M4362" i="1" a="1"/>
  <c r="M4362" i="1"/>
  <c r="M4363" i="1" a="1"/>
  <c r="M4363" i="1"/>
  <c r="M4364" i="1" a="1"/>
  <c r="M4364" i="1"/>
  <c r="M4365" i="1" a="1"/>
  <c r="M4365" i="1"/>
  <c r="M4366" i="1" a="1"/>
  <c r="M4366" i="1"/>
  <c r="M4367" i="1" a="1"/>
  <c r="M4367" i="1" s="1"/>
  <c r="M4368" i="1" a="1"/>
  <c r="M4368" i="1"/>
  <c r="M4369" i="1" a="1"/>
  <c r="M4369" i="1"/>
  <c r="M4370" i="1" a="1"/>
  <c r="M4370" i="1"/>
  <c r="M4371" i="1" a="1"/>
  <c r="M4371" i="1"/>
  <c r="M4372" i="1" a="1"/>
  <c r="M4372" i="1"/>
  <c r="M4373" i="1" a="1"/>
  <c r="M4373" i="1" s="1"/>
  <c r="M4374" i="1" a="1"/>
  <c r="M4374" i="1"/>
  <c r="M4375" i="1" a="1"/>
  <c r="M4375" i="1"/>
  <c r="M4376" i="1" a="1"/>
  <c r="M4376" i="1"/>
  <c r="M4377" i="1" a="1"/>
  <c r="M4377" i="1"/>
  <c r="M4378" i="1" a="1"/>
  <c r="M4378" i="1"/>
  <c r="M4379" i="1" a="1"/>
  <c r="M4379" i="1" s="1"/>
  <c r="M4380" i="1" a="1"/>
  <c r="M4380" i="1"/>
  <c r="M4381" i="1" a="1"/>
  <c r="M4381" i="1"/>
  <c r="M4382" i="1" a="1"/>
  <c r="M4382" i="1"/>
  <c r="M4383" i="1" a="1"/>
  <c r="M4383" i="1"/>
  <c r="M4384" i="1" a="1"/>
  <c r="M4384" i="1"/>
  <c r="M4385" i="1" a="1"/>
  <c r="M4385" i="1" s="1"/>
  <c r="M4386" i="1" a="1"/>
  <c r="M4386" i="1"/>
  <c r="M4387" i="1" a="1"/>
  <c r="M4387" i="1"/>
  <c r="M4388" i="1" a="1"/>
  <c r="M4388" i="1"/>
  <c r="M4389" i="1" a="1"/>
  <c r="M4389" i="1"/>
  <c r="M4390" i="1" a="1"/>
  <c r="M4390" i="1"/>
  <c r="M4391" i="1" a="1"/>
  <c r="M4391" i="1" s="1"/>
  <c r="M4392" i="1" a="1"/>
  <c r="M4392" i="1"/>
  <c r="M4393" i="1" a="1"/>
  <c r="M4393" i="1"/>
  <c r="M4394" i="1" a="1"/>
  <c r="M4394" i="1"/>
  <c r="M4395" i="1" a="1"/>
  <c r="M4395" i="1"/>
  <c r="M4396" i="1" a="1"/>
  <c r="M4396" i="1"/>
  <c r="M4397" i="1" a="1"/>
  <c r="M4397" i="1" s="1"/>
  <c r="M4398" i="1" a="1"/>
  <c r="M4398" i="1"/>
  <c r="M4399" i="1" a="1"/>
  <c r="M4399" i="1"/>
  <c r="M4400" i="1" a="1"/>
  <c r="M4400" i="1"/>
  <c r="M4401" i="1" a="1"/>
  <c r="M4401" i="1"/>
  <c r="M4402" i="1" a="1"/>
  <c r="M4402" i="1"/>
  <c r="M4403" i="1" a="1"/>
  <c r="M4403" i="1" s="1"/>
  <c r="M4404" i="1" a="1"/>
  <c r="M4404" i="1"/>
  <c r="M4405" i="1" a="1"/>
  <c r="M4405" i="1"/>
  <c r="M4406" i="1" a="1"/>
  <c r="M4406" i="1"/>
  <c r="M4407" i="1" a="1"/>
  <c r="M4407" i="1"/>
  <c r="M4408" i="1" a="1"/>
  <c r="M4408" i="1"/>
  <c r="M4409" i="1" a="1"/>
  <c r="M4409" i="1" s="1"/>
  <c r="M4410" i="1" a="1"/>
  <c r="M4410" i="1"/>
  <c r="M4411" i="1" a="1"/>
  <c r="M4411" i="1"/>
  <c r="M4412" i="1" a="1"/>
  <c r="M4412" i="1"/>
  <c r="M4413" i="1" a="1"/>
  <c r="M4413" i="1"/>
  <c r="M4414" i="1" a="1"/>
  <c r="M4414" i="1"/>
  <c r="M4415" i="1" a="1"/>
  <c r="M4415" i="1" s="1"/>
  <c r="M4416" i="1" a="1"/>
  <c r="M4416" i="1"/>
  <c r="M4417" i="1" a="1"/>
  <c r="M4417" i="1"/>
  <c r="M4418" i="1" a="1"/>
  <c r="M4418" i="1"/>
  <c r="M4419" i="1" a="1"/>
  <c r="M4419" i="1"/>
  <c r="M4420" i="1" a="1"/>
  <c r="M4420" i="1"/>
  <c r="M4421" i="1" a="1"/>
  <c r="M4421" i="1" s="1"/>
  <c r="M4422" i="1" a="1"/>
  <c r="M4422" i="1"/>
  <c r="M4423" i="1" a="1"/>
  <c r="M4423" i="1"/>
  <c r="M4424" i="1" a="1"/>
  <c r="M4424" i="1"/>
  <c r="M4425" i="1" a="1"/>
  <c r="M4425" i="1"/>
  <c r="M4426" i="1" a="1"/>
  <c r="M4426" i="1"/>
  <c r="M4427" i="1" a="1"/>
  <c r="M4427" i="1" s="1"/>
  <c r="M4428" i="1" a="1"/>
  <c r="M4428" i="1"/>
  <c r="M4429" i="1" a="1"/>
  <c r="M4429" i="1"/>
  <c r="M4430" i="1" a="1"/>
  <c r="M4430" i="1"/>
  <c r="M4431" i="1" a="1"/>
  <c r="M4431" i="1"/>
  <c r="M4432" i="1" a="1"/>
  <c r="M4432" i="1"/>
  <c r="M4433" i="1" a="1"/>
  <c r="M4433" i="1" s="1"/>
  <c r="M4434" i="1" a="1"/>
  <c r="M4434" i="1"/>
  <c r="M4435" i="1" a="1"/>
  <c r="M4435" i="1"/>
  <c r="M4436" i="1" a="1"/>
  <c r="M4436" i="1"/>
  <c r="M4437" i="1" a="1"/>
  <c r="M4437" i="1"/>
  <c r="M4438" i="1" a="1"/>
  <c r="M4438" i="1"/>
  <c r="M4439" i="1" a="1"/>
  <c r="M4439" i="1" s="1"/>
  <c r="M4440" i="1" a="1"/>
  <c r="M4440" i="1"/>
  <c r="M4441" i="1" a="1"/>
  <c r="M4441" i="1"/>
  <c r="M4442" i="1" a="1"/>
  <c r="M4442" i="1"/>
  <c r="M4443" i="1" a="1"/>
  <c r="M4443" i="1"/>
  <c r="M4444" i="1" a="1"/>
  <c r="M4444" i="1"/>
  <c r="M4445" i="1" a="1"/>
  <c r="M4445" i="1" s="1"/>
  <c r="M4446" i="1" a="1"/>
  <c r="M4446" i="1"/>
  <c r="M4447" i="1" a="1"/>
  <c r="M4447" i="1"/>
  <c r="M4448" i="1" a="1"/>
  <c r="M4448" i="1"/>
  <c r="M4449" i="1" a="1"/>
  <c r="M4449" i="1"/>
  <c r="M4450" i="1" a="1"/>
  <c r="M4450" i="1"/>
  <c r="M4451" i="1" a="1"/>
  <c r="M4451" i="1" s="1"/>
  <c r="M4452" i="1" a="1"/>
  <c r="M4452" i="1"/>
  <c r="M4453" i="1" a="1"/>
  <c r="M4453" i="1"/>
  <c r="M4454" i="1" a="1"/>
  <c r="M4454" i="1"/>
  <c r="M4455" i="1" a="1"/>
  <c r="M4455" i="1"/>
  <c r="M4456" i="1" a="1"/>
  <c r="M4456" i="1"/>
  <c r="M4457" i="1" a="1"/>
  <c r="M4457" i="1" s="1"/>
  <c r="M4458" i="1" a="1"/>
  <c r="M4458" i="1"/>
  <c r="M4459" i="1" a="1"/>
  <c r="M4459" i="1"/>
  <c r="M4460" i="1" a="1"/>
  <c r="M4460" i="1"/>
  <c r="M4461" i="1" a="1"/>
  <c r="M4461" i="1"/>
  <c r="M4462" i="1" a="1"/>
  <c r="M4462" i="1"/>
  <c r="M4463" i="1" a="1"/>
  <c r="M4463" i="1" s="1"/>
  <c r="M4464" i="1" a="1"/>
  <c r="M4464" i="1"/>
  <c r="M4465" i="1" a="1"/>
  <c r="M4465" i="1"/>
  <c r="M4466" i="1" a="1"/>
  <c r="M4466" i="1"/>
  <c r="M4467" i="1" a="1"/>
  <c r="M4467" i="1"/>
  <c r="M4468" i="1" a="1"/>
  <c r="M4468" i="1"/>
  <c r="M4469" i="1" a="1"/>
  <c r="M4469" i="1" s="1"/>
  <c r="M4470" i="1" a="1"/>
  <c r="M4470" i="1"/>
  <c r="M4471" i="1" a="1"/>
  <c r="M4471" i="1"/>
  <c r="M4472" i="1" a="1"/>
  <c r="M4472" i="1"/>
  <c r="M4473" i="1" a="1"/>
  <c r="M4473" i="1"/>
  <c r="M4474" i="1" a="1"/>
  <c r="M4474" i="1"/>
  <c r="M4475" i="1" a="1"/>
  <c r="M4475" i="1" s="1"/>
  <c r="M4476" i="1" a="1"/>
  <c r="M4476" i="1"/>
  <c r="M4477" i="1" a="1"/>
  <c r="M4477" i="1"/>
  <c r="M4478" i="1" a="1"/>
  <c r="M4478" i="1"/>
  <c r="M4479" i="1" a="1"/>
  <c r="M4479" i="1"/>
  <c r="M4480" i="1" a="1"/>
  <c r="M4480" i="1"/>
  <c r="M4481" i="1" a="1"/>
  <c r="M4481" i="1" s="1"/>
  <c r="M4482" i="1" a="1"/>
  <c r="M4482" i="1"/>
  <c r="M4483" i="1" a="1"/>
  <c r="M4483" i="1"/>
  <c r="M4484" i="1" a="1"/>
  <c r="M4484" i="1"/>
  <c r="M4485" i="1" a="1"/>
  <c r="M4485" i="1"/>
  <c r="M4486" i="1" a="1"/>
  <c r="M4486" i="1"/>
  <c r="M4487" i="1" a="1"/>
  <c r="M4487" i="1" s="1"/>
  <c r="M4488" i="1" a="1"/>
  <c r="M4488" i="1"/>
  <c r="M4489" i="1" a="1"/>
  <c r="M4489" i="1"/>
  <c r="M4490" i="1" a="1"/>
  <c r="M4490" i="1"/>
  <c r="M4491" i="1" a="1"/>
  <c r="M4491" i="1"/>
  <c r="M4492" i="1" a="1"/>
  <c r="M4492" i="1"/>
  <c r="M4493" i="1" a="1"/>
  <c r="M4493" i="1" s="1"/>
  <c r="M4494" i="1" a="1"/>
  <c r="M4494" i="1"/>
  <c r="M4495" i="1" a="1"/>
  <c r="M4495" i="1"/>
  <c r="M4496" i="1" a="1"/>
  <c r="M4496" i="1"/>
  <c r="M4497" i="1" a="1"/>
  <c r="M4497" i="1"/>
  <c r="M4498" i="1" a="1"/>
  <c r="M4498" i="1"/>
  <c r="M4499" i="1" a="1"/>
  <c r="M4499" i="1" s="1"/>
  <c r="M4500" i="1" a="1"/>
  <c r="M4500" i="1"/>
  <c r="M4501" i="1" a="1"/>
  <c r="M4501" i="1"/>
  <c r="M4502" i="1" a="1"/>
  <c r="M4502" i="1"/>
  <c r="M4503" i="1" a="1"/>
  <c r="M4503" i="1"/>
  <c r="M4504" i="1" a="1"/>
  <c r="M4504" i="1"/>
  <c r="M4505" i="1" a="1"/>
  <c r="M4505" i="1" s="1"/>
  <c r="M4506" i="1" a="1"/>
  <c r="M4506" i="1"/>
  <c r="M4507" i="1" a="1"/>
  <c r="M4507" i="1"/>
  <c r="M4508" i="1" a="1"/>
  <c r="M4508" i="1"/>
  <c r="M4509" i="1" a="1"/>
  <c r="M4509" i="1"/>
  <c r="M4510" i="1" a="1"/>
  <c r="M4510" i="1"/>
  <c r="M4511" i="1" a="1"/>
  <c r="M4511" i="1" s="1"/>
  <c r="M4512" i="1" a="1"/>
  <c r="M4512" i="1"/>
  <c r="M4513" i="1" a="1"/>
  <c r="M4513" i="1"/>
  <c r="M4514" i="1" a="1"/>
  <c r="M4514" i="1"/>
  <c r="M4515" i="1" a="1"/>
  <c r="M4515" i="1"/>
  <c r="M4516" i="1" a="1"/>
  <c r="M4516" i="1"/>
  <c r="M4517" i="1" a="1"/>
  <c r="M4517" i="1" s="1"/>
  <c r="M4518" i="1" a="1"/>
  <c r="M4518" i="1"/>
  <c r="M4519" i="1" a="1"/>
  <c r="M4519" i="1"/>
  <c r="M4520" i="1" a="1"/>
  <c r="M4520" i="1"/>
  <c r="M4521" i="1" a="1"/>
  <c r="M4521" i="1"/>
  <c r="M4522" i="1" a="1"/>
  <c r="M4522" i="1"/>
  <c r="M4523" i="1" a="1"/>
  <c r="M4523" i="1" s="1"/>
  <c r="M4524" i="1" a="1"/>
  <c r="M4524" i="1"/>
  <c r="M4525" i="1" a="1"/>
  <c r="M4525" i="1"/>
  <c r="M4526" i="1" a="1"/>
  <c r="M4526" i="1"/>
  <c r="M4527" i="1" a="1"/>
  <c r="M4527" i="1"/>
  <c r="M4528" i="1" a="1"/>
  <c r="M4528" i="1"/>
  <c r="M4529" i="1" a="1"/>
  <c r="M4529" i="1" s="1"/>
  <c r="M4530" i="1" a="1"/>
  <c r="M4530" i="1"/>
  <c r="M4531" i="1" a="1"/>
  <c r="M4531" i="1"/>
  <c r="M4532" i="1" a="1"/>
  <c r="M4532" i="1"/>
  <c r="M4533" i="1" a="1"/>
  <c r="M4533" i="1"/>
  <c r="M4534" i="1" a="1"/>
  <c r="M4534" i="1"/>
  <c r="M4535" i="1" a="1"/>
  <c r="M4535" i="1" s="1"/>
  <c r="M4536" i="1" a="1"/>
  <c r="M4536" i="1"/>
  <c r="M4537" i="1" a="1"/>
  <c r="M4537" i="1"/>
  <c r="M4538" i="1" a="1"/>
  <c r="M4538" i="1"/>
  <c r="M4539" i="1" a="1"/>
  <c r="M4539" i="1"/>
  <c r="M4540" i="1" a="1"/>
  <c r="M4540" i="1"/>
  <c r="M4541" i="1" a="1"/>
  <c r="M4541" i="1" s="1"/>
  <c r="M4542" i="1" a="1"/>
  <c r="M4542" i="1"/>
  <c r="M4543" i="1" a="1"/>
  <c r="M4543" i="1"/>
  <c r="M4544" i="1" a="1"/>
  <c r="M4544" i="1"/>
  <c r="M4545" i="1" a="1"/>
  <c r="M4545" i="1"/>
  <c r="M4546" i="1" a="1"/>
  <c r="M4546" i="1"/>
  <c r="M4547" i="1" a="1"/>
  <c r="M4547" i="1" s="1"/>
  <c r="M4548" i="1" a="1"/>
  <c r="M4548" i="1"/>
  <c r="M4549" i="1" a="1"/>
  <c r="M4549" i="1"/>
  <c r="M4550" i="1" a="1"/>
  <c r="M4550" i="1"/>
  <c r="M4551" i="1" a="1"/>
  <c r="M4551" i="1"/>
  <c r="M4552" i="1" a="1"/>
  <c r="M4552" i="1"/>
  <c r="M4553" i="1" a="1"/>
  <c r="M4553" i="1" s="1"/>
  <c r="M4554" i="1" a="1"/>
  <c r="M4554" i="1"/>
  <c r="M4555" i="1" a="1"/>
  <c r="M4555" i="1"/>
  <c r="M4556" i="1" a="1"/>
  <c r="M4556" i="1"/>
  <c r="M4557" i="1" a="1"/>
  <c r="M4557" i="1"/>
  <c r="M4558" i="1" a="1"/>
  <c r="M4558" i="1"/>
  <c r="M4559" i="1" a="1"/>
  <c r="M4559" i="1" s="1"/>
  <c r="M4560" i="1" a="1"/>
  <c r="M4560" i="1"/>
  <c r="M4561" i="1" a="1"/>
  <c r="M4561" i="1"/>
  <c r="M4562" i="1" a="1"/>
  <c r="M4562" i="1"/>
  <c r="M4563" i="1" a="1"/>
  <c r="M4563" i="1"/>
  <c r="M4564" i="1" a="1"/>
  <c r="M4564" i="1"/>
  <c r="M4565" i="1" a="1"/>
  <c r="M4565" i="1" s="1"/>
  <c r="M4566" i="1" a="1"/>
  <c r="M4566" i="1"/>
  <c r="M4567" i="1" a="1"/>
  <c r="M4567" i="1"/>
  <c r="M4568" i="1" a="1"/>
  <c r="M4568" i="1"/>
  <c r="M4569" i="1" a="1"/>
  <c r="M4569" i="1"/>
  <c r="M4570" i="1" a="1"/>
  <c r="M4570" i="1"/>
  <c r="M4571" i="1" a="1"/>
  <c r="M4571" i="1" s="1"/>
  <c r="M4572" i="1" a="1"/>
  <c r="M4572" i="1"/>
  <c r="M4573" i="1" a="1"/>
  <c r="M4573" i="1"/>
  <c r="M4574" i="1" a="1"/>
  <c r="M4574" i="1"/>
  <c r="M4575" i="1" a="1"/>
  <c r="M4575" i="1"/>
  <c r="M4576" i="1" a="1"/>
  <c r="M4576" i="1"/>
  <c r="M4577" i="1" a="1"/>
  <c r="M4577" i="1" s="1"/>
  <c r="M4578" i="1" a="1"/>
  <c r="M4578" i="1"/>
  <c r="M4579" i="1" a="1"/>
  <c r="M4579" i="1"/>
  <c r="M4580" i="1" a="1"/>
  <c r="M4580" i="1"/>
  <c r="M4581" i="1" a="1"/>
  <c r="M4581" i="1"/>
  <c r="M4582" i="1" a="1"/>
  <c r="M4582" i="1"/>
  <c r="M4583" i="1" a="1"/>
  <c r="M4583" i="1" s="1"/>
  <c r="M4584" i="1" a="1"/>
  <c r="M4584" i="1"/>
  <c r="M4585" i="1" a="1"/>
  <c r="M4585" i="1"/>
  <c r="M4586" i="1" a="1"/>
  <c r="M4586" i="1"/>
  <c r="M4587" i="1" a="1"/>
  <c r="M4587" i="1"/>
  <c r="M4588" i="1" a="1"/>
  <c r="M4588" i="1"/>
  <c r="M4589" i="1" a="1"/>
  <c r="M4589" i="1" s="1"/>
  <c r="M4590" i="1" a="1"/>
  <c r="M4590" i="1"/>
  <c r="M4591" i="1" a="1"/>
  <c r="M4591" i="1"/>
  <c r="M4592" i="1" a="1"/>
  <c r="M4592" i="1"/>
  <c r="M4593" i="1" a="1"/>
  <c r="M4593" i="1"/>
  <c r="M4594" i="1" a="1"/>
  <c r="M4594" i="1"/>
  <c r="M4595" i="1" a="1"/>
  <c r="M4595" i="1" s="1"/>
  <c r="M4596" i="1" a="1"/>
  <c r="M4596" i="1"/>
  <c r="M4597" i="1" a="1"/>
  <c r="M4597" i="1"/>
  <c r="M4598" i="1" a="1"/>
  <c r="M4598" i="1"/>
  <c r="M4599" i="1" a="1"/>
  <c r="M4599" i="1"/>
  <c r="M4600" i="1" a="1"/>
  <c r="M4600" i="1"/>
  <c r="M4601" i="1" a="1"/>
  <c r="M4601" i="1" s="1"/>
  <c r="M4602" i="1" a="1"/>
  <c r="M4602" i="1"/>
  <c r="M4603" i="1" a="1"/>
  <c r="M4603" i="1"/>
  <c r="M4604" i="1" a="1"/>
  <c r="M4604" i="1"/>
  <c r="M4605" i="1" a="1"/>
  <c r="M4605" i="1"/>
  <c r="M4606" i="1" a="1"/>
  <c r="M4606" i="1"/>
  <c r="M4607" i="1" a="1"/>
  <c r="M4607" i="1" s="1"/>
  <c r="M4608" i="1" a="1"/>
  <c r="M4608" i="1"/>
  <c r="M4609" i="1" a="1"/>
  <c r="M4609" i="1"/>
  <c r="M4610" i="1" a="1"/>
  <c r="M4610" i="1"/>
  <c r="M4611" i="1" a="1"/>
  <c r="M4611" i="1"/>
  <c r="M4612" i="1" a="1"/>
  <c r="M4612" i="1"/>
  <c r="M4613" i="1" a="1"/>
  <c r="M4613" i="1" s="1"/>
  <c r="M4614" i="1" a="1"/>
  <c r="M4614" i="1"/>
  <c r="M4615" i="1" a="1"/>
  <c r="M4615" i="1"/>
  <c r="M4616" i="1" a="1"/>
  <c r="M4616" i="1"/>
  <c r="M4617" i="1" a="1"/>
  <c r="M4617" i="1"/>
  <c r="M4618" i="1" a="1"/>
  <c r="M4618" i="1"/>
  <c r="M4619" i="1" a="1"/>
  <c r="M4619" i="1" s="1"/>
  <c r="M4620" i="1" a="1"/>
  <c r="M4620" i="1"/>
  <c r="M4621" i="1" a="1"/>
  <c r="M4621" i="1"/>
  <c r="M4622" i="1" a="1"/>
  <c r="M4622" i="1"/>
  <c r="M4623" i="1" a="1"/>
  <c r="M4623" i="1"/>
  <c r="M4624" i="1" a="1"/>
  <c r="M4624" i="1"/>
  <c r="M4625" i="1" a="1"/>
  <c r="M4625" i="1" s="1"/>
  <c r="M4626" i="1" a="1"/>
  <c r="M4626" i="1"/>
  <c r="M4627" i="1" a="1"/>
  <c r="M4627" i="1"/>
  <c r="M4628" i="1" a="1"/>
  <c r="M4628" i="1"/>
  <c r="M4629" i="1" a="1"/>
  <c r="M4629" i="1"/>
  <c r="M4630" i="1" a="1"/>
  <c r="M4630" i="1"/>
  <c r="M4631" i="1" a="1"/>
  <c r="M4631" i="1" s="1"/>
  <c r="M4632" i="1" a="1"/>
  <c r="M4632" i="1"/>
  <c r="M4633" i="1" a="1"/>
  <c r="M4633" i="1"/>
  <c r="M4634" i="1" a="1"/>
  <c r="M4634" i="1"/>
  <c r="M4635" i="1" a="1"/>
  <c r="M4635" i="1"/>
  <c r="M4636" i="1" a="1"/>
  <c r="M4636" i="1"/>
  <c r="M4637" i="1" a="1"/>
  <c r="M4637" i="1" s="1"/>
  <c r="M4638" i="1" a="1"/>
  <c r="M4638" i="1"/>
  <c r="M4639" i="1" a="1"/>
  <c r="M4639" i="1"/>
  <c r="M4640" i="1" a="1"/>
  <c r="M4640" i="1"/>
  <c r="M4641" i="1" a="1"/>
  <c r="M4641" i="1"/>
  <c r="M4642" i="1" a="1"/>
  <c r="M4642" i="1"/>
  <c r="M4643" i="1" a="1"/>
  <c r="M4643" i="1" s="1"/>
  <c r="M4644" i="1" a="1"/>
  <c r="M4644" i="1"/>
  <c r="M4645" i="1" a="1"/>
  <c r="M4645" i="1"/>
  <c r="M4646" i="1" a="1"/>
  <c r="M4646" i="1"/>
  <c r="M4647" i="1" a="1"/>
  <c r="M4647" i="1"/>
  <c r="M4648" i="1" a="1"/>
  <c r="M4648" i="1"/>
  <c r="M4649" i="1" a="1"/>
  <c r="M4649" i="1" s="1"/>
  <c r="M4650" i="1" a="1"/>
  <c r="M4650" i="1"/>
  <c r="M4651" i="1" a="1"/>
  <c r="M4651" i="1"/>
  <c r="M4652" i="1" a="1"/>
  <c r="M4652" i="1"/>
  <c r="M4653" i="1" a="1"/>
  <c r="M4653" i="1"/>
  <c r="M4654" i="1" a="1"/>
  <c r="M4654" i="1"/>
  <c r="M4655" i="1" a="1"/>
  <c r="M4655" i="1" s="1"/>
  <c r="M4656" i="1" a="1"/>
  <c r="M4656" i="1"/>
  <c r="M4657" i="1" a="1"/>
  <c r="M4657" i="1"/>
  <c r="M4658" i="1" a="1"/>
  <c r="M4658" i="1"/>
  <c r="M4659" i="1" a="1"/>
  <c r="M4659" i="1"/>
  <c r="M4660" i="1" a="1"/>
  <c r="M4660" i="1"/>
  <c r="M4661" i="1" a="1"/>
  <c r="M4661" i="1" s="1"/>
  <c r="M4662" i="1" a="1"/>
  <c r="M4662" i="1"/>
  <c r="M4663" i="1" a="1"/>
  <c r="M4663" i="1"/>
  <c r="M4664" i="1" a="1"/>
  <c r="M4664" i="1"/>
  <c r="M4665" i="1" a="1"/>
  <c r="M4665" i="1"/>
  <c r="M4666" i="1" a="1"/>
  <c r="M4666" i="1"/>
  <c r="M4667" i="1" a="1"/>
  <c r="M4667" i="1" s="1"/>
  <c r="M4668" i="1" a="1"/>
  <c r="M4668" i="1"/>
  <c r="M4669" i="1" a="1"/>
  <c r="M4669" i="1"/>
  <c r="M4670" i="1" a="1"/>
  <c r="M4670" i="1"/>
  <c r="M4671" i="1" a="1"/>
  <c r="M4671" i="1"/>
  <c r="M4672" i="1" a="1"/>
  <c r="M4672" i="1"/>
  <c r="M4673" i="1" a="1"/>
  <c r="M4673" i="1" s="1"/>
  <c r="M4674" i="1" a="1"/>
  <c r="M4674" i="1"/>
  <c r="M4675" i="1" a="1"/>
  <c r="M4675" i="1"/>
  <c r="M4676" i="1" a="1"/>
  <c r="M4676" i="1"/>
  <c r="M4677" i="1" a="1"/>
  <c r="M4677" i="1"/>
  <c r="M4678" i="1" a="1"/>
  <c r="M4678" i="1"/>
  <c r="M4679" i="1" a="1"/>
  <c r="M4679" i="1" s="1"/>
  <c r="M4680" i="1" a="1"/>
  <c r="M4680" i="1"/>
  <c r="M4681" i="1" a="1"/>
  <c r="M4681" i="1"/>
  <c r="M4682" i="1" a="1"/>
  <c r="M4682" i="1"/>
  <c r="M4683" i="1" a="1"/>
  <c r="M4683" i="1"/>
  <c r="M4684" i="1" a="1"/>
  <c r="M4684" i="1"/>
  <c r="M4685" i="1" a="1"/>
  <c r="M4685" i="1" s="1"/>
  <c r="M4686" i="1" a="1"/>
  <c r="M4686" i="1"/>
  <c r="M4687" i="1" a="1"/>
  <c r="M4687" i="1"/>
  <c r="M4688" i="1" a="1"/>
  <c r="M4688" i="1"/>
  <c r="M4689" i="1" a="1"/>
  <c r="M4689" i="1"/>
  <c r="M4690" i="1" a="1"/>
  <c r="M4690" i="1"/>
  <c r="M4691" i="1" a="1"/>
  <c r="M4691" i="1" s="1"/>
  <c r="M4692" i="1" a="1"/>
  <c r="M4692" i="1"/>
  <c r="M4693" i="1" a="1"/>
  <c r="M4693" i="1"/>
  <c r="M4694" i="1" a="1"/>
  <c r="M4694" i="1"/>
  <c r="M4695" i="1" a="1"/>
  <c r="M4695" i="1"/>
  <c r="M4696" i="1" a="1"/>
  <c r="M4696" i="1"/>
  <c r="M4697" i="1" a="1"/>
  <c r="M4697" i="1" s="1"/>
  <c r="M4698" i="1" a="1"/>
  <c r="M4698" i="1"/>
  <c r="M4699" i="1" a="1"/>
  <c r="M4699" i="1"/>
  <c r="M4700" i="1" a="1"/>
  <c r="M4700" i="1"/>
  <c r="M4701" i="1" a="1"/>
  <c r="M4701" i="1"/>
  <c r="M4702" i="1" a="1"/>
  <c r="M4702" i="1"/>
  <c r="M4703" i="1" a="1"/>
  <c r="M4703" i="1" s="1"/>
  <c r="M4704" i="1" a="1"/>
  <c r="M4704" i="1"/>
  <c r="M4705" i="1" a="1"/>
  <c r="M4705" i="1"/>
  <c r="M4706" i="1" a="1"/>
  <c r="M4706" i="1"/>
  <c r="M4707" i="1" a="1"/>
  <c r="M4707" i="1"/>
  <c r="M4708" i="1" a="1"/>
  <c r="M4708" i="1"/>
  <c r="M4709" i="1" a="1"/>
  <c r="M4709" i="1" s="1"/>
  <c r="M4710" i="1" a="1"/>
  <c r="M4710" i="1"/>
  <c r="M4711" i="1" a="1"/>
  <c r="M4711" i="1"/>
  <c r="M4712" i="1" a="1"/>
  <c r="M4712" i="1"/>
  <c r="M4713" i="1" a="1"/>
  <c r="M4713" i="1"/>
  <c r="M4714" i="1" a="1"/>
  <c r="M4714" i="1"/>
  <c r="M4715" i="1" a="1"/>
  <c r="M4715" i="1" s="1"/>
  <c r="M4716" i="1" a="1"/>
  <c r="M4716" i="1"/>
  <c r="M4717" i="1" a="1"/>
  <c r="M4717" i="1"/>
  <c r="M4718" i="1" a="1"/>
  <c r="M4718" i="1"/>
  <c r="M4719" i="1" a="1"/>
  <c r="M4719" i="1"/>
  <c r="M4720" i="1" a="1"/>
  <c r="M4720" i="1"/>
  <c r="M4721" i="1" a="1"/>
  <c r="M4721" i="1" s="1"/>
  <c r="M4722" i="1" a="1"/>
  <c r="M4722" i="1"/>
  <c r="M4723" i="1" a="1"/>
  <c r="M4723" i="1"/>
  <c r="M4724" i="1" a="1"/>
  <c r="M4724" i="1"/>
  <c r="M4725" i="1" a="1"/>
  <c r="M4725" i="1"/>
  <c r="M4726" i="1" a="1"/>
  <c r="M4726" i="1"/>
  <c r="M4727" i="1" a="1"/>
  <c r="M4727" i="1" s="1"/>
  <c r="M4728" i="1" a="1"/>
  <c r="M4728" i="1"/>
  <c r="M4729" i="1" a="1"/>
  <c r="M4729" i="1"/>
  <c r="M4730" i="1" a="1"/>
  <c r="M4730" i="1"/>
  <c r="M4731" i="1" a="1"/>
  <c r="M4731" i="1"/>
  <c r="M4732" i="1" a="1"/>
  <c r="M4732" i="1"/>
  <c r="M4733" i="1" a="1"/>
  <c r="M4733" i="1" s="1"/>
  <c r="M4734" i="1" a="1"/>
  <c r="M4734" i="1"/>
  <c r="M4735" i="1" a="1"/>
  <c r="M4735" i="1"/>
  <c r="M4736" i="1" a="1"/>
  <c r="M4736" i="1"/>
  <c r="M4737" i="1" a="1"/>
  <c r="M4737" i="1"/>
  <c r="M4738" i="1" a="1"/>
  <c r="M4738" i="1"/>
  <c r="M4739" i="1" a="1"/>
  <c r="M4739" i="1" s="1"/>
  <c r="M4740" i="1" a="1"/>
  <c r="M4740" i="1"/>
  <c r="M4741" i="1" a="1"/>
  <c r="M4741" i="1"/>
  <c r="M4742" i="1" a="1"/>
  <c r="M4742" i="1"/>
  <c r="M4743" i="1" a="1"/>
  <c r="M4743" i="1"/>
  <c r="M4744" i="1" a="1"/>
  <c r="M4744" i="1"/>
  <c r="M4745" i="1" a="1"/>
  <c r="M4745" i="1" s="1"/>
  <c r="M4746" i="1" a="1"/>
  <c r="M4746" i="1"/>
  <c r="M4747" i="1" a="1"/>
  <c r="M4747" i="1"/>
  <c r="M4748" i="1" a="1"/>
  <c r="M4748" i="1"/>
  <c r="M4749" i="1" a="1"/>
  <c r="M4749" i="1"/>
  <c r="M4750" i="1" a="1"/>
  <c r="M4750" i="1"/>
  <c r="M4751" i="1" a="1"/>
  <c r="M4751" i="1" s="1"/>
  <c r="M4752" i="1" a="1"/>
  <c r="M4752" i="1"/>
  <c r="M4753" i="1" a="1"/>
  <c r="M4753" i="1"/>
  <c r="M4754" i="1" a="1"/>
  <c r="M4754" i="1"/>
  <c r="M4755" i="1" a="1"/>
  <c r="M4755" i="1"/>
  <c r="M4756" i="1" a="1"/>
  <c r="M4756" i="1"/>
  <c r="M4757" i="1" a="1"/>
  <c r="M4757" i="1" s="1"/>
  <c r="M4758" i="1" a="1"/>
  <c r="M4758" i="1"/>
  <c r="M4759" i="1" a="1"/>
  <c r="M4759" i="1"/>
  <c r="M4760" i="1" a="1"/>
  <c r="M4760" i="1"/>
  <c r="M4761" i="1" a="1"/>
  <c r="M4761" i="1"/>
  <c r="M4762" i="1" a="1"/>
  <c r="M4762" i="1"/>
  <c r="M4763" i="1" a="1"/>
  <c r="M4763" i="1" s="1"/>
  <c r="M4764" i="1" a="1"/>
  <c r="M4764" i="1"/>
  <c r="M4765" i="1" a="1"/>
  <c r="M4765" i="1"/>
  <c r="M4766" i="1" a="1"/>
  <c r="M4766" i="1"/>
  <c r="M4767" i="1" a="1"/>
  <c r="M4767" i="1"/>
  <c r="M4768" i="1" a="1"/>
  <c r="M4768" i="1"/>
  <c r="M4769" i="1" a="1"/>
  <c r="M4769" i="1" s="1"/>
  <c r="M4770" i="1" a="1"/>
  <c r="M4770" i="1"/>
  <c r="M4771" i="1" a="1"/>
  <c r="M4771" i="1"/>
  <c r="M4772" i="1" a="1"/>
  <c r="M4772" i="1"/>
  <c r="M4773" i="1" a="1"/>
  <c r="M4773" i="1"/>
  <c r="M4774" i="1" a="1"/>
  <c r="M4774" i="1"/>
  <c r="M4775" i="1" a="1"/>
  <c r="M4775" i="1" s="1"/>
  <c r="M4776" i="1" a="1"/>
  <c r="M4776" i="1"/>
  <c r="M4777" i="1" a="1"/>
  <c r="M4777" i="1"/>
  <c r="M4778" i="1" a="1"/>
  <c r="M4778" i="1"/>
  <c r="M4779" i="1" a="1"/>
  <c r="M4779" i="1"/>
  <c r="M4780" i="1" a="1"/>
  <c r="M4780" i="1"/>
  <c r="M4781" i="1" a="1"/>
  <c r="M4781" i="1" s="1"/>
  <c r="M4782" i="1" a="1"/>
  <c r="M4782" i="1"/>
  <c r="M4783" i="1" a="1"/>
  <c r="M4783" i="1"/>
  <c r="M4784" i="1" a="1"/>
  <c r="M4784" i="1"/>
  <c r="M4785" i="1" a="1"/>
  <c r="M4785" i="1"/>
  <c r="M4786" i="1" a="1"/>
  <c r="M4786" i="1"/>
  <c r="M4787" i="1" a="1"/>
  <c r="M4787" i="1" s="1"/>
  <c r="M4788" i="1" a="1"/>
  <c r="M4788" i="1"/>
  <c r="M4789" i="1" a="1"/>
  <c r="M4789" i="1"/>
  <c r="M4790" i="1" a="1"/>
  <c r="M4790" i="1"/>
  <c r="M4791" i="1" a="1"/>
  <c r="M4791" i="1"/>
  <c r="M4792" i="1" a="1"/>
  <c r="M4792" i="1"/>
  <c r="M4793" i="1" a="1"/>
  <c r="M4793" i="1" s="1"/>
  <c r="M4794" i="1" a="1"/>
  <c r="M4794" i="1"/>
  <c r="M4795" i="1" a="1"/>
  <c r="M4795" i="1"/>
  <c r="M4796" i="1" a="1"/>
  <c r="M4796" i="1"/>
  <c r="M4797" i="1" a="1"/>
  <c r="M4797" i="1"/>
  <c r="M4798" i="1" a="1"/>
  <c r="M4798" i="1"/>
  <c r="M4799" i="1" a="1"/>
  <c r="M4799" i="1" s="1"/>
  <c r="M4800" i="1" a="1"/>
  <c r="M4800" i="1"/>
  <c r="M4801" i="1" a="1"/>
  <c r="M4801" i="1"/>
  <c r="M4802" i="1" a="1"/>
  <c r="M4802" i="1"/>
  <c r="M4803" i="1" a="1"/>
  <c r="M4803" i="1"/>
  <c r="M4804" i="1" a="1"/>
  <c r="M4804" i="1"/>
  <c r="M4805" i="1" a="1"/>
  <c r="M4805" i="1" s="1"/>
  <c r="M4806" i="1" a="1"/>
  <c r="M4806" i="1"/>
  <c r="M4807" i="1" a="1"/>
  <c r="M4807" i="1"/>
  <c r="M4808" i="1" a="1"/>
  <c r="M4808" i="1"/>
  <c r="M4809" i="1" a="1"/>
  <c r="M4809" i="1"/>
  <c r="M4810" i="1" a="1"/>
  <c r="M4810" i="1"/>
  <c r="M4811" i="1" a="1"/>
  <c r="M4811" i="1" s="1"/>
  <c r="M4812" i="1" a="1"/>
  <c r="M4812" i="1"/>
  <c r="M4813" i="1" a="1"/>
  <c r="M4813" i="1"/>
  <c r="M4814" i="1" a="1"/>
  <c r="M4814" i="1"/>
  <c r="M4815" i="1" a="1"/>
  <c r="M4815" i="1"/>
  <c r="M4816" i="1" a="1"/>
  <c r="M4816" i="1"/>
  <c r="M4817" i="1" a="1"/>
  <c r="M4817" i="1" s="1"/>
  <c r="M4818" i="1" a="1"/>
  <c r="M4818" i="1"/>
  <c r="M4819" i="1" a="1"/>
  <c r="M4819" i="1"/>
  <c r="M4820" i="1" a="1"/>
  <c r="M4820" i="1"/>
  <c r="M4821" i="1" a="1"/>
  <c r="M4821" i="1"/>
  <c r="M4822" i="1" a="1"/>
  <c r="M4822" i="1"/>
  <c r="M4823" i="1" a="1"/>
  <c r="M4823" i="1" s="1"/>
  <c r="M4824" i="1" a="1"/>
  <c r="M4824" i="1"/>
  <c r="M4825" i="1" a="1"/>
  <c r="M4825" i="1"/>
  <c r="M4826" i="1" a="1"/>
  <c r="M4826" i="1"/>
  <c r="M4827" i="1" a="1"/>
  <c r="M4827" i="1"/>
  <c r="M4828" i="1" a="1"/>
  <c r="M4828" i="1"/>
  <c r="M4829" i="1" a="1"/>
  <c r="M4829" i="1" s="1"/>
  <c r="M4830" i="1" a="1"/>
  <c r="M4830" i="1"/>
  <c r="M4831" i="1" a="1"/>
  <c r="M4831" i="1"/>
  <c r="M4832" i="1" a="1"/>
  <c r="M4832" i="1"/>
  <c r="M4833" i="1" a="1"/>
  <c r="M4833" i="1"/>
  <c r="M4834" i="1" a="1"/>
  <c r="M4834" i="1"/>
  <c r="M4835" i="1" a="1"/>
  <c r="M4835" i="1" s="1"/>
  <c r="M4836" i="1" a="1"/>
  <c r="M4836" i="1"/>
  <c r="M4837" i="1" a="1"/>
  <c r="M4837" i="1"/>
  <c r="M4838" i="1" a="1"/>
  <c r="M4838" i="1"/>
  <c r="M4839" i="1" a="1"/>
  <c r="M4839" i="1"/>
  <c r="M4840" i="1" a="1"/>
  <c r="M4840" i="1"/>
  <c r="M4841" i="1" a="1"/>
  <c r="M4841" i="1" s="1"/>
  <c r="M4842" i="1" a="1"/>
  <c r="M4842" i="1"/>
  <c r="M4843" i="1" a="1"/>
  <c r="M4843" i="1"/>
  <c r="M4844" i="1" a="1"/>
  <c r="M4844" i="1"/>
  <c r="M4845" i="1" a="1"/>
  <c r="M4845" i="1"/>
  <c r="M4846" i="1" a="1"/>
  <c r="M4846" i="1"/>
  <c r="M4847" i="1" a="1"/>
  <c r="M4847" i="1" s="1"/>
  <c r="M4848" i="1" a="1"/>
  <c r="M4848" i="1"/>
  <c r="M4849" i="1" a="1"/>
  <c r="M4849" i="1"/>
  <c r="M4850" i="1" a="1"/>
  <c r="M4850" i="1"/>
  <c r="M4851" i="1" a="1"/>
  <c r="M4851" i="1"/>
  <c r="M4852" i="1" a="1"/>
  <c r="M4852" i="1"/>
  <c r="M4853" i="1" a="1"/>
  <c r="M4853" i="1" s="1"/>
  <c r="M4854" i="1" a="1"/>
  <c r="M4854" i="1"/>
  <c r="M4855" i="1" a="1"/>
  <c r="M4855" i="1"/>
  <c r="M4856" i="1" a="1"/>
  <c r="M4856" i="1"/>
  <c r="M4857" i="1" a="1"/>
  <c r="M4857" i="1"/>
  <c r="M4858" i="1" a="1"/>
  <c r="M4858" i="1"/>
  <c r="M4859" i="1" a="1"/>
  <c r="M4859" i="1" s="1"/>
  <c r="M4860" i="1" a="1"/>
  <c r="M4860" i="1"/>
  <c r="M4861" i="1" a="1"/>
  <c r="M4861" i="1"/>
  <c r="M4862" i="1" a="1"/>
  <c r="M4862" i="1"/>
  <c r="M4863" i="1" a="1"/>
  <c r="M4863" i="1"/>
  <c r="M4864" i="1" a="1"/>
  <c r="M4864" i="1"/>
  <c r="M4865" i="1" a="1"/>
  <c r="M4865" i="1" s="1"/>
  <c r="M4866" i="1" a="1"/>
  <c r="M4866" i="1"/>
  <c r="M4867" i="1" a="1"/>
  <c r="M4867" i="1"/>
  <c r="M4868" i="1" a="1"/>
  <c r="M4868" i="1"/>
  <c r="M4869" i="1" a="1"/>
  <c r="M4869" i="1"/>
  <c r="M4870" i="1" a="1"/>
  <c r="M4870" i="1"/>
  <c r="M4871" i="1" a="1"/>
  <c r="M4871" i="1" s="1"/>
  <c r="M4872" i="1" a="1"/>
  <c r="M4872" i="1"/>
  <c r="M4873" i="1" a="1"/>
  <c r="M4873" i="1"/>
  <c r="M4874" i="1" a="1"/>
  <c r="M4874" i="1"/>
  <c r="M4875" i="1" a="1"/>
  <c r="M4875" i="1"/>
  <c r="M4876" i="1" a="1"/>
  <c r="M4876" i="1"/>
  <c r="M4877" i="1" a="1"/>
  <c r="M4877" i="1" s="1"/>
  <c r="M4878" i="1" a="1"/>
  <c r="M4878" i="1"/>
  <c r="M4879" i="1" a="1"/>
  <c r="M4879" i="1"/>
  <c r="M4880" i="1" a="1"/>
  <c r="M4880" i="1"/>
  <c r="M4881" i="1" a="1"/>
  <c r="M4881" i="1"/>
  <c r="M4882" i="1" a="1"/>
  <c r="M4882" i="1"/>
  <c r="M4883" i="1" a="1"/>
  <c r="M4883" i="1" s="1"/>
  <c r="M4884" i="1" a="1"/>
  <c r="M4884" i="1"/>
  <c r="M4885" i="1" a="1"/>
  <c r="M4885" i="1"/>
  <c r="M4886" i="1" a="1"/>
  <c r="M4886" i="1"/>
  <c r="M4887" i="1" a="1"/>
  <c r="M4887" i="1"/>
  <c r="M4888" i="1" a="1"/>
  <c r="M4888" i="1"/>
  <c r="M4889" i="1" a="1"/>
  <c r="M4889" i="1" s="1"/>
  <c r="M4890" i="1" a="1"/>
  <c r="M4890" i="1"/>
  <c r="M4891" i="1" a="1"/>
  <c r="M4891" i="1"/>
  <c r="M4892" i="1" a="1"/>
  <c r="M4892" i="1"/>
  <c r="M4893" i="1" a="1"/>
  <c r="M4893" i="1"/>
  <c r="M4894" i="1" a="1"/>
  <c r="M4894" i="1"/>
  <c r="M4895" i="1" a="1"/>
  <c r="M4895" i="1" s="1"/>
  <c r="M4896" i="1" a="1"/>
  <c r="M4896" i="1"/>
  <c r="M4897" i="1" a="1"/>
  <c r="M4897" i="1"/>
  <c r="M4898" i="1" a="1"/>
  <c r="M4898" i="1"/>
  <c r="M4899" i="1" a="1"/>
  <c r="M4899" i="1"/>
  <c r="M4900" i="1" a="1"/>
  <c r="M4900" i="1"/>
  <c r="M4901" i="1" a="1"/>
  <c r="M4901" i="1" s="1"/>
  <c r="M4902" i="1" a="1"/>
  <c r="M4902" i="1"/>
  <c r="M4903" i="1" a="1"/>
  <c r="M4903" i="1"/>
  <c r="M4904" i="1" a="1"/>
  <c r="M4904" i="1"/>
  <c r="M4905" i="1" a="1"/>
  <c r="M4905" i="1"/>
  <c r="M4906" i="1" a="1"/>
  <c r="M4906" i="1"/>
  <c r="M4907" i="1" a="1"/>
  <c r="M4907" i="1" s="1"/>
  <c r="M4908" i="1" a="1"/>
  <c r="M4908" i="1"/>
  <c r="M4909" i="1" a="1"/>
  <c r="M4909" i="1"/>
  <c r="M4910" i="1" a="1"/>
  <c r="M4910" i="1"/>
  <c r="M4911" i="1" a="1"/>
  <c r="M4911" i="1"/>
  <c r="M4912" i="1" a="1"/>
  <c r="M4912" i="1"/>
  <c r="M4913" i="1" a="1"/>
  <c r="M4913" i="1" s="1"/>
  <c r="M4914" i="1" a="1"/>
  <c r="M4914" i="1"/>
  <c r="M4915" i="1" a="1"/>
  <c r="M4915" i="1"/>
  <c r="M4916" i="1" a="1"/>
  <c r="M4916" i="1"/>
  <c r="M4917" i="1" a="1"/>
  <c r="M4917" i="1"/>
  <c r="M4918" i="1" a="1"/>
  <c r="M4918" i="1"/>
  <c r="M4919" i="1" a="1"/>
  <c r="M4919" i="1" s="1"/>
  <c r="M4920" i="1" a="1"/>
  <c r="M4920" i="1"/>
  <c r="M4921" i="1" a="1"/>
  <c r="M4921" i="1"/>
  <c r="M4922" i="1" a="1"/>
  <c r="M4922" i="1"/>
  <c r="M4923" i="1" a="1"/>
  <c r="M4923" i="1"/>
  <c r="M4924" i="1" a="1"/>
  <c r="M4924" i="1"/>
  <c r="M4925" i="1" a="1"/>
  <c r="M4925" i="1" s="1"/>
  <c r="M4926" i="1" a="1"/>
  <c r="M4926" i="1"/>
  <c r="M4927" i="1" a="1"/>
  <c r="M4927" i="1"/>
  <c r="M4928" i="1" a="1"/>
  <c r="M4928" i="1"/>
  <c r="M4929" i="1" a="1"/>
  <c r="M4929" i="1"/>
  <c r="M4930" i="1" a="1"/>
  <c r="M4930" i="1"/>
  <c r="M4931" i="1" a="1"/>
  <c r="M4931" i="1" s="1"/>
  <c r="M4932" i="1" a="1"/>
  <c r="M4932" i="1"/>
  <c r="M4933" i="1" a="1"/>
  <c r="M4933" i="1"/>
  <c r="M4934" i="1" a="1"/>
  <c r="M4934" i="1"/>
  <c r="M4935" i="1" a="1"/>
  <c r="M4935" i="1"/>
  <c r="M4936" i="1" a="1"/>
  <c r="M4936" i="1"/>
  <c r="M4937" i="1" a="1"/>
  <c r="M4937" i="1" s="1"/>
  <c r="M4938" i="1" a="1"/>
  <c r="M4938" i="1"/>
  <c r="M4939" i="1" a="1"/>
  <c r="M4939" i="1"/>
  <c r="M4940" i="1" a="1"/>
  <c r="M4940" i="1"/>
  <c r="M4941" i="1" a="1"/>
  <c r="M4941" i="1"/>
  <c r="M4942" i="1" a="1"/>
  <c r="M4942" i="1"/>
  <c r="M4943" i="1" a="1"/>
  <c r="M4943" i="1" s="1"/>
  <c r="M4944" i="1" a="1"/>
  <c r="M4944" i="1"/>
  <c r="M4945" i="1" a="1"/>
  <c r="M4945" i="1"/>
  <c r="M4946" i="1" a="1"/>
  <c r="M4946" i="1"/>
  <c r="M4947" i="1" a="1"/>
  <c r="M4947" i="1"/>
  <c r="M4948" i="1" a="1"/>
  <c r="M4948" i="1"/>
  <c r="M4949" i="1" a="1"/>
  <c r="M4949" i="1" s="1"/>
  <c r="M4950" i="1" a="1"/>
  <c r="M4950" i="1"/>
  <c r="M4951" i="1" a="1"/>
  <c r="M4951" i="1"/>
  <c r="M4952" i="1" a="1"/>
  <c r="M4952" i="1"/>
  <c r="M4953" i="1" a="1"/>
  <c r="M4953" i="1"/>
  <c r="M4954" i="1" a="1"/>
  <c r="M4954" i="1"/>
  <c r="M4955" i="1" a="1"/>
  <c r="M4955" i="1" s="1"/>
  <c r="M4956" i="1" a="1"/>
  <c r="M4956" i="1"/>
  <c r="M4957" i="1" a="1"/>
  <c r="M4957" i="1"/>
  <c r="M4958" i="1" a="1"/>
  <c r="M4958" i="1"/>
  <c r="M4959" i="1" a="1"/>
  <c r="M4959" i="1"/>
  <c r="M4960" i="1" a="1"/>
  <c r="M4960" i="1"/>
  <c r="M4961" i="1" a="1"/>
  <c r="M4961" i="1" s="1"/>
  <c r="M4962" i="1" a="1"/>
  <c r="M4962" i="1"/>
  <c r="M4963" i="1" a="1"/>
  <c r="M4963" i="1"/>
  <c r="M4964" i="1" a="1"/>
  <c r="M4964" i="1"/>
  <c r="M4965" i="1" a="1"/>
  <c r="M4965" i="1"/>
  <c r="M4966" i="1" a="1"/>
  <c r="M4966" i="1"/>
  <c r="M4967" i="1" a="1"/>
  <c r="M4967" i="1" s="1"/>
  <c r="M4968" i="1" a="1"/>
  <c r="M4968" i="1"/>
  <c r="M4969" i="1" a="1"/>
  <c r="M4969" i="1"/>
  <c r="M4970" i="1" a="1"/>
  <c r="M4970" i="1"/>
  <c r="M4971" i="1" a="1"/>
  <c r="M4971" i="1"/>
  <c r="M4972" i="1" a="1"/>
  <c r="M4972" i="1"/>
  <c r="M4973" i="1" a="1"/>
  <c r="M4973" i="1" s="1"/>
  <c r="M4974" i="1" a="1"/>
  <c r="M4974" i="1"/>
  <c r="M4975" i="1" a="1"/>
  <c r="M4975" i="1"/>
  <c r="M4976" i="1" a="1"/>
  <c r="M4976" i="1"/>
  <c r="M4977" i="1" a="1"/>
  <c r="M4977" i="1"/>
  <c r="M4978" i="1" a="1"/>
  <c r="M4978" i="1"/>
  <c r="M4979" i="1" a="1"/>
  <c r="M4979" i="1" s="1"/>
  <c r="M4980" i="1" a="1"/>
  <c r="M4980" i="1"/>
  <c r="M4981" i="1" a="1"/>
  <c r="M4981" i="1"/>
  <c r="M4982" i="1" a="1"/>
  <c r="M4982" i="1"/>
  <c r="M4983" i="1" a="1"/>
  <c r="M4983" i="1"/>
  <c r="M4984" i="1" a="1"/>
  <c r="M4984" i="1"/>
  <c r="M4985" i="1" a="1"/>
  <c r="M4985" i="1" s="1"/>
  <c r="M4986" i="1" a="1"/>
  <c r="M4986" i="1"/>
  <c r="M4987" i="1" a="1"/>
  <c r="M4987" i="1"/>
  <c r="M4988" i="1" a="1"/>
  <c r="M4988" i="1"/>
  <c r="M4989" i="1" a="1"/>
  <c r="M4989" i="1"/>
  <c r="M4990" i="1" a="1"/>
  <c r="M4990" i="1"/>
  <c r="M4991" i="1" a="1"/>
  <c r="M4991" i="1" s="1"/>
  <c r="M4992" i="1" a="1"/>
  <c r="M4992" i="1"/>
  <c r="M4993" i="1" a="1"/>
  <c r="M4993" i="1"/>
  <c r="M4994" i="1" a="1"/>
  <c r="M4994" i="1"/>
  <c r="M4995" i="1" a="1"/>
  <c r="M4995" i="1"/>
  <c r="M4996" i="1" a="1"/>
  <c r="M4996" i="1"/>
  <c r="M4997" i="1" a="1"/>
  <c r="M4997" i="1" s="1"/>
  <c r="M4998" i="1" a="1"/>
  <c r="M4998" i="1"/>
  <c r="M4999" i="1" a="1"/>
  <c r="M4999" i="1"/>
  <c r="M5000" i="1" a="1"/>
  <c r="M5000" i="1"/>
  <c r="M5001" i="1" a="1"/>
  <c r="M5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O2" i="1"/>
  <c r="N2" i="1"/>
  <c r="M2" i="1" a="1"/>
  <c r="M2" i="1" s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<sst xmlns="http://schemas.openxmlformats.org/spreadsheetml/2006/main" count="25068" uniqueCount="85">
  <si>
    <t>CustomerID</t>
  </si>
  <si>
    <t>Age</t>
  </si>
  <si>
    <t>Gender</t>
  </si>
  <si>
    <t>Category</t>
  </si>
  <si>
    <t>ItemPurchased</t>
  </si>
  <si>
    <t>Amount</t>
  </si>
  <si>
    <t>Season</t>
  </si>
  <si>
    <t>PaymentMethod</t>
  </si>
  <si>
    <t>ItemRating</t>
  </si>
  <si>
    <t>DiscountApplied(%)</t>
  </si>
  <si>
    <t>PreviousPurchases</t>
  </si>
  <si>
    <t>Female</t>
  </si>
  <si>
    <t>Accessories</t>
  </si>
  <si>
    <t>Handbag</t>
  </si>
  <si>
    <t>Autumn</t>
  </si>
  <si>
    <t>Card</t>
  </si>
  <si>
    <t>Male</t>
  </si>
  <si>
    <t>Mens Clothing</t>
  </si>
  <si>
    <t>Shirt</t>
  </si>
  <si>
    <t>Spring</t>
  </si>
  <si>
    <t>Sports</t>
  </si>
  <si>
    <t>Football</t>
  </si>
  <si>
    <t>Home</t>
  </si>
  <si>
    <t>Curtains</t>
  </si>
  <si>
    <t>Winter</t>
  </si>
  <si>
    <t>Groceries</t>
  </si>
  <si>
    <t>Snacks</t>
  </si>
  <si>
    <t>Electronics</t>
  </si>
  <si>
    <t>Mobile Phone</t>
  </si>
  <si>
    <t>Beauty</t>
  </si>
  <si>
    <t>Perfume</t>
  </si>
  <si>
    <t>Summer</t>
  </si>
  <si>
    <t>Smart Watch</t>
  </si>
  <si>
    <t>Footwear</t>
  </si>
  <si>
    <t>Formal Shoes</t>
  </si>
  <si>
    <t>T-Shirt</t>
  </si>
  <si>
    <t>Yoga Mat</t>
  </si>
  <si>
    <t>Cash on Delivery</t>
  </si>
  <si>
    <t>Sandals</t>
  </si>
  <si>
    <t>Dumbbells</t>
  </si>
  <si>
    <t>Sneakers</t>
  </si>
  <si>
    <t>Womens Clothing</t>
  </si>
  <si>
    <t>Jeans</t>
  </si>
  <si>
    <t>Lamp</t>
  </si>
  <si>
    <t>Skirt</t>
  </si>
  <si>
    <t>Top</t>
  </si>
  <si>
    <t>Dress</t>
  </si>
  <si>
    <t>Rice Pack</t>
  </si>
  <si>
    <t>Jacket</t>
  </si>
  <si>
    <t>Laptop</t>
  </si>
  <si>
    <t>Sunglasses</t>
  </si>
  <si>
    <t>Makeup Set</t>
  </si>
  <si>
    <t>Kitchen Set</t>
  </si>
  <si>
    <t>Headphones</t>
  </si>
  <si>
    <t>Cooking Oil</t>
  </si>
  <si>
    <t>Skincare Kit</t>
  </si>
  <si>
    <t>Wallet</t>
  </si>
  <si>
    <t>Beverages</t>
  </si>
  <si>
    <t>NetAmount</t>
  </si>
  <si>
    <t>AgeGroup</t>
  </si>
  <si>
    <t>DiscountFlag</t>
  </si>
  <si>
    <t>CustomerType</t>
  </si>
  <si>
    <t>Row Labels</t>
  </si>
  <si>
    <t>Grand Total</t>
  </si>
  <si>
    <t>Sum of NetAmount</t>
  </si>
  <si>
    <t>REVENUE BY CATEGORY</t>
  </si>
  <si>
    <t>18-25</t>
  </si>
  <si>
    <t>26-35</t>
  </si>
  <si>
    <t>36-45</t>
  </si>
  <si>
    <t>46-60</t>
  </si>
  <si>
    <t>60+</t>
  </si>
  <si>
    <t>Average of NetAmount</t>
  </si>
  <si>
    <t>Discounted</t>
  </si>
  <si>
    <t>No Discount</t>
  </si>
  <si>
    <t>Sum of CustomerID</t>
  </si>
  <si>
    <t>AVERAGE SPEND BY AGE GROUP</t>
  </si>
  <si>
    <t>DISCOUNT EFFECT</t>
  </si>
  <si>
    <t>SEASONAL PERFORMANCE</t>
  </si>
  <si>
    <t>Which category earns the most?</t>
  </si>
  <si>
    <t>Do discounted purchases spend more or less?</t>
  </si>
  <si>
    <t>Which age group spends the most?</t>
  </si>
  <si>
    <t>Which season performs best?</t>
  </si>
  <si>
    <t>QUESTIONS:</t>
  </si>
  <si>
    <t>ELECTRONICS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</si>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</sst>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/>
    <xf numFmtId="0" fontId="16" fillId="0" borderId="0" xfId="0" applyFont="1"/>
    <xf numFmtId="0" fontId="0" fillId="0" borderId="0" xfId="0" applyAlignment="1"/>
    <xf numFmtId="0" fontId="0" fillId="0" borderId="0" xfId="0" applyFill="1" applyBorder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[store_sales.xlsx]excel_analysis!Revenue by Category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excel_analysis!$B$3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excel_analysis!$A$4:$A$13</c:f>
              <c:strCache>
                <c:ptCount val="9"/>
                <c:pt idx="0">
                  <c:v>Electronics</c:v>
                </c:pt>
                <c:pt idx="1">
                  <c:v>Footwear</c:v>
                </c:pt>
                <c:pt idx="2">
                  <c:v>Sports</c:v>
                </c:pt>
                <c:pt idx="3">
                  <c:v>Womens Clothing</c:v>
                </c:pt>
                <c:pt idx="4">
                  <c:v>Mens Clothing</c:v>
                </c:pt>
                <c:pt idx="5">
                  <c:v>Accessories</c:v>
                </c:pt>
                <c:pt idx="6">
                  <c:v>Home</c:v>
                </c:pt>
                <c:pt idx="7">
                  <c:v>Beauty</c:v>
                </c:pt>
                <c:pt idx="8">
                  <c:v>Groceries</c:v>
                </c:pt>
              </c:strCache>
            </c:strRef>
          </c:cat>
          <c:val>
            <c:numRef>
              <c:f>excel_analysis!$B$4:$B$13</c:f>
              <c:numCache>
                <c:formatCode>"₱"#,##0.00</c:formatCode>
                <c:ptCount val="9"/>
                <c:pt idx="0">
                  <c:v>760419.85909999977</c:v>
                </c:pt>
                <c:pt idx="1">
                  <c:v>120112.81409999999</c:v>
                </c:pt>
                <c:pt idx="2">
                  <c:v>98274.774699999849</c:v>
                </c:pt>
                <c:pt idx="3">
                  <c:v>52225.587699999931</c:v>
                </c:pt>
                <c:pt idx="4">
                  <c:v>50994.860299999986</c:v>
                </c:pt>
                <c:pt idx="5">
                  <c:v>40516.421000000017</c:v>
                </c:pt>
                <c:pt idx="6">
                  <c:v>39313.441699999981</c:v>
                </c:pt>
                <c:pt idx="7">
                  <c:v>37415.771400000005</c:v>
                </c:pt>
                <c:pt idx="8">
                  <c:v>11886.619800000002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6-44C1-975F-C3CA4912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8067616"/>
        <c:axId val="2128065696"/>
      </c:barChart>
      <c:catAx>
        <c:axId val="21280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65696"/>
        <c:crosses val="autoZero"/>
        <c:auto val="1"/>
        <c:lblAlgn val="ctr"/>
        <c:lblOffset val="100"/>
        <c:noMultiLvlLbl val="0"/>
      </c:catAx>
      <c:valAx>
        <c:axId val="212806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6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2</xdr:row>
      <xdr:rowOff>19050</xdr:rowOff>
    </xdr:from>
    <xdr:to>
      <xdr:col>10</xdr:col>
      <xdr:colOff>495299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9D9E1-033E-45E8-8BE1-3B17730C3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chiolo Esguerra" refreshedDate="46060.73810185185" createdVersion="8" refreshedVersion="8" minRefreshableVersion="3" recordCount="5000" xr:uid="{5941BF9D-D09F-4027-9636-3EFC8A0B5B70}">
  <cacheSource type="worksheet">
    <worksheetSource ref="A1:O5001" sheet="store_sales"/>
  </cacheSource>
  <cacheFields count="15">
    <cacheField name="CustomerID" numFmtId="0">
      <sharedItems containsSemiMixedTypes="0" containsString="0" containsNumber="1" containsInteger="1" minValue="1" maxValue="5000"/>
    </cacheField>
    <cacheField name="Age" numFmtId="0">
      <sharedItems containsSemiMixedTypes="0" containsString="0" containsNumber="1" containsInteger="1" minValue="20" maxValue="70"/>
    </cacheField>
    <cacheField name="Gender" numFmtId="0">
      <sharedItems/>
    </cacheField>
    <cacheField name="Category" numFmtId="0">
      <sharedItems count="9">
        <s v="Accessories"/>
        <s v="Mens Clothing"/>
        <s v="Sports"/>
        <s v="Home"/>
        <s v="Groceries"/>
        <s v="Electronics"/>
        <s v="Beauty"/>
        <s v="Footwear"/>
        <s v="Womens Clothing"/>
      </sharedItems>
    </cacheField>
    <cacheField name="ItemPurchased" numFmtId="0">
      <sharedItems/>
    </cacheField>
    <cacheField name="Amount" numFmtId="164">
      <sharedItems containsSemiMixedTypes="0" containsString="0" containsNumber="1" minValue="5.08" maxValue="2997.94"/>
    </cacheField>
    <cacheField name="Season" numFmtId="0">
      <sharedItems count="4">
        <s v="Autumn"/>
        <s v="Spring"/>
        <s v="Winter"/>
        <s v="Summer"/>
      </sharedItems>
    </cacheField>
    <cacheField name="PaymentMethod" numFmtId="0">
      <sharedItems/>
    </cacheField>
    <cacheField name="ItemRating" numFmtId="2">
      <sharedItems containsSemiMixedTypes="0" containsString="0" containsNumber="1" minValue="1.1000000000000001" maxValue="5"/>
    </cacheField>
    <cacheField name="DiscountApplied(%)" numFmtId="1">
      <sharedItems containsSemiMixedTypes="0" containsString="0" containsNumber="1" containsInteger="1" minValue="0" maxValue="36"/>
    </cacheField>
    <cacheField name="PreviousPurchases" numFmtId="1">
      <sharedItems containsSemiMixedTypes="0" containsString="0" containsNumber="1" containsInteger="1" minValue="0" maxValue="13"/>
    </cacheField>
    <cacheField name="NetAmount" numFmtId="164">
      <sharedItems containsSemiMixedTypes="0" containsString="0" containsNumber="1" minValue="4.2164000000000001" maxValue="2749.65"/>
    </cacheField>
    <cacheField name="AgeGroup" numFmtId="0">
      <sharedItems count="5">
        <s v="46-60"/>
        <s v="36-45"/>
        <s v="60+"/>
        <s v="18-25"/>
        <s v="26-35"/>
      </sharedItems>
    </cacheField>
    <cacheField name="DiscountFlag" numFmtId="0">
      <sharedItems count="2">
        <s v="Discounted"/>
        <s v="No Discount"/>
      </sharedItems>
    </cacheField>
    <cacheField name="Customer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58"/>
    <s v="Female"/>
    <x v="0"/>
    <s v="Handbag"/>
    <n v="115.5"/>
    <x v="0"/>
    <s v="Card"/>
    <n v="3.5"/>
    <n v="18"/>
    <n v="4"/>
    <n v="94.710000000000008"/>
    <x v="0"/>
    <x v="0"/>
    <s v="Returning"/>
  </r>
  <r>
    <n v="2"/>
    <n v="40"/>
    <s v="Male"/>
    <x v="1"/>
    <s v="Shirt"/>
    <n v="103.43"/>
    <x v="1"/>
    <s v="Card"/>
    <n v="4.0999999999999996"/>
    <n v="13"/>
    <n v="4"/>
    <n v="89.984100000000012"/>
    <x v="1"/>
    <x v="0"/>
    <s v="Returning"/>
  </r>
  <r>
    <n v="3"/>
    <n v="66"/>
    <s v="Female"/>
    <x v="2"/>
    <s v="Football"/>
    <n v="35.450000000000003"/>
    <x v="1"/>
    <s v="Card"/>
    <n v="3.3"/>
    <n v="11"/>
    <n v="3"/>
    <n v="31.550500000000003"/>
    <x v="2"/>
    <x v="0"/>
    <s v="Returning"/>
  </r>
  <r>
    <n v="4"/>
    <n v="39"/>
    <s v="Female"/>
    <x v="0"/>
    <s v="Handbag"/>
    <n v="153.31"/>
    <x v="1"/>
    <s v="Card"/>
    <n v="4.4000000000000004"/>
    <n v="13"/>
    <n v="4"/>
    <n v="133.37970000000001"/>
    <x v="1"/>
    <x v="0"/>
    <s v="Returning"/>
  </r>
  <r>
    <n v="5"/>
    <n v="23"/>
    <s v="Female"/>
    <x v="3"/>
    <s v="Curtains"/>
    <n v="151.43"/>
    <x v="2"/>
    <s v="Card"/>
    <n v="4.0999999999999996"/>
    <n v="20"/>
    <n v="10"/>
    <n v="121.14400000000001"/>
    <x v="3"/>
    <x v="0"/>
    <s v="Returning"/>
  </r>
  <r>
    <n v="6"/>
    <n v="48"/>
    <s v="Male"/>
    <x v="4"/>
    <s v="Snacks"/>
    <n v="36.76"/>
    <x v="0"/>
    <s v="Card"/>
    <n v="2.5"/>
    <n v="14"/>
    <n v="2"/>
    <n v="31.613599999999998"/>
    <x v="0"/>
    <x v="0"/>
    <s v="Returning"/>
  </r>
  <r>
    <n v="7"/>
    <n v="54"/>
    <s v="Male"/>
    <x v="5"/>
    <s v="Mobile Phone"/>
    <n v="1396.16"/>
    <x v="0"/>
    <s v="Card"/>
    <n v="4.7"/>
    <n v="18"/>
    <n v="4"/>
    <n v="1144.8512000000001"/>
    <x v="0"/>
    <x v="0"/>
    <s v="Returning"/>
  </r>
  <r>
    <n v="8"/>
    <n v="59"/>
    <s v="Female"/>
    <x v="6"/>
    <s v="Perfume"/>
    <n v="35.549999999999997"/>
    <x v="3"/>
    <s v="Card"/>
    <n v="4.5999999999999996"/>
    <n v="14"/>
    <n v="7"/>
    <n v="30.572999999999997"/>
    <x v="0"/>
    <x v="0"/>
    <s v="Returning"/>
  </r>
  <r>
    <n v="9"/>
    <n v="51"/>
    <s v="Male"/>
    <x v="5"/>
    <s v="Smart Watch"/>
    <n v="2238.79"/>
    <x v="1"/>
    <s v="Card"/>
    <n v="4.3"/>
    <n v="20"/>
    <n v="5"/>
    <n v="1791.0320000000002"/>
    <x v="0"/>
    <x v="0"/>
    <s v="Returning"/>
  </r>
  <r>
    <n v="10"/>
    <n v="47"/>
    <s v="Female"/>
    <x v="7"/>
    <s v="Formal Shoes"/>
    <n v="225.49"/>
    <x v="1"/>
    <s v="Card"/>
    <n v="4.7"/>
    <n v="18"/>
    <n v="4"/>
    <n v="184.90180000000001"/>
    <x v="0"/>
    <x v="0"/>
    <s v="Returning"/>
  </r>
  <r>
    <n v="11"/>
    <n v="32"/>
    <s v="Male"/>
    <x v="1"/>
    <s v="T-Shirt"/>
    <n v="120.8"/>
    <x v="1"/>
    <s v="Card"/>
    <n v="3.2"/>
    <n v="8"/>
    <n v="4"/>
    <n v="111.136"/>
    <x v="4"/>
    <x v="0"/>
    <s v="Returning"/>
  </r>
  <r>
    <n v="12"/>
    <n v="31"/>
    <s v="Female"/>
    <x v="0"/>
    <s v="Handbag"/>
    <n v="43.69"/>
    <x v="3"/>
    <s v="Card"/>
    <n v="3.6"/>
    <n v="8"/>
    <n v="4"/>
    <n v="40.194800000000001"/>
    <x v="4"/>
    <x v="0"/>
    <s v="Returning"/>
  </r>
  <r>
    <n v="13"/>
    <n v="21"/>
    <s v="Male"/>
    <x v="2"/>
    <s v="Yoga Mat"/>
    <n v="79.459999999999994"/>
    <x v="2"/>
    <s v="Cash on Delivery"/>
    <n v="3.8"/>
    <n v="16"/>
    <n v="8"/>
    <n v="66.746399999999994"/>
    <x v="3"/>
    <x v="0"/>
    <s v="Returning"/>
  </r>
  <r>
    <n v="14"/>
    <n v="22"/>
    <s v="Female"/>
    <x v="7"/>
    <s v="Sandals"/>
    <n v="189.34"/>
    <x v="3"/>
    <s v="Card"/>
    <n v="2.9"/>
    <n v="10"/>
    <n v="5"/>
    <n v="170.40600000000001"/>
    <x v="3"/>
    <x v="0"/>
    <s v="Returning"/>
  </r>
  <r>
    <n v="15"/>
    <n v="47"/>
    <s v="Male"/>
    <x v="2"/>
    <s v="Dumbbells"/>
    <n v="222.4"/>
    <x v="2"/>
    <s v="Card"/>
    <n v="3.9"/>
    <n v="12"/>
    <n v="6"/>
    <n v="195.71200000000002"/>
    <x v="0"/>
    <x v="0"/>
    <s v="Returning"/>
  </r>
  <r>
    <n v="16"/>
    <n v="60"/>
    <s v="Male"/>
    <x v="2"/>
    <s v="Dumbbells"/>
    <n v="217.67"/>
    <x v="1"/>
    <s v="Card"/>
    <n v="4.5999999999999996"/>
    <n v="27"/>
    <n v="11"/>
    <n v="158.89909999999998"/>
    <x v="0"/>
    <x v="0"/>
    <s v="Returning"/>
  </r>
  <r>
    <n v="17"/>
    <n v="54"/>
    <s v="Female"/>
    <x v="7"/>
    <s v="Sneakers"/>
    <n v="43.8"/>
    <x v="1"/>
    <s v="Cash on Delivery"/>
    <n v="2.9"/>
    <n v="20"/>
    <n v="5"/>
    <n v="35.04"/>
    <x v="0"/>
    <x v="0"/>
    <s v="Returning"/>
  </r>
  <r>
    <n v="18"/>
    <n v="57"/>
    <s v="Female"/>
    <x v="8"/>
    <s v="Jeans"/>
    <n v="137.29"/>
    <x v="0"/>
    <s v="Card"/>
    <n v="3.4"/>
    <n v="22"/>
    <n v="6"/>
    <n v="107.08619999999999"/>
    <x v="0"/>
    <x v="0"/>
    <s v="Returning"/>
  </r>
  <r>
    <n v="19"/>
    <n v="68"/>
    <s v="Female"/>
    <x v="3"/>
    <s v="Lamp"/>
    <n v="105.48"/>
    <x v="0"/>
    <s v="Card"/>
    <n v="4.5"/>
    <n v="14"/>
    <n v="7"/>
    <n v="90.712800000000001"/>
    <x v="2"/>
    <x v="0"/>
    <s v="Returning"/>
  </r>
  <r>
    <n v="20"/>
    <n v="22"/>
    <s v="Female"/>
    <x v="8"/>
    <s v="Skirt"/>
    <n v="173.52"/>
    <x v="3"/>
    <s v="Card"/>
    <n v="3.6"/>
    <n v="18"/>
    <n v="4"/>
    <n v="142.28640000000001"/>
    <x v="3"/>
    <x v="0"/>
    <s v="Returning"/>
  </r>
  <r>
    <n v="21"/>
    <n v="61"/>
    <s v="Female"/>
    <x v="7"/>
    <s v="Sneakers"/>
    <n v="68.69"/>
    <x v="0"/>
    <s v="Card"/>
    <n v="4.9000000000000004"/>
    <n v="22"/>
    <n v="6"/>
    <n v="53.578200000000002"/>
    <x v="2"/>
    <x v="0"/>
    <s v="Returning"/>
  </r>
  <r>
    <n v="22"/>
    <n v="65"/>
    <s v="Female"/>
    <x v="2"/>
    <s v="Dumbbells"/>
    <n v="31.21"/>
    <x v="1"/>
    <s v="Cash on Delivery"/>
    <n v="3.8"/>
    <n v="14"/>
    <n v="7"/>
    <n v="26.840600000000002"/>
    <x v="2"/>
    <x v="0"/>
    <s v="Returning"/>
  </r>
  <r>
    <n v="23"/>
    <n v="25"/>
    <s v="Male"/>
    <x v="2"/>
    <s v="Football"/>
    <n v="142.5"/>
    <x v="0"/>
    <s v="Card"/>
    <n v="5"/>
    <n v="13"/>
    <n v="4"/>
    <n v="123.97499999999999"/>
    <x v="3"/>
    <x v="0"/>
    <s v="Returning"/>
  </r>
  <r>
    <n v="24"/>
    <n v="35"/>
    <s v="Male"/>
    <x v="1"/>
    <s v="Jeans"/>
    <n v="36.979999999999997"/>
    <x v="3"/>
    <s v="Card"/>
    <n v="4.2"/>
    <n v="13"/>
    <n v="4"/>
    <n v="32.172599999999996"/>
    <x v="4"/>
    <x v="0"/>
    <s v="Returning"/>
  </r>
  <r>
    <n v="25"/>
    <n v="28"/>
    <s v="Female"/>
    <x v="8"/>
    <s v="Top"/>
    <n v="56.59"/>
    <x v="2"/>
    <s v="Card"/>
    <n v="4.0999999999999996"/>
    <n v="26"/>
    <n v="8"/>
    <n v="41.876600000000003"/>
    <x v="4"/>
    <x v="0"/>
    <s v="Returning"/>
  </r>
  <r>
    <n v="26"/>
    <n v="41"/>
    <s v="Male"/>
    <x v="2"/>
    <s v="Football"/>
    <n v="46.19"/>
    <x v="2"/>
    <s v="Cash on Delivery"/>
    <n v="3.3"/>
    <n v="11"/>
    <n v="3"/>
    <n v="41.109099999999998"/>
    <x v="1"/>
    <x v="0"/>
    <s v="Returning"/>
  </r>
  <r>
    <n v="27"/>
    <n v="58"/>
    <s v="Female"/>
    <x v="3"/>
    <s v="Lamp"/>
    <n v="137.6"/>
    <x v="0"/>
    <s v="Card"/>
    <n v="3.7"/>
    <n v="11"/>
    <n v="3"/>
    <n v="122.464"/>
    <x v="0"/>
    <x v="0"/>
    <s v="Returning"/>
  </r>
  <r>
    <n v="28"/>
    <n v="24"/>
    <s v="Male"/>
    <x v="2"/>
    <s v="Yoga Mat"/>
    <n v="30.97"/>
    <x v="0"/>
    <s v="Card"/>
    <n v="4.4000000000000004"/>
    <n v="20"/>
    <n v="10"/>
    <n v="24.776"/>
    <x v="3"/>
    <x v="0"/>
    <s v="Returning"/>
  </r>
  <r>
    <n v="29"/>
    <n v="50"/>
    <s v="Female"/>
    <x v="2"/>
    <s v="Yoga Mat"/>
    <n v="178.68"/>
    <x v="1"/>
    <s v="Card"/>
    <n v="3.7"/>
    <n v="11"/>
    <n v="3"/>
    <n v="159.02520000000001"/>
    <x v="0"/>
    <x v="0"/>
    <s v="Returning"/>
  </r>
  <r>
    <n v="30"/>
    <n v="69"/>
    <s v="Male"/>
    <x v="2"/>
    <s v="Football"/>
    <n v="205.78"/>
    <x v="0"/>
    <s v="Card"/>
    <n v="2.7"/>
    <n v="22"/>
    <n v="6"/>
    <n v="160.50839999999999"/>
    <x v="2"/>
    <x v="0"/>
    <s v="Returning"/>
  </r>
  <r>
    <n v="31"/>
    <n v="43"/>
    <s v="Male"/>
    <x v="5"/>
    <s v="Smart Watch"/>
    <n v="1572.49"/>
    <x v="0"/>
    <s v="Card"/>
    <n v="3.5"/>
    <n v="14"/>
    <n v="7"/>
    <n v="1352.3414"/>
    <x v="1"/>
    <x v="0"/>
    <s v="Returning"/>
  </r>
  <r>
    <n v="32"/>
    <n v="33"/>
    <s v="Male"/>
    <x v="7"/>
    <s v="Formal Shoes"/>
    <n v="172.69"/>
    <x v="1"/>
    <s v="Card"/>
    <n v="4.5999999999999996"/>
    <n v="19"/>
    <n v="7"/>
    <n v="139.87890000000002"/>
    <x v="4"/>
    <x v="0"/>
    <s v="Returning"/>
  </r>
  <r>
    <n v="33"/>
    <n v="58"/>
    <s v="Female"/>
    <x v="6"/>
    <s v="Perfume"/>
    <n v="135.4"/>
    <x v="1"/>
    <s v="Card"/>
    <n v="3.7"/>
    <n v="9"/>
    <n v="2"/>
    <n v="123.21400000000001"/>
    <x v="0"/>
    <x v="0"/>
    <s v="Returning"/>
  </r>
  <r>
    <n v="34"/>
    <n v="26"/>
    <s v="Female"/>
    <x v="8"/>
    <s v="Dress"/>
    <n v="169.72"/>
    <x v="0"/>
    <s v="Card"/>
    <n v="3.8"/>
    <n v="14"/>
    <n v="2"/>
    <n v="145.95920000000001"/>
    <x v="4"/>
    <x v="0"/>
    <s v="Returning"/>
  </r>
  <r>
    <n v="35"/>
    <n v="67"/>
    <s v="Male"/>
    <x v="2"/>
    <s v="Football"/>
    <n v="238.13"/>
    <x v="2"/>
    <s v="Card"/>
    <n v="3.3"/>
    <n v="17"/>
    <n v="6"/>
    <n v="197.64789999999999"/>
    <x v="2"/>
    <x v="0"/>
    <s v="Returning"/>
  </r>
  <r>
    <n v="36"/>
    <n v="32"/>
    <s v="Female"/>
    <x v="8"/>
    <s v="Jeans"/>
    <n v="50.2"/>
    <x v="2"/>
    <s v="Cash on Delivery"/>
    <n v="2.4"/>
    <n v="12"/>
    <n v="6"/>
    <n v="44.176000000000002"/>
    <x v="4"/>
    <x v="0"/>
    <s v="Returning"/>
  </r>
  <r>
    <n v="37"/>
    <n v="25"/>
    <s v="Female"/>
    <x v="4"/>
    <s v="Rice Pack"/>
    <n v="29.2"/>
    <x v="3"/>
    <s v="Cash on Delivery"/>
    <n v="5"/>
    <n v="8"/>
    <n v="4"/>
    <n v="26.864000000000001"/>
    <x v="3"/>
    <x v="0"/>
    <s v="Returning"/>
  </r>
  <r>
    <n v="38"/>
    <n v="50"/>
    <s v="Male"/>
    <x v="1"/>
    <s v="Jacket"/>
    <n v="183.2"/>
    <x v="0"/>
    <s v="Card"/>
    <n v="3.9"/>
    <n v="8"/>
    <n v="4"/>
    <n v="168.54399999999998"/>
    <x v="0"/>
    <x v="0"/>
    <s v="Returning"/>
  </r>
  <r>
    <n v="39"/>
    <n v="47"/>
    <s v="Female"/>
    <x v="8"/>
    <s v="Jeans"/>
    <n v="129.22"/>
    <x v="2"/>
    <s v="Card"/>
    <n v="3.7"/>
    <n v="14"/>
    <n v="7"/>
    <n v="111.1292"/>
    <x v="0"/>
    <x v="0"/>
    <s v="Returning"/>
  </r>
  <r>
    <n v="40"/>
    <n v="66"/>
    <s v="Male"/>
    <x v="2"/>
    <s v="Yoga Mat"/>
    <n v="219.86"/>
    <x v="1"/>
    <s v="Card"/>
    <n v="4"/>
    <n v="2"/>
    <n v="1"/>
    <n v="215.46280000000002"/>
    <x v="2"/>
    <x v="0"/>
    <s v="Returning"/>
  </r>
  <r>
    <n v="41"/>
    <n v="20"/>
    <s v="Female"/>
    <x v="6"/>
    <s v="Perfume"/>
    <n v="97.24"/>
    <x v="1"/>
    <s v="Card"/>
    <n v="4.0999999999999996"/>
    <n v="19"/>
    <n v="7"/>
    <n v="78.764399999999995"/>
    <x v="3"/>
    <x v="0"/>
    <s v="Returning"/>
  </r>
  <r>
    <n v="42"/>
    <n v="22"/>
    <s v="Male"/>
    <x v="5"/>
    <s v="Laptop"/>
    <n v="2392.6999999999998"/>
    <x v="2"/>
    <s v="Card"/>
    <n v="5"/>
    <n v="6"/>
    <n v="3"/>
    <n v="2249.1379999999999"/>
    <x v="3"/>
    <x v="0"/>
    <s v="Returning"/>
  </r>
  <r>
    <n v="43"/>
    <n v="23"/>
    <s v="Female"/>
    <x v="7"/>
    <s v="Formal Shoes"/>
    <n v="115.21"/>
    <x v="3"/>
    <s v="Card"/>
    <n v="4.2"/>
    <n v="19"/>
    <n v="7"/>
    <n v="93.320099999999996"/>
    <x v="3"/>
    <x v="0"/>
    <s v="Returning"/>
  </r>
  <r>
    <n v="44"/>
    <n v="66"/>
    <s v="Male"/>
    <x v="5"/>
    <s v="Mobile Phone"/>
    <n v="2260.1999999999998"/>
    <x v="1"/>
    <s v="Card"/>
    <n v="4.5999999999999996"/>
    <n v="9"/>
    <n v="2"/>
    <n v="2056.7819999999997"/>
    <x v="2"/>
    <x v="0"/>
    <s v="Returning"/>
  </r>
  <r>
    <n v="45"/>
    <n v="53"/>
    <s v="Female"/>
    <x v="0"/>
    <s v="Sunglasses"/>
    <n v="164.67"/>
    <x v="0"/>
    <s v="Card"/>
    <n v="2.6"/>
    <n v="14"/>
    <n v="7"/>
    <n v="141.61619999999999"/>
    <x v="0"/>
    <x v="0"/>
    <s v="Returning"/>
  </r>
  <r>
    <n v="46"/>
    <n v="24"/>
    <s v="Female"/>
    <x v="8"/>
    <s v="Dress"/>
    <n v="65.55"/>
    <x v="0"/>
    <s v="Card"/>
    <n v="3.7"/>
    <n v="14"/>
    <n v="7"/>
    <n v="56.372999999999998"/>
    <x v="3"/>
    <x v="0"/>
    <s v="Returning"/>
  </r>
  <r>
    <n v="47"/>
    <n v="22"/>
    <s v="Male"/>
    <x v="1"/>
    <s v="Shirt"/>
    <n v="62.69"/>
    <x v="2"/>
    <s v="Card"/>
    <n v="3.6"/>
    <n v="4"/>
    <n v="2"/>
    <n v="60.182399999999994"/>
    <x v="3"/>
    <x v="0"/>
    <s v="Returning"/>
  </r>
  <r>
    <n v="48"/>
    <n v="31"/>
    <s v="Female"/>
    <x v="6"/>
    <s v="Makeup Set"/>
    <n v="62.91"/>
    <x v="0"/>
    <s v="Card"/>
    <n v="3.5"/>
    <n v="18"/>
    <n v="4"/>
    <n v="51.586199999999998"/>
    <x v="4"/>
    <x v="0"/>
    <s v="Returning"/>
  </r>
  <r>
    <n v="49"/>
    <n v="36"/>
    <s v="Female"/>
    <x v="7"/>
    <s v="Sneakers"/>
    <n v="165.43"/>
    <x v="3"/>
    <s v="Card"/>
    <n v="4.5999999999999996"/>
    <n v="24"/>
    <n v="7"/>
    <n v="125.72680000000001"/>
    <x v="1"/>
    <x v="0"/>
    <s v="Returning"/>
  </r>
  <r>
    <n v="50"/>
    <n v="42"/>
    <s v="Female"/>
    <x v="7"/>
    <s v="Sneakers"/>
    <n v="222.12"/>
    <x v="2"/>
    <s v="Card"/>
    <n v="3.2"/>
    <n v="18"/>
    <n v="4"/>
    <n v="182.13840000000002"/>
    <x v="1"/>
    <x v="0"/>
    <s v="Returning"/>
  </r>
  <r>
    <n v="51"/>
    <n v="36"/>
    <s v="Male"/>
    <x v="3"/>
    <s v="Lamp"/>
    <n v="270.44"/>
    <x v="2"/>
    <s v="Card"/>
    <n v="2.2999999999999998"/>
    <n v="12"/>
    <n v="6"/>
    <n v="237.9872"/>
    <x v="1"/>
    <x v="0"/>
    <s v="Returning"/>
  </r>
  <r>
    <n v="52"/>
    <n v="25"/>
    <s v="Female"/>
    <x v="8"/>
    <s v="Skirt"/>
    <n v="90.54"/>
    <x v="0"/>
    <s v="Cash on Delivery"/>
    <n v="4.5999999999999996"/>
    <n v="18"/>
    <n v="4"/>
    <n v="74.242800000000017"/>
    <x v="3"/>
    <x v="0"/>
    <s v="Returning"/>
  </r>
  <r>
    <n v="53"/>
    <n v="49"/>
    <s v="Male"/>
    <x v="3"/>
    <s v="Kitchen Set"/>
    <n v="45.03"/>
    <x v="3"/>
    <s v="Cash on Delivery"/>
    <n v="3.9"/>
    <n v="4"/>
    <n v="2"/>
    <n v="43.2288"/>
    <x v="0"/>
    <x v="0"/>
    <s v="Returning"/>
  </r>
  <r>
    <n v="54"/>
    <n v="25"/>
    <s v="Female"/>
    <x v="7"/>
    <s v="Formal Shoes"/>
    <n v="180.42"/>
    <x v="0"/>
    <s v="Card"/>
    <n v="3.9"/>
    <n v="22"/>
    <n v="6"/>
    <n v="140.7276"/>
    <x v="3"/>
    <x v="0"/>
    <s v="Returning"/>
  </r>
  <r>
    <n v="55"/>
    <n v="52"/>
    <s v="Female"/>
    <x v="0"/>
    <s v="Handbag"/>
    <n v="117.7"/>
    <x v="2"/>
    <s v="Card"/>
    <n v="3.1"/>
    <n v="8"/>
    <n v="4"/>
    <n v="108.28400000000001"/>
    <x v="0"/>
    <x v="0"/>
    <s v="Returning"/>
  </r>
  <r>
    <n v="56"/>
    <n v="42"/>
    <s v="Female"/>
    <x v="6"/>
    <s v="Makeup Set"/>
    <n v="31.42"/>
    <x v="3"/>
    <s v="Card"/>
    <n v="2"/>
    <n v="2"/>
    <n v="1"/>
    <n v="30.791600000000003"/>
    <x v="1"/>
    <x v="0"/>
    <s v="Returning"/>
  </r>
  <r>
    <n v="57"/>
    <n v="43"/>
    <s v="Female"/>
    <x v="8"/>
    <s v="Skirt"/>
    <n v="188.02"/>
    <x v="0"/>
    <s v="Card"/>
    <n v="4.2"/>
    <n v="17"/>
    <n v="6"/>
    <n v="156.0566"/>
    <x v="1"/>
    <x v="0"/>
    <s v="Returning"/>
  </r>
  <r>
    <n v="58"/>
    <n v="49"/>
    <s v="Male"/>
    <x v="4"/>
    <s v="Snacks"/>
    <n v="54.89"/>
    <x v="3"/>
    <s v="Card"/>
    <n v="4.4000000000000004"/>
    <n v="19"/>
    <n v="7"/>
    <n v="44.460900000000002"/>
    <x v="0"/>
    <x v="0"/>
    <s v="Returning"/>
  </r>
  <r>
    <n v="59"/>
    <n v="34"/>
    <s v="Male"/>
    <x v="5"/>
    <s v="Headphones"/>
    <n v="1459.73"/>
    <x v="1"/>
    <s v="Card"/>
    <n v="4"/>
    <n v="24"/>
    <n v="7"/>
    <n v="1109.3948"/>
    <x v="4"/>
    <x v="0"/>
    <s v="Returning"/>
  </r>
  <r>
    <n v="60"/>
    <n v="58"/>
    <s v="Male"/>
    <x v="1"/>
    <s v="Shirt"/>
    <n v="82.99"/>
    <x v="1"/>
    <s v="Cash on Delivery"/>
    <n v="4.4000000000000004"/>
    <n v="9"/>
    <n v="2"/>
    <n v="75.520899999999997"/>
    <x v="0"/>
    <x v="0"/>
    <s v="Returning"/>
  </r>
  <r>
    <n v="61"/>
    <n v="24"/>
    <s v="Male"/>
    <x v="1"/>
    <s v="Jeans"/>
    <n v="121.2"/>
    <x v="3"/>
    <s v="Card"/>
    <n v="4.3"/>
    <n v="12"/>
    <n v="6"/>
    <n v="106.65600000000001"/>
    <x v="3"/>
    <x v="0"/>
    <s v="Returning"/>
  </r>
  <r>
    <n v="62"/>
    <n v="55"/>
    <s v="Female"/>
    <x v="0"/>
    <s v="Handbag"/>
    <n v="152.29"/>
    <x v="2"/>
    <s v="Card"/>
    <n v="4.7"/>
    <n v="15"/>
    <n v="5"/>
    <n v="129.44649999999999"/>
    <x v="0"/>
    <x v="0"/>
    <s v="Returning"/>
  </r>
  <r>
    <n v="63"/>
    <n v="59"/>
    <s v="Female"/>
    <x v="4"/>
    <s v="Snacks"/>
    <n v="59.46"/>
    <x v="2"/>
    <s v="Cash on Delivery"/>
    <n v="4"/>
    <n v="18"/>
    <n v="4"/>
    <n v="48.757200000000005"/>
    <x v="0"/>
    <x v="0"/>
    <s v="Returning"/>
  </r>
  <r>
    <n v="64"/>
    <n v="70"/>
    <s v="Male"/>
    <x v="4"/>
    <s v="Cooking Oil"/>
    <n v="73.3"/>
    <x v="2"/>
    <s v="Card"/>
    <n v="2.9"/>
    <n v="9"/>
    <n v="2"/>
    <n v="66.703000000000003"/>
    <x v="2"/>
    <x v="0"/>
    <s v="Returning"/>
  </r>
  <r>
    <n v="65"/>
    <n v="20"/>
    <s v="Male"/>
    <x v="7"/>
    <s v="Sandals"/>
    <n v="123.79"/>
    <x v="1"/>
    <s v="Card"/>
    <n v="3.5"/>
    <n v="6"/>
    <n v="3"/>
    <n v="116.3626"/>
    <x v="3"/>
    <x v="0"/>
    <s v="Returning"/>
  </r>
  <r>
    <n v="66"/>
    <n v="30"/>
    <s v="Female"/>
    <x v="8"/>
    <s v="Skirt"/>
    <n v="155.38"/>
    <x v="3"/>
    <s v="Card"/>
    <n v="3"/>
    <n v="6"/>
    <n v="3"/>
    <n v="146.05719999999999"/>
    <x v="4"/>
    <x v="0"/>
    <s v="Returning"/>
  </r>
  <r>
    <n v="67"/>
    <n v="25"/>
    <s v="Male"/>
    <x v="5"/>
    <s v="Laptop"/>
    <n v="1951.47"/>
    <x v="0"/>
    <s v="Card"/>
    <n v="3.8"/>
    <n v="14"/>
    <n v="2"/>
    <n v="1678.2642000000001"/>
    <x v="3"/>
    <x v="0"/>
    <s v="Returning"/>
  </r>
  <r>
    <n v="68"/>
    <n v="41"/>
    <s v="Female"/>
    <x v="7"/>
    <s v="Sneakers"/>
    <n v="102.92"/>
    <x v="1"/>
    <s v="Card"/>
    <n v="4"/>
    <n v="12"/>
    <n v="6"/>
    <n v="90.569600000000008"/>
    <x v="1"/>
    <x v="0"/>
    <s v="Returning"/>
  </r>
  <r>
    <n v="69"/>
    <n v="35"/>
    <s v="Female"/>
    <x v="6"/>
    <s v="Makeup Set"/>
    <n v="112.83"/>
    <x v="1"/>
    <s v="Card"/>
    <n v="3.8"/>
    <n v="10"/>
    <n v="5"/>
    <n v="101.547"/>
    <x v="4"/>
    <x v="0"/>
    <s v="Returning"/>
  </r>
  <r>
    <n v="70"/>
    <n v="29"/>
    <s v="Male"/>
    <x v="2"/>
    <s v="Football"/>
    <n v="30.71"/>
    <x v="0"/>
    <s v="Card"/>
    <n v="3.7"/>
    <n v="16"/>
    <n v="3"/>
    <n v="25.796399999999998"/>
    <x v="4"/>
    <x v="0"/>
    <s v="Returning"/>
  </r>
  <r>
    <n v="71"/>
    <n v="42"/>
    <s v="Male"/>
    <x v="2"/>
    <s v="Yoga Mat"/>
    <n v="101.34"/>
    <x v="1"/>
    <s v="Card"/>
    <n v="3"/>
    <n v="32"/>
    <n v="11"/>
    <n v="68.911199999999994"/>
    <x v="1"/>
    <x v="0"/>
    <s v="Returning"/>
  </r>
  <r>
    <n v="72"/>
    <n v="20"/>
    <s v="Male"/>
    <x v="7"/>
    <s v="Formal Shoes"/>
    <n v="213.27"/>
    <x v="2"/>
    <s v="Card"/>
    <n v="5"/>
    <n v="11"/>
    <n v="3"/>
    <n v="189.81030000000001"/>
    <x v="3"/>
    <x v="0"/>
    <s v="Returning"/>
  </r>
  <r>
    <n v="73"/>
    <n v="53"/>
    <s v="Male"/>
    <x v="2"/>
    <s v="Yoga Mat"/>
    <n v="196.81"/>
    <x v="2"/>
    <s v="Card"/>
    <n v="4.4000000000000004"/>
    <n v="17"/>
    <n v="6"/>
    <n v="163.35229999999999"/>
    <x v="0"/>
    <x v="0"/>
    <s v="Returning"/>
  </r>
  <r>
    <n v="74"/>
    <n v="58"/>
    <s v="Male"/>
    <x v="2"/>
    <s v="Yoga Mat"/>
    <n v="246.49"/>
    <x v="0"/>
    <s v="Card"/>
    <n v="4.5"/>
    <n v="11"/>
    <n v="3"/>
    <n v="219.37610000000001"/>
    <x v="0"/>
    <x v="0"/>
    <s v="Returning"/>
  </r>
  <r>
    <n v="75"/>
    <n v="40"/>
    <s v="Female"/>
    <x v="8"/>
    <s v="Top"/>
    <n v="124.21"/>
    <x v="3"/>
    <s v="Card"/>
    <n v="3"/>
    <n v="6"/>
    <n v="3"/>
    <n v="116.75739999999999"/>
    <x v="1"/>
    <x v="0"/>
    <s v="Returning"/>
  </r>
  <r>
    <n v="76"/>
    <n v="59"/>
    <s v="Female"/>
    <x v="6"/>
    <s v="Skincare Kit"/>
    <n v="42.8"/>
    <x v="2"/>
    <s v="Card"/>
    <n v="3.1"/>
    <n v="13"/>
    <n v="4"/>
    <n v="37.235999999999997"/>
    <x v="0"/>
    <x v="0"/>
    <s v="Returning"/>
  </r>
  <r>
    <n v="77"/>
    <n v="70"/>
    <s v="Male"/>
    <x v="1"/>
    <s v="Shirt"/>
    <n v="96.18"/>
    <x v="0"/>
    <s v="Card"/>
    <n v="2.7"/>
    <n v="20"/>
    <n v="5"/>
    <n v="76.944000000000017"/>
    <x v="2"/>
    <x v="0"/>
    <s v="Returning"/>
  </r>
  <r>
    <n v="78"/>
    <n v="38"/>
    <s v="Male"/>
    <x v="5"/>
    <s v="Mobile Phone"/>
    <n v="2888.09"/>
    <x v="2"/>
    <s v="Card"/>
    <n v="3.6"/>
    <n v="8"/>
    <n v="4"/>
    <n v="2657.0428000000002"/>
    <x v="1"/>
    <x v="0"/>
    <s v="Returning"/>
  </r>
  <r>
    <n v="79"/>
    <n v="62"/>
    <s v="Female"/>
    <x v="0"/>
    <s v="Sunglasses"/>
    <n v="151.06"/>
    <x v="0"/>
    <s v="Card"/>
    <n v="4.0999999999999996"/>
    <n v="20"/>
    <n v="5"/>
    <n v="120.84800000000001"/>
    <x v="2"/>
    <x v="0"/>
    <s v="Returning"/>
  </r>
  <r>
    <n v="80"/>
    <n v="35"/>
    <s v="Female"/>
    <x v="0"/>
    <s v="Handbag"/>
    <n v="141.44999999999999"/>
    <x v="0"/>
    <s v="Card"/>
    <n v="5"/>
    <n v="19"/>
    <n v="7"/>
    <n v="114.5745"/>
    <x v="4"/>
    <x v="0"/>
    <s v="Returning"/>
  </r>
  <r>
    <n v="81"/>
    <n v="26"/>
    <s v="Male"/>
    <x v="4"/>
    <s v="Cooking Oil"/>
    <n v="73.66"/>
    <x v="1"/>
    <s v="Card"/>
    <n v="4.7"/>
    <n v="11"/>
    <n v="3"/>
    <n v="65.557400000000001"/>
    <x v="4"/>
    <x v="0"/>
    <s v="Returning"/>
  </r>
  <r>
    <n v="82"/>
    <n v="58"/>
    <s v="Male"/>
    <x v="1"/>
    <s v="Jacket"/>
    <n v="36.29"/>
    <x v="0"/>
    <s v="Card"/>
    <n v="3.4"/>
    <n v="6"/>
    <n v="3"/>
    <n v="34.1126"/>
    <x v="0"/>
    <x v="0"/>
    <s v="Returning"/>
  </r>
  <r>
    <n v="83"/>
    <n v="45"/>
    <s v="Male"/>
    <x v="7"/>
    <s v="Sandals"/>
    <n v="208.84"/>
    <x v="3"/>
    <s v="Card"/>
    <n v="4.4000000000000004"/>
    <n v="18"/>
    <n v="9"/>
    <n v="171.24880000000002"/>
    <x v="1"/>
    <x v="0"/>
    <s v="Returning"/>
  </r>
  <r>
    <n v="84"/>
    <n v="58"/>
    <s v="Female"/>
    <x v="8"/>
    <s v="Dress"/>
    <n v="98.33"/>
    <x v="1"/>
    <s v="Card"/>
    <n v="4.0999999999999996"/>
    <n v="26"/>
    <n v="8"/>
    <n v="72.764200000000002"/>
    <x v="0"/>
    <x v="0"/>
    <s v="Returning"/>
  </r>
  <r>
    <n v="85"/>
    <n v="49"/>
    <s v="Female"/>
    <x v="8"/>
    <s v="Dress"/>
    <n v="37.159999999999997"/>
    <x v="3"/>
    <s v="Cash on Delivery"/>
    <n v="3.7"/>
    <n v="16"/>
    <n v="3"/>
    <n v="31.214399999999998"/>
    <x v="0"/>
    <x v="0"/>
    <s v="Returning"/>
  </r>
  <r>
    <n v="86"/>
    <n v="65"/>
    <s v="Female"/>
    <x v="6"/>
    <s v="Makeup Set"/>
    <n v="41.71"/>
    <x v="2"/>
    <s v="Card"/>
    <n v="3.3"/>
    <n v="19"/>
    <n v="7"/>
    <n v="33.7851"/>
    <x v="2"/>
    <x v="0"/>
    <s v="Returning"/>
  </r>
  <r>
    <n v="87"/>
    <n v="22"/>
    <s v="Female"/>
    <x v="6"/>
    <s v="Makeup Set"/>
    <n v="145.97999999999999"/>
    <x v="3"/>
    <s v="Card"/>
    <n v="3.5"/>
    <n v="24"/>
    <n v="7"/>
    <n v="110.94479999999999"/>
    <x v="3"/>
    <x v="0"/>
    <s v="Returning"/>
  </r>
  <r>
    <n v="88"/>
    <n v="44"/>
    <s v="Male"/>
    <x v="5"/>
    <s v="Mobile Phone"/>
    <n v="1643.58"/>
    <x v="0"/>
    <s v="Card"/>
    <n v="3.2"/>
    <n v="11"/>
    <n v="3"/>
    <n v="1462.7862"/>
    <x v="1"/>
    <x v="0"/>
    <s v="Returning"/>
  </r>
  <r>
    <n v="89"/>
    <n v="61"/>
    <s v="Male"/>
    <x v="5"/>
    <s v="Laptop"/>
    <n v="2338.0300000000002"/>
    <x v="1"/>
    <s v="Card"/>
    <n v="3.8"/>
    <n v="14"/>
    <n v="2"/>
    <n v="2010.7058000000002"/>
    <x v="2"/>
    <x v="0"/>
    <s v="Returning"/>
  </r>
  <r>
    <n v="90"/>
    <n v="56"/>
    <s v="Female"/>
    <x v="4"/>
    <s v="Rice Pack"/>
    <n v="68.84"/>
    <x v="3"/>
    <s v="Cash on Delivery"/>
    <n v="5"/>
    <n v="19"/>
    <n v="7"/>
    <n v="55.760400000000004"/>
    <x v="0"/>
    <x v="0"/>
    <s v="Returning"/>
  </r>
  <r>
    <n v="91"/>
    <n v="35"/>
    <s v="Female"/>
    <x v="0"/>
    <s v="Sunglasses"/>
    <n v="45.66"/>
    <x v="1"/>
    <s v="Cash on Delivery"/>
    <n v="4.5999999999999996"/>
    <n v="18"/>
    <n v="4"/>
    <n v="37.441200000000002"/>
    <x v="4"/>
    <x v="0"/>
    <s v="Returning"/>
  </r>
  <r>
    <n v="92"/>
    <n v="51"/>
    <s v="Male"/>
    <x v="7"/>
    <s v="Sandals"/>
    <n v="40.24"/>
    <x v="2"/>
    <s v="Card"/>
    <n v="3.8"/>
    <n v="18"/>
    <n v="4"/>
    <n v="32.996800000000007"/>
    <x v="0"/>
    <x v="0"/>
    <s v="Returning"/>
  </r>
  <r>
    <n v="93"/>
    <n v="36"/>
    <s v="Female"/>
    <x v="7"/>
    <s v="Sneakers"/>
    <n v="203.77"/>
    <x v="1"/>
    <s v="Card"/>
    <n v="4.4000000000000004"/>
    <n v="19"/>
    <n v="7"/>
    <n v="165.05370000000002"/>
    <x v="1"/>
    <x v="0"/>
    <s v="Returning"/>
  </r>
  <r>
    <n v="94"/>
    <n v="20"/>
    <s v="Female"/>
    <x v="0"/>
    <s v="Wallet"/>
    <n v="159.44999999999999"/>
    <x v="2"/>
    <s v="Card"/>
    <n v="4.5999999999999996"/>
    <n v="20"/>
    <n v="5"/>
    <n v="127.56"/>
    <x v="3"/>
    <x v="0"/>
    <s v="Returning"/>
  </r>
  <r>
    <n v="95"/>
    <n v="25"/>
    <s v="Male"/>
    <x v="7"/>
    <s v="Sandals"/>
    <n v="183.49"/>
    <x v="0"/>
    <s v="Card"/>
    <n v="3.5"/>
    <n v="20"/>
    <n v="5"/>
    <n v="146.792"/>
    <x v="3"/>
    <x v="0"/>
    <s v="Returning"/>
  </r>
  <r>
    <n v="96"/>
    <n v="21"/>
    <s v="Male"/>
    <x v="1"/>
    <s v="Jacket"/>
    <n v="76.45"/>
    <x v="3"/>
    <s v="Card"/>
    <n v="4.4000000000000004"/>
    <n v="12"/>
    <n v="6"/>
    <n v="67.275999999999996"/>
    <x v="3"/>
    <x v="0"/>
    <s v="Returning"/>
  </r>
  <r>
    <n v="97"/>
    <n v="20"/>
    <s v="Female"/>
    <x v="0"/>
    <s v="Wallet"/>
    <n v="54.1"/>
    <x v="3"/>
    <s v="Card"/>
    <n v="4.0999999999999996"/>
    <n v="16"/>
    <n v="3"/>
    <n v="45.444000000000003"/>
    <x v="3"/>
    <x v="0"/>
    <s v="Returning"/>
  </r>
  <r>
    <n v="98"/>
    <n v="65"/>
    <s v="Female"/>
    <x v="0"/>
    <s v="Handbag"/>
    <n v="41"/>
    <x v="0"/>
    <s v="Cash on Delivery"/>
    <n v="4"/>
    <n v="10"/>
    <n v="5"/>
    <n v="36.9"/>
    <x v="2"/>
    <x v="0"/>
    <s v="Returning"/>
  </r>
  <r>
    <n v="99"/>
    <n v="39"/>
    <s v="Female"/>
    <x v="7"/>
    <s v="Sneakers"/>
    <n v="73.77"/>
    <x v="1"/>
    <s v="Card"/>
    <n v="3.5"/>
    <n v="17"/>
    <n v="6"/>
    <n v="61.229099999999995"/>
    <x v="1"/>
    <x v="0"/>
    <s v="Returning"/>
  </r>
  <r>
    <n v="100"/>
    <n v="51"/>
    <s v="Male"/>
    <x v="5"/>
    <s v="Smart Watch"/>
    <n v="2449.63"/>
    <x v="0"/>
    <s v="Card"/>
    <n v="1.9"/>
    <n v="4"/>
    <n v="2"/>
    <n v="2351.6448"/>
    <x v="0"/>
    <x v="0"/>
    <s v="Returning"/>
  </r>
  <r>
    <n v="101"/>
    <n v="65"/>
    <s v="Female"/>
    <x v="3"/>
    <s v="Curtains"/>
    <n v="86.79"/>
    <x v="1"/>
    <s v="Cash on Delivery"/>
    <n v="3.6"/>
    <n v="12"/>
    <n v="6"/>
    <n v="76.375200000000007"/>
    <x v="2"/>
    <x v="0"/>
    <s v="Returning"/>
  </r>
  <r>
    <n v="102"/>
    <n v="58"/>
    <s v="Female"/>
    <x v="8"/>
    <s v="Skirt"/>
    <n v="64.03"/>
    <x v="3"/>
    <s v="Card"/>
    <n v="3.2"/>
    <n v="13"/>
    <n v="4"/>
    <n v="55.706099999999999"/>
    <x v="0"/>
    <x v="0"/>
    <s v="Returning"/>
  </r>
  <r>
    <n v="103"/>
    <n v="50"/>
    <s v="Female"/>
    <x v="7"/>
    <s v="Formal Shoes"/>
    <n v="171.31"/>
    <x v="0"/>
    <s v="Card"/>
    <n v="5"/>
    <n v="21"/>
    <n v="8"/>
    <n v="135.3349"/>
    <x v="0"/>
    <x v="0"/>
    <s v="Returning"/>
  </r>
  <r>
    <n v="104"/>
    <n v="42"/>
    <s v="Female"/>
    <x v="4"/>
    <s v="Snacks"/>
    <n v="21.44"/>
    <x v="0"/>
    <s v="Card"/>
    <n v="3.6"/>
    <n v="19"/>
    <n v="7"/>
    <n v="17.366400000000002"/>
    <x v="1"/>
    <x v="0"/>
    <s v="Returning"/>
  </r>
  <r>
    <n v="105"/>
    <n v="60"/>
    <s v="Male"/>
    <x v="1"/>
    <s v="Jacket"/>
    <n v="145.63999999999999"/>
    <x v="2"/>
    <s v="Card"/>
    <n v="3.3"/>
    <n v="2"/>
    <n v="1"/>
    <n v="142.72719999999998"/>
    <x v="0"/>
    <x v="0"/>
    <s v="Returning"/>
  </r>
  <r>
    <n v="106"/>
    <n v="50"/>
    <s v="Female"/>
    <x v="7"/>
    <s v="Sneakers"/>
    <n v="112.65"/>
    <x v="1"/>
    <s v="Card"/>
    <n v="3.9"/>
    <n v="10"/>
    <n v="5"/>
    <n v="101.38500000000001"/>
    <x v="0"/>
    <x v="0"/>
    <s v="Returning"/>
  </r>
  <r>
    <n v="107"/>
    <n v="55"/>
    <s v="Female"/>
    <x v="7"/>
    <s v="Formal Shoes"/>
    <n v="177.55"/>
    <x v="3"/>
    <s v="Card"/>
    <n v="4.2"/>
    <n v="17"/>
    <n v="6"/>
    <n v="147.3665"/>
    <x v="0"/>
    <x v="0"/>
    <s v="Returning"/>
  </r>
  <r>
    <n v="108"/>
    <n v="61"/>
    <s v="Female"/>
    <x v="8"/>
    <s v="Skirt"/>
    <n v="100.22"/>
    <x v="3"/>
    <s v="Card"/>
    <n v="3.8"/>
    <n v="4"/>
    <n v="2"/>
    <n v="96.211199999999991"/>
    <x v="2"/>
    <x v="0"/>
    <s v="Returning"/>
  </r>
  <r>
    <n v="109"/>
    <n v="33"/>
    <s v="Female"/>
    <x v="7"/>
    <s v="Formal Shoes"/>
    <n v="60"/>
    <x v="3"/>
    <s v="Card"/>
    <n v="3.3"/>
    <n v="8"/>
    <n v="4"/>
    <n v="55.2"/>
    <x v="4"/>
    <x v="0"/>
    <s v="Returning"/>
  </r>
  <r>
    <n v="110"/>
    <n v="66"/>
    <s v="Male"/>
    <x v="7"/>
    <s v="Formal Shoes"/>
    <n v="75.650000000000006"/>
    <x v="2"/>
    <s v="Card"/>
    <n v="4"/>
    <n v="14"/>
    <n v="7"/>
    <n v="65.058999999999997"/>
    <x v="2"/>
    <x v="0"/>
    <s v="Returning"/>
  </r>
  <r>
    <n v="111"/>
    <n v="66"/>
    <s v="Male"/>
    <x v="5"/>
    <s v="Laptop"/>
    <n v="2263.46"/>
    <x v="0"/>
    <s v="Card"/>
    <n v="3.8"/>
    <n v="13"/>
    <n v="4"/>
    <n v="1969.2102"/>
    <x v="2"/>
    <x v="0"/>
    <s v="Returning"/>
  </r>
  <r>
    <n v="112"/>
    <n v="45"/>
    <s v="Male"/>
    <x v="7"/>
    <s v="Formal Shoes"/>
    <n v="77.8"/>
    <x v="2"/>
    <s v="Cash on Delivery"/>
    <n v="3.2"/>
    <n v="9"/>
    <n v="2"/>
    <n v="70.798000000000002"/>
    <x v="1"/>
    <x v="0"/>
    <s v="Returning"/>
  </r>
  <r>
    <n v="113"/>
    <n v="69"/>
    <s v="Female"/>
    <x v="8"/>
    <s v="Top"/>
    <n v="84.93"/>
    <x v="0"/>
    <s v="Cash on Delivery"/>
    <n v="4.5999999999999996"/>
    <n v="17"/>
    <n v="6"/>
    <n v="70.491900000000001"/>
    <x v="2"/>
    <x v="0"/>
    <s v="Returning"/>
  </r>
  <r>
    <n v="114"/>
    <n v="27"/>
    <s v="Female"/>
    <x v="2"/>
    <s v="Football"/>
    <n v="124.84"/>
    <x v="1"/>
    <s v="Card"/>
    <n v="3.2"/>
    <n v="20"/>
    <n v="10"/>
    <n v="99.872000000000014"/>
    <x v="4"/>
    <x v="0"/>
    <s v="Returning"/>
  </r>
  <r>
    <n v="115"/>
    <n v="23"/>
    <s v="Male"/>
    <x v="7"/>
    <s v="Formal Shoes"/>
    <n v="122.71"/>
    <x v="3"/>
    <s v="Card"/>
    <n v="3.4"/>
    <n v="8"/>
    <n v="4"/>
    <n v="112.89319999999999"/>
    <x v="3"/>
    <x v="0"/>
    <s v="Returning"/>
  </r>
  <r>
    <n v="116"/>
    <n v="60"/>
    <s v="Male"/>
    <x v="5"/>
    <s v="Mobile Phone"/>
    <n v="1317.58"/>
    <x v="2"/>
    <s v="Card"/>
    <n v="4.2"/>
    <n v="26"/>
    <n v="8"/>
    <n v="975.00919999999996"/>
    <x v="0"/>
    <x v="0"/>
    <s v="Returning"/>
  </r>
  <r>
    <n v="117"/>
    <n v="31"/>
    <s v="Female"/>
    <x v="6"/>
    <s v="Perfume"/>
    <n v="70.510000000000005"/>
    <x v="1"/>
    <s v="Cash on Delivery"/>
    <n v="4.2"/>
    <n v="18"/>
    <n v="4"/>
    <n v="57.818200000000012"/>
    <x v="4"/>
    <x v="0"/>
    <s v="Returning"/>
  </r>
  <r>
    <n v="118"/>
    <n v="28"/>
    <s v="Male"/>
    <x v="2"/>
    <s v="Yoga Mat"/>
    <n v="132.82"/>
    <x v="0"/>
    <s v="Card"/>
    <n v="2.9"/>
    <n v="9"/>
    <n v="2"/>
    <n v="120.86619999999999"/>
    <x v="4"/>
    <x v="0"/>
    <s v="Returning"/>
  </r>
  <r>
    <n v="119"/>
    <n v="56"/>
    <s v="Male"/>
    <x v="7"/>
    <s v="Sandals"/>
    <n v="200.63"/>
    <x v="3"/>
    <s v="Card"/>
    <n v="4"/>
    <n v="18"/>
    <n v="4"/>
    <n v="164.51660000000001"/>
    <x v="0"/>
    <x v="0"/>
    <s v="Returning"/>
  </r>
  <r>
    <n v="120"/>
    <n v="34"/>
    <s v="Female"/>
    <x v="8"/>
    <s v="Skirt"/>
    <n v="47.24"/>
    <x v="1"/>
    <s v="Cash on Delivery"/>
    <n v="4.0999999999999996"/>
    <n v="15"/>
    <n v="5"/>
    <n v="40.154000000000003"/>
    <x v="4"/>
    <x v="0"/>
    <s v="Returning"/>
  </r>
  <r>
    <n v="121"/>
    <n v="37"/>
    <s v="Female"/>
    <x v="7"/>
    <s v="Formal Shoes"/>
    <n v="65.599999999999994"/>
    <x v="2"/>
    <s v="Cash on Delivery"/>
    <n v="3.2"/>
    <n v="15"/>
    <n v="5"/>
    <n v="55.759999999999991"/>
    <x v="1"/>
    <x v="0"/>
    <s v="Returning"/>
  </r>
  <r>
    <n v="122"/>
    <n v="63"/>
    <s v="Female"/>
    <x v="0"/>
    <s v="Sunglasses"/>
    <n v="20.41"/>
    <x v="0"/>
    <s v="Cash on Delivery"/>
    <n v="3.7"/>
    <n v="17"/>
    <n v="6"/>
    <n v="16.940300000000001"/>
    <x v="2"/>
    <x v="0"/>
    <s v="Returning"/>
  </r>
  <r>
    <n v="123"/>
    <n v="35"/>
    <s v="Male"/>
    <x v="5"/>
    <s v="Smart Watch"/>
    <n v="1187.02"/>
    <x v="0"/>
    <s v="Card"/>
    <n v="3.5"/>
    <n v="15"/>
    <n v="5"/>
    <n v="1008.967"/>
    <x v="4"/>
    <x v="0"/>
    <s v="Returning"/>
  </r>
  <r>
    <n v="124"/>
    <n v="53"/>
    <s v="Male"/>
    <x v="5"/>
    <s v="Mobile Phone"/>
    <n v="559.1"/>
    <x v="0"/>
    <s v="Card"/>
    <n v="3.4"/>
    <n v="17"/>
    <n v="6"/>
    <n v="464.053"/>
    <x v="0"/>
    <x v="0"/>
    <s v="Returning"/>
  </r>
  <r>
    <n v="125"/>
    <n v="54"/>
    <s v="Male"/>
    <x v="7"/>
    <s v="Formal Shoes"/>
    <n v="129.91999999999999"/>
    <x v="2"/>
    <s v="Card"/>
    <n v="4.2"/>
    <n v="13"/>
    <n v="4"/>
    <n v="113.03039999999999"/>
    <x v="0"/>
    <x v="0"/>
    <s v="Returning"/>
  </r>
  <r>
    <n v="126"/>
    <n v="65"/>
    <s v="Female"/>
    <x v="4"/>
    <s v="Beverages"/>
    <n v="19.39"/>
    <x v="1"/>
    <s v="Cash on Delivery"/>
    <n v="3.4"/>
    <n v="6"/>
    <n v="3"/>
    <n v="18.226600000000001"/>
    <x v="2"/>
    <x v="0"/>
    <s v="Returning"/>
  </r>
  <r>
    <n v="127"/>
    <n v="24"/>
    <s v="Female"/>
    <x v="6"/>
    <s v="Makeup Set"/>
    <n v="97.07"/>
    <x v="0"/>
    <s v="Cash on Delivery"/>
    <n v="2.4"/>
    <n v="13"/>
    <n v="4"/>
    <n v="84.45089999999999"/>
    <x v="3"/>
    <x v="0"/>
    <s v="Returning"/>
  </r>
  <r>
    <n v="128"/>
    <n v="55"/>
    <s v="Male"/>
    <x v="2"/>
    <s v="Dumbbells"/>
    <n v="70.209999999999994"/>
    <x v="1"/>
    <s v="Cash on Delivery"/>
    <n v="3.4"/>
    <n v="18"/>
    <n v="4"/>
    <n v="57.572200000000002"/>
    <x v="0"/>
    <x v="0"/>
    <s v="Returning"/>
  </r>
  <r>
    <n v="129"/>
    <n v="64"/>
    <s v="Male"/>
    <x v="2"/>
    <s v="Yoga Mat"/>
    <n v="248.31"/>
    <x v="2"/>
    <s v="Card"/>
    <n v="3.7"/>
    <n v="19"/>
    <n v="7"/>
    <n v="201.1311"/>
    <x v="2"/>
    <x v="0"/>
    <s v="Returning"/>
  </r>
  <r>
    <n v="130"/>
    <n v="21"/>
    <s v="Male"/>
    <x v="2"/>
    <s v="Football"/>
    <n v="149.61000000000001"/>
    <x v="0"/>
    <s v="Card"/>
    <n v="3.6"/>
    <n v="21"/>
    <n v="8"/>
    <n v="118.19190000000002"/>
    <x v="3"/>
    <x v="0"/>
    <s v="Returning"/>
  </r>
  <r>
    <n v="131"/>
    <n v="66"/>
    <s v="Male"/>
    <x v="3"/>
    <s v="Lamp"/>
    <n v="132.77000000000001"/>
    <x v="1"/>
    <s v="Card"/>
    <n v="3.5"/>
    <n v="17"/>
    <n v="6"/>
    <n v="110.1991"/>
    <x v="2"/>
    <x v="0"/>
    <s v="Returning"/>
  </r>
  <r>
    <n v="132"/>
    <n v="39"/>
    <s v="Female"/>
    <x v="6"/>
    <s v="Makeup Set"/>
    <n v="37.229999999999997"/>
    <x v="2"/>
    <s v="Card"/>
    <n v="3.4"/>
    <n v="14"/>
    <n v="7"/>
    <n v="32.017799999999994"/>
    <x v="1"/>
    <x v="0"/>
    <s v="Returning"/>
  </r>
  <r>
    <n v="133"/>
    <n v="53"/>
    <s v="Female"/>
    <x v="7"/>
    <s v="Sneakers"/>
    <n v="88.84"/>
    <x v="3"/>
    <s v="Cash on Delivery"/>
    <n v="1.8"/>
    <n v="16"/>
    <n v="3"/>
    <n v="74.625600000000006"/>
    <x v="0"/>
    <x v="0"/>
    <s v="Returning"/>
  </r>
  <r>
    <n v="134"/>
    <n v="25"/>
    <s v="Female"/>
    <x v="8"/>
    <s v="Top"/>
    <n v="140.53"/>
    <x v="1"/>
    <s v="Card"/>
    <n v="3.9"/>
    <n v="11"/>
    <n v="3"/>
    <n v="125.07170000000001"/>
    <x v="3"/>
    <x v="0"/>
    <s v="Returning"/>
  </r>
  <r>
    <n v="135"/>
    <n v="30"/>
    <s v="Female"/>
    <x v="2"/>
    <s v="Football"/>
    <n v="121.83"/>
    <x v="0"/>
    <s v="Card"/>
    <n v="3.5"/>
    <n v="16"/>
    <n v="3"/>
    <n v="102.3372"/>
    <x v="4"/>
    <x v="0"/>
    <s v="Returning"/>
  </r>
  <r>
    <n v="136"/>
    <n v="23"/>
    <s v="Male"/>
    <x v="5"/>
    <s v="Headphones"/>
    <n v="1052.01"/>
    <x v="0"/>
    <s v="Card"/>
    <n v="4.0999999999999996"/>
    <n v="24"/>
    <n v="7"/>
    <n v="799.52760000000001"/>
    <x v="3"/>
    <x v="0"/>
    <s v="Returning"/>
  </r>
  <r>
    <n v="137"/>
    <n v="41"/>
    <s v="Female"/>
    <x v="4"/>
    <s v="Cooking Oil"/>
    <n v="77.290000000000006"/>
    <x v="2"/>
    <s v="Card"/>
    <n v="3.9"/>
    <n v="18"/>
    <n v="4"/>
    <n v="63.377800000000008"/>
    <x v="1"/>
    <x v="0"/>
    <s v="Returning"/>
  </r>
  <r>
    <n v="138"/>
    <n v="40"/>
    <s v="Female"/>
    <x v="6"/>
    <s v="Skincare Kit"/>
    <n v="124.2"/>
    <x v="1"/>
    <s v="Card"/>
    <n v="3.1"/>
    <n v="17"/>
    <n v="6"/>
    <n v="103.086"/>
    <x v="1"/>
    <x v="0"/>
    <s v="Returning"/>
  </r>
  <r>
    <n v="139"/>
    <n v="23"/>
    <s v="Female"/>
    <x v="7"/>
    <s v="Formal Shoes"/>
    <n v="139.96"/>
    <x v="0"/>
    <s v="Card"/>
    <n v="4.0999999999999996"/>
    <n v="18"/>
    <n v="9"/>
    <n v="114.76720000000002"/>
    <x v="3"/>
    <x v="0"/>
    <s v="Returning"/>
  </r>
  <r>
    <n v="140"/>
    <n v="59"/>
    <s v="Male"/>
    <x v="7"/>
    <s v="Formal Shoes"/>
    <n v="121.13"/>
    <x v="3"/>
    <s v="Card"/>
    <n v="3.6"/>
    <n v="10"/>
    <n v="5"/>
    <n v="109.017"/>
    <x v="0"/>
    <x v="0"/>
    <s v="Returning"/>
  </r>
  <r>
    <n v="141"/>
    <n v="56"/>
    <s v="Female"/>
    <x v="4"/>
    <s v="Snacks"/>
    <n v="58.72"/>
    <x v="0"/>
    <s v="Card"/>
    <n v="2.6"/>
    <n v="2"/>
    <n v="1"/>
    <n v="57.5456"/>
    <x v="0"/>
    <x v="0"/>
    <s v="Returning"/>
  </r>
  <r>
    <n v="142"/>
    <n v="34"/>
    <s v="Male"/>
    <x v="2"/>
    <s v="Dumbbells"/>
    <n v="64.17"/>
    <x v="0"/>
    <s v="Card"/>
    <n v="3"/>
    <n v="8"/>
    <n v="4"/>
    <n v="59.036400000000008"/>
    <x v="4"/>
    <x v="0"/>
    <s v="Returning"/>
  </r>
  <r>
    <n v="143"/>
    <n v="59"/>
    <s v="Male"/>
    <x v="7"/>
    <s v="Formal Shoes"/>
    <n v="42.19"/>
    <x v="1"/>
    <s v="Cash on Delivery"/>
    <n v="3.2"/>
    <n v="4"/>
    <n v="2"/>
    <n v="40.502399999999994"/>
    <x v="0"/>
    <x v="0"/>
    <s v="Returning"/>
  </r>
  <r>
    <n v="144"/>
    <n v="40"/>
    <s v="Female"/>
    <x v="7"/>
    <s v="Formal Shoes"/>
    <n v="166.4"/>
    <x v="0"/>
    <s v="Card"/>
    <n v="3.8"/>
    <n v="14"/>
    <n v="7"/>
    <n v="143.10400000000001"/>
    <x v="1"/>
    <x v="0"/>
    <s v="Returning"/>
  </r>
  <r>
    <n v="145"/>
    <n v="33"/>
    <s v="Female"/>
    <x v="8"/>
    <s v="Top"/>
    <n v="76.540000000000006"/>
    <x v="3"/>
    <s v="Card"/>
    <n v="4.2"/>
    <n v="6"/>
    <n v="3"/>
    <n v="71.947600000000008"/>
    <x v="4"/>
    <x v="0"/>
    <s v="Returning"/>
  </r>
  <r>
    <n v="146"/>
    <n v="68"/>
    <s v="Female"/>
    <x v="8"/>
    <s v="Dress"/>
    <n v="158.36000000000001"/>
    <x v="1"/>
    <s v="Card"/>
    <n v="3.6"/>
    <n v="23"/>
    <n v="9"/>
    <n v="121.93720000000002"/>
    <x v="2"/>
    <x v="0"/>
    <s v="Returning"/>
  </r>
  <r>
    <n v="147"/>
    <n v="48"/>
    <s v="Male"/>
    <x v="7"/>
    <s v="Formal Shoes"/>
    <n v="84.84"/>
    <x v="3"/>
    <s v="Card"/>
    <n v="4.7"/>
    <n v="26"/>
    <n v="8"/>
    <n v="62.781600000000005"/>
    <x v="0"/>
    <x v="0"/>
    <s v="Returning"/>
  </r>
  <r>
    <n v="148"/>
    <n v="27"/>
    <s v="Female"/>
    <x v="7"/>
    <s v="Sneakers"/>
    <n v="195.76"/>
    <x v="3"/>
    <s v="Card"/>
    <n v="4"/>
    <n v="17"/>
    <n v="6"/>
    <n v="162.48079999999999"/>
    <x v="4"/>
    <x v="0"/>
    <s v="Returning"/>
  </r>
  <r>
    <n v="149"/>
    <n v="46"/>
    <s v="Male"/>
    <x v="2"/>
    <s v="Football"/>
    <n v="146.21"/>
    <x v="3"/>
    <s v="Card"/>
    <n v="3.6"/>
    <n v="8"/>
    <n v="4"/>
    <n v="134.51320000000001"/>
    <x v="0"/>
    <x v="0"/>
    <s v="Returning"/>
  </r>
  <r>
    <n v="150"/>
    <n v="35"/>
    <s v="Male"/>
    <x v="1"/>
    <s v="T-Shirt"/>
    <n v="115.35"/>
    <x v="2"/>
    <s v="Card"/>
    <n v="4.0999999999999996"/>
    <n v="13"/>
    <n v="4"/>
    <n v="100.3545"/>
    <x v="4"/>
    <x v="0"/>
    <s v="Returning"/>
  </r>
  <r>
    <n v="151"/>
    <n v="57"/>
    <s v="Male"/>
    <x v="2"/>
    <s v="Football"/>
    <n v="31.54"/>
    <x v="2"/>
    <s v="Cash on Delivery"/>
    <n v="5"/>
    <n v="16"/>
    <n v="3"/>
    <n v="26.493599999999997"/>
    <x v="0"/>
    <x v="0"/>
    <s v="Returning"/>
  </r>
  <r>
    <n v="152"/>
    <n v="35"/>
    <s v="Female"/>
    <x v="7"/>
    <s v="Formal Shoes"/>
    <n v="142.19"/>
    <x v="1"/>
    <s v="Card"/>
    <n v="3.6"/>
    <n v="16"/>
    <n v="3"/>
    <n v="119.4396"/>
    <x v="4"/>
    <x v="0"/>
    <s v="Returning"/>
  </r>
  <r>
    <n v="153"/>
    <n v="38"/>
    <s v="Female"/>
    <x v="7"/>
    <s v="Formal Shoes"/>
    <n v="246.21"/>
    <x v="0"/>
    <s v="Card"/>
    <n v="3.1"/>
    <n v="8"/>
    <n v="4"/>
    <n v="226.51320000000001"/>
    <x v="1"/>
    <x v="0"/>
    <s v="Returning"/>
  </r>
  <r>
    <n v="154"/>
    <n v="68"/>
    <s v="Male"/>
    <x v="7"/>
    <s v="Sandals"/>
    <n v="194.06"/>
    <x v="1"/>
    <s v="Card"/>
    <n v="3.8"/>
    <n v="18"/>
    <n v="4"/>
    <n v="159.12920000000003"/>
    <x v="2"/>
    <x v="0"/>
    <s v="Returning"/>
  </r>
  <r>
    <n v="155"/>
    <n v="66"/>
    <s v="Female"/>
    <x v="0"/>
    <s v="Handbag"/>
    <n v="172.05"/>
    <x v="2"/>
    <s v="Card"/>
    <n v="2.5"/>
    <n v="17"/>
    <n v="6"/>
    <n v="142.8015"/>
    <x v="2"/>
    <x v="0"/>
    <s v="Returning"/>
  </r>
  <r>
    <n v="156"/>
    <n v="38"/>
    <s v="Female"/>
    <x v="8"/>
    <s v="Skirt"/>
    <n v="94.08"/>
    <x v="3"/>
    <s v="Cash on Delivery"/>
    <n v="4.0999999999999996"/>
    <n v="22"/>
    <n v="6"/>
    <n v="73.382400000000004"/>
    <x v="1"/>
    <x v="0"/>
    <s v="Returning"/>
  </r>
  <r>
    <n v="157"/>
    <n v="20"/>
    <s v="Female"/>
    <x v="8"/>
    <s v="Dress"/>
    <n v="57.01"/>
    <x v="3"/>
    <s v="Card"/>
    <n v="3.1"/>
    <n v="15"/>
    <n v="5"/>
    <n v="48.458499999999994"/>
    <x v="3"/>
    <x v="0"/>
    <s v="Returning"/>
  </r>
  <r>
    <n v="158"/>
    <n v="47"/>
    <s v="Female"/>
    <x v="7"/>
    <s v="Formal Shoes"/>
    <n v="130.07"/>
    <x v="1"/>
    <s v="Card"/>
    <n v="3.1"/>
    <n v="13"/>
    <n v="4"/>
    <n v="113.1609"/>
    <x v="0"/>
    <x v="0"/>
    <s v="Returning"/>
  </r>
  <r>
    <n v="159"/>
    <n v="62"/>
    <s v="Male"/>
    <x v="1"/>
    <s v="Shirt"/>
    <n v="161.22"/>
    <x v="0"/>
    <s v="Card"/>
    <n v="4.7"/>
    <n v="18"/>
    <n v="4"/>
    <n v="132.2004"/>
    <x v="2"/>
    <x v="0"/>
    <s v="Returning"/>
  </r>
  <r>
    <n v="160"/>
    <n v="33"/>
    <s v="Male"/>
    <x v="5"/>
    <s v="Mobile Phone"/>
    <n v="862.41"/>
    <x v="1"/>
    <s v="Card"/>
    <n v="3.5"/>
    <n v="12"/>
    <n v="6"/>
    <n v="758.92079999999999"/>
    <x v="4"/>
    <x v="0"/>
    <s v="Returning"/>
  </r>
  <r>
    <n v="161"/>
    <n v="23"/>
    <s v="Male"/>
    <x v="7"/>
    <s v="Formal Shoes"/>
    <n v="157.86000000000001"/>
    <x v="1"/>
    <s v="Card"/>
    <n v="5"/>
    <n v="13"/>
    <n v="4"/>
    <n v="137.3382"/>
    <x v="3"/>
    <x v="0"/>
    <s v="Returning"/>
  </r>
  <r>
    <n v="162"/>
    <n v="25"/>
    <s v="Female"/>
    <x v="6"/>
    <s v="Skincare Kit"/>
    <n v="142.94"/>
    <x v="0"/>
    <s v="Card"/>
    <n v="4.5"/>
    <n v="17"/>
    <n v="6"/>
    <n v="118.64019999999999"/>
    <x v="3"/>
    <x v="0"/>
    <s v="Returning"/>
  </r>
  <r>
    <n v="163"/>
    <n v="29"/>
    <s v="Male"/>
    <x v="2"/>
    <s v="Football"/>
    <n v="70.31"/>
    <x v="3"/>
    <s v="Cash on Delivery"/>
    <n v="3"/>
    <n v="8"/>
    <n v="4"/>
    <n v="64.685200000000009"/>
    <x v="4"/>
    <x v="0"/>
    <s v="Returning"/>
  </r>
  <r>
    <n v="164"/>
    <n v="60"/>
    <s v="Female"/>
    <x v="8"/>
    <s v="Dress"/>
    <n v="34.619999999999997"/>
    <x v="3"/>
    <s v="Card"/>
    <n v="4.2"/>
    <n v="20"/>
    <n v="5"/>
    <n v="27.695999999999998"/>
    <x v="0"/>
    <x v="0"/>
    <s v="Returning"/>
  </r>
  <r>
    <n v="165"/>
    <n v="69"/>
    <s v="Male"/>
    <x v="7"/>
    <s v="Sandals"/>
    <n v="82.79"/>
    <x v="3"/>
    <s v="Cash on Delivery"/>
    <n v="5"/>
    <n v="21"/>
    <n v="8"/>
    <n v="65.404100000000014"/>
    <x v="2"/>
    <x v="0"/>
    <s v="Returning"/>
  </r>
  <r>
    <n v="166"/>
    <n v="35"/>
    <s v="Male"/>
    <x v="7"/>
    <s v="Formal Shoes"/>
    <n v="75.459999999999994"/>
    <x v="0"/>
    <s v="Card"/>
    <n v="2.5"/>
    <n v="16"/>
    <n v="3"/>
    <n v="63.386399999999995"/>
    <x v="4"/>
    <x v="0"/>
    <s v="Returning"/>
  </r>
  <r>
    <n v="167"/>
    <n v="49"/>
    <s v="Female"/>
    <x v="0"/>
    <s v="Handbag"/>
    <n v="148.58000000000001"/>
    <x v="3"/>
    <s v="Card"/>
    <n v="4.3"/>
    <n v="26"/>
    <n v="8"/>
    <n v="109.9492"/>
    <x v="0"/>
    <x v="0"/>
    <s v="Returning"/>
  </r>
  <r>
    <n v="168"/>
    <n v="52"/>
    <s v="Female"/>
    <x v="8"/>
    <s v="Top"/>
    <n v="43.5"/>
    <x v="0"/>
    <s v="Cash on Delivery"/>
    <n v="3.4"/>
    <n v="24"/>
    <n v="7"/>
    <n v="33.06"/>
    <x v="0"/>
    <x v="0"/>
    <s v="Returning"/>
  </r>
  <r>
    <n v="169"/>
    <n v="28"/>
    <s v="Male"/>
    <x v="1"/>
    <s v="Jacket"/>
    <n v="179.57"/>
    <x v="2"/>
    <s v="Card"/>
    <n v="3.2"/>
    <n v="6"/>
    <n v="3"/>
    <n v="168.79579999999999"/>
    <x v="4"/>
    <x v="0"/>
    <s v="Returning"/>
  </r>
  <r>
    <n v="170"/>
    <n v="70"/>
    <s v="Male"/>
    <x v="2"/>
    <s v="Football"/>
    <n v="122.99"/>
    <x v="0"/>
    <s v="Card"/>
    <n v="3.4"/>
    <n v="10"/>
    <n v="5"/>
    <n v="110.691"/>
    <x v="2"/>
    <x v="0"/>
    <s v="Returning"/>
  </r>
  <r>
    <n v="171"/>
    <n v="53"/>
    <s v="Female"/>
    <x v="7"/>
    <s v="Sandals"/>
    <n v="76.73"/>
    <x v="0"/>
    <s v="Cash on Delivery"/>
    <n v="5"/>
    <n v="24"/>
    <n v="7"/>
    <n v="58.314800000000005"/>
    <x v="0"/>
    <x v="0"/>
    <s v="Returning"/>
  </r>
  <r>
    <n v="172"/>
    <n v="36"/>
    <s v="Male"/>
    <x v="2"/>
    <s v="Football"/>
    <n v="227.24"/>
    <x v="3"/>
    <s v="Card"/>
    <n v="3.4"/>
    <n v="14"/>
    <n v="2"/>
    <n v="195.4264"/>
    <x v="1"/>
    <x v="0"/>
    <s v="Returning"/>
  </r>
  <r>
    <n v="173"/>
    <n v="53"/>
    <s v="Female"/>
    <x v="8"/>
    <s v="Jeans"/>
    <n v="94.87"/>
    <x v="2"/>
    <s v="Cash on Delivery"/>
    <n v="3.6"/>
    <n v="13"/>
    <n v="4"/>
    <n v="82.536900000000003"/>
    <x v="0"/>
    <x v="0"/>
    <s v="Returning"/>
  </r>
  <r>
    <n v="174"/>
    <n v="38"/>
    <s v="Female"/>
    <x v="8"/>
    <s v="Skirt"/>
    <n v="166.83"/>
    <x v="2"/>
    <s v="Card"/>
    <n v="4.0999999999999996"/>
    <n v="16"/>
    <n v="3"/>
    <n v="140.13720000000001"/>
    <x v="1"/>
    <x v="0"/>
    <s v="Returning"/>
  </r>
  <r>
    <n v="175"/>
    <n v="38"/>
    <s v="Male"/>
    <x v="2"/>
    <s v="Yoga Mat"/>
    <n v="52.06"/>
    <x v="2"/>
    <s v="Card"/>
    <n v="2.2999999999999998"/>
    <n v="4"/>
    <n v="2"/>
    <n v="49.977600000000002"/>
    <x v="1"/>
    <x v="0"/>
    <s v="Returning"/>
  </r>
  <r>
    <n v="176"/>
    <n v="54"/>
    <s v="Male"/>
    <x v="1"/>
    <s v="Shirt"/>
    <n v="38.18"/>
    <x v="2"/>
    <s v="Cash on Delivery"/>
    <n v="3.5"/>
    <n v="12"/>
    <n v="6"/>
    <n v="33.598399999999998"/>
    <x v="0"/>
    <x v="0"/>
    <s v="Returning"/>
  </r>
  <r>
    <n v="177"/>
    <n v="67"/>
    <s v="Female"/>
    <x v="0"/>
    <s v="Wallet"/>
    <n v="156.91"/>
    <x v="3"/>
    <s v="Card"/>
    <n v="3.3"/>
    <n v="8"/>
    <n v="4"/>
    <n v="144.35720000000001"/>
    <x v="2"/>
    <x v="0"/>
    <s v="Returning"/>
  </r>
  <r>
    <n v="178"/>
    <n v="36"/>
    <s v="Female"/>
    <x v="6"/>
    <s v="Skincare Kit"/>
    <n v="110.28"/>
    <x v="1"/>
    <s v="Card"/>
    <n v="3.8"/>
    <n v="16"/>
    <n v="3"/>
    <n v="92.635199999999998"/>
    <x v="1"/>
    <x v="0"/>
    <s v="Returning"/>
  </r>
  <r>
    <n v="179"/>
    <n v="48"/>
    <s v="Female"/>
    <x v="0"/>
    <s v="Wallet"/>
    <n v="114.67"/>
    <x v="2"/>
    <s v="Card"/>
    <n v="3.5"/>
    <n v="8"/>
    <n v="4"/>
    <n v="105.49640000000001"/>
    <x v="0"/>
    <x v="0"/>
    <s v="Returning"/>
  </r>
  <r>
    <n v="180"/>
    <n v="20"/>
    <s v="Female"/>
    <x v="8"/>
    <s v="Top"/>
    <n v="73.25"/>
    <x v="2"/>
    <s v="Card"/>
    <n v="2.5"/>
    <n v="11"/>
    <n v="3"/>
    <n v="65.192499999999995"/>
    <x v="3"/>
    <x v="0"/>
    <s v="Returning"/>
  </r>
  <r>
    <n v="181"/>
    <n v="48"/>
    <s v="Male"/>
    <x v="2"/>
    <s v="Yoga Mat"/>
    <n v="162.43"/>
    <x v="3"/>
    <s v="Card"/>
    <n v="3.4"/>
    <n v="11"/>
    <n v="3"/>
    <n v="144.56270000000001"/>
    <x v="0"/>
    <x v="0"/>
    <s v="Returning"/>
  </r>
  <r>
    <n v="182"/>
    <n v="40"/>
    <s v="Male"/>
    <x v="1"/>
    <s v="Jeans"/>
    <n v="79.89"/>
    <x v="3"/>
    <s v="Card"/>
    <n v="4.4000000000000004"/>
    <n v="18"/>
    <n v="4"/>
    <n v="65.509799999999998"/>
    <x v="1"/>
    <x v="0"/>
    <s v="Returning"/>
  </r>
  <r>
    <n v="183"/>
    <n v="60"/>
    <s v="Male"/>
    <x v="7"/>
    <s v="Formal Shoes"/>
    <n v="248.49"/>
    <x v="0"/>
    <s v="Card"/>
    <n v="4.2"/>
    <n v="6"/>
    <n v="3"/>
    <n v="233.5806"/>
    <x v="0"/>
    <x v="0"/>
    <s v="Returning"/>
  </r>
  <r>
    <n v="184"/>
    <n v="52"/>
    <s v="Male"/>
    <x v="2"/>
    <s v="Yoga Mat"/>
    <n v="187.31"/>
    <x v="2"/>
    <s v="Card"/>
    <n v="4.7"/>
    <n v="7"/>
    <n v="1"/>
    <n v="174.19829999999999"/>
    <x v="0"/>
    <x v="0"/>
    <s v="Returning"/>
  </r>
  <r>
    <n v="185"/>
    <n v="66"/>
    <s v="Male"/>
    <x v="3"/>
    <s v="Curtains"/>
    <n v="60.91"/>
    <x v="2"/>
    <s v="Card"/>
    <n v="4"/>
    <n v="8"/>
    <n v="4"/>
    <n v="56.037199999999999"/>
    <x v="2"/>
    <x v="0"/>
    <s v="Returning"/>
  </r>
  <r>
    <n v="186"/>
    <n v="60"/>
    <s v="Female"/>
    <x v="0"/>
    <s v="Handbag"/>
    <n v="21.62"/>
    <x v="1"/>
    <s v="Cash on Delivery"/>
    <n v="3.8"/>
    <n v="19"/>
    <n v="7"/>
    <n v="17.512200000000004"/>
    <x v="0"/>
    <x v="0"/>
    <s v="Returning"/>
  </r>
  <r>
    <n v="187"/>
    <n v="36"/>
    <s v="Male"/>
    <x v="7"/>
    <s v="Sandals"/>
    <n v="142.06"/>
    <x v="0"/>
    <s v="Card"/>
    <n v="3.5"/>
    <n v="4"/>
    <n v="2"/>
    <n v="136.3776"/>
    <x v="1"/>
    <x v="0"/>
    <s v="Returning"/>
  </r>
  <r>
    <n v="188"/>
    <n v="57"/>
    <s v="Female"/>
    <x v="0"/>
    <s v="Wallet"/>
    <n v="84.62"/>
    <x v="0"/>
    <s v="Card"/>
    <n v="2.8"/>
    <n v="18"/>
    <n v="4"/>
    <n v="69.388400000000004"/>
    <x v="0"/>
    <x v="0"/>
    <s v="Returning"/>
  </r>
  <r>
    <n v="189"/>
    <n v="63"/>
    <s v="Male"/>
    <x v="7"/>
    <s v="Sandals"/>
    <n v="162.26"/>
    <x v="0"/>
    <s v="Card"/>
    <n v="3.5"/>
    <n v="12"/>
    <n v="6"/>
    <n v="142.78879999999998"/>
    <x v="2"/>
    <x v="0"/>
    <s v="Returning"/>
  </r>
  <r>
    <n v="190"/>
    <n v="38"/>
    <s v="Male"/>
    <x v="1"/>
    <s v="T-Shirt"/>
    <n v="31.14"/>
    <x v="3"/>
    <s v="Card"/>
    <n v="4.4000000000000004"/>
    <n v="19"/>
    <n v="7"/>
    <n v="25.223400000000002"/>
    <x v="1"/>
    <x v="0"/>
    <s v="Returning"/>
  </r>
  <r>
    <n v="191"/>
    <n v="23"/>
    <s v="Male"/>
    <x v="4"/>
    <s v="Cooking Oil"/>
    <n v="7.07"/>
    <x v="1"/>
    <s v="Cash on Delivery"/>
    <n v="3.7"/>
    <n v="18"/>
    <n v="4"/>
    <n v="5.7974000000000006"/>
    <x v="3"/>
    <x v="0"/>
    <s v="Returning"/>
  </r>
  <r>
    <n v="192"/>
    <n v="56"/>
    <s v="Female"/>
    <x v="3"/>
    <s v="Lamp"/>
    <n v="157.97999999999999"/>
    <x v="2"/>
    <s v="Card"/>
    <n v="4.8"/>
    <n v="10"/>
    <n v="5"/>
    <n v="142.18199999999999"/>
    <x v="0"/>
    <x v="0"/>
    <s v="Returning"/>
  </r>
  <r>
    <n v="193"/>
    <n v="51"/>
    <s v="Female"/>
    <x v="6"/>
    <s v="Skincare Kit"/>
    <n v="82.12"/>
    <x v="2"/>
    <s v="Card"/>
    <n v="3.2"/>
    <n v="13"/>
    <n v="4"/>
    <n v="71.444400000000002"/>
    <x v="0"/>
    <x v="0"/>
    <s v="Returning"/>
  </r>
  <r>
    <n v="194"/>
    <n v="65"/>
    <s v="Male"/>
    <x v="2"/>
    <s v="Dumbbells"/>
    <n v="150.47999999999999"/>
    <x v="2"/>
    <s v="Card"/>
    <n v="3.5"/>
    <n v="20"/>
    <n v="5"/>
    <n v="120.384"/>
    <x v="2"/>
    <x v="0"/>
    <s v="Returning"/>
  </r>
  <r>
    <n v="195"/>
    <n v="36"/>
    <s v="Male"/>
    <x v="2"/>
    <s v="Yoga Mat"/>
    <n v="153.11000000000001"/>
    <x v="3"/>
    <s v="Card"/>
    <n v="4"/>
    <n v="6"/>
    <n v="3"/>
    <n v="143.92340000000002"/>
    <x v="1"/>
    <x v="0"/>
    <s v="Returning"/>
  </r>
  <r>
    <n v="196"/>
    <n v="46"/>
    <s v="Male"/>
    <x v="1"/>
    <s v="Shirt"/>
    <n v="107.94"/>
    <x v="1"/>
    <s v="Card"/>
    <n v="3.8"/>
    <n v="6"/>
    <n v="3"/>
    <n v="101.46359999999999"/>
    <x v="0"/>
    <x v="0"/>
    <s v="Returning"/>
  </r>
  <r>
    <n v="197"/>
    <n v="31"/>
    <s v="Female"/>
    <x v="2"/>
    <s v="Yoga Mat"/>
    <n v="245.72"/>
    <x v="2"/>
    <s v="Card"/>
    <n v="4.0999999999999996"/>
    <n v="20"/>
    <n v="5"/>
    <n v="196.57600000000002"/>
    <x v="4"/>
    <x v="0"/>
    <s v="Returning"/>
  </r>
  <r>
    <n v="198"/>
    <n v="70"/>
    <s v="Female"/>
    <x v="6"/>
    <s v="Makeup Set"/>
    <n v="79.28"/>
    <x v="2"/>
    <s v="Card"/>
    <n v="2"/>
    <n v="12"/>
    <n v="6"/>
    <n v="69.766400000000004"/>
    <x v="2"/>
    <x v="0"/>
    <s v="Returning"/>
  </r>
  <r>
    <n v="199"/>
    <n v="68"/>
    <s v="Male"/>
    <x v="7"/>
    <s v="Sandals"/>
    <n v="225.53"/>
    <x v="1"/>
    <s v="Card"/>
    <n v="4.5"/>
    <n v="13"/>
    <n v="4"/>
    <n v="196.21109999999999"/>
    <x v="2"/>
    <x v="0"/>
    <s v="Returning"/>
  </r>
  <r>
    <n v="200"/>
    <n v="29"/>
    <s v="Female"/>
    <x v="6"/>
    <s v="Makeup Set"/>
    <n v="63.34"/>
    <x v="3"/>
    <s v="Card"/>
    <n v="4.5"/>
    <n v="17"/>
    <n v="6"/>
    <n v="52.572200000000002"/>
    <x v="4"/>
    <x v="0"/>
    <s v="Returning"/>
  </r>
  <r>
    <n v="201"/>
    <n v="20"/>
    <s v="Female"/>
    <x v="6"/>
    <s v="Perfume"/>
    <n v="38.57"/>
    <x v="1"/>
    <s v="Card"/>
    <n v="4.5999999999999996"/>
    <n v="19"/>
    <n v="7"/>
    <n v="31.241700000000002"/>
    <x v="3"/>
    <x v="0"/>
    <s v="Returning"/>
  </r>
  <r>
    <n v="202"/>
    <n v="30"/>
    <s v="Male"/>
    <x v="1"/>
    <s v="T-Shirt"/>
    <n v="128.1"/>
    <x v="3"/>
    <s v="Card"/>
    <n v="3"/>
    <n v="12"/>
    <n v="1"/>
    <n v="112.72799999999999"/>
    <x v="4"/>
    <x v="0"/>
    <s v="Returning"/>
  </r>
  <r>
    <n v="203"/>
    <n v="57"/>
    <s v="Female"/>
    <x v="6"/>
    <s v="Perfume"/>
    <n v="129.47"/>
    <x v="1"/>
    <s v="Card"/>
    <n v="4.4000000000000004"/>
    <n v="15"/>
    <n v="5"/>
    <n v="110.04949999999999"/>
    <x v="0"/>
    <x v="0"/>
    <s v="Returning"/>
  </r>
  <r>
    <n v="204"/>
    <n v="46"/>
    <s v="Female"/>
    <x v="6"/>
    <s v="Perfume"/>
    <n v="49.38"/>
    <x v="1"/>
    <s v="Cash on Delivery"/>
    <n v="3.4"/>
    <n v="19"/>
    <n v="7"/>
    <n v="39.997800000000005"/>
    <x v="0"/>
    <x v="0"/>
    <s v="Returning"/>
  </r>
  <r>
    <n v="205"/>
    <n v="55"/>
    <s v="Female"/>
    <x v="7"/>
    <s v="Formal Shoes"/>
    <n v="90.81"/>
    <x v="0"/>
    <s v="Card"/>
    <n v="4.4000000000000004"/>
    <n v="24"/>
    <n v="7"/>
    <n v="69.015600000000006"/>
    <x v="0"/>
    <x v="0"/>
    <s v="Returning"/>
  </r>
  <r>
    <n v="206"/>
    <n v="68"/>
    <s v="Male"/>
    <x v="4"/>
    <s v="Cooking Oil"/>
    <n v="63.73"/>
    <x v="2"/>
    <s v="Card"/>
    <n v="4.5"/>
    <n v="24"/>
    <n v="7"/>
    <n v="48.434799999999996"/>
    <x v="2"/>
    <x v="0"/>
    <s v="Returning"/>
  </r>
  <r>
    <n v="207"/>
    <n v="62"/>
    <s v="Male"/>
    <x v="1"/>
    <s v="T-Shirt"/>
    <n v="127.21"/>
    <x v="0"/>
    <s v="Card"/>
    <n v="4.9000000000000004"/>
    <n v="14"/>
    <n v="7"/>
    <n v="109.4006"/>
    <x v="2"/>
    <x v="0"/>
    <s v="Returning"/>
  </r>
  <r>
    <n v="208"/>
    <n v="29"/>
    <s v="Male"/>
    <x v="4"/>
    <s v="Snacks"/>
    <n v="54.98"/>
    <x v="0"/>
    <s v="Cash on Delivery"/>
    <n v="2.9"/>
    <n v="16"/>
    <n v="8"/>
    <n v="46.183199999999992"/>
    <x v="4"/>
    <x v="0"/>
    <s v="Returning"/>
  </r>
  <r>
    <n v="209"/>
    <n v="58"/>
    <s v="Female"/>
    <x v="0"/>
    <s v="Sunglasses"/>
    <n v="37.76"/>
    <x v="0"/>
    <s v="Card"/>
    <n v="3.5"/>
    <n v="14"/>
    <n v="2"/>
    <n v="32.473599999999998"/>
    <x v="0"/>
    <x v="0"/>
    <s v="Returning"/>
  </r>
  <r>
    <n v="210"/>
    <n v="50"/>
    <s v="Female"/>
    <x v="6"/>
    <s v="Makeup Set"/>
    <n v="81.400000000000006"/>
    <x v="1"/>
    <s v="Cash on Delivery"/>
    <n v="4.9000000000000004"/>
    <n v="20"/>
    <n v="5"/>
    <n v="65.12"/>
    <x v="0"/>
    <x v="0"/>
    <s v="Returning"/>
  </r>
  <r>
    <n v="211"/>
    <n v="22"/>
    <s v="Female"/>
    <x v="7"/>
    <s v="Sneakers"/>
    <n v="183.26"/>
    <x v="2"/>
    <s v="Card"/>
    <n v="2.4"/>
    <n v="6"/>
    <n v="3"/>
    <n v="172.26439999999999"/>
    <x v="3"/>
    <x v="0"/>
    <s v="Returning"/>
  </r>
  <r>
    <n v="212"/>
    <n v="29"/>
    <s v="Female"/>
    <x v="8"/>
    <s v="Jeans"/>
    <n v="172.51"/>
    <x v="0"/>
    <s v="Card"/>
    <n v="3.8"/>
    <n v="13"/>
    <n v="4"/>
    <n v="150.08369999999999"/>
    <x v="4"/>
    <x v="0"/>
    <s v="Returning"/>
  </r>
  <r>
    <n v="213"/>
    <n v="43"/>
    <s v="Male"/>
    <x v="2"/>
    <s v="Yoga Mat"/>
    <n v="141.78"/>
    <x v="2"/>
    <s v="Card"/>
    <n v="2.9"/>
    <n v="24"/>
    <n v="7"/>
    <n v="107.75280000000001"/>
    <x v="1"/>
    <x v="0"/>
    <s v="Returning"/>
  </r>
  <r>
    <n v="214"/>
    <n v="25"/>
    <s v="Male"/>
    <x v="4"/>
    <s v="Rice Pack"/>
    <n v="62.99"/>
    <x v="0"/>
    <s v="Card"/>
    <n v="2.9"/>
    <n v="16"/>
    <n v="3"/>
    <n v="52.9116"/>
    <x v="3"/>
    <x v="0"/>
    <s v="Returning"/>
  </r>
  <r>
    <n v="215"/>
    <n v="32"/>
    <s v="Male"/>
    <x v="7"/>
    <s v="Sneakers"/>
    <n v="154.86000000000001"/>
    <x v="1"/>
    <s v="Card"/>
    <n v="4.0999999999999996"/>
    <n v="18"/>
    <n v="4"/>
    <n v="126.98520000000002"/>
    <x v="4"/>
    <x v="0"/>
    <s v="Returning"/>
  </r>
  <r>
    <n v="216"/>
    <n v="47"/>
    <s v="Male"/>
    <x v="7"/>
    <s v="Formal Shoes"/>
    <n v="162.26"/>
    <x v="0"/>
    <s v="Card"/>
    <n v="4"/>
    <n v="19"/>
    <n v="7"/>
    <n v="131.4306"/>
    <x v="0"/>
    <x v="0"/>
    <s v="Returning"/>
  </r>
  <r>
    <n v="217"/>
    <n v="26"/>
    <s v="Female"/>
    <x v="6"/>
    <s v="Makeup Set"/>
    <n v="60.97"/>
    <x v="1"/>
    <s v="Card"/>
    <n v="4.5999999999999996"/>
    <n v="21"/>
    <n v="8"/>
    <n v="48.1663"/>
    <x v="4"/>
    <x v="0"/>
    <s v="Returning"/>
  </r>
  <r>
    <n v="218"/>
    <n v="69"/>
    <s v="Female"/>
    <x v="4"/>
    <s v="Beverages"/>
    <n v="52.32"/>
    <x v="2"/>
    <s v="Cash on Delivery"/>
    <n v="3.6"/>
    <n v="10"/>
    <n v="5"/>
    <n v="47.088000000000001"/>
    <x v="2"/>
    <x v="0"/>
    <s v="Returning"/>
  </r>
  <r>
    <n v="219"/>
    <n v="25"/>
    <s v="Female"/>
    <x v="8"/>
    <s v="Top"/>
    <n v="122.97"/>
    <x v="0"/>
    <s v="Card"/>
    <n v="4.3"/>
    <n v="24"/>
    <n v="7"/>
    <n v="93.4572"/>
    <x v="3"/>
    <x v="0"/>
    <s v="Returning"/>
  </r>
  <r>
    <n v="220"/>
    <n v="63"/>
    <s v="Female"/>
    <x v="2"/>
    <s v="Dumbbells"/>
    <n v="245.76"/>
    <x v="1"/>
    <s v="Card"/>
    <n v="4"/>
    <n v="13"/>
    <n v="4"/>
    <n v="213.81119999999999"/>
    <x v="2"/>
    <x v="0"/>
    <s v="Returning"/>
  </r>
  <r>
    <n v="221"/>
    <n v="45"/>
    <s v="Female"/>
    <x v="2"/>
    <s v="Football"/>
    <n v="229.28"/>
    <x v="0"/>
    <s v="Card"/>
    <n v="4.9000000000000004"/>
    <n v="16"/>
    <n v="8"/>
    <n v="192.59520000000001"/>
    <x v="1"/>
    <x v="0"/>
    <s v="Returning"/>
  </r>
  <r>
    <n v="222"/>
    <n v="43"/>
    <s v="Female"/>
    <x v="8"/>
    <s v="Jeans"/>
    <n v="32.06"/>
    <x v="3"/>
    <s v="Card"/>
    <n v="3.5"/>
    <n v="7"/>
    <n v="1"/>
    <n v="29.815799999999999"/>
    <x v="1"/>
    <x v="0"/>
    <s v="Returning"/>
  </r>
  <r>
    <n v="223"/>
    <n v="40"/>
    <s v="Female"/>
    <x v="7"/>
    <s v="Formal Shoes"/>
    <n v="148.08000000000001"/>
    <x v="2"/>
    <s v="Card"/>
    <n v="3.7"/>
    <n v="10"/>
    <n v="5"/>
    <n v="133.27200000000002"/>
    <x v="1"/>
    <x v="0"/>
    <s v="Returning"/>
  </r>
  <r>
    <n v="224"/>
    <n v="48"/>
    <s v="Male"/>
    <x v="2"/>
    <s v="Football"/>
    <n v="32.340000000000003"/>
    <x v="2"/>
    <s v="Cash on Delivery"/>
    <n v="4.0999999999999996"/>
    <n v="6"/>
    <n v="3"/>
    <n v="30.399600000000003"/>
    <x v="0"/>
    <x v="0"/>
    <s v="Returning"/>
  </r>
  <r>
    <n v="225"/>
    <n v="39"/>
    <s v="Male"/>
    <x v="2"/>
    <s v="Football"/>
    <n v="79.09"/>
    <x v="2"/>
    <s v="Card"/>
    <n v="4"/>
    <n v="8"/>
    <n v="4"/>
    <n v="72.762800000000013"/>
    <x v="1"/>
    <x v="0"/>
    <s v="Returning"/>
  </r>
  <r>
    <n v="226"/>
    <n v="23"/>
    <s v="Male"/>
    <x v="2"/>
    <s v="Dumbbells"/>
    <n v="121.19"/>
    <x v="0"/>
    <s v="Card"/>
    <n v="3.2"/>
    <n v="17"/>
    <n v="6"/>
    <n v="100.5877"/>
    <x v="3"/>
    <x v="0"/>
    <s v="Returning"/>
  </r>
  <r>
    <n v="227"/>
    <n v="42"/>
    <s v="Female"/>
    <x v="8"/>
    <s v="Jeans"/>
    <n v="64.760000000000005"/>
    <x v="3"/>
    <s v="Card"/>
    <n v="3.7"/>
    <n v="11"/>
    <n v="3"/>
    <n v="57.636400000000009"/>
    <x v="1"/>
    <x v="0"/>
    <s v="Returning"/>
  </r>
  <r>
    <n v="228"/>
    <n v="43"/>
    <s v="Male"/>
    <x v="5"/>
    <s v="Smart Watch"/>
    <n v="2234.0500000000002"/>
    <x v="3"/>
    <s v="Card"/>
    <n v="4.2"/>
    <n v="12"/>
    <n v="6"/>
    <n v="1965.9640000000002"/>
    <x v="1"/>
    <x v="0"/>
    <s v="Returning"/>
  </r>
  <r>
    <n v="229"/>
    <n v="60"/>
    <s v="Male"/>
    <x v="2"/>
    <s v="Yoga Mat"/>
    <n v="106.49"/>
    <x v="3"/>
    <s v="Card"/>
    <n v="3.4"/>
    <n v="16"/>
    <n v="3"/>
    <n v="89.451599999999999"/>
    <x v="0"/>
    <x v="0"/>
    <s v="Returning"/>
  </r>
  <r>
    <n v="230"/>
    <n v="55"/>
    <s v="Male"/>
    <x v="5"/>
    <s v="Headphones"/>
    <n v="2024.08"/>
    <x v="3"/>
    <s v="Card"/>
    <n v="3.2"/>
    <n v="18"/>
    <n v="4"/>
    <n v="1659.7456"/>
    <x v="0"/>
    <x v="0"/>
    <s v="Returning"/>
  </r>
  <r>
    <n v="231"/>
    <n v="55"/>
    <s v="Male"/>
    <x v="1"/>
    <s v="Shirt"/>
    <n v="122.22"/>
    <x v="3"/>
    <s v="Card"/>
    <n v="4.0999999999999996"/>
    <n v="13"/>
    <n v="4"/>
    <n v="106.3314"/>
    <x v="0"/>
    <x v="0"/>
    <s v="Returning"/>
  </r>
  <r>
    <n v="232"/>
    <n v="51"/>
    <s v="Female"/>
    <x v="6"/>
    <s v="Perfume"/>
    <n v="112.88"/>
    <x v="0"/>
    <s v="Card"/>
    <n v="4.9000000000000004"/>
    <n v="22"/>
    <n v="6"/>
    <n v="88.046400000000006"/>
    <x v="0"/>
    <x v="0"/>
    <s v="Returning"/>
  </r>
  <r>
    <n v="233"/>
    <n v="58"/>
    <s v="Male"/>
    <x v="7"/>
    <s v="Sandals"/>
    <n v="66.28"/>
    <x v="2"/>
    <s v="Cash on Delivery"/>
    <n v="2.7"/>
    <n v="6"/>
    <n v="3"/>
    <n v="62.303199999999997"/>
    <x v="0"/>
    <x v="0"/>
    <s v="Returning"/>
  </r>
  <r>
    <n v="234"/>
    <n v="22"/>
    <s v="Male"/>
    <x v="2"/>
    <s v="Dumbbells"/>
    <n v="122.95"/>
    <x v="0"/>
    <s v="Card"/>
    <n v="3.1"/>
    <n v="22"/>
    <n v="6"/>
    <n v="95.90100000000001"/>
    <x v="3"/>
    <x v="0"/>
    <s v="Returning"/>
  </r>
  <r>
    <n v="235"/>
    <n v="54"/>
    <s v="Female"/>
    <x v="6"/>
    <s v="Makeup Set"/>
    <n v="129.63"/>
    <x v="1"/>
    <s v="Card"/>
    <n v="5"/>
    <n v="10"/>
    <n v="5"/>
    <n v="116.667"/>
    <x v="0"/>
    <x v="0"/>
    <s v="Returning"/>
  </r>
  <r>
    <n v="236"/>
    <n v="59"/>
    <s v="Male"/>
    <x v="1"/>
    <s v="Jacket"/>
    <n v="191.92"/>
    <x v="0"/>
    <s v="Card"/>
    <n v="3.9"/>
    <n v="21"/>
    <n v="8"/>
    <n v="151.61679999999998"/>
    <x v="0"/>
    <x v="0"/>
    <s v="Returning"/>
  </r>
  <r>
    <n v="237"/>
    <n v="22"/>
    <s v="Female"/>
    <x v="0"/>
    <s v="Sunglasses"/>
    <n v="21.95"/>
    <x v="2"/>
    <s v="Cash on Delivery"/>
    <n v="3.6"/>
    <n v="16"/>
    <n v="3"/>
    <n v="18.437999999999999"/>
    <x v="3"/>
    <x v="0"/>
    <s v="Returning"/>
  </r>
  <r>
    <n v="238"/>
    <n v="24"/>
    <s v="Male"/>
    <x v="5"/>
    <s v="Mobile Phone"/>
    <n v="1117.83"/>
    <x v="3"/>
    <s v="Card"/>
    <n v="2.9"/>
    <n v="13"/>
    <n v="4"/>
    <n v="972.51209999999992"/>
    <x v="3"/>
    <x v="0"/>
    <s v="Returning"/>
  </r>
  <r>
    <n v="239"/>
    <n v="58"/>
    <s v="Female"/>
    <x v="7"/>
    <s v="Formal Shoes"/>
    <n v="194.03"/>
    <x v="1"/>
    <s v="Card"/>
    <n v="3"/>
    <n v="21"/>
    <n v="8"/>
    <n v="153.28370000000001"/>
    <x v="0"/>
    <x v="0"/>
    <s v="Returning"/>
  </r>
  <r>
    <n v="240"/>
    <n v="24"/>
    <s v="Female"/>
    <x v="6"/>
    <s v="Makeup Set"/>
    <n v="111.59"/>
    <x v="3"/>
    <s v="Card"/>
    <n v="3.7"/>
    <n v="8"/>
    <n v="4"/>
    <n v="102.6628"/>
    <x v="3"/>
    <x v="0"/>
    <s v="Returning"/>
  </r>
  <r>
    <n v="241"/>
    <n v="35"/>
    <s v="Female"/>
    <x v="8"/>
    <s v="Top"/>
    <n v="194.65"/>
    <x v="0"/>
    <s v="Card"/>
    <n v="3.6"/>
    <n v="9"/>
    <n v="2"/>
    <n v="177.13150000000002"/>
    <x v="4"/>
    <x v="0"/>
    <s v="Returning"/>
  </r>
  <r>
    <n v="242"/>
    <n v="63"/>
    <s v="Male"/>
    <x v="7"/>
    <s v="Formal Shoes"/>
    <n v="96.15"/>
    <x v="2"/>
    <s v="Card"/>
    <n v="3.2"/>
    <n v="9"/>
    <n v="2"/>
    <n v="87.496500000000012"/>
    <x v="2"/>
    <x v="0"/>
    <s v="Returning"/>
  </r>
  <r>
    <n v="243"/>
    <n v="51"/>
    <s v="Female"/>
    <x v="0"/>
    <s v="Sunglasses"/>
    <n v="115.63"/>
    <x v="2"/>
    <s v="Card"/>
    <n v="2.9"/>
    <n v="19"/>
    <n v="7"/>
    <n v="93.660300000000007"/>
    <x v="0"/>
    <x v="0"/>
    <s v="Returning"/>
  </r>
  <r>
    <n v="244"/>
    <n v="47"/>
    <s v="Male"/>
    <x v="2"/>
    <s v="Football"/>
    <n v="146.94999999999999"/>
    <x v="1"/>
    <s v="Card"/>
    <n v="5"/>
    <n v="24"/>
    <n v="7"/>
    <n v="111.68199999999999"/>
    <x v="0"/>
    <x v="0"/>
    <s v="Returning"/>
  </r>
  <r>
    <n v="245"/>
    <n v="69"/>
    <s v="Male"/>
    <x v="5"/>
    <s v="Headphones"/>
    <n v="2517.9699999999998"/>
    <x v="0"/>
    <s v="Card"/>
    <n v="4.3"/>
    <n v="28"/>
    <n v="9"/>
    <n v="1812.9383999999998"/>
    <x v="2"/>
    <x v="0"/>
    <s v="Returning"/>
  </r>
  <r>
    <n v="246"/>
    <n v="66"/>
    <s v="Female"/>
    <x v="6"/>
    <s v="Makeup Set"/>
    <n v="55.2"/>
    <x v="3"/>
    <s v="Card"/>
    <n v="3.6"/>
    <n v="11"/>
    <n v="3"/>
    <n v="49.128"/>
    <x v="2"/>
    <x v="0"/>
    <s v="Returning"/>
  </r>
  <r>
    <n v="247"/>
    <n v="35"/>
    <s v="Female"/>
    <x v="0"/>
    <s v="Wallet"/>
    <n v="161.59"/>
    <x v="1"/>
    <s v="Card"/>
    <n v="3.4"/>
    <n v="22"/>
    <n v="6"/>
    <n v="126.04020000000001"/>
    <x v="4"/>
    <x v="0"/>
    <s v="Returning"/>
  </r>
  <r>
    <n v="248"/>
    <n v="36"/>
    <s v="Male"/>
    <x v="7"/>
    <s v="Sneakers"/>
    <n v="110.06"/>
    <x v="1"/>
    <s v="Card"/>
    <n v="3.9"/>
    <n v="19"/>
    <n v="7"/>
    <n v="89.148600000000002"/>
    <x v="1"/>
    <x v="0"/>
    <s v="Returning"/>
  </r>
  <r>
    <n v="249"/>
    <n v="59"/>
    <s v="Female"/>
    <x v="0"/>
    <s v="Handbag"/>
    <n v="145.44"/>
    <x v="3"/>
    <s v="Card"/>
    <n v="4.5"/>
    <n v="22"/>
    <n v="6"/>
    <n v="113.4432"/>
    <x v="0"/>
    <x v="0"/>
    <s v="Returning"/>
  </r>
  <r>
    <n v="250"/>
    <n v="20"/>
    <s v="Male"/>
    <x v="1"/>
    <s v="Jeans"/>
    <n v="99.49"/>
    <x v="0"/>
    <s v="Cash on Delivery"/>
    <n v="3.8"/>
    <n v="18"/>
    <n v="9"/>
    <n v="81.581800000000001"/>
    <x v="3"/>
    <x v="0"/>
    <s v="Returning"/>
  </r>
  <r>
    <n v="251"/>
    <n v="46"/>
    <s v="Female"/>
    <x v="6"/>
    <s v="Skincare Kit"/>
    <n v="116.53"/>
    <x v="2"/>
    <s v="Card"/>
    <n v="4.2"/>
    <n v="12"/>
    <n v="6"/>
    <n v="102.54640000000001"/>
    <x v="0"/>
    <x v="0"/>
    <s v="Returning"/>
  </r>
  <r>
    <n v="252"/>
    <n v="68"/>
    <s v="Male"/>
    <x v="1"/>
    <s v="Jacket"/>
    <n v="170.91"/>
    <x v="2"/>
    <s v="Card"/>
    <n v="3.8"/>
    <n v="14"/>
    <n v="7"/>
    <n v="146.98259999999999"/>
    <x v="2"/>
    <x v="0"/>
    <s v="Returning"/>
  </r>
  <r>
    <n v="253"/>
    <n v="66"/>
    <s v="Male"/>
    <x v="2"/>
    <s v="Yoga Mat"/>
    <n v="111.58"/>
    <x v="0"/>
    <s v="Card"/>
    <n v="3.4"/>
    <n v="21"/>
    <n v="8"/>
    <n v="88.148200000000003"/>
    <x v="2"/>
    <x v="0"/>
    <s v="Returning"/>
  </r>
  <r>
    <n v="254"/>
    <n v="70"/>
    <s v="Female"/>
    <x v="3"/>
    <s v="Kitchen Set"/>
    <n v="96.25"/>
    <x v="0"/>
    <s v="Cash on Delivery"/>
    <n v="2.9"/>
    <n v="14"/>
    <n v="2"/>
    <n v="82.775000000000006"/>
    <x v="2"/>
    <x v="0"/>
    <s v="Returning"/>
  </r>
  <r>
    <n v="255"/>
    <n v="43"/>
    <s v="Female"/>
    <x v="6"/>
    <s v="Perfume"/>
    <n v="118"/>
    <x v="2"/>
    <s v="Card"/>
    <n v="4.0999999999999996"/>
    <n v="12"/>
    <n v="6"/>
    <n v="103.84"/>
    <x v="1"/>
    <x v="0"/>
    <s v="Returning"/>
  </r>
  <r>
    <n v="256"/>
    <n v="67"/>
    <s v="Male"/>
    <x v="5"/>
    <s v="Laptop"/>
    <n v="1597.74"/>
    <x v="3"/>
    <s v="Card"/>
    <n v="5"/>
    <n v="30"/>
    <n v="10"/>
    <n v="1118.4179999999999"/>
    <x v="2"/>
    <x v="0"/>
    <s v="Returning"/>
  </r>
  <r>
    <n v="257"/>
    <n v="48"/>
    <s v="Male"/>
    <x v="1"/>
    <s v="T-Shirt"/>
    <n v="179.87"/>
    <x v="3"/>
    <s v="Card"/>
    <n v="3.7"/>
    <n v="17"/>
    <n v="6"/>
    <n v="149.2921"/>
    <x v="0"/>
    <x v="0"/>
    <s v="Returning"/>
  </r>
  <r>
    <n v="258"/>
    <n v="38"/>
    <s v="Female"/>
    <x v="0"/>
    <s v="Sunglasses"/>
    <n v="22.14"/>
    <x v="0"/>
    <s v="Cash on Delivery"/>
    <n v="4.7"/>
    <n v="9"/>
    <n v="2"/>
    <n v="20.147400000000001"/>
    <x v="1"/>
    <x v="0"/>
    <s v="Returning"/>
  </r>
  <r>
    <n v="259"/>
    <n v="41"/>
    <s v="Female"/>
    <x v="6"/>
    <s v="Perfume"/>
    <n v="28.65"/>
    <x v="3"/>
    <s v="Card"/>
    <n v="2.2999999999999998"/>
    <n v="8"/>
    <n v="4"/>
    <n v="26.358000000000001"/>
    <x v="1"/>
    <x v="0"/>
    <s v="Returning"/>
  </r>
  <r>
    <n v="260"/>
    <n v="33"/>
    <s v="Female"/>
    <x v="0"/>
    <s v="Wallet"/>
    <n v="79.92"/>
    <x v="3"/>
    <s v="Cash on Delivery"/>
    <n v="4.2"/>
    <n v="14"/>
    <n v="2"/>
    <n v="68.731200000000001"/>
    <x v="4"/>
    <x v="0"/>
    <s v="Returning"/>
  </r>
  <r>
    <n v="261"/>
    <n v="21"/>
    <s v="Female"/>
    <x v="6"/>
    <s v="Perfume"/>
    <n v="124.58"/>
    <x v="3"/>
    <s v="Card"/>
    <n v="4.3"/>
    <n v="19"/>
    <n v="7"/>
    <n v="100.9098"/>
    <x v="3"/>
    <x v="0"/>
    <s v="Returning"/>
  </r>
  <r>
    <n v="262"/>
    <n v="26"/>
    <s v="Female"/>
    <x v="3"/>
    <s v="Lamp"/>
    <n v="72.84"/>
    <x v="3"/>
    <s v="Card"/>
    <n v="3.1"/>
    <n v="14"/>
    <n v="7"/>
    <n v="62.642400000000002"/>
    <x v="4"/>
    <x v="0"/>
    <s v="Returning"/>
  </r>
  <r>
    <n v="263"/>
    <n v="35"/>
    <s v="Female"/>
    <x v="6"/>
    <s v="Skincare Kit"/>
    <n v="47.94"/>
    <x v="1"/>
    <s v="Card"/>
    <n v="3.6"/>
    <n v="13"/>
    <n v="4"/>
    <n v="41.707799999999999"/>
    <x v="4"/>
    <x v="0"/>
    <s v="Returning"/>
  </r>
  <r>
    <n v="264"/>
    <n v="51"/>
    <s v="Male"/>
    <x v="1"/>
    <s v="Shirt"/>
    <n v="74.89"/>
    <x v="1"/>
    <s v="Cash on Delivery"/>
    <n v="3.2"/>
    <n v="22"/>
    <n v="6"/>
    <n v="58.414200000000001"/>
    <x v="0"/>
    <x v="0"/>
    <s v="Returning"/>
  </r>
  <r>
    <n v="265"/>
    <n v="58"/>
    <s v="Male"/>
    <x v="2"/>
    <s v="Dumbbells"/>
    <n v="246.24"/>
    <x v="2"/>
    <s v="Card"/>
    <n v="3.5"/>
    <n v="12"/>
    <n v="6"/>
    <n v="216.69120000000001"/>
    <x v="0"/>
    <x v="0"/>
    <s v="Returning"/>
  </r>
  <r>
    <n v="266"/>
    <n v="65"/>
    <s v="Female"/>
    <x v="6"/>
    <s v="Makeup Set"/>
    <n v="135.46"/>
    <x v="0"/>
    <s v="Card"/>
    <n v="4.3"/>
    <n v="24"/>
    <n v="7"/>
    <n v="102.9496"/>
    <x v="2"/>
    <x v="0"/>
    <s v="Returning"/>
  </r>
  <r>
    <n v="267"/>
    <n v="31"/>
    <s v="Male"/>
    <x v="7"/>
    <s v="Sneakers"/>
    <n v="220.18"/>
    <x v="1"/>
    <s v="Card"/>
    <n v="3.4"/>
    <n v="6"/>
    <n v="3"/>
    <n v="206.9692"/>
    <x v="4"/>
    <x v="0"/>
    <s v="Returning"/>
  </r>
  <r>
    <n v="268"/>
    <n v="67"/>
    <s v="Male"/>
    <x v="1"/>
    <s v="Jacket"/>
    <n v="159.94"/>
    <x v="2"/>
    <s v="Card"/>
    <n v="4.5"/>
    <n v="10"/>
    <n v="5"/>
    <n v="143.946"/>
    <x v="2"/>
    <x v="0"/>
    <s v="Returning"/>
  </r>
  <r>
    <n v="269"/>
    <n v="29"/>
    <s v="Male"/>
    <x v="5"/>
    <s v="Laptop"/>
    <n v="2391.83"/>
    <x v="2"/>
    <s v="Card"/>
    <n v="3.4"/>
    <n v="14"/>
    <n v="7"/>
    <n v="2056.9737999999998"/>
    <x v="4"/>
    <x v="0"/>
    <s v="Returning"/>
  </r>
  <r>
    <n v="270"/>
    <n v="31"/>
    <s v="Female"/>
    <x v="6"/>
    <s v="Makeup Set"/>
    <n v="112.96"/>
    <x v="0"/>
    <s v="Card"/>
    <n v="5"/>
    <n v="13"/>
    <n v="4"/>
    <n v="98.275199999999998"/>
    <x v="4"/>
    <x v="0"/>
    <s v="Returning"/>
  </r>
  <r>
    <n v="271"/>
    <n v="42"/>
    <s v="Male"/>
    <x v="4"/>
    <s v="Snacks"/>
    <n v="56.82"/>
    <x v="1"/>
    <s v="Card"/>
    <n v="5"/>
    <n v="17"/>
    <n v="6"/>
    <n v="47.160599999999995"/>
    <x v="1"/>
    <x v="0"/>
    <s v="Returning"/>
  </r>
  <r>
    <n v="272"/>
    <n v="33"/>
    <s v="Female"/>
    <x v="4"/>
    <s v="Snacks"/>
    <n v="17.86"/>
    <x v="0"/>
    <s v="Cash on Delivery"/>
    <n v="3.7"/>
    <n v="30"/>
    <n v="10"/>
    <n v="12.501999999999999"/>
    <x v="4"/>
    <x v="0"/>
    <s v="Returning"/>
  </r>
  <r>
    <n v="273"/>
    <n v="59"/>
    <s v="Male"/>
    <x v="4"/>
    <s v="Beverages"/>
    <n v="22.31"/>
    <x v="1"/>
    <s v="Card"/>
    <n v="3.9"/>
    <n v="28"/>
    <n v="9"/>
    <n v="16.063199999999998"/>
    <x v="0"/>
    <x v="0"/>
    <s v="Returning"/>
  </r>
  <r>
    <n v="274"/>
    <n v="36"/>
    <s v="Male"/>
    <x v="5"/>
    <s v="Smart Watch"/>
    <n v="2851.93"/>
    <x v="0"/>
    <s v="Card"/>
    <n v="3.4"/>
    <n v="8"/>
    <n v="4"/>
    <n v="2623.7755999999999"/>
    <x v="1"/>
    <x v="0"/>
    <s v="Returning"/>
  </r>
  <r>
    <n v="275"/>
    <n v="61"/>
    <s v="Female"/>
    <x v="8"/>
    <s v="Skirt"/>
    <n v="164.2"/>
    <x v="0"/>
    <s v="Card"/>
    <n v="3.6"/>
    <n v="11"/>
    <n v="3"/>
    <n v="146.13800000000001"/>
    <x v="2"/>
    <x v="0"/>
    <s v="Returning"/>
  </r>
  <r>
    <n v="276"/>
    <n v="22"/>
    <s v="Male"/>
    <x v="2"/>
    <s v="Dumbbells"/>
    <n v="204.62"/>
    <x v="0"/>
    <s v="Card"/>
    <n v="3.3"/>
    <n v="16"/>
    <n v="3"/>
    <n v="171.88079999999999"/>
    <x v="3"/>
    <x v="0"/>
    <s v="Returning"/>
  </r>
  <r>
    <n v="277"/>
    <n v="68"/>
    <s v="Female"/>
    <x v="7"/>
    <s v="Sneakers"/>
    <n v="75.72"/>
    <x v="1"/>
    <s v="Cash on Delivery"/>
    <n v="4.3"/>
    <n v="20"/>
    <n v="5"/>
    <n v="60.576000000000001"/>
    <x v="2"/>
    <x v="0"/>
    <s v="Returning"/>
  </r>
  <r>
    <n v="278"/>
    <n v="24"/>
    <s v="Female"/>
    <x v="7"/>
    <s v="Formal Shoes"/>
    <n v="105.45"/>
    <x v="3"/>
    <s v="Card"/>
    <n v="2.2999999999999998"/>
    <n v="5"/>
    <n v="0"/>
    <n v="100.17749999999999"/>
    <x v="3"/>
    <x v="0"/>
    <s v="New"/>
  </r>
  <r>
    <n v="279"/>
    <n v="36"/>
    <s v="Male"/>
    <x v="7"/>
    <s v="Formal Shoes"/>
    <n v="212.7"/>
    <x v="0"/>
    <s v="Card"/>
    <n v="4"/>
    <n v="18"/>
    <n v="4"/>
    <n v="174.41400000000002"/>
    <x v="1"/>
    <x v="0"/>
    <s v="Returning"/>
  </r>
  <r>
    <n v="280"/>
    <n v="28"/>
    <s v="Female"/>
    <x v="0"/>
    <s v="Handbag"/>
    <n v="98.3"/>
    <x v="0"/>
    <s v="Card"/>
    <n v="3.3"/>
    <n v="24"/>
    <n v="7"/>
    <n v="74.707999999999998"/>
    <x v="4"/>
    <x v="0"/>
    <s v="Returning"/>
  </r>
  <r>
    <n v="281"/>
    <n v="59"/>
    <s v="Male"/>
    <x v="5"/>
    <s v="Laptop"/>
    <n v="1775.37"/>
    <x v="2"/>
    <s v="Card"/>
    <n v="3.2"/>
    <n v="16"/>
    <n v="8"/>
    <n v="1491.3107999999997"/>
    <x v="0"/>
    <x v="0"/>
    <s v="Returning"/>
  </r>
  <r>
    <n v="282"/>
    <n v="53"/>
    <s v="Female"/>
    <x v="6"/>
    <s v="Makeup Set"/>
    <n v="146.09"/>
    <x v="3"/>
    <s v="Card"/>
    <n v="3.2"/>
    <n v="10"/>
    <n v="5"/>
    <n v="131.48099999999999"/>
    <x v="0"/>
    <x v="0"/>
    <s v="Returning"/>
  </r>
  <r>
    <n v="283"/>
    <n v="50"/>
    <s v="Male"/>
    <x v="1"/>
    <s v="T-Shirt"/>
    <n v="144.37"/>
    <x v="2"/>
    <s v="Card"/>
    <n v="4.5999999999999996"/>
    <n v="8"/>
    <n v="4"/>
    <n v="132.82040000000001"/>
    <x v="0"/>
    <x v="0"/>
    <s v="Returning"/>
  </r>
  <r>
    <n v="284"/>
    <n v="39"/>
    <s v="Female"/>
    <x v="8"/>
    <s v="Jeans"/>
    <n v="107.92"/>
    <x v="0"/>
    <s v="Card"/>
    <n v="4.9000000000000004"/>
    <n v="13"/>
    <n v="4"/>
    <n v="93.8904"/>
    <x v="1"/>
    <x v="0"/>
    <s v="Returning"/>
  </r>
  <r>
    <n v="285"/>
    <n v="27"/>
    <s v="Male"/>
    <x v="7"/>
    <s v="Sneakers"/>
    <n v="138.29"/>
    <x v="3"/>
    <s v="Card"/>
    <n v="3.6"/>
    <n v="14"/>
    <n v="7"/>
    <n v="118.92939999999999"/>
    <x v="4"/>
    <x v="0"/>
    <s v="Returning"/>
  </r>
  <r>
    <n v="286"/>
    <n v="40"/>
    <s v="Female"/>
    <x v="0"/>
    <s v="Handbag"/>
    <n v="101.69"/>
    <x v="2"/>
    <s v="Card"/>
    <n v="5"/>
    <n v="10"/>
    <n v="5"/>
    <n v="91.521000000000001"/>
    <x v="1"/>
    <x v="0"/>
    <s v="Returning"/>
  </r>
  <r>
    <n v="287"/>
    <n v="28"/>
    <s v="Female"/>
    <x v="7"/>
    <s v="Sandals"/>
    <n v="198.28"/>
    <x v="0"/>
    <s v="Card"/>
    <n v="3.6"/>
    <n v="20"/>
    <n v="5"/>
    <n v="158.62400000000002"/>
    <x v="4"/>
    <x v="0"/>
    <s v="Returning"/>
  </r>
  <r>
    <n v="288"/>
    <n v="61"/>
    <s v="Female"/>
    <x v="2"/>
    <s v="Dumbbells"/>
    <n v="171.59"/>
    <x v="2"/>
    <s v="Card"/>
    <n v="3"/>
    <n v="16"/>
    <n v="8"/>
    <n v="144.13560000000001"/>
    <x v="2"/>
    <x v="0"/>
    <s v="Returning"/>
  </r>
  <r>
    <n v="289"/>
    <n v="54"/>
    <s v="Male"/>
    <x v="5"/>
    <s v="Laptop"/>
    <n v="2903.73"/>
    <x v="1"/>
    <s v="Card"/>
    <n v="3.7"/>
    <n v="30"/>
    <n v="10"/>
    <n v="2032.6109999999999"/>
    <x v="0"/>
    <x v="0"/>
    <s v="Returning"/>
  </r>
  <r>
    <n v="290"/>
    <n v="51"/>
    <s v="Male"/>
    <x v="7"/>
    <s v="Formal Shoes"/>
    <n v="206.84"/>
    <x v="3"/>
    <s v="Card"/>
    <n v="2.2000000000000002"/>
    <n v="8"/>
    <n v="4"/>
    <n v="190.2928"/>
    <x v="0"/>
    <x v="0"/>
    <s v="Returning"/>
  </r>
  <r>
    <n v="291"/>
    <n v="31"/>
    <s v="Female"/>
    <x v="8"/>
    <s v="Jeans"/>
    <n v="63.74"/>
    <x v="0"/>
    <s v="Cash on Delivery"/>
    <n v="3.7"/>
    <n v="8"/>
    <n v="4"/>
    <n v="58.640800000000006"/>
    <x v="4"/>
    <x v="0"/>
    <s v="Returning"/>
  </r>
  <r>
    <n v="292"/>
    <n v="61"/>
    <s v="Male"/>
    <x v="2"/>
    <s v="Yoga Mat"/>
    <n v="64.87"/>
    <x v="3"/>
    <s v="Cash on Delivery"/>
    <n v="1.8"/>
    <n v="22"/>
    <n v="6"/>
    <n v="50.598600000000005"/>
    <x v="2"/>
    <x v="0"/>
    <s v="Returning"/>
  </r>
  <r>
    <n v="293"/>
    <n v="50"/>
    <s v="Female"/>
    <x v="0"/>
    <s v="Sunglasses"/>
    <n v="67.819999999999993"/>
    <x v="1"/>
    <s v="Card"/>
    <n v="2.5"/>
    <n v="14"/>
    <n v="7"/>
    <n v="58.325199999999995"/>
    <x v="0"/>
    <x v="0"/>
    <s v="Returning"/>
  </r>
  <r>
    <n v="294"/>
    <n v="65"/>
    <s v="Female"/>
    <x v="6"/>
    <s v="Skincare Kit"/>
    <n v="95.87"/>
    <x v="0"/>
    <s v="Card"/>
    <n v="4"/>
    <n v="14"/>
    <n v="2"/>
    <n v="82.4482"/>
    <x v="2"/>
    <x v="0"/>
    <s v="Returning"/>
  </r>
  <r>
    <n v="295"/>
    <n v="46"/>
    <s v="Female"/>
    <x v="2"/>
    <s v="Yoga Mat"/>
    <n v="142.71"/>
    <x v="1"/>
    <s v="Card"/>
    <n v="3.2"/>
    <n v="10"/>
    <n v="5"/>
    <n v="128.43900000000002"/>
    <x v="0"/>
    <x v="0"/>
    <s v="Returning"/>
  </r>
  <r>
    <n v="296"/>
    <n v="48"/>
    <s v="Male"/>
    <x v="3"/>
    <s v="Lamp"/>
    <n v="218.92"/>
    <x v="2"/>
    <s v="Card"/>
    <n v="3.7"/>
    <n v="21"/>
    <n v="8"/>
    <n v="172.9468"/>
    <x v="0"/>
    <x v="0"/>
    <s v="Returning"/>
  </r>
  <r>
    <n v="297"/>
    <n v="58"/>
    <s v="Male"/>
    <x v="2"/>
    <s v="Dumbbells"/>
    <n v="57.47"/>
    <x v="2"/>
    <s v="Card"/>
    <n v="2.5"/>
    <n v="2"/>
    <n v="1"/>
    <n v="56.320599999999999"/>
    <x v="0"/>
    <x v="0"/>
    <s v="Returning"/>
  </r>
  <r>
    <n v="298"/>
    <n v="20"/>
    <s v="Male"/>
    <x v="1"/>
    <s v="Jeans"/>
    <n v="170"/>
    <x v="1"/>
    <s v="Card"/>
    <n v="3.6"/>
    <n v="12"/>
    <n v="6"/>
    <n v="149.6"/>
    <x v="3"/>
    <x v="0"/>
    <s v="Returning"/>
  </r>
  <r>
    <n v="299"/>
    <n v="36"/>
    <s v="Female"/>
    <x v="8"/>
    <s v="Skirt"/>
    <n v="67.61"/>
    <x v="1"/>
    <s v="Cash on Delivery"/>
    <n v="3.8"/>
    <n v="19"/>
    <n v="7"/>
    <n v="54.764100000000006"/>
    <x v="1"/>
    <x v="0"/>
    <s v="Returning"/>
  </r>
  <r>
    <n v="300"/>
    <n v="66"/>
    <s v="Male"/>
    <x v="1"/>
    <s v="Jeans"/>
    <n v="141.21"/>
    <x v="3"/>
    <s v="Card"/>
    <n v="3.4"/>
    <n v="22"/>
    <n v="6"/>
    <n v="110.14380000000001"/>
    <x v="2"/>
    <x v="0"/>
    <s v="Returning"/>
  </r>
  <r>
    <n v="301"/>
    <n v="66"/>
    <s v="Female"/>
    <x v="0"/>
    <s v="Sunglasses"/>
    <n v="57.04"/>
    <x v="0"/>
    <s v="Cash on Delivery"/>
    <n v="3.5"/>
    <n v="18"/>
    <n v="4"/>
    <n v="46.772800000000004"/>
    <x v="2"/>
    <x v="0"/>
    <s v="Returning"/>
  </r>
  <r>
    <n v="302"/>
    <n v="32"/>
    <s v="Female"/>
    <x v="8"/>
    <s v="Dress"/>
    <n v="41.92"/>
    <x v="0"/>
    <s v="Cash on Delivery"/>
    <n v="3.5"/>
    <n v="8"/>
    <n v="4"/>
    <n v="38.566400000000002"/>
    <x v="4"/>
    <x v="0"/>
    <s v="Returning"/>
  </r>
  <r>
    <n v="303"/>
    <n v="51"/>
    <s v="Male"/>
    <x v="7"/>
    <s v="Formal Shoes"/>
    <n v="106.72"/>
    <x v="0"/>
    <s v="Card"/>
    <n v="2.8"/>
    <n v="18"/>
    <n v="4"/>
    <n v="87.510400000000004"/>
    <x v="0"/>
    <x v="0"/>
    <s v="Returning"/>
  </r>
  <r>
    <n v="304"/>
    <n v="54"/>
    <s v="Female"/>
    <x v="8"/>
    <s v="Top"/>
    <n v="145.16"/>
    <x v="3"/>
    <s v="Card"/>
    <n v="3.1"/>
    <n v="14"/>
    <n v="7"/>
    <n v="124.83759999999999"/>
    <x v="0"/>
    <x v="0"/>
    <s v="Returning"/>
  </r>
  <r>
    <n v="305"/>
    <n v="25"/>
    <s v="Female"/>
    <x v="0"/>
    <s v="Wallet"/>
    <n v="102.26"/>
    <x v="0"/>
    <s v="Card"/>
    <n v="4.2"/>
    <n v="16"/>
    <n v="3"/>
    <n v="85.898399999999995"/>
    <x v="3"/>
    <x v="0"/>
    <s v="Returning"/>
  </r>
  <r>
    <n v="306"/>
    <n v="23"/>
    <s v="Male"/>
    <x v="5"/>
    <s v="Headphones"/>
    <n v="1364.52"/>
    <x v="1"/>
    <s v="Card"/>
    <n v="4.5999999999999996"/>
    <n v="24"/>
    <n v="7"/>
    <n v="1037.0352"/>
    <x v="3"/>
    <x v="0"/>
    <s v="Returning"/>
  </r>
  <r>
    <n v="307"/>
    <n v="52"/>
    <s v="Female"/>
    <x v="4"/>
    <s v="Rice Pack"/>
    <n v="18.59"/>
    <x v="1"/>
    <s v="Cash on Delivery"/>
    <n v="2.5"/>
    <n v="10"/>
    <n v="5"/>
    <n v="16.731000000000002"/>
    <x v="0"/>
    <x v="0"/>
    <s v="Returning"/>
  </r>
  <r>
    <n v="308"/>
    <n v="61"/>
    <s v="Male"/>
    <x v="1"/>
    <s v="Jacket"/>
    <n v="166.84"/>
    <x v="3"/>
    <s v="Card"/>
    <n v="5"/>
    <n v="9"/>
    <n v="2"/>
    <n v="151.8244"/>
    <x v="2"/>
    <x v="0"/>
    <s v="Returning"/>
  </r>
  <r>
    <n v="309"/>
    <n v="30"/>
    <s v="Male"/>
    <x v="1"/>
    <s v="Shirt"/>
    <n v="81.78"/>
    <x v="3"/>
    <s v="Card"/>
    <n v="2.4"/>
    <n v="11"/>
    <n v="3"/>
    <n v="72.784199999999998"/>
    <x v="4"/>
    <x v="0"/>
    <s v="Returning"/>
  </r>
  <r>
    <n v="310"/>
    <n v="45"/>
    <s v="Female"/>
    <x v="2"/>
    <s v="Dumbbells"/>
    <n v="80.77"/>
    <x v="3"/>
    <s v="Card"/>
    <n v="4.5999999999999996"/>
    <n v="11"/>
    <n v="3"/>
    <n v="71.885300000000001"/>
    <x v="1"/>
    <x v="0"/>
    <s v="Returning"/>
  </r>
  <r>
    <n v="311"/>
    <n v="46"/>
    <s v="Male"/>
    <x v="7"/>
    <s v="Sandals"/>
    <n v="118.69"/>
    <x v="3"/>
    <s v="Card"/>
    <n v="2.7"/>
    <n v="10"/>
    <n v="5"/>
    <n v="106.821"/>
    <x v="0"/>
    <x v="0"/>
    <s v="Returning"/>
  </r>
  <r>
    <n v="312"/>
    <n v="35"/>
    <s v="Female"/>
    <x v="6"/>
    <s v="Skincare Kit"/>
    <n v="77.47"/>
    <x v="3"/>
    <s v="Card"/>
    <n v="4.3"/>
    <n v="8"/>
    <n v="4"/>
    <n v="71.272400000000005"/>
    <x v="4"/>
    <x v="0"/>
    <s v="Returning"/>
  </r>
  <r>
    <n v="313"/>
    <n v="48"/>
    <s v="Female"/>
    <x v="0"/>
    <s v="Wallet"/>
    <n v="85.35"/>
    <x v="1"/>
    <s v="Card"/>
    <n v="4.3"/>
    <n v="4"/>
    <n v="2"/>
    <n v="81.935999999999993"/>
    <x v="0"/>
    <x v="0"/>
    <s v="Returning"/>
  </r>
  <r>
    <n v="314"/>
    <n v="48"/>
    <s v="Female"/>
    <x v="7"/>
    <s v="Sandals"/>
    <n v="102.43"/>
    <x v="1"/>
    <s v="Card"/>
    <n v="3.6"/>
    <n v="24"/>
    <n v="7"/>
    <n v="77.846800000000002"/>
    <x v="0"/>
    <x v="0"/>
    <s v="Returning"/>
  </r>
  <r>
    <n v="315"/>
    <n v="30"/>
    <s v="Male"/>
    <x v="4"/>
    <s v="Beverages"/>
    <n v="11.09"/>
    <x v="0"/>
    <s v="Cash on Delivery"/>
    <n v="2.8"/>
    <n v="23"/>
    <n v="9"/>
    <n v="8.5393000000000008"/>
    <x v="4"/>
    <x v="0"/>
    <s v="Returning"/>
  </r>
  <r>
    <n v="316"/>
    <n v="43"/>
    <s v="Male"/>
    <x v="2"/>
    <s v="Yoga Mat"/>
    <n v="30.29"/>
    <x v="3"/>
    <s v="Cash on Delivery"/>
    <n v="2.4"/>
    <n v="16"/>
    <n v="3"/>
    <n v="25.4436"/>
    <x v="1"/>
    <x v="0"/>
    <s v="Returning"/>
  </r>
  <r>
    <n v="317"/>
    <n v="69"/>
    <s v="Female"/>
    <x v="4"/>
    <s v="Snacks"/>
    <n v="79.400000000000006"/>
    <x v="2"/>
    <s v="Card"/>
    <n v="3.4"/>
    <n v="15"/>
    <n v="5"/>
    <n v="67.490000000000009"/>
    <x v="2"/>
    <x v="0"/>
    <s v="Returning"/>
  </r>
  <r>
    <n v="318"/>
    <n v="22"/>
    <s v="Female"/>
    <x v="2"/>
    <s v="Football"/>
    <n v="237.38"/>
    <x v="1"/>
    <s v="Card"/>
    <n v="3.4"/>
    <n v="7"/>
    <n v="1"/>
    <n v="220.76339999999999"/>
    <x v="3"/>
    <x v="0"/>
    <s v="Returning"/>
  </r>
  <r>
    <n v="319"/>
    <n v="39"/>
    <s v="Female"/>
    <x v="4"/>
    <s v="Cooking Oil"/>
    <n v="56.93"/>
    <x v="3"/>
    <s v="Card"/>
    <n v="4.4000000000000004"/>
    <n v="8"/>
    <n v="4"/>
    <n v="52.375599999999999"/>
    <x v="1"/>
    <x v="0"/>
    <s v="Returning"/>
  </r>
  <r>
    <n v="320"/>
    <n v="60"/>
    <s v="Female"/>
    <x v="8"/>
    <s v="Dress"/>
    <n v="187.91"/>
    <x v="1"/>
    <s v="Card"/>
    <n v="3.8"/>
    <n v="4"/>
    <n v="2"/>
    <n v="180.39359999999999"/>
    <x v="0"/>
    <x v="0"/>
    <s v="Returning"/>
  </r>
  <r>
    <n v="321"/>
    <n v="67"/>
    <s v="Female"/>
    <x v="8"/>
    <s v="Dress"/>
    <n v="144.38"/>
    <x v="1"/>
    <s v="Card"/>
    <n v="3.4"/>
    <n v="24"/>
    <n v="7"/>
    <n v="109.72879999999999"/>
    <x v="2"/>
    <x v="0"/>
    <s v="Returning"/>
  </r>
  <r>
    <n v="322"/>
    <n v="56"/>
    <s v="Female"/>
    <x v="3"/>
    <s v="Curtains"/>
    <n v="139.78"/>
    <x v="1"/>
    <s v="Card"/>
    <n v="3.9"/>
    <n v="19"/>
    <n v="7"/>
    <n v="113.2218"/>
    <x v="0"/>
    <x v="0"/>
    <s v="Returning"/>
  </r>
  <r>
    <n v="323"/>
    <n v="22"/>
    <s v="Male"/>
    <x v="2"/>
    <s v="Dumbbells"/>
    <n v="232.96"/>
    <x v="3"/>
    <s v="Card"/>
    <n v="4.0999999999999996"/>
    <n v="6"/>
    <n v="3"/>
    <n v="218.98239999999998"/>
    <x v="3"/>
    <x v="0"/>
    <s v="Returning"/>
  </r>
  <r>
    <n v="324"/>
    <n v="65"/>
    <s v="Female"/>
    <x v="6"/>
    <s v="Skincare Kit"/>
    <n v="79.89"/>
    <x v="0"/>
    <s v="Card"/>
    <n v="5"/>
    <n v="24"/>
    <n v="7"/>
    <n v="60.7164"/>
    <x v="2"/>
    <x v="0"/>
    <s v="Returning"/>
  </r>
  <r>
    <n v="325"/>
    <n v="38"/>
    <s v="Female"/>
    <x v="2"/>
    <s v="Football"/>
    <n v="240.47"/>
    <x v="0"/>
    <s v="Card"/>
    <n v="3.4"/>
    <n v="8"/>
    <n v="4"/>
    <n v="221.23240000000001"/>
    <x v="1"/>
    <x v="0"/>
    <s v="Returning"/>
  </r>
  <r>
    <n v="326"/>
    <n v="42"/>
    <s v="Female"/>
    <x v="2"/>
    <s v="Yoga Mat"/>
    <n v="124.92"/>
    <x v="0"/>
    <s v="Card"/>
    <n v="2.2000000000000002"/>
    <n v="21"/>
    <n v="8"/>
    <n v="98.686800000000005"/>
    <x v="1"/>
    <x v="0"/>
    <s v="Returning"/>
  </r>
  <r>
    <n v="327"/>
    <n v="48"/>
    <s v="Female"/>
    <x v="2"/>
    <s v="Dumbbells"/>
    <n v="174.99"/>
    <x v="2"/>
    <s v="Card"/>
    <n v="4.4000000000000004"/>
    <n v="18"/>
    <n v="4"/>
    <n v="143.49180000000001"/>
    <x v="0"/>
    <x v="0"/>
    <s v="Returning"/>
  </r>
  <r>
    <n v="328"/>
    <n v="32"/>
    <s v="Female"/>
    <x v="7"/>
    <s v="Sandals"/>
    <n v="169.59"/>
    <x v="3"/>
    <s v="Card"/>
    <n v="4.8"/>
    <n v="13"/>
    <n v="4"/>
    <n v="147.54330000000002"/>
    <x v="4"/>
    <x v="0"/>
    <s v="Returning"/>
  </r>
  <r>
    <n v="329"/>
    <n v="62"/>
    <s v="Male"/>
    <x v="2"/>
    <s v="Dumbbells"/>
    <n v="212.29"/>
    <x v="1"/>
    <s v="Card"/>
    <n v="5"/>
    <n v="11"/>
    <n v="3"/>
    <n v="188.93809999999999"/>
    <x v="2"/>
    <x v="0"/>
    <s v="Returning"/>
  </r>
  <r>
    <n v="330"/>
    <n v="57"/>
    <s v="Male"/>
    <x v="5"/>
    <s v="Headphones"/>
    <n v="2524.81"/>
    <x v="0"/>
    <s v="Card"/>
    <n v="3.8"/>
    <n v="17"/>
    <n v="6"/>
    <n v="2095.5922999999998"/>
    <x v="0"/>
    <x v="0"/>
    <s v="Returning"/>
  </r>
  <r>
    <n v="331"/>
    <n v="62"/>
    <s v="Male"/>
    <x v="1"/>
    <s v="Shirt"/>
    <n v="83.68"/>
    <x v="1"/>
    <s v="Cash on Delivery"/>
    <n v="2.9"/>
    <n v="10"/>
    <n v="5"/>
    <n v="75.312000000000012"/>
    <x v="2"/>
    <x v="0"/>
    <s v="Returning"/>
  </r>
  <r>
    <n v="332"/>
    <n v="60"/>
    <s v="Male"/>
    <x v="1"/>
    <s v="T-Shirt"/>
    <n v="128.55000000000001"/>
    <x v="1"/>
    <s v="Card"/>
    <n v="4.5999999999999996"/>
    <n v="18"/>
    <n v="4"/>
    <n v="105.41100000000002"/>
    <x v="0"/>
    <x v="0"/>
    <s v="Returning"/>
  </r>
  <r>
    <n v="333"/>
    <n v="47"/>
    <s v="Male"/>
    <x v="3"/>
    <s v="Curtains"/>
    <n v="284.08"/>
    <x v="0"/>
    <s v="Card"/>
    <n v="3.3"/>
    <n v="16"/>
    <n v="3"/>
    <n v="238.62719999999999"/>
    <x v="0"/>
    <x v="0"/>
    <s v="Returning"/>
  </r>
  <r>
    <n v="334"/>
    <n v="57"/>
    <s v="Female"/>
    <x v="8"/>
    <s v="Skirt"/>
    <n v="140.29"/>
    <x v="0"/>
    <s v="Card"/>
    <n v="5"/>
    <n v="12"/>
    <n v="6"/>
    <n v="123.45519999999999"/>
    <x v="0"/>
    <x v="0"/>
    <s v="Returning"/>
  </r>
  <r>
    <n v="335"/>
    <n v="53"/>
    <s v="Female"/>
    <x v="0"/>
    <s v="Wallet"/>
    <n v="29.37"/>
    <x v="0"/>
    <s v="Cash on Delivery"/>
    <n v="3.2"/>
    <n v="24"/>
    <n v="7"/>
    <n v="22.321200000000001"/>
    <x v="0"/>
    <x v="0"/>
    <s v="Returning"/>
  </r>
  <r>
    <n v="336"/>
    <n v="48"/>
    <s v="Female"/>
    <x v="0"/>
    <s v="Sunglasses"/>
    <n v="79.45"/>
    <x v="1"/>
    <s v="Card"/>
    <n v="4"/>
    <n v="15"/>
    <n v="5"/>
    <n v="67.532499999999999"/>
    <x v="0"/>
    <x v="0"/>
    <s v="Returning"/>
  </r>
  <r>
    <n v="337"/>
    <n v="63"/>
    <s v="Female"/>
    <x v="8"/>
    <s v="Top"/>
    <n v="77.099999999999994"/>
    <x v="2"/>
    <s v="Cash on Delivery"/>
    <n v="2.1"/>
    <n v="17"/>
    <n v="6"/>
    <n v="63.992999999999995"/>
    <x v="2"/>
    <x v="0"/>
    <s v="Returning"/>
  </r>
  <r>
    <n v="338"/>
    <n v="49"/>
    <s v="Male"/>
    <x v="1"/>
    <s v="Shirt"/>
    <n v="163.61000000000001"/>
    <x v="2"/>
    <s v="Card"/>
    <n v="2.9"/>
    <n v="6"/>
    <n v="3"/>
    <n v="153.79339999999999"/>
    <x v="0"/>
    <x v="0"/>
    <s v="Returning"/>
  </r>
  <r>
    <n v="339"/>
    <n v="62"/>
    <s v="Female"/>
    <x v="8"/>
    <s v="Jeans"/>
    <n v="34.1"/>
    <x v="0"/>
    <s v="Card"/>
    <n v="2.8"/>
    <n v="9"/>
    <n v="2"/>
    <n v="31.031000000000002"/>
    <x v="2"/>
    <x v="0"/>
    <s v="Returning"/>
  </r>
  <r>
    <n v="340"/>
    <n v="50"/>
    <s v="Female"/>
    <x v="0"/>
    <s v="Wallet"/>
    <n v="62.32"/>
    <x v="2"/>
    <s v="Card"/>
    <n v="3.5"/>
    <n v="18"/>
    <n v="4"/>
    <n v="51.102400000000003"/>
    <x v="0"/>
    <x v="0"/>
    <s v="Returning"/>
  </r>
  <r>
    <n v="341"/>
    <n v="35"/>
    <s v="Male"/>
    <x v="2"/>
    <s v="Dumbbells"/>
    <n v="165.77"/>
    <x v="3"/>
    <s v="Card"/>
    <n v="3.3"/>
    <n v="14"/>
    <n v="2"/>
    <n v="142.56220000000002"/>
    <x v="4"/>
    <x v="0"/>
    <s v="Returning"/>
  </r>
  <r>
    <n v="342"/>
    <n v="29"/>
    <s v="Male"/>
    <x v="7"/>
    <s v="Sandals"/>
    <n v="132.79"/>
    <x v="3"/>
    <s v="Card"/>
    <n v="4.4000000000000004"/>
    <n v="14"/>
    <n v="2"/>
    <n v="114.1994"/>
    <x v="4"/>
    <x v="0"/>
    <s v="Returning"/>
  </r>
  <r>
    <n v="343"/>
    <n v="25"/>
    <s v="Female"/>
    <x v="6"/>
    <s v="Skincare Kit"/>
    <n v="82.83"/>
    <x v="0"/>
    <s v="Card"/>
    <n v="4.4000000000000004"/>
    <n v="8"/>
    <n v="4"/>
    <n v="76.203600000000009"/>
    <x v="3"/>
    <x v="0"/>
    <s v="Returning"/>
  </r>
  <r>
    <n v="344"/>
    <n v="28"/>
    <s v="Female"/>
    <x v="6"/>
    <s v="Skincare Kit"/>
    <n v="139.28"/>
    <x v="0"/>
    <s v="Card"/>
    <n v="5"/>
    <n v="21"/>
    <n v="8"/>
    <n v="110.03120000000001"/>
    <x v="4"/>
    <x v="0"/>
    <s v="Returning"/>
  </r>
  <r>
    <n v="345"/>
    <n v="44"/>
    <s v="Male"/>
    <x v="1"/>
    <s v="T-Shirt"/>
    <n v="145.69"/>
    <x v="1"/>
    <s v="Card"/>
    <n v="3.4"/>
    <n v="6"/>
    <n v="3"/>
    <n v="136.9486"/>
    <x v="1"/>
    <x v="0"/>
    <s v="Returning"/>
  </r>
  <r>
    <n v="346"/>
    <n v="47"/>
    <s v="Female"/>
    <x v="0"/>
    <s v="Handbag"/>
    <n v="28.87"/>
    <x v="0"/>
    <s v="Cash on Delivery"/>
    <n v="3"/>
    <n v="10"/>
    <n v="5"/>
    <n v="25.983000000000001"/>
    <x v="0"/>
    <x v="0"/>
    <s v="Returning"/>
  </r>
  <r>
    <n v="347"/>
    <n v="22"/>
    <s v="Female"/>
    <x v="7"/>
    <s v="Sandals"/>
    <n v="122.56"/>
    <x v="2"/>
    <s v="Card"/>
    <n v="4.0999999999999996"/>
    <n v="14"/>
    <n v="2"/>
    <n v="105.4016"/>
    <x v="3"/>
    <x v="0"/>
    <s v="Returning"/>
  </r>
  <r>
    <n v="348"/>
    <n v="69"/>
    <s v="Male"/>
    <x v="7"/>
    <s v="Sneakers"/>
    <n v="98.93"/>
    <x v="3"/>
    <s v="Card"/>
    <n v="3"/>
    <n v="24"/>
    <n v="7"/>
    <n v="75.186800000000005"/>
    <x v="2"/>
    <x v="0"/>
    <s v="Returning"/>
  </r>
  <r>
    <n v="349"/>
    <n v="41"/>
    <s v="Male"/>
    <x v="2"/>
    <s v="Yoga Mat"/>
    <n v="207.36"/>
    <x v="1"/>
    <s v="Card"/>
    <n v="3.9"/>
    <n v="13"/>
    <n v="4"/>
    <n v="180.4032"/>
    <x v="1"/>
    <x v="0"/>
    <s v="Returning"/>
  </r>
  <r>
    <n v="350"/>
    <n v="54"/>
    <s v="Female"/>
    <x v="6"/>
    <s v="Makeup Set"/>
    <n v="87.55"/>
    <x v="1"/>
    <s v="Card"/>
    <n v="3.6"/>
    <n v="18"/>
    <n v="4"/>
    <n v="71.790999999999997"/>
    <x v="0"/>
    <x v="0"/>
    <s v="Returning"/>
  </r>
  <r>
    <n v="351"/>
    <n v="40"/>
    <s v="Female"/>
    <x v="6"/>
    <s v="Skincare Kit"/>
    <n v="47.08"/>
    <x v="2"/>
    <s v="Card"/>
    <n v="3"/>
    <n v="12"/>
    <n v="6"/>
    <n v="41.430399999999999"/>
    <x v="1"/>
    <x v="0"/>
    <s v="Returning"/>
  </r>
  <r>
    <n v="352"/>
    <n v="63"/>
    <s v="Female"/>
    <x v="2"/>
    <s v="Dumbbells"/>
    <n v="104.84"/>
    <x v="1"/>
    <s v="Card"/>
    <n v="4.3"/>
    <n v="18"/>
    <n v="9"/>
    <n v="85.968800000000016"/>
    <x v="2"/>
    <x v="0"/>
    <s v="Returning"/>
  </r>
  <r>
    <n v="353"/>
    <n v="47"/>
    <s v="Male"/>
    <x v="1"/>
    <s v="Shirt"/>
    <n v="84.24"/>
    <x v="0"/>
    <s v="Cash on Delivery"/>
    <n v="3.1"/>
    <n v="13"/>
    <n v="4"/>
    <n v="73.288799999999995"/>
    <x v="0"/>
    <x v="0"/>
    <s v="Returning"/>
  </r>
  <r>
    <n v="354"/>
    <n v="68"/>
    <s v="Female"/>
    <x v="6"/>
    <s v="Perfume"/>
    <n v="136.55000000000001"/>
    <x v="3"/>
    <s v="Card"/>
    <n v="3.6"/>
    <n v="7"/>
    <n v="1"/>
    <n v="126.9915"/>
    <x v="2"/>
    <x v="0"/>
    <s v="Returning"/>
  </r>
  <r>
    <n v="355"/>
    <n v="53"/>
    <s v="Male"/>
    <x v="5"/>
    <s v="Headphones"/>
    <n v="2520.9899999999998"/>
    <x v="2"/>
    <s v="Card"/>
    <n v="3.1"/>
    <n v="18"/>
    <n v="4"/>
    <n v="2067.2118"/>
    <x v="0"/>
    <x v="0"/>
    <s v="Returning"/>
  </r>
  <r>
    <n v="356"/>
    <n v="25"/>
    <s v="Male"/>
    <x v="2"/>
    <s v="Football"/>
    <n v="43.35"/>
    <x v="3"/>
    <s v="Card"/>
    <n v="2.2000000000000002"/>
    <n v="6"/>
    <n v="3"/>
    <n v="40.749000000000002"/>
    <x v="3"/>
    <x v="0"/>
    <s v="Returning"/>
  </r>
  <r>
    <n v="357"/>
    <n v="34"/>
    <s v="Female"/>
    <x v="6"/>
    <s v="Skincare Kit"/>
    <n v="123.83"/>
    <x v="1"/>
    <s v="Card"/>
    <n v="5"/>
    <n v="4"/>
    <n v="2"/>
    <n v="118.87679999999999"/>
    <x v="4"/>
    <x v="0"/>
    <s v="Returning"/>
  </r>
  <r>
    <n v="358"/>
    <n v="66"/>
    <s v="Female"/>
    <x v="7"/>
    <s v="Formal Shoes"/>
    <n v="194.54"/>
    <x v="1"/>
    <s v="Card"/>
    <n v="2.6"/>
    <n v="6"/>
    <n v="3"/>
    <n v="182.86759999999998"/>
    <x v="2"/>
    <x v="0"/>
    <s v="Returning"/>
  </r>
  <r>
    <n v="359"/>
    <n v="30"/>
    <s v="Male"/>
    <x v="1"/>
    <s v="Shirt"/>
    <n v="65.61"/>
    <x v="3"/>
    <s v="Card"/>
    <n v="3.3"/>
    <n v="16"/>
    <n v="3"/>
    <n v="55.112400000000001"/>
    <x v="4"/>
    <x v="0"/>
    <s v="Returning"/>
  </r>
  <r>
    <n v="360"/>
    <n v="59"/>
    <s v="Female"/>
    <x v="0"/>
    <s v="Handbag"/>
    <n v="68.540000000000006"/>
    <x v="1"/>
    <s v="Card"/>
    <n v="2.7"/>
    <n v="21"/>
    <n v="8"/>
    <n v="54.146600000000007"/>
    <x v="0"/>
    <x v="0"/>
    <s v="Returning"/>
  </r>
  <r>
    <n v="361"/>
    <n v="22"/>
    <s v="Female"/>
    <x v="2"/>
    <s v="Yoga Mat"/>
    <n v="95.48"/>
    <x v="2"/>
    <s v="Cash on Delivery"/>
    <n v="4.0999999999999996"/>
    <n v="9"/>
    <n v="2"/>
    <n v="86.886800000000008"/>
    <x v="3"/>
    <x v="0"/>
    <s v="Returning"/>
  </r>
  <r>
    <n v="362"/>
    <n v="23"/>
    <s v="Male"/>
    <x v="7"/>
    <s v="Sandals"/>
    <n v="217.69"/>
    <x v="1"/>
    <s v="Card"/>
    <n v="3.4"/>
    <n v="18"/>
    <n v="4"/>
    <n v="178.50580000000002"/>
    <x v="3"/>
    <x v="0"/>
    <s v="Returning"/>
  </r>
  <r>
    <n v="363"/>
    <n v="59"/>
    <s v="Male"/>
    <x v="2"/>
    <s v="Dumbbells"/>
    <n v="221.98"/>
    <x v="3"/>
    <s v="Card"/>
    <n v="3"/>
    <n v="16"/>
    <n v="8"/>
    <n v="186.46319999999997"/>
    <x v="0"/>
    <x v="0"/>
    <s v="Returning"/>
  </r>
  <r>
    <n v="364"/>
    <n v="70"/>
    <s v="Female"/>
    <x v="0"/>
    <s v="Sunglasses"/>
    <n v="157.83000000000001"/>
    <x v="3"/>
    <s v="Card"/>
    <n v="4.5"/>
    <n v="24"/>
    <n v="7"/>
    <n v="119.95080000000002"/>
    <x v="2"/>
    <x v="0"/>
    <s v="Returning"/>
  </r>
  <r>
    <n v="365"/>
    <n v="28"/>
    <s v="Male"/>
    <x v="7"/>
    <s v="Formal Shoes"/>
    <n v="92.99"/>
    <x v="2"/>
    <s v="Card"/>
    <n v="3.8"/>
    <n v="16"/>
    <n v="3"/>
    <n v="78.111599999999996"/>
    <x v="4"/>
    <x v="0"/>
    <s v="Returning"/>
  </r>
  <r>
    <n v="366"/>
    <n v="30"/>
    <s v="Female"/>
    <x v="8"/>
    <s v="Skirt"/>
    <n v="152.47"/>
    <x v="0"/>
    <s v="Card"/>
    <n v="4"/>
    <n v="24"/>
    <n v="7"/>
    <n v="115.8772"/>
    <x v="4"/>
    <x v="0"/>
    <s v="Returning"/>
  </r>
  <r>
    <n v="367"/>
    <n v="50"/>
    <s v="Male"/>
    <x v="2"/>
    <s v="Dumbbells"/>
    <n v="162.69999999999999"/>
    <x v="3"/>
    <s v="Card"/>
    <n v="2.8"/>
    <n v="11"/>
    <n v="3"/>
    <n v="144.803"/>
    <x v="0"/>
    <x v="0"/>
    <s v="Returning"/>
  </r>
  <r>
    <n v="368"/>
    <n v="66"/>
    <s v="Male"/>
    <x v="2"/>
    <s v="Football"/>
    <n v="56.33"/>
    <x v="1"/>
    <s v="Cash on Delivery"/>
    <n v="4.0999999999999996"/>
    <n v="2"/>
    <n v="1"/>
    <n v="55.203399999999995"/>
    <x v="2"/>
    <x v="0"/>
    <s v="Returning"/>
  </r>
  <r>
    <n v="369"/>
    <n v="34"/>
    <s v="Female"/>
    <x v="6"/>
    <s v="Makeup Set"/>
    <n v="41.77"/>
    <x v="2"/>
    <s v="Cash on Delivery"/>
    <n v="3.5"/>
    <n v="4"/>
    <n v="2"/>
    <n v="40.099200000000003"/>
    <x v="4"/>
    <x v="0"/>
    <s v="Returning"/>
  </r>
  <r>
    <n v="370"/>
    <n v="49"/>
    <s v="Male"/>
    <x v="5"/>
    <s v="Laptop"/>
    <n v="2544.06"/>
    <x v="3"/>
    <s v="Card"/>
    <n v="3.6"/>
    <n v="10"/>
    <n v="5"/>
    <n v="2289.654"/>
    <x v="0"/>
    <x v="0"/>
    <s v="Returning"/>
  </r>
  <r>
    <n v="371"/>
    <n v="53"/>
    <s v="Female"/>
    <x v="0"/>
    <s v="Handbag"/>
    <n v="89.64"/>
    <x v="1"/>
    <s v="Cash on Delivery"/>
    <n v="4.0999999999999996"/>
    <n v="6"/>
    <n v="3"/>
    <n v="84.261600000000001"/>
    <x v="0"/>
    <x v="0"/>
    <s v="Returning"/>
  </r>
  <r>
    <n v="372"/>
    <n v="53"/>
    <s v="Male"/>
    <x v="7"/>
    <s v="Formal Shoes"/>
    <n v="224"/>
    <x v="0"/>
    <s v="Card"/>
    <n v="5"/>
    <n v="20"/>
    <n v="5"/>
    <n v="179.20000000000002"/>
    <x v="0"/>
    <x v="0"/>
    <s v="Returning"/>
  </r>
  <r>
    <n v="373"/>
    <n v="52"/>
    <s v="Female"/>
    <x v="0"/>
    <s v="Wallet"/>
    <n v="37.28"/>
    <x v="2"/>
    <s v="Card"/>
    <n v="3.3"/>
    <n v="13"/>
    <n v="4"/>
    <n v="32.433599999999998"/>
    <x v="0"/>
    <x v="0"/>
    <s v="Returning"/>
  </r>
  <r>
    <n v="374"/>
    <n v="61"/>
    <s v="Male"/>
    <x v="7"/>
    <s v="Formal Shoes"/>
    <n v="42.08"/>
    <x v="1"/>
    <s v="Cash on Delivery"/>
    <n v="2.5"/>
    <n v="20"/>
    <n v="10"/>
    <n v="33.664000000000001"/>
    <x v="2"/>
    <x v="0"/>
    <s v="Returning"/>
  </r>
  <r>
    <n v="375"/>
    <n v="28"/>
    <s v="Male"/>
    <x v="1"/>
    <s v="Jacket"/>
    <n v="50.72"/>
    <x v="3"/>
    <s v="Cash on Delivery"/>
    <n v="2.6"/>
    <n v="4"/>
    <n v="2"/>
    <n v="48.691199999999995"/>
    <x v="4"/>
    <x v="0"/>
    <s v="Returning"/>
  </r>
  <r>
    <n v="376"/>
    <n v="54"/>
    <s v="Female"/>
    <x v="8"/>
    <s v="Skirt"/>
    <n v="183.9"/>
    <x v="1"/>
    <s v="Card"/>
    <n v="4"/>
    <n v="18"/>
    <n v="4"/>
    <n v="150.79800000000003"/>
    <x v="0"/>
    <x v="0"/>
    <s v="Returning"/>
  </r>
  <r>
    <n v="377"/>
    <n v="36"/>
    <s v="Female"/>
    <x v="6"/>
    <s v="Perfume"/>
    <n v="121.81"/>
    <x v="2"/>
    <s v="Card"/>
    <n v="3.8"/>
    <n v="16"/>
    <n v="3"/>
    <n v="102.32039999999999"/>
    <x v="1"/>
    <x v="0"/>
    <s v="Returning"/>
  </r>
  <r>
    <n v="378"/>
    <n v="35"/>
    <s v="Female"/>
    <x v="8"/>
    <s v="Jeans"/>
    <n v="66.09"/>
    <x v="3"/>
    <s v="Card"/>
    <n v="2.9"/>
    <n v="16"/>
    <n v="3"/>
    <n v="55.515599999999999"/>
    <x v="4"/>
    <x v="0"/>
    <s v="Returning"/>
  </r>
  <r>
    <n v="379"/>
    <n v="63"/>
    <s v="Male"/>
    <x v="7"/>
    <s v="Formal Shoes"/>
    <n v="119.18"/>
    <x v="1"/>
    <s v="Card"/>
    <n v="4.5"/>
    <n v="8"/>
    <n v="4"/>
    <n v="109.64560000000002"/>
    <x v="2"/>
    <x v="0"/>
    <s v="Returning"/>
  </r>
  <r>
    <n v="380"/>
    <n v="51"/>
    <s v="Male"/>
    <x v="1"/>
    <s v="Jacket"/>
    <n v="123"/>
    <x v="2"/>
    <s v="Card"/>
    <n v="3.6"/>
    <n v="11"/>
    <n v="3"/>
    <n v="109.47"/>
    <x v="0"/>
    <x v="0"/>
    <s v="Returning"/>
  </r>
  <r>
    <n v="381"/>
    <n v="26"/>
    <s v="Male"/>
    <x v="1"/>
    <s v="Shirt"/>
    <n v="37.33"/>
    <x v="1"/>
    <s v="Card"/>
    <n v="3.6"/>
    <n v="20"/>
    <n v="5"/>
    <n v="29.864000000000001"/>
    <x v="4"/>
    <x v="0"/>
    <s v="Returning"/>
  </r>
  <r>
    <n v="382"/>
    <n v="54"/>
    <s v="Male"/>
    <x v="5"/>
    <s v="Mobile Phone"/>
    <n v="1625.71"/>
    <x v="1"/>
    <s v="Card"/>
    <n v="5"/>
    <n v="26"/>
    <n v="13"/>
    <n v="1203.0254"/>
    <x v="0"/>
    <x v="0"/>
    <s v="Returning"/>
  </r>
  <r>
    <n v="383"/>
    <n v="70"/>
    <s v="Male"/>
    <x v="7"/>
    <s v="Sneakers"/>
    <n v="150.47999999999999"/>
    <x v="1"/>
    <s v="Card"/>
    <n v="4.5999999999999996"/>
    <n v="12"/>
    <n v="6"/>
    <n v="132.42239999999998"/>
    <x v="2"/>
    <x v="0"/>
    <s v="Returning"/>
  </r>
  <r>
    <n v="384"/>
    <n v="45"/>
    <s v="Male"/>
    <x v="5"/>
    <s v="Laptop"/>
    <n v="1400.99"/>
    <x v="2"/>
    <s v="Card"/>
    <n v="2.8"/>
    <n v="6"/>
    <n v="3"/>
    <n v="1316.9305999999999"/>
    <x v="1"/>
    <x v="0"/>
    <s v="Returning"/>
  </r>
  <r>
    <n v="385"/>
    <n v="43"/>
    <s v="Male"/>
    <x v="2"/>
    <s v="Football"/>
    <n v="80.25"/>
    <x v="2"/>
    <s v="Card"/>
    <n v="3.9"/>
    <n v="17"/>
    <n v="6"/>
    <n v="66.607500000000002"/>
    <x v="1"/>
    <x v="0"/>
    <s v="Returning"/>
  </r>
  <r>
    <n v="386"/>
    <n v="37"/>
    <s v="Female"/>
    <x v="4"/>
    <s v="Rice Pack"/>
    <n v="29.59"/>
    <x v="3"/>
    <s v="Card"/>
    <n v="4.7"/>
    <n v="24"/>
    <n v="7"/>
    <n v="22.488399999999999"/>
    <x v="1"/>
    <x v="0"/>
    <s v="Returning"/>
  </r>
  <r>
    <n v="387"/>
    <n v="47"/>
    <s v="Male"/>
    <x v="1"/>
    <s v="T-Shirt"/>
    <n v="112.86"/>
    <x v="2"/>
    <s v="Card"/>
    <n v="4.5999999999999996"/>
    <n v="14"/>
    <n v="7"/>
    <n v="97.059600000000003"/>
    <x v="0"/>
    <x v="0"/>
    <s v="Returning"/>
  </r>
  <r>
    <n v="388"/>
    <n v="45"/>
    <s v="Male"/>
    <x v="2"/>
    <s v="Football"/>
    <n v="160.31"/>
    <x v="2"/>
    <s v="Card"/>
    <n v="3"/>
    <n v="6"/>
    <n v="3"/>
    <n v="150.69139999999999"/>
    <x v="1"/>
    <x v="0"/>
    <s v="Returning"/>
  </r>
  <r>
    <n v="389"/>
    <n v="44"/>
    <s v="Female"/>
    <x v="3"/>
    <s v="Lamp"/>
    <n v="155.34"/>
    <x v="2"/>
    <s v="Card"/>
    <n v="4.5"/>
    <n v="13"/>
    <n v="4"/>
    <n v="135.14580000000001"/>
    <x v="1"/>
    <x v="0"/>
    <s v="Returning"/>
  </r>
  <r>
    <n v="390"/>
    <n v="39"/>
    <s v="Male"/>
    <x v="4"/>
    <s v="Cooking Oil"/>
    <n v="76.790000000000006"/>
    <x v="2"/>
    <s v="Cash on Delivery"/>
    <n v="3.3"/>
    <n v="19"/>
    <n v="7"/>
    <n v="62.199900000000007"/>
    <x v="1"/>
    <x v="0"/>
    <s v="Returning"/>
  </r>
  <r>
    <n v="391"/>
    <n v="42"/>
    <s v="Male"/>
    <x v="5"/>
    <s v="Mobile Phone"/>
    <n v="845.92"/>
    <x v="0"/>
    <s v="Card"/>
    <n v="2.9"/>
    <n v="25"/>
    <n v="10"/>
    <n v="634.43999999999994"/>
    <x v="1"/>
    <x v="0"/>
    <s v="Returning"/>
  </r>
  <r>
    <n v="392"/>
    <n v="26"/>
    <s v="Female"/>
    <x v="8"/>
    <s v="Jeans"/>
    <n v="177.84"/>
    <x v="2"/>
    <s v="Card"/>
    <n v="4.5"/>
    <n v="13"/>
    <n v="4"/>
    <n v="154.7208"/>
    <x v="4"/>
    <x v="0"/>
    <s v="Returning"/>
  </r>
  <r>
    <n v="393"/>
    <n v="42"/>
    <s v="Male"/>
    <x v="7"/>
    <s v="Sandals"/>
    <n v="81.260000000000005"/>
    <x v="3"/>
    <s v="Card"/>
    <n v="4.0999999999999996"/>
    <n v="14"/>
    <n v="2"/>
    <n v="69.883600000000001"/>
    <x v="1"/>
    <x v="0"/>
    <s v="Returning"/>
  </r>
  <r>
    <n v="394"/>
    <n v="33"/>
    <s v="Male"/>
    <x v="2"/>
    <s v="Yoga Mat"/>
    <n v="143.71"/>
    <x v="3"/>
    <s v="Card"/>
    <n v="3.9"/>
    <n v="11"/>
    <n v="3"/>
    <n v="127.90190000000001"/>
    <x v="4"/>
    <x v="0"/>
    <s v="Returning"/>
  </r>
  <r>
    <n v="395"/>
    <n v="70"/>
    <s v="Male"/>
    <x v="2"/>
    <s v="Yoga Mat"/>
    <n v="62.41"/>
    <x v="3"/>
    <s v="Cash on Delivery"/>
    <n v="3.7"/>
    <n v="28"/>
    <n v="9"/>
    <n v="44.935199999999995"/>
    <x v="2"/>
    <x v="0"/>
    <s v="Returning"/>
  </r>
  <r>
    <n v="396"/>
    <n v="55"/>
    <s v="Female"/>
    <x v="7"/>
    <s v="Sneakers"/>
    <n v="120.97"/>
    <x v="3"/>
    <s v="Card"/>
    <n v="2.9"/>
    <n v="20"/>
    <n v="5"/>
    <n v="96.77600000000001"/>
    <x v="0"/>
    <x v="0"/>
    <s v="Returning"/>
  </r>
  <r>
    <n v="397"/>
    <n v="28"/>
    <s v="Male"/>
    <x v="1"/>
    <s v="Jeans"/>
    <n v="176.62"/>
    <x v="1"/>
    <s v="Card"/>
    <n v="3.7"/>
    <n v="16"/>
    <n v="3"/>
    <n v="148.36080000000001"/>
    <x v="4"/>
    <x v="0"/>
    <s v="Returning"/>
  </r>
  <r>
    <n v="398"/>
    <n v="27"/>
    <s v="Male"/>
    <x v="5"/>
    <s v="Laptop"/>
    <n v="1091.52"/>
    <x v="3"/>
    <s v="Card"/>
    <n v="4.9000000000000004"/>
    <n v="11"/>
    <n v="3"/>
    <n v="971.45280000000002"/>
    <x v="4"/>
    <x v="0"/>
    <s v="Returning"/>
  </r>
  <r>
    <n v="399"/>
    <n v="29"/>
    <s v="Female"/>
    <x v="8"/>
    <s v="Jeans"/>
    <n v="196.8"/>
    <x v="3"/>
    <s v="Card"/>
    <n v="3.7"/>
    <n v="26"/>
    <n v="8"/>
    <n v="145.63200000000001"/>
    <x v="4"/>
    <x v="0"/>
    <s v="Returning"/>
  </r>
  <r>
    <n v="400"/>
    <n v="70"/>
    <s v="Female"/>
    <x v="8"/>
    <s v="Top"/>
    <n v="89.53"/>
    <x v="1"/>
    <s v="Cash on Delivery"/>
    <n v="3.8"/>
    <n v="16"/>
    <n v="8"/>
    <n v="75.205200000000005"/>
    <x v="2"/>
    <x v="0"/>
    <s v="Returning"/>
  </r>
  <r>
    <n v="401"/>
    <n v="38"/>
    <s v="Female"/>
    <x v="0"/>
    <s v="Wallet"/>
    <n v="141.24"/>
    <x v="1"/>
    <s v="Card"/>
    <n v="3.9"/>
    <n v="11"/>
    <n v="3"/>
    <n v="125.70360000000001"/>
    <x v="1"/>
    <x v="0"/>
    <s v="Returning"/>
  </r>
  <r>
    <n v="402"/>
    <n v="32"/>
    <s v="Male"/>
    <x v="1"/>
    <s v="T-Shirt"/>
    <n v="125.07"/>
    <x v="2"/>
    <s v="Card"/>
    <n v="4.2"/>
    <n v="9"/>
    <n v="2"/>
    <n v="113.8137"/>
    <x v="4"/>
    <x v="0"/>
    <s v="Returning"/>
  </r>
  <r>
    <n v="403"/>
    <n v="56"/>
    <s v="Female"/>
    <x v="0"/>
    <s v="Handbag"/>
    <n v="83.05"/>
    <x v="0"/>
    <s v="Cash on Delivery"/>
    <n v="4.0999999999999996"/>
    <n v="18"/>
    <n v="4"/>
    <n v="68.100999999999999"/>
    <x v="0"/>
    <x v="0"/>
    <s v="Returning"/>
  </r>
  <r>
    <n v="404"/>
    <n v="32"/>
    <s v="Male"/>
    <x v="3"/>
    <s v="Kitchen Set"/>
    <n v="84.48"/>
    <x v="2"/>
    <s v="Card"/>
    <n v="4.5"/>
    <n v="19"/>
    <n v="7"/>
    <n v="68.42880000000001"/>
    <x v="4"/>
    <x v="0"/>
    <s v="Returning"/>
  </r>
  <r>
    <n v="405"/>
    <n v="42"/>
    <s v="Male"/>
    <x v="5"/>
    <s v="Laptop"/>
    <n v="1607.07"/>
    <x v="0"/>
    <s v="Card"/>
    <n v="4"/>
    <n v="21"/>
    <n v="8"/>
    <n v="1269.5853"/>
    <x v="1"/>
    <x v="0"/>
    <s v="Returning"/>
  </r>
  <r>
    <n v="406"/>
    <n v="28"/>
    <s v="Female"/>
    <x v="7"/>
    <s v="Formal Shoes"/>
    <n v="170.45"/>
    <x v="1"/>
    <s v="Card"/>
    <n v="3.8"/>
    <n v="13"/>
    <n v="4"/>
    <n v="148.29149999999998"/>
    <x v="4"/>
    <x v="0"/>
    <s v="Returning"/>
  </r>
  <r>
    <n v="407"/>
    <n v="30"/>
    <s v="Female"/>
    <x v="6"/>
    <s v="Skincare Kit"/>
    <n v="47.97"/>
    <x v="1"/>
    <s v="Card"/>
    <n v="3.7"/>
    <n v="18"/>
    <n v="4"/>
    <n v="39.3354"/>
    <x v="4"/>
    <x v="0"/>
    <s v="Returning"/>
  </r>
  <r>
    <n v="408"/>
    <n v="31"/>
    <s v="Female"/>
    <x v="8"/>
    <s v="Jeans"/>
    <n v="152"/>
    <x v="1"/>
    <s v="Card"/>
    <n v="3.5"/>
    <n v="24"/>
    <n v="7"/>
    <n v="115.52"/>
    <x v="4"/>
    <x v="0"/>
    <s v="Returning"/>
  </r>
  <r>
    <n v="409"/>
    <n v="60"/>
    <s v="Female"/>
    <x v="6"/>
    <s v="Perfume"/>
    <n v="77.790000000000006"/>
    <x v="0"/>
    <s v="Card"/>
    <n v="4.7"/>
    <n v="11"/>
    <n v="3"/>
    <n v="69.233100000000007"/>
    <x v="0"/>
    <x v="0"/>
    <s v="Returning"/>
  </r>
  <r>
    <n v="410"/>
    <n v="46"/>
    <s v="Female"/>
    <x v="8"/>
    <s v="Top"/>
    <n v="55.8"/>
    <x v="3"/>
    <s v="Cash on Delivery"/>
    <n v="3.1"/>
    <n v="22"/>
    <n v="6"/>
    <n v="43.524000000000001"/>
    <x v="0"/>
    <x v="0"/>
    <s v="Returning"/>
  </r>
  <r>
    <n v="411"/>
    <n v="66"/>
    <s v="Male"/>
    <x v="2"/>
    <s v="Dumbbells"/>
    <n v="140.76"/>
    <x v="2"/>
    <s v="Card"/>
    <n v="3.7"/>
    <n v="26"/>
    <n v="8"/>
    <n v="104.16239999999999"/>
    <x v="2"/>
    <x v="0"/>
    <s v="Returning"/>
  </r>
  <r>
    <n v="412"/>
    <n v="69"/>
    <s v="Male"/>
    <x v="2"/>
    <s v="Dumbbells"/>
    <n v="31.84"/>
    <x v="0"/>
    <s v="Cash on Delivery"/>
    <n v="4"/>
    <n v="18"/>
    <n v="4"/>
    <n v="26.108800000000002"/>
    <x v="2"/>
    <x v="0"/>
    <s v="Returning"/>
  </r>
  <r>
    <n v="413"/>
    <n v="56"/>
    <s v="Male"/>
    <x v="1"/>
    <s v="Shirt"/>
    <n v="175.84"/>
    <x v="0"/>
    <s v="Card"/>
    <n v="2.7"/>
    <n v="16"/>
    <n v="3"/>
    <n v="147.7056"/>
    <x v="0"/>
    <x v="0"/>
    <s v="Returning"/>
  </r>
  <r>
    <n v="414"/>
    <n v="23"/>
    <s v="Male"/>
    <x v="5"/>
    <s v="Headphones"/>
    <n v="2970.31"/>
    <x v="0"/>
    <s v="Card"/>
    <n v="3.6"/>
    <n v="12"/>
    <n v="6"/>
    <n v="2613.8728000000001"/>
    <x v="3"/>
    <x v="0"/>
    <s v="Returning"/>
  </r>
  <r>
    <n v="415"/>
    <n v="68"/>
    <s v="Male"/>
    <x v="1"/>
    <s v="Shirt"/>
    <n v="43.47"/>
    <x v="3"/>
    <s v="Cash on Delivery"/>
    <n v="5"/>
    <n v="7"/>
    <n v="1"/>
    <n v="40.427099999999996"/>
    <x v="2"/>
    <x v="0"/>
    <s v="Returning"/>
  </r>
  <r>
    <n v="416"/>
    <n v="38"/>
    <s v="Female"/>
    <x v="6"/>
    <s v="Makeup Set"/>
    <n v="99.24"/>
    <x v="0"/>
    <s v="Card"/>
    <n v="3.5"/>
    <n v="23"/>
    <n v="9"/>
    <n v="76.4148"/>
    <x v="1"/>
    <x v="0"/>
    <s v="Returning"/>
  </r>
  <r>
    <n v="417"/>
    <n v="39"/>
    <s v="Female"/>
    <x v="7"/>
    <s v="Sneakers"/>
    <n v="69.989999999999995"/>
    <x v="3"/>
    <s v="Card"/>
    <n v="3"/>
    <n v="10"/>
    <n v="5"/>
    <n v="62.991"/>
    <x v="1"/>
    <x v="0"/>
    <s v="Returning"/>
  </r>
  <r>
    <n v="418"/>
    <n v="64"/>
    <s v="Female"/>
    <x v="4"/>
    <s v="Cooking Oil"/>
    <n v="27.74"/>
    <x v="3"/>
    <s v="Card"/>
    <n v="2.2999999999999998"/>
    <n v="15"/>
    <n v="5"/>
    <n v="23.578999999999997"/>
    <x v="2"/>
    <x v="0"/>
    <s v="Returning"/>
  </r>
  <r>
    <n v="419"/>
    <n v="26"/>
    <s v="Female"/>
    <x v="3"/>
    <s v="Kitchen Set"/>
    <n v="175.14"/>
    <x v="2"/>
    <s v="Card"/>
    <n v="4.5"/>
    <n v="12"/>
    <n v="1"/>
    <n v="154.1232"/>
    <x v="4"/>
    <x v="0"/>
    <s v="Returning"/>
  </r>
  <r>
    <n v="420"/>
    <n v="58"/>
    <s v="Female"/>
    <x v="0"/>
    <s v="Sunglasses"/>
    <n v="105.33"/>
    <x v="0"/>
    <s v="Card"/>
    <n v="4.5"/>
    <n v="22"/>
    <n v="6"/>
    <n v="82.157399999999996"/>
    <x v="0"/>
    <x v="0"/>
    <s v="Returning"/>
  </r>
  <r>
    <n v="421"/>
    <n v="33"/>
    <s v="Male"/>
    <x v="5"/>
    <s v="Headphones"/>
    <n v="2028.35"/>
    <x v="2"/>
    <s v="Card"/>
    <n v="3.6"/>
    <n v="8"/>
    <n v="4"/>
    <n v="1866.0820000000001"/>
    <x v="4"/>
    <x v="0"/>
    <s v="Returning"/>
  </r>
  <r>
    <n v="422"/>
    <n v="54"/>
    <s v="Female"/>
    <x v="6"/>
    <s v="Skincare Kit"/>
    <n v="44.38"/>
    <x v="1"/>
    <s v="Cash on Delivery"/>
    <n v="4.9000000000000004"/>
    <n v="16"/>
    <n v="3"/>
    <n v="37.279200000000003"/>
    <x v="0"/>
    <x v="0"/>
    <s v="Returning"/>
  </r>
  <r>
    <n v="423"/>
    <n v="37"/>
    <s v="Female"/>
    <x v="0"/>
    <s v="Wallet"/>
    <n v="124.7"/>
    <x v="1"/>
    <s v="Card"/>
    <n v="4.5999999999999996"/>
    <n v="22"/>
    <n v="6"/>
    <n v="97.266000000000005"/>
    <x v="1"/>
    <x v="0"/>
    <s v="Returning"/>
  </r>
  <r>
    <n v="424"/>
    <n v="27"/>
    <s v="Male"/>
    <x v="1"/>
    <s v="Shirt"/>
    <n v="117.37"/>
    <x v="3"/>
    <s v="Card"/>
    <n v="3.7"/>
    <n v="20"/>
    <n v="5"/>
    <n v="93.896000000000015"/>
    <x v="4"/>
    <x v="0"/>
    <s v="Returning"/>
  </r>
  <r>
    <n v="425"/>
    <n v="67"/>
    <s v="Female"/>
    <x v="0"/>
    <s v="Sunglasses"/>
    <n v="81.81"/>
    <x v="1"/>
    <s v="Cash on Delivery"/>
    <n v="3.8"/>
    <n v="13"/>
    <n v="4"/>
    <n v="71.174700000000001"/>
    <x v="2"/>
    <x v="0"/>
    <s v="Returning"/>
  </r>
  <r>
    <n v="426"/>
    <n v="34"/>
    <s v="Female"/>
    <x v="6"/>
    <s v="Perfume"/>
    <n v="108.57"/>
    <x v="2"/>
    <s v="Card"/>
    <n v="4.9000000000000004"/>
    <n v="13"/>
    <n v="4"/>
    <n v="94.4559"/>
    <x v="4"/>
    <x v="0"/>
    <s v="Returning"/>
  </r>
  <r>
    <n v="427"/>
    <n v="70"/>
    <s v="Female"/>
    <x v="0"/>
    <s v="Wallet"/>
    <n v="150.37"/>
    <x v="0"/>
    <s v="Card"/>
    <n v="4.5"/>
    <n v="10"/>
    <n v="5"/>
    <n v="135.333"/>
    <x v="2"/>
    <x v="0"/>
    <s v="Returning"/>
  </r>
  <r>
    <n v="428"/>
    <n v="21"/>
    <s v="Female"/>
    <x v="4"/>
    <s v="Beverages"/>
    <n v="21.02"/>
    <x v="0"/>
    <s v="Card"/>
    <n v="2.7"/>
    <n v="14"/>
    <n v="7"/>
    <n v="18.077199999999998"/>
    <x v="3"/>
    <x v="0"/>
    <s v="Returning"/>
  </r>
  <r>
    <n v="429"/>
    <n v="67"/>
    <s v="Female"/>
    <x v="7"/>
    <s v="Sneakers"/>
    <n v="203.32"/>
    <x v="3"/>
    <s v="Card"/>
    <n v="3.3"/>
    <n v="10"/>
    <n v="5"/>
    <n v="182.988"/>
    <x v="2"/>
    <x v="0"/>
    <s v="Returning"/>
  </r>
  <r>
    <n v="430"/>
    <n v="45"/>
    <s v="Female"/>
    <x v="0"/>
    <s v="Sunglasses"/>
    <n v="67.03"/>
    <x v="0"/>
    <s v="Cash on Delivery"/>
    <n v="3.6"/>
    <n v="21"/>
    <n v="8"/>
    <n v="52.953700000000005"/>
    <x v="1"/>
    <x v="0"/>
    <s v="Returning"/>
  </r>
  <r>
    <n v="431"/>
    <n v="64"/>
    <s v="Male"/>
    <x v="5"/>
    <s v="Mobile Phone"/>
    <n v="1948.28"/>
    <x v="3"/>
    <s v="Card"/>
    <n v="4.2"/>
    <n v="20"/>
    <n v="5"/>
    <n v="1558.624"/>
    <x v="2"/>
    <x v="0"/>
    <s v="Returning"/>
  </r>
  <r>
    <n v="432"/>
    <n v="51"/>
    <s v="Female"/>
    <x v="8"/>
    <s v="Jeans"/>
    <n v="108.88"/>
    <x v="0"/>
    <s v="Card"/>
    <n v="3.7"/>
    <n v="15"/>
    <n v="5"/>
    <n v="92.547999999999988"/>
    <x v="0"/>
    <x v="0"/>
    <s v="Returning"/>
  </r>
  <r>
    <n v="433"/>
    <n v="41"/>
    <s v="Female"/>
    <x v="4"/>
    <s v="Rice Pack"/>
    <n v="42.47"/>
    <x v="3"/>
    <s v="Cash on Delivery"/>
    <n v="2.5"/>
    <n v="10"/>
    <n v="5"/>
    <n v="38.222999999999999"/>
    <x v="1"/>
    <x v="0"/>
    <s v="Returning"/>
  </r>
  <r>
    <n v="434"/>
    <n v="61"/>
    <s v="Male"/>
    <x v="1"/>
    <s v="Jacket"/>
    <n v="57.77"/>
    <x v="3"/>
    <s v="Card"/>
    <n v="3.5"/>
    <n v="18"/>
    <n v="4"/>
    <n v="47.371400000000008"/>
    <x v="2"/>
    <x v="0"/>
    <s v="Returning"/>
  </r>
  <r>
    <n v="435"/>
    <n v="47"/>
    <s v="Male"/>
    <x v="4"/>
    <s v="Snacks"/>
    <n v="28.68"/>
    <x v="3"/>
    <s v="Cash on Delivery"/>
    <n v="3.8"/>
    <n v="15"/>
    <n v="5"/>
    <n v="24.378"/>
    <x v="0"/>
    <x v="0"/>
    <s v="Returning"/>
  </r>
  <r>
    <n v="436"/>
    <n v="38"/>
    <s v="Male"/>
    <x v="1"/>
    <s v="Shirt"/>
    <n v="59"/>
    <x v="3"/>
    <s v="Card"/>
    <n v="4.0999999999999996"/>
    <n v="12"/>
    <n v="6"/>
    <n v="51.92"/>
    <x v="1"/>
    <x v="0"/>
    <s v="Returning"/>
  </r>
  <r>
    <n v="437"/>
    <n v="50"/>
    <s v="Female"/>
    <x v="0"/>
    <s v="Sunglasses"/>
    <n v="128.94999999999999"/>
    <x v="0"/>
    <s v="Card"/>
    <n v="4.3"/>
    <n v="19"/>
    <n v="7"/>
    <n v="104.4495"/>
    <x v="0"/>
    <x v="0"/>
    <s v="Returning"/>
  </r>
  <r>
    <n v="438"/>
    <n v="29"/>
    <s v="Male"/>
    <x v="1"/>
    <s v="T-Shirt"/>
    <n v="163.33000000000001"/>
    <x v="0"/>
    <s v="Card"/>
    <n v="4.7"/>
    <n v="27"/>
    <n v="11"/>
    <n v="119.23090000000001"/>
    <x v="4"/>
    <x v="0"/>
    <s v="Returning"/>
  </r>
  <r>
    <n v="439"/>
    <n v="24"/>
    <s v="Female"/>
    <x v="7"/>
    <s v="Sneakers"/>
    <n v="42.5"/>
    <x v="3"/>
    <s v="Card"/>
    <n v="3.6"/>
    <n v="18"/>
    <n v="9"/>
    <n v="34.85"/>
    <x v="3"/>
    <x v="0"/>
    <s v="Returning"/>
  </r>
  <r>
    <n v="440"/>
    <n v="57"/>
    <s v="Male"/>
    <x v="1"/>
    <s v="Jacket"/>
    <n v="34.25"/>
    <x v="3"/>
    <s v="Cash on Delivery"/>
    <n v="4.3"/>
    <n v="20"/>
    <n v="10"/>
    <n v="27.400000000000002"/>
    <x v="0"/>
    <x v="0"/>
    <s v="Returning"/>
  </r>
  <r>
    <n v="441"/>
    <n v="42"/>
    <s v="Male"/>
    <x v="2"/>
    <s v="Yoga Mat"/>
    <n v="36.03"/>
    <x v="3"/>
    <s v="Cash on Delivery"/>
    <n v="4.4000000000000004"/>
    <n v="22"/>
    <n v="6"/>
    <n v="28.103400000000001"/>
    <x v="1"/>
    <x v="0"/>
    <s v="Returning"/>
  </r>
  <r>
    <n v="442"/>
    <n v="48"/>
    <s v="Male"/>
    <x v="1"/>
    <s v="T-Shirt"/>
    <n v="78.25"/>
    <x v="2"/>
    <s v="Cash on Delivery"/>
    <n v="3.3"/>
    <n v="10"/>
    <n v="5"/>
    <n v="70.424999999999997"/>
    <x v="0"/>
    <x v="0"/>
    <s v="Returning"/>
  </r>
  <r>
    <n v="443"/>
    <n v="22"/>
    <s v="Female"/>
    <x v="8"/>
    <s v="Dress"/>
    <n v="162.85"/>
    <x v="2"/>
    <s v="Card"/>
    <n v="3.7"/>
    <n v="10"/>
    <n v="5"/>
    <n v="146.565"/>
    <x v="3"/>
    <x v="0"/>
    <s v="Returning"/>
  </r>
  <r>
    <n v="444"/>
    <n v="64"/>
    <s v="Female"/>
    <x v="0"/>
    <s v="Wallet"/>
    <n v="143.93"/>
    <x v="2"/>
    <s v="Card"/>
    <n v="3.3"/>
    <n v="4"/>
    <n v="2"/>
    <n v="138.1728"/>
    <x v="2"/>
    <x v="0"/>
    <s v="Returning"/>
  </r>
  <r>
    <n v="445"/>
    <n v="43"/>
    <s v="Male"/>
    <x v="2"/>
    <s v="Dumbbells"/>
    <n v="170.33"/>
    <x v="0"/>
    <s v="Card"/>
    <n v="3.8"/>
    <n v="20"/>
    <n v="5"/>
    <n v="136.26400000000001"/>
    <x v="1"/>
    <x v="0"/>
    <s v="Returning"/>
  </r>
  <r>
    <n v="446"/>
    <n v="26"/>
    <s v="Male"/>
    <x v="5"/>
    <s v="Smart Watch"/>
    <n v="2141.41"/>
    <x v="1"/>
    <s v="Card"/>
    <n v="4.8"/>
    <n v="19"/>
    <n v="7"/>
    <n v="1734.5420999999999"/>
    <x v="4"/>
    <x v="0"/>
    <s v="Returning"/>
  </r>
  <r>
    <n v="447"/>
    <n v="55"/>
    <s v="Male"/>
    <x v="2"/>
    <s v="Yoga Mat"/>
    <n v="140.47999999999999"/>
    <x v="0"/>
    <s v="Card"/>
    <n v="2.8"/>
    <n v="12"/>
    <n v="6"/>
    <n v="123.62239999999998"/>
    <x v="0"/>
    <x v="0"/>
    <s v="Returning"/>
  </r>
  <r>
    <n v="448"/>
    <n v="63"/>
    <s v="Male"/>
    <x v="4"/>
    <s v="Cooking Oil"/>
    <n v="17.91"/>
    <x v="0"/>
    <s v="Cash on Delivery"/>
    <n v="3.3"/>
    <n v="13"/>
    <n v="4"/>
    <n v="15.5817"/>
    <x v="2"/>
    <x v="0"/>
    <s v="Returning"/>
  </r>
  <r>
    <n v="449"/>
    <n v="65"/>
    <s v="Female"/>
    <x v="0"/>
    <s v="Wallet"/>
    <n v="129.87"/>
    <x v="3"/>
    <s v="Card"/>
    <n v="2.5"/>
    <n v="10"/>
    <n v="5"/>
    <n v="116.88300000000001"/>
    <x v="2"/>
    <x v="0"/>
    <s v="Returning"/>
  </r>
  <r>
    <n v="450"/>
    <n v="24"/>
    <s v="Male"/>
    <x v="3"/>
    <s v="Kitchen Set"/>
    <n v="77.19"/>
    <x v="2"/>
    <s v="Card"/>
    <n v="2.2999999999999998"/>
    <n v="8"/>
    <n v="4"/>
    <n v="71.014799999999994"/>
    <x v="3"/>
    <x v="0"/>
    <s v="Returning"/>
  </r>
  <r>
    <n v="451"/>
    <n v="69"/>
    <s v="Female"/>
    <x v="8"/>
    <s v="Jeans"/>
    <n v="164.53"/>
    <x v="1"/>
    <s v="Card"/>
    <n v="3.7"/>
    <n v="19"/>
    <n v="7"/>
    <n v="133.26930000000002"/>
    <x v="2"/>
    <x v="0"/>
    <s v="Returning"/>
  </r>
  <r>
    <n v="452"/>
    <n v="67"/>
    <s v="Male"/>
    <x v="5"/>
    <s v="Smart Watch"/>
    <n v="1534.27"/>
    <x v="3"/>
    <s v="Card"/>
    <n v="4"/>
    <n v="8"/>
    <n v="4"/>
    <n v="1411.5284000000001"/>
    <x v="2"/>
    <x v="0"/>
    <s v="Returning"/>
  </r>
  <r>
    <n v="453"/>
    <n v="64"/>
    <s v="Male"/>
    <x v="4"/>
    <s v="Cooking Oil"/>
    <n v="44.13"/>
    <x v="3"/>
    <s v="Card"/>
    <n v="3.8"/>
    <n v="13"/>
    <n v="4"/>
    <n v="38.393100000000004"/>
    <x v="2"/>
    <x v="0"/>
    <s v="Returning"/>
  </r>
  <r>
    <n v="454"/>
    <n v="32"/>
    <s v="Male"/>
    <x v="7"/>
    <s v="Sandals"/>
    <n v="99.11"/>
    <x v="3"/>
    <s v="Cash on Delivery"/>
    <n v="3.8"/>
    <n v="12"/>
    <n v="1"/>
    <n v="87.216800000000006"/>
    <x v="4"/>
    <x v="0"/>
    <s v="Returning"/>
  </r>
  <r>
    <n v="455"/>
    <n v="21"/>
    <s v="Female"/>
    <x v="8"/>
    <s v="Dress"/>
    <n v="105.8"/>
    <x v="3"/>
    <s v="Card"/>
    <n v="2.6"/>
    <n v="15"/>
    <n v="5"/>
    <n v="89.929999999999993"/>
    <x v="3"/>
    <x v="0"/>
    <s v="Returning"/>
  </r>
  <r>
    <n v="456"/>
    <n v="45"/>
    <s v="Male"/>
    <x v="5"/>
    <s v="Mobile Phone"/>
    <n v="2490.98"/>
    <x v="0"/>
    <s v="Card"/>
    <n v="4.3"/>
    <n v="17"/>
    <n v="6"/>
    <n v="2067.5133999999998"/>
    <x v="1"/>
    <x v="0"/>
    <s v="Returning"/>
  </r>
  <r>
    <n v="457"/>
    <n v="41"/>
    <s v="Male"/>
    <x v="1"/>
    <s v="Jacket"/>
    <n v="155.13"/>
    <x v="0"/>
    <s v="Card"/>
    <n v="3.2"/>
    <n v="24"/>
    <n v="7"/>
    <n v="117.89879999999999"/>
    <x v="1"/>
    <x v="0"/>
    <s v="Returning"/>
  </r>
  <r>
    <n v="458"/>
    <n v="69"/>
    <s v="Female"/>
    <x v="7"/>
    <s v="Sneakers"/>
    <n v="70.56"/>
    <x v="2"/>
    <s v="Cash on Delivery"/>
    <n v="5"/>
    <n v="15"/>
    <n v="5"/>
    <n v="59.975999999999999"/>
    <x v="2"/>
    <x v="0"/>
    <s v="Returning"/>
  </r>
  <r>
    <n v="459"/>
    <n v="24"/>
    <s v="Male"/>
    <x v="1"/>
    <s v="Jacket"/>
    <n v="177.39"/>
    <x v="2"/>
    <s v="Card"/>
    <n v="1.9"/>
    <n v="20"/>
    <n v="5"/>
    <n v="141.91200000000001"/>
    <x v="3"/>
    <x v="0"/>
    <s v="Returning"/>
  </r>
  <r>
    <n v="460"/>
    <n v="57"/>
    <s v="Female"/>
    <x v="8"/>
    <s v="Top"/>
    <n v="106.69"/>
    <x v="1"/>
    <s v="Card"/>
    <n v="4.0999999999999996"/>
    <n v="15"/>
    <n v="5"/>
    <n v="90.686499999999995"/>
    <x v="0"/>
    <x v="0"/>
    <s v="Returning"/>
  </r>
  <r>
    <n v="461"/>
    <n v="41"/>
    <s v="Female"/>
    <x v="0"/>
    <s v="Sunglasses"/>
    <n v="121.93"/>
    <x v="1"/>
    <s v="Card"/>
    <n v="3.5"/>
    <n v="20"/>
    <n v="5"/>
    <n v="97.544000000000011"/>
    <x v="1"/>
    <x v="0"/>
    <s v="Returning"/>
  </r>
  <r>
    <n v="462"/>
    <n v="44"/>
    <s v="Male"/>
    <x v="1"/>
    <s v="Jeans"/>
    <n v="51.29"/>
    <x v="3"/>
    <s v="Card"/>
    <n v="3.3"/>
    <n v="6"/>
    <n v="3"/>
    <n v="48.212599999999995"/>
    <x v="1"/>
    <x v="0"/>
    <s v="Returning"/>
  </r>
  <r>
    <n v="463"/>
    <n v="37"/>
    <s v="Male"/>
    <x v="2"/>
    <s v="Football"/>
    <n v="242.01"/>
    <x v="0"/>
    <s v="Card"/>
    <n v="2.8"/>
    <n v="6"/>
    <n v="3"/>
    <n v="227.48939999999999"/>
    <x v="1"/>
    <x v="0"/>
    <s v="Returning"/>
  </r>
  <r>
    <n v="464"/>
    <n v="43"/>
    <s v="Male"/>
    <x v="7"/>
    <s v="Sandals"/>
    <n v="208.11"/>
    <x v="3"/>
    <s v="Card"/>
    <n v="3.1"/>
    <n v="6"/>
    <n v="3"/>
    <n v="195.6234"/>
    <x v="1"/>
    <x v="0"/>
    <s v="Returning"/>
  </r>
  <r>
    <n v="465"/>
    <n v="35"/>
    <s v="Female"/>
    <x v="2"/>
    <s v="Yoga Mat"/>
    <n v="85.49"/>
    <x v="1"/>
    <s v="Card"/>
    <n v="2.7"/>
    <n v="12"/>
    <n v="6"/>
    <n v="75.231200000000001"/>
    <x v="4"/>
    <x v="0"/>
    <s v="Returning"/>
  </r>
  <r>
    <n v="466"/>
    <n v="42"/>
    <s v="Male"/>
    <x v="5"/>
    <s v="Headphones"/>
    <n v="2867.88"/>
    <x v="1"/>
    <s v="Card"/>
    <n v="4.5999999999999996"/>
    <n v="21"/>
    <n v="8"/>
    <n v="2265.6252000000004"/>
    <x v="1"/>
    <x v="0"/>
    <s v="Returning"/>
  </r>
  <r>
    <n v="467"/>
    <n v="42"/>
    <s v="Female"/>
    <x v="4"/>
    <s v="Snacks"/>
    <n v="18.72"/>
    <x v="1"/>
    <s v="Card"/>
    <n v="3.8"/>
    <n v="14"/>
    <n v="7"/>
    <n v="16.0992"/>
    <x v="1"/>
    <x v="0"/>
    <s v="Returning"/>
  </r>
  <r>
    <n v="468"/>
    <n v="58"/>
    <s v="Male"/>
    <x v="5"/>
    <s v="Smart Watch"/>
    <n v="1855.04"/>
    <x v="1"/>
    <s v="Card"/>
    <n v="3.6"/>
    <n v="13"/>
    <n v="4"/>
    <n v="1613.8848"/>
    <x v="0"/>
    <x v="0"/>
    <s v="Returning"/>
  </r>
  <r>
    <n v="469"/>
    <n v="60"/>
    <s v="Male"/>
    <x v="5"/>
    <s v="Headphones"/>
    <n v="2649.85"/>
    <x v="3"/>
    <s v="Card"/>
    <n v="2.8"/>
    <n v="13"/>
    <n v="4"/>
    <n v="2305.3694999999998"/>
    <x v="0"/>
    <x v="0"/>
    <s v="Returning"/>
  </r>
  <r>
    <n v="470"/>
    <n v="22"/>
    <s v="Female"/>
    <x v="0"/>
    <s v="Handbag"/>
    <n v="92.79"/>
    <x v="1"/>
    <s v="Card"/>
    <n v="4.2"/>
    <n v="8"/>
    <n v="4"/>
    <n v="85.366800000000012"/>
    <x v="3"/>
    <x v="0"/>
    <s v="Returning"/>
  </r>
  <r>
    <n v="471"/>
    <n v="58"/>
    <s v="Male"/>
    <x v="3"/>
    <s v="Kitchen Set"/>
    <n v="150.83000000000001"/>
    <x v="1"/>
    <s v="Card"/>
    <n v="2.6"/>
    <n v="7"/>
    <n v="1"/>
    <n v="140.27190000000002"/>
    <x v="0"/>
    <x v="0"/>
    <s v="Returning"/>
  </r>
  <r>
    <n v="472"/>
    <n v="34"/>
    <s v="Female"/>
    <x v="4"/>
    <s v="Cooking Oil"/>
    <n v="29"/>
    <x v="3"/>
    <s v="Cash on Delivery"/>
    <n v="4.8"/>
    <n v="18"/>
    <n v="4"/>
    <n v="23.78"/>
    <x v="4"/>
    <x v="0"/>
    <s v="Returning"/>
  </r>
  <r>
    <n v="473"/>
    <n v="45"/>
    <s v="Female"/>
    <x v="6"/>
    <s v="Makeup Set"/>
    <n v="95.57"/>
    <x v="2"/>
    <s v="Card"/>
    <n v="2.1"/>
    <n v="11"/>
    <n v="3"/>
    <n v="85.057299999999998"/>
    <x v="1"/>
    <x v="0"/>
    <s v="Returning"/>
  </r>
  <r>
    <n v="474"/>
    <n v="58"/>
    <s v="Female"/>
    <x v="0"/>
    <s v="Wallet"/>
    <n v="155.49"/>
    <x v="1"/>
    <s v="Card"/>
    <n v="4.3"/>
    <n v="12"/>
    <n v="6"/>
    <n v="136.8312"/>
    <x v="0"/>
    <x v="0"/>
    <s v="Returning"/>
  </r>
  <r>
    <n v="475"/>
    <n v="39"/>
    <s v="Male"/>
    <x v="3"/>
    <s v="Lamp"/>
    <n v="58.69"/>
    <x v="3"/>
    <s v="Cash on Delivery"/>
    <n v="3.3"/>
    <n v="17"/>
    <n v="6"/>
    <n v="48.712699999999998"/>
    <x v="1"/>
    <x v="0"/>
    <s v="Returning"/>
  </r>
  <r>
    <n v="476"/>
    <n v="55"/>
    <s v="Female"/>
    <x v="6"/>
    <s v="Makeup Set"/>
    <n v="79.510000000000005"/>
    <x v="1"/>
    <s v="Cash on Delivery"/>
    <n v="2.4"/>
    <n v="16"/>
    <n v="3"/>
    <n v="66.788399999999996"/>
    <x v="0"/>
    <x v="0"/>
    <s v="Returning"/>
  </r>
  <r>
    <n v="477"/>
    <n v="58"/>
    <s v="Male"/>
    <x v="5"/>
    <s v="Mobile Phone"/>
    <n v="2792.69"/>
    <x v="0"/>
    <s v="Card"/>
    <n v="3.7"/>
    <n v="14"/>
    <n v="7"/>
    <n v="2401.7134000000001"/>
    <x v="0"/>
    <x v="0"/>
    <s v="Returning"/>
  </r>
  <r>
    <n v="478"/>
    <n v="55"/>
    <s v="Female"/>
    <x v="4"/>
    <s v="Snacks"/>
    <n v="78.239999999999995"/>
    <x v="3"/>
    <s v="Cash on Delivery"/>
    <n v="3.8"/>
    <n v="19"/>
    <n v="7"/>
    <n v="63.374400000000001"/>
    <x v="0"/>
    <x v="0"/>
    <s v="Returning"/>
  </r>
  <r>
    <n v="479"/>
    <n v="49"/>
    <s v="Male"/>
    <x v="2"/>
    <s v="Dumbbells"/>
    <n v="213.36"/>
    <x v="1"/>
    <s v="Card"/>
    <n v="3.2"/>
    <n v="12"/>
    <n v="6"/>
    <n v="187.75680000000003"/>
    <x v="0"/>
    <x v="0"/>
    <s v="Returning"/>
  </r>
  <r>
    <n v="480"/>
    <n v="39"/>
    <s v="Male"/>
    <x v="1"/>
    <s v="Jeans"/>
    <n v="49.04"/>
    <x v="1"/>
    <s v="Cash on Delivery"/>
    <n v="3.9"/>
    <n v="19"/>
    <n v="7"/>
    <n v="39.7224"/>
    <x v="1"/>
    <x v="0"/>
    <s v="Returning"/>
  </r>
  <r>
    <n v="481"/>
    <n v="54"/>
    <s v="Male"/>
    <x v="7"/>
    <s v="Sandals"/>
    <n v="50.57"/>
    <x v="0"/>
    <s v="Cash on Delivery"/>
    <n v="3.5"/>
    <n v="4"/>
    <n v="2"/>
    <n v="48.547199999999997"/>
    <x v="0"/>
    <x v="0"/>
    <s v="Returning"/>
  </r>
  <r>
    <n v="482"/>
    <n v="51"/>
    <s v="Female"/>
    <x v="6"/>
    <s v="Makeup Set"/>
    <n v="78.510000000000005"/>
    <x v="3"/>
    <s v="Card"/>
    <n v="5"/>
    <n v="10"/>
    <n v="5"/>
    <n v="70.659000000000006"/>
    <x v="0"/>
    <x v="0"/>
    <s v="Returning"/>
  </r>
  <r>
    <n v="483"/>
    <n v="53"/>
    <s v="Female"/>
    <x v="0"/>
    <s v="Handbag"/>
    <n v="73.069999999999993"/>
    <x v="1"/>
    <s v="Card"/>
    <n v="3.3"/>
    <n v="15"/>
    <n v="5"/>
    <n v="62.10949999999999"/>
    <x v="0"/>
    <x v="0"/>
    <s v="Returning"/>
  </r>
  <r>
    <n v="484"/>
    <n v="43"/>
    <s v="Male"/>
    <x v="3"/>
    <s v="Curtains"/>
    <n v="299.95999999999998"/>
    <x v="1"/>
    <s v="Card"/>
    <n v="3.4"/>
    <n v="5"/>
    <n v="0"/>
    <n v="284.96199999999999"/>
    <x v="1"/>
    <x v="0"/>
    <s v="New"/>
  </r>
  <r>
    <n v="485"/>
    <n v="43"/>
    <s v="Male"/>
    <x v="2"/>
    <s v="Football"/>
    <n v="239.89"/>
    <x v="3"/>
    <s v="Card"/>
    <n v="3.7"/>
    <n v="2"/>
    <n v="1"/>
    <n v="235.09219999999999"/>
    <x v="1"/>
    <x v="0"/>
    <s v="Returning"/>
  </r>
  <r>
    <n v="486"/>
    <n v="48"/>
    <s v="Female"/>
    <x v="8"/>
    <s v="Top"/>
    <n v="98.38"/>
    <x v="2"/>
    <s v="Cash on Delivery"/>
    <n v="4.2"/>
    <n v="14"/>
    <n v="2"/>
    <n v="84.606799999999993"/>
    <x v="0"/>
    <x v="0"/>
    <s v="Returning"/>
  </r>
  <r>
    <n v="487"/>
    <n v="52"/>
    <s v="Male"/>
    <x v="2"/>
    <s v="Dumbbells"/>
    <n v="152.29"/>
    <x v="1"/>
    <s v="Card"/>
    <n v="3.2"/>
    <n v="14"/>
    <n v="2"/>
    <n v="130.96939999999998"/>
    <x v="0"/>
    <x v="0"/>
    <s v="Returning"/>
  </r>
  <r>
    <n v="488"/>
    <n v="69"/>
    <s v="Female"/>
    <x v="8"/>
    <s v="Jeans"/>
    <n v="96.34"/>
    <x v="2"/>
    <s v="Card"/>
    <n v="3.8"/>
    <n v="26"/>
    <n v="8"/>
    <n v="71.291600000000003"/>
    <x v="2"/>
    <x v="0"/>
    <s v="Returning"/>
  </r>
  <r>
    <n v="489"/>
    <n v="26"/>
    <s v="Female"/>
    <x v="0"/>
    <s v="Wallet"/>
    <n v="100.05"/>
    <x v="3"/>
    <s v="Card"/>
    <n v="3.7"/>
    <n v="11"/>
    <n v="3"/>
    <n v="89.044499999999999"/>
    <x v="4"/>
    <x v="0"/>
    <s v="Returning"/>
  </r>
  <r>
    <n v="490"/>
    <n v="34"/>
    <s v="Female"/>
    <x v="8"/>
    <s v="Skirt"/>
    <n v="96.07"/>
    <x v="1"/>
    <s v="Card"/>
    <n v="3.1"/>
    <n v="12"/>
    <n v="6"/>
    <n v="84.541599999999988"/>
    <x v="4"/>
    <x v="0"/>
    <s v="Returning"/>
  </r>
  <r>
    <n v="491"/>
    <n v="30"/>
    <s v="Female"/>
    <x v="8"/>
    <s v="Top"/>
    <n v="46.55"/>
    <x v="3"/>
    <s v="Card"/>
    <n v="4.0999999999999996"/>
    <n v="8"/>
    <n v="4"/>
    <n v="42.826000000000001"/>
    <x v="4"/>
    <x v="0"/>
    <s v="Returning"/>
  </r>
  <r>
    <n v="492"/>
    <n v="25"/>
    <s v="Female"/>
    <x v="6"/>
    <s v="Perfume"/>
    <n v="86.16"/>
    <x v="0"/>
    <s v="Cash on Delivery"/>
    <n v="4.5"/>
    <n v="6"/>
    <n v="3"/>
    <n v="80.990399999999994"/>
    <x v="3"/>
    <x v="0"/>
    <s v="Returning"/>
  </r>
  <r>
    <n v="493"/>
    <n v="61"/>
    <s v="Female"/>
    <x v="0"/>
    <s v="Sunglasses"/>
    <n v="174.31"/>
    <x v="1"/>
    <s v="Card"/>
    <n v="5"/>
    <n v="24"/>
    <n v="7"/>
    <n v="132.47560000000001"/>
    <x v="2"/>
    <x v="0"/>
    <s v="Returning"/>
  </r>
  <r>
    <n v="494"/>
    <n v="27"/>
    <s v="Female"/>
    <x v="7"/>
    <s v="Formal Shoes"/>
    <n v="150.44999999999999"/>
    <x v="1"/>
    <s v="Card"/>
    <n v="3.7"/>
    <n v="14"/>
    <n v="7"/>
    <n v="129.387"/>
    <x v="4"/>
    <x v="0"/>
    <s v="Returning"/>
  </r>
  <r>
    <n v="495"/>
    <n v="40"/>
    <s v="Male"/>
    <x v="2"/>
    <s v="Football"/>
    <n v="106"/>
    <x v="2"/>
    <s v="Card"/>
    <n v="3.4"/>
    <n v="18"/>
    <n v="4"/>
    <n v="86.92"/>
    <x v="1"/>
    <x v="0"/>
    <s v="Returning"/>
  </r>
  <r>
    <n v="496"/>
    <n v="44"/>
    <s v="Male"/>
    <x v="2"/>
    <s v="Dumbbells"/>
    <n v="119.84"/>
    <x v="0"/>
    <s v="Card"/>
    <n v="3.6"/>
    <n v="9"/>
    <n v="2"/>
    <n v="109.0544"/>
    <x v="1"/>
    <x v="0"/>
    <s v="Returning"/>
  </r>
  <r>
    <n v="497"/>
    <n v="49"/>
    <s v="Female"/>
    <x v="6"/>
    <s v="Perfume"/>
    <n v="102.61"/>
    <x v="0"/>
    <s v="Card"/>
    <n v="4.5999999999999996"/>
    <n v="26"/>
    <n v="8"/>
    <n v="75.931399999999996"/>
    <x v="0"/>
    <x v="0"/>
    <s v="Returning"/>
  </r>
  <r>
    <n v="498"/>
    <n v="45"/>
    <s v="Female"/>
    <x v="8"/>
    <s v="Dress"/>
    <n v="82.9"/>
    <x v="1"/>
    <s v="Cash on Delivery"/>
    <n v="3.9"/>
    <n v="16"/>
    <n v="8"/>
    <n v="69.635999999999996"/>
    <x v="1"/>
    <x v="0"/>
    <s v="Returning"/>
  </r>
  <r>
    <n v="499"/>
    <n v="31"/>
    <s v="Male"/>
    <x v="2"/>
    <s v="Yoga Mat"/>
    <n v="72.099999999999994"/>
    <x v="1"/>
    <s v="Card"/>
    <n v="4.3"/>
    <n v="12"/>
    <n v="6"/>
    <n v="63.447999999999993"/>
    <x v="4"/>
    <x v="0"/>
    <s v="Returning"/>
  </r>
  <r>
    <n v="500"/>
    <n v="51"/>
    <s v="Male"/>
    <x v="7"/>
    <s v="Sneakers"/>
    <n v="214.97"/>
    <x v="0"/>
    <s v="Card"/>
    <n v="4.0999999999999996"/>
    <n v="22"/>
    <n v="6"/>
    <n v="167.67660000000001"/>
    <x v="0"/>
    <x v="0"/>
    <s v="Returning"/>
  </r>
  <r>
    <n v="501"/>
    <n v="27"/>
    <s v="Male"/>
    <x v="5"/>
    <s v="Laptop"/>
    <n v="1871.95"/>
    <x v="1"/>
    <s v="Card"/>
    <n v="4.3"/>
    <n v="15"/>
    <n v="5"/>
    <n v="1591.1575"/>
    <x v="4"/>
    <x v="0"/>
    <s v="Returning"/>
  </r>
  <r>
    <n v="502"/>
    <n v="50"/>
    <s v="Female"/>
    <x v="0"/>
    <s v="Handbag"/>
    <n v="40.1"/>
    <x v="0"/>
    <s v="Cash on Delivery"/>
    <n v="3.9"/>
    <n v="19"/>
    <n v="7"/>
    <n v="32.481000000000002"/>
    <x v="0"/>
    <x v="0"/>
    <s v="Returning"/>
  </r>
  <r>
    <n v="503"/>
    <n v="24"/>
    <s v="Female"/>
    <x v="6"/>
    <s v="Makeup Set"/>
    <n v="96.8"/>
    <x v="1"/>
    <s v="Card"/>
    <n v="4.5999999999999996"/>
    <n v="21"/>
    <n v="8"/>
    <n v="76.471999999999994"/>
    <x v="3"/>
    <x v="0"/>
    <s v="Returning"/>
  </r>
  <r>
    <n v="504"/>
    <n v="59"/>
    <s v="Male"/>
    <x v="3"/>
    <s v="Curtains"/>
    <n v="43.39"/>
    <x v="0"/>
    <s v="Cash on Delivery"/>
    <n v="5"/>
    <n v="12"/>
    <n v="1"/>
    <n v="38.183199999999999"/>
    <x v="0"/>
    <x v="0"/>
    <s v="Returning"/>
  </r>
  <r>
    <n v="505"/>
    <n v="26"/>
    <s v="Female"/>
    <x v="0"/>
    <s v="Sunglasses"/>
    <n v="26.57"/>
    <x v="3"/>
    <s v="Cash on Delivery"/>
    <n v="4.4000000000000004"/>
    <n v="22"/>
    <n v="6"/>
    <n v="20.724600000000002"/>
    <x v="4"/>
    <x v="0"/>
    <s v="Returning"/>
  </r>
  <r>
    <n v="506"/>
    <n v="57"/>
    <s v="Female"/>
    <x v="8"/>
    <s v="Skirt"/>
    <n v="187.19"/>
    <x v="3"/>
    <s v="Card"/>
    <n v="4.7"/>
    <n v="16"/>
    <n v="3"/>
    <n v="157.2396"/>
    <x v="0"/>
    <x v="0"/>
    <s v="Returning"/>
  </r>
  <r>
    <n v="507"/>
    <n v="37"/>
    <s v="Male"/>
    <x v="7"/>
    <s v="Sandals"/>
    <n v="80.92"/>
    <x v="0"/>
    <s v="Cash on Delivery"/>
    <n v="3"/>
    <n v="14"/>
    <n v="7"/>
    <n v="69.591200000000001"/>
    <x v="1"/>
    <x v="0"/>
    <s v="Returning"/>
  </r>
  <r>
    <n v="508"/>
    <n v="44"/>
    <s v="Male"/>
    <x v="5"/>
    <s v="Laptop"/>
    <n v="1002.94"/>
    <x v="3"/>
    <s v="Card"/>
    <n v="2.2999999999999998"/>
    <n v="14"/>
    <n v="2"/>
    <n v="862.52840000000003"/>
    <x v="1"/>
    <x v="0"/>
    <s v="Returning"/>
  </r>
  <r>
    <n v="509"/>
    <n v="23"/>
    <s v="Female"/>
    <x v="6"/>
    <s v="Perfume"/>
    <n v="65.349999999999994"/>
    <x v="3"/>
    <s v="Card"/>
    <n v="2.7"/>
    <n v="16"/>
    <n v="3"/>
    <n v="54.893999999999991"/>
    <x v="3"/>
    <x v="0"/>
    <s v="Returning"/>
  </r>
  <r>
    <n v="510"/>
    <n v="21"/>
    <s v="Male"/>
    <x v="7"/>
    <s v="Formal Shoes"/>
    <n v="87.39"/>
    <x v="0"/>
    <s v="Card"/>
    <n v="3.7"/>
    <n v="6"/>
    <n v="3"/>
    <n v="82.146599999999992"/>
    <x v="3"/>
    <x v="0"/>
    <s v="Returning"/>
  </r>
  <r>
    <n v="511"/>
    <n v="38"/>
    <s v="Male"/>
    <x v="5"/>
    <s v="Laptop"/>
    <n v="1886.55"/>
    <x v="3"/>
    <s v="Card"/>
    <n v="3.8"/>
    <n v="16"/>
    <n v="3"/>
    <n v="1584.702"/>
    <x v="1"/>
    <x v="0"/>
    <s v="Returning"/>
  </r>
  <r>
    <n v="512"/>
    <n v="58"/>
    <s v="Female"/>
    <x v="8"/>
    <s v="Top"/>
    <n v="166.84"/>
    <x v="1"/>
    <s v="Card"/>
    <n v="4.5999999999999996"/>
    <n v="18"/>
    <n v="4"/>
    <n v="136.80880000000002"/>
    <x v="0"/>
    <x v="0"/>
    <s v="Returning"/>
  </r>
  <r>
    <n v="513"/>
    <n v="37"/>
    <s v="Female"/>
    <x v="6"/>
    <s v="Skincare Kit"/>
    <n v="87.84"/>
    <x v="1"/>
    <s v="Card"/>
    <n v="4.0999999999999996"/>
    <n v="7"/>
    <n v="1"/>
    <n v="81.691199999999995"/>
    <x v="1"/>
    <x v="0"/>
    <s v="Returning"/>
  </r>
  <r>
    <n v="514"/>
    <n v="44"/>
    <s v="Female"/>
    <x v="6"/>
    <s v="Makeup Set"/>
    <n v="110.61"/>
    <x v="0"/>
    <s v="Card"/>
    <n v="3.5"/>
    <n v="13"/>
    <n v="4"/>
    <n v="96.230699999999999"/>
    <x v="1"/>
    <x v="0"/>
    <s v="Returning"/>
  </r>
  <r>
    <n v="515"/>
    <n v="55"/>
    <s v="Male"/>
    <x v="3"/>
    <s v="Lamp"/>
    <n v="130.03"/>
    <x v="2"/>
    <s v="Card"/>
    <n v="3.1"/>
    <n v="14"/>
    <n v="7"/>
    <n v="111.8258"/>
    <x v="0"/>
    <x v="0"/>
    <s v="Returning"/>
  </r>
  <r>
    <n v="516"/>
    <n v="33"/>
    <s v="Female"/>
    <x v="0"/>
    <s v="Sunglasses"/>
    <n v="97.26"/>
    <x v="3"/>
    <s v="Card"/>
    <n v="3.1"/>
    <n v="10"/>
    <n v="5"/>
    <n v="87.534000000000006"/>
    <x v="4"/>
    <x v="0"/>
    <s v="Returning"/>
  </r>
  <r>
    <n v="517"/>
    <n v="39"/>
    <s v="Female"/>
    <x v="6"/>
    <s v="Makeup Set"/>
    <n v="35.18"/>
    <x v="0"/>
    <s v="Card"/>
    <n v="4.0999999999999996"/>
    <n v="17"/>
    <n v="6"/>
    <n v="29.199399999999997"/>
    <x v="1"/>
    <x v="0"/>
    <s v="Returning"/>
  </r>
  <r>
    <n v="518"/>
    <n v="44"/>
    <s v="Male"/>
    <x v="2"/>
    <s v="Dumbbells"/>
    <n v="93.78"/>
    <x v="3"/>
    <s v="Cash on Delivery"/>
    <n v="5"/>
    <n v="17"/>
    <n v="6"/>
    <n v="77.837400000000002"/>
    <x v="1"/>
    <x v="0"/>
    <s v="Returning"/>
  </r>
  <r>
    <n v="519"/>
    <n v="26"/>
    <s v="Male"/>
    <x v="7"/>
    <s v="Sneakers"/>
    <n v="235.26"/>
    <x v="3"/>
    <s v="Card"/>
    <n v="4.9000000000000004"/>
    <n v="13"/>
    <n v="4"/>
    <n v="204.67619999999999"/>
    <x v="4"/>
    <x v="0"/>
    <s v="Returning"/>
  </r>
  <r>
    <n v="520"/>
    <n v="62"/>
    <s v="Male"/>
    <x v="2"/>
    <s v="Dumbbells"/>
    <n v="136.94"/>
    <x v="0"/>
    <s v="Card"/>
    <n v="3.6"/>
    <n v="15"/>
    <n v="5"/>
    <n v="116.399"/>
    <x v="2"/>
    <x v="0"/>
    <s v="Returning"/>
  </r>
  <r>
    <n v="521"/>
    <n v="60"/>
    <s v="Female"/>
    <x v="7"/>
    <s v="Formal Shoes"/>
    <n v="149.44999999999999"/>
    <x v="2"/>
    <s v="Card"/>
    <n v="3.3"/>
    <n v="6"/>
    <n v="3"/>
    <n v="140.48299999999998"/>
    <x v="0"/>
    <x v="0"/>
    <s v="Returning"/>
  </r>
  <r>
    <n v="522"/>
    <n v="42"/>
    <s v="Male"/>
    <x v="7"/>
    <s v="Formal Shoes"/>
    <n v="122.86"/>
    <x v="3"/>
    <s v="Card"/>
    <n v="4.7"/>
    <n v="18"/>
    <n v="4"/>
    <n v="100.74520000000001"/>
    <x v="1"/>
    <x v="0"/>
    <s v="Returning"/>
  </r>
  <r>
    <n v="523"/>
    <n v="32"/>
    <s v="Female"/>
    <x v="7"/>
    <s v="Formal Shoes"/>
    <n v="156.61000000000001"/>
    <x v="3"/>
    <s v="Card"/>
    <n v="4.7"/>
    <n v="22"/>
    <n v="6"/>
    <n v="122.15580000000001"/>
    <x v="4"/>
    <x v="0"/>
    <s v="Returning"/>
  </r>
  <r>
    <n v="524"/>
    <n v="29"/>
    <s v="Male"/>
    <x v="2"/>
    <s v="Dumbbells"/>
    <n v="88.8"/>
    <x v="0"/>
    <s v="Card"/>
    <n v="3.1"/>
    <n v="22"/>
    <n v="6"/>
    <n v="69.263999999999996"/>
    <x v="4"/>
    <x v="0"/>
    <s v="Returning"/>
  </r>
  <r>
    <n v="525"/>
    <n v="46"/>
    <s v="Male"/>
    <x v="1"/>
    <s v="Shirt"/>
    <n v="165.74"/>
    <x v="0"/>
    <s v="Card"/>
    <n v="4.2"/>
    <n v="6"/>
    <n v="3"/>
    <n v="155.79560000000001"/>
    <x v="0"/>
    <x v="0"/>
    <s v="Returning"/>
  </r>
  <r>
    <n v="526"/>
    <n v="61"/>
    <s v="Male"/>
    <x v="3"/>
    <s v="Kitchen Set"/>
    <n v="220.45"/>
    <x v="1"/>
    <s v="Card"/>
    <n v="3.2"/>
    <n v="17"/>
    <n v="6"/>
    <n v="182.97349999999997"/>
    <x v="2"/>
    <x v="0"/>
    <s v="Returning"/>
  </r>
  <r>
    <n v="527"/>
    <n v="27"/>
    <s v="Male"/>
    <x v="1"/>
    <s v="Jeans"/>
    <n v="110.6"/>
    <x v="0"/>
    <s v="Card"/>
    <n v="3.6"/>
    <n v="10"/>
    <n v="0"/>
    <n v="99.539999999999992"/>
    <x v="4"/>
    <x v="0"/>
    <s v="New"/>
  </r>
  <r>
    <n v="528"/>
    <n v="56"/>
    <s v="Female"/>
    <x v="6"/>
    <s v="Makeup Set"/>
    <n v="135.51"/>
    <x v="3"/>
    <s v="Card"/>
    <n v="4.4000000000000004"/>
    <n v="26"/>
    <n v="8"/>
    <n v="100.27739999999999"/>
    <x v="0"/>
    <x v="0"/>
    <s v="Returning"/>
  </r>
  <r>
    <n v="529"/>
    <n v="54"/>
    <s v="Male"/>
    <x v="1"/>
    <s v="Jeans"/>
    <n v="118.11"/>
    <x v="1"/>
    <s v="Card"/>
    <n v="3.2"/>
    <n v="13"/>
    <n v="4"/>
    <n v="102.7557"/>
    <x v="0"/>
    <x v="0"/>
    <s v="Returning"/>
  </r>
  <r>
    <n v="530"/>
    <n v="56"/>
    <s v="Male"/>
    <x v="1"/>
    <s v="Shirt"/>
    <n v="125.17"/>
    <x v="0"/>
    <s v="Card"/>
    <n v="3.6"/>
    <n v="22"/>
    <n v="6"/>
    <n v="97.632600000000011"/>
    <x v="0"/>
    <x v="0"/>
    <s v="Returning"/>
  </r>
  <r>
    <n v="531"/>
    <n v="57"/>
    <s v="Female"/>
    <x v="2"/>
    <s v="Yoga Mat"/>
    <n v="157.33000000000001"/>
    <x v="3"/>
    <s v="Card"/>
    <n v="3.9"/>
    <n v="13"/>
    <n v="4"/>
    <n v="136.87710000000001"/>
    <x v="0"/>
    <x v="0"/>
    <s v="Returning"/>
  </r>
  <r>
    <n v="532"/>
    <n v="29"/>
    <s v="Female"/>
    <x v="4"/>
    <s v="Rice Pack"/>
    <n v="56.63"/>
    <x v="1"/>
    <s v="Card"/>
    <n v="4.5"/>
    <n v="13"/>
    <n v="4"/>
    <n v="49.268100000000004"/>
    <x v="4"/>
    <x v="0"/>
    <s v="Returning"/>
  </r>
  <r>
    <n v="533"/>
    <n v="30"/>
    <s v="Female"/>
    <x v="0"/>
    <s v="Handbag"/>
    <n v="89.32"/>
    <x v="2"/>
    <s v="Cash on Delivery"/>
    <n v="4.5"/>
    <n v="12"/>
    <n v="6"/>
    <n v="78.601599999999991"/>
    <x v="4"/>
    <x v="0"/>
    <s v="Returning"/>
  </r>
  <r>
    <n v="534"/>
    <n v="20"/>
    <s v="Female"/>
    <x v="8"/>
    <s v="Dress"/>
    <n v="131.59"/>
    <x v="0"/>
    <s v="Card"/>
    <n v="4.2"/>
    <n v="17"/>
    <n v="6"/>
    <n v="109.2197"/>
    <x v="3"/>
    <x v="0"/>
    <s v="Returning"/>
  </r>
  <r>
    <n v="535"/>
    <n v="31"/>
    <s v="Male"/>
    <x v="2"/>
    <s v="Yoga Mat"/>
    <n v="45.03"/>
    <x v="1"/>
    <s v="Cash on Delivery"/>
    <n v="4.9000000000000004"/>
    <n v="12"/>
    <n v="6"/>
    <n v="39.626400000000004"/>
    <x v="4"/>
    <x v="0"/>
    <s v="Returning"/>
  </r>
  <r>
    <n v="536"/>
    <n v="49"/>
    <s v="Male"/>
    <x v="7"/>
    <s v="Formal Shoes"/>
    <n v="105.07"/>
    <x v="3"/>
    <s v="Card"/>
    <n v="4.2"/>
    <n v="14"/>
    <n v="7"/>
    <n v="90.360199999999992"/>
    <x v="0"/>
    <x v="0"/>
    <s v="Returning"/>
  </r>
  <r>
    <n v="537"/>
    <n v="35"/>
    <s v="Female"/>
    <x v="0"/>
    <s v="Sunglasses"/>
    <n v="31.51"/>
    <x v="3"/>
    <s v="Card"/>
    <n v="3.2"/>
    <n v="15"/>
    <n v="5"/>
    <n v="26.7835"/>
    <x v="4"/>
    <x v="0"/>
    <s v="Returning"/>
  </r>
  <r>
    <n v="538"/>
    <n v="60"/>
    <s v="Male"/>
    <x v="2"/>
    <s v="Yoga Mat"/>
    <n v="98.94"/>
    <x v="1"/>
    <s v="Card"/>
    <n v="3.4"/>
    <n v="10"/>
    <n v="5"/>
    <n v="89.046000000000006"/>
    <x v="0"/>
    <x v="0"/>
    <s v="Returning"/>
  </r>
  <r>
    <n v="539"/>
    <n v="23"/>
    <s v="Male"/>
    <x v="7"/>
    <s v="Sandals"/>
    <n v="236.7"/>
    <x v="1"/>
    <s v="Card"/>
    <n v="4.5"/>
    <n v="17"/>
    <n v="6"/>
    <n v="196.46099999999998"/>
    <x v="3"/>
    <x v="0"/>
    <s v="Returning"/>
  </r>
  <r>
    <n v="540"/>
    <n v="59"/>
    <s v="Female"/>
    <x v="8"/>
    <s v="Top"/>
    <n v="111.87"/>
    <x v="2"/>
    <s v="Card"/>
    <n v="3.9"/>
    <n v="21"/>
    <n v="8"/>
    <n v="88.377300000000005"/>
    <x v="0"/>
    <x v="0"/>
    <s v="Returning"/>
  </r>
  <r>
    <n v="541"/>
    <n v="31"/>
    <s v="Male"/>
    <x v="2"/>
    <s v="Football"/>
    <n v="90.67"/>
    <x v="0"/>
    <s v="Cash on Delivery"/>
    <n v="5"/>
    <n v="12"/>
    <n v="6"/>
    <n v="79.789600000000007"/>
    <x v="4"/>
    <x v="0"/>
    <s v="Returning"/>
  </r>
  <r>
    <n v="542"/>
    <n v="28"/>
    <s v="Male"/>
    <x v="1"/>
    <s v="Jeans"/>
    <n v="141.19"/>
    <x v="2"/>
    <s v="Card"/>
    <n v="4"/>
    <n v="4"/>
    <n v="2"/>
    <n v="135.54239999999999"/>
    <x v="4"/>
    <x v="0"/>
    <s v="Returning"/>
  </r>
  <r>
    <n v="543"/>
    <n v="32"/>
    <s v="Female"/>
    <x v="8"/>
    <s v="Top"/>
    <n v="158.72"/>
    <x v="1"/>
    <s v="Card"/>
    <n v="4.9000000000000004"/>
    <n v="16"/>
    <n v="3"/>
    <n v="133.32479999999998"/>
    <x v="4"/>
    <x v="0"/>
    <s v="Returning"/>
  </r>
  <r>
    <n v="544"/>
    <n v="32"/>
    <s v="Female"/>
    <x v="7"/>
    <s v="Formal Shoes"/>
    <n v="91.02"/>
    <x v="2"/>
    <s v="Card"/>
    <n v="4.0999999999999996"/>
    <n v="17"/>
    <n v="6"/>
    <n v="75.546599999999998"/>
    <x v="4"/>
    <x v="0"/>
    <s v="Returning"/>
  </r>
  <r>
    <n v="545"/>
    <n v="70"/>
    <s v="Female"/>
    <x v="0"/>
    <s v="Sunglasses"/>
    <n v="159.31"/>
    <x v="0"/>
    <s v="Card"/>
    <n v="4.5"/>
    <n v="17"/>
    <n v="6"/>
    <n v="132.22729999999999"/>
    <x v="2"/>
    <x v="0"/>
    <s v="Returning"/>
  </r>
  <r>
    <n v="546"/>
    <n v="30"/>
    <s v="Male"/>
    <x v="5"/>
    <s v="Smart Watch"/>
    <n v="2428.11"/>
    <x v="1"/>
    <s v="Card"/>
    <n v="3.9"/>
    <n v="4"/>
    <n v="2"/>
    <n v="2330.9856"/>
    <x v="4"/>
    <x v="0"/>
    <s v="Returning"/>
  </r>
  <r>
    <n v="547"/>
    <n v="28"/>
    <s v="Female"/>
    <x v="6"/>
    <s v="Perfume"/>
    <n v="25.24"/>
    <x v="2"/>
    <s v="Card"/>
    <n v="3.7"/>
    <n v="21"/>
    <n v="8"/>
    <n v="19.939599999999999"/>
    <x v="4"/>
    <x v="0"/>
    <s v="Returning"/>
  </r>
  <r>
    <n v="548"/>
    <n v="46"/>
    <s v="Male"/>
    <x v="4"/>
    <s v="Rice Pack"/>
    <n v="62.51"/>
    <x v="2"/>
    <s v="Cash on Delivery"/>
    <n v="4.2"/>
    <n v="11"/>
    <n v="3"/>
    <n v="55.633899999999997"/>
    <x v="0"/>
    <x v="0"/>
    <s v="Returning"/>
  </r>
  <r>
    <n v="549"/>
    <n v="22"/>
    <s v="Male"/>
    <x v="7"/>
    <s v="Formal Shoes"/>
    <n v="80.22"/>
    <x v="3"/>
    <s v="Card"/>
    <n v="4.5999999999999996"/>
    <n v="8"/>
    <n v="4"/>
    <n v="73.802400000000006"/>
    <x v="3"/>
    <x v="0"/>
    <s v="Returning"/>
  </r>
  <r>
    <n v="550"/>
    <n v="28"/>
    <s v="Male"/>
    <x v="5"/>
    <s v="Headphones"/>
    <n v="600.16999999999996"/>
    <x v="2"/>
    <s v="Card"/>
    <n v="3.8"/>
    <n v="10"/>
    <n v="5"/>
    <n v="540.15300000000002"/>
    <x v="4"/>
    <x v="0"/>
    <s v="Returning"/>
  </r>
  <r>
    <n v="551"/>
    <n v="63"/>
    <s v="Male"/>
    <x v="1"/>
    <s v="Jeans"/>
    <n v="106.27"/>
    <x v="3"/>
    <s v="Card"/>
    <n v="3.5"/>
    <n v="14"/>
    <n v="7"/>
    <n v="91.392199999999988"/>
    <x v="2"/>
    <x v="0"/>
    <s v="Returning"/>
  </r>
  <r>
    <n v="552"/>
    <n v="27"/>
    <s v="Male"/>
    <x v="7"/>
    <s v="Sandals"/>
    <n v="141.6"/>
    <x v="2"/>
    <s v="Card"/>
    <n v="4.0999999999999996"/>
    <n v="19"/>
    <n v="7"/>
    <n v="114.696"/>
    <x v="4"/>
    <x v="0"/>
    <s v="Returning"/>
  </r>
  <r>
    <n v="553"/>
    <n v="43"/>
    <s v="Male"/>
    <x v="7"/>
    <s v="Formal Shoes"/>
    <n v="90.88"/>
    <x v="2"/>
    <s v="Cash on Delivery"/>
    <n v="3.3"/>
    <n v="14"/>
    <n v="2"/>
    <n v="78.15679999999999"/>
    <x v="1"/>
    <x v="0"/>
    <s v="Returning"/>
  </r>
  <r>
    <n v="554"/>
    <n v="20"/>
    <s v="Female"/>
    <x v="7"/>
    <s v="Sneakers"/>
    <n v="156.91"/>
    <x v="3"/>
    <s v="Card"/>
    <n v="4.0999999999999996"/>
    <n v="22"/>
    <n v="6"/>
    <n v="122.38980000000001"/>
    <x v="3"/>
    <x v="0"/>
    <s v="Returning"/>
  </r>
  <r>
    <n v="555"/>
    <n v="41"/>
    <s v="Male"/>
    <x v="2"/>
    <s v="Football"/>
    <n v="232.73"/>
    <x v="2"/>
    <s v="Card"/>
    <n v="3.7"/>
    <n v="15"/>
    <n v="5"/>
    <n v="197.82049999999998"/>
    <x v="1"/>
    <x v="0"/>
    <s v="Returning"/>
  </r>
  <r>
    <n v="556"/>
    <n v="29"/>
    <s v="Female"/>
    <x v="0"/>
    <s v="Wallet"/>
    <n v="53.93"/>
    <x v="3"/>
    <s v="Card"/>
    <n v="2.5"/>
    <n v="18"/>
    <n v="4"/>
    <n v="44.2226"/>
    <x v="4"/>
    <x v="0"/>
    <s v="Returning"/>
  </r>
  <r>
    <n v="557"/>
    <n v="61"/>
    <s v="Male"/>
    <x v="7"/>
    <s v="Sneakers"/>
    <n v="65.72"/>
    <x v="3"/>
    <s v="Cash on Delivery"/>
    <n v="2.8"/>
    <n v="8"/>
    <n v="4"/>
    <n v="60.462400000000002"/>
    <x v="2"/>
    <x v="0"/>
    <s v="Returning"/>
  </r>
  <r>
    <n v="558"/>
    <n v="69"/>
    <s v="Female"/>
    <x v="8"/>
    <s v="Skirt"/>
    <n v="159.87"/>
    <x v="2"/>
    <s v="Card"/>
    <n v="3.6"/>
    <n v="10"/>
    <n v="0"/>
    <n v="143.88300000000001"/>
    <x v="2"/>
    <x v="0"/>
    <s v="New"/>
  </r>
  <r>
    <n v="559"/>
    <n v="64"/>
    <s v="Male"/>
    <x v="5"/>
    <s v="Laptop"/>
    <n v="2435.63"/>
    <x v="2"/>
    <s v="Card"/>
    <n v="3.3"/>
    <n v="18"/>
    <n v="4"/>
    <n v="1997.2166000000002"/>
    <x v="2"/>
    <x v="0"/>
    <s v="Returning"/>
  </r>
  <r>
    <n v="560"/>
    <n v="40"/>
    <s v="Male"/>
    <x v="7"/>
    <s v="Sneakers"/>
    <n v="90.24"/>
    <x v="1"/>
    <s v="Cash on Delivery"/>
    <n v="4.3"/>
    <n v="17"/>
    <n v="6"/>
    <n v="74.899199999999993"/>
    <x v="1"/>
    <x v="0"/>
    <s v="Returning"/>
  </r>
  <r>
    <n v="561"/>
    <n v="37"/>
    <s v="Female"/>
    <x v="0"/>
    <s v="Handbag"/>
    <n v="117.76"/>
    <x v="1"/>
    <s v="Card"/>
    <n v="3.5"/>
    <n v="12"/>
    <n v="6"/>
    <n v="103.6288"/>
    <x v="1"/>
    <x v="0"/>
    <s v="Returning"/>
  </r>
  <r>
    <n v="562"/>
    <n v="64"/>
    <s v="Female"/>
    <x v="8"/>
    <s v="Jeans"/>
    <n v="97.62"/>
    <x v="3"/>
    <s v="Card"/>
    <n v="3.8"/>
    <n v="8"/>
    <n v="4"/>
    <n v="89.810400000000001"/>
    <x v="2"/>
    <x v="0"/>
    <s v="Returning"/>
  </r>
  <r>
    <n v="563"/>
    <n v="66"/>
    <s v="Female"/>
    <x v="6"/>
    <s v="Makeup Set"/>
    <n v="98.66"/>
    <x v="0"/>
    <s v="Card"/>
    <n v="2.7"/>
    <n v="22"/>
    <n v="6"/>
    <n v="76.954800000000006"/>
    <x v="2"/>
    <x v="0"/>
    <s v="Returning"/>
  </r>
  <r>
    <n v="564"/>
    <n v="66"/>
    <s v="Female"/>
    <x v="8"/>
    <s v="Top"/>
    <n v="185.56"/>
    <x v="1"/>
    <s v="Card"/>
    <n v="3.7"/>
    <n v="21"/>
    <n v="8"/>
    <n v="146.5924"/>
    <x v="2"/>
    <x v="0"/>
    <s v="Returning"/>
  </r>
  <r>
    <n v="565"/>
    <n v="60"/>
    <s v="Female"/>
    <x v="4"/>
    <s v="Rice Pack"/>
    <n v="12.59"/>
    <x v="1"/>
    <s v="Card"/>
    <n v="3.4"/>
    <n v="12"/>
    <n v="1"/>
    <n v="11.0792"/>
    <x v="0"/>
    <x v="0"/>
    <s v="Returning"/>
  </r>
  <r>
    <n v="566"/>
    <n v="41"/>
    <s v="Female"/>
    <x v="6"/>
    <s v="Makeup Set"/>
    <n v="34.299999999999997"/>
    <x v="0"/>
    <s v="Card"/>
    <n v="3.3"/>
    <n v="4"/>
    <n v="2"/>
    <n v="32.927999999999997"/>
    <x v="1"/>
    <x v="0"/>
    <s v="Returning"/>
  </r>
  <r>
    <n v="567"/>
    <n v="29"/>
    <s v="Male"/>
    <x v="2"/>
    <s v="Football"/>
    <n v="162.96"/>
    <x v="3"/>
    <s v="Card"/>
    <n v="3.9"/>
    <n v="19"/>
    <n v="7"/>
    <n v="131.99760000000001"/>
    <x v="4"/>
    <x v="0"/>
    <s v="Returning"/>
  </r>
  <r>
    <n v="568"/>
    <n v="45"/>
    <s v="Male"/>
    <x v="5"/>
    <s v="Laptop"/>
    <n v="2785.85"/>
    <x v="1"/>
    <s v="Card"/>
    <n v="3.4"/>
    <n v="18"/>
    <n v="4"/>
    <n v="2284.3969999999999"/>
    <x v="1"/>
    <x v="0"/>
    <s v="Returning"/>
  </r>
  <r>
    <n v="569"/>
    <n v="67"/>
    <s v="Male"/>
    <x v="7"/>
    <s v="Sandals"/>
    <n v="79.989999999999995"/>
    <x v="1"/>
    <s v="Card"/>
    <n v="3.5"/>
    <n v="12"/>
    <n v="1"/>
    <n v="70.391199999999998"/>
    <x v="2"/>
    <x v="0"/>
    <s v="Returning"/>
  </r>
  <r>
    <n v="570"/>
    <n v="24"/>
    <s v="Female"/>
    <x v="8"/>
    <s v="Jeans"/>
    <n v="33.979999999999997"/>
    <x v="1"/>
    <s v="Card"/>
    <n v="2.1"/>
    <n v="15"/>
    <n v="5"/>
    <n v="28.882999999999996"/>
    <x v="3"/>
    <x v="0"/>
    <s v="Returning"/>
  </r>
  <r>
    <n v="571"/>
    <n v="32"/>
    <s v="Male"/>
    <x v="5"/>
    <s v="Headphones"/>
    <n v="2562.09"/>
    <x v="2"/>
    <s v="Card"/>
    <n v="3.7"/>
    <n v="14"/>
    <n v="7"/>
    <n v="2203.3974000000003"/>
    <x v="4"/>
    <x v="0"/>
    <s v="Returning"/>
  </r>
  <r>
    <n v="572"/>
    <n v="69"/>
    <s v="Female"/>
    <x v="6"/>
    <s v="Makeup Set"/>
    <n v="55.71"/>
    <x v="1"/>
    <s v="Card"/>
    <n v="2.9"/>
    <n v="15"/>
    <n v="5"/>
    <n v="47.353499999999997"/>
    <x v="2"/>
    <x v="0"/>
    <s v="Returning"/>
  </r>
  <r>
    <n v="573"/>
    <n v="61"/>
    <s v="Male"/>
    <x v="7"/>
    <s v="Sandals"/>
    <n v="41.13"/>
    <x v="3"/>
    <s v="Cash on Delivery"/>
    <n v="5"/>
    <n v="17"/>
    <n v="6"/>
    <n v="34.137900000000002"/>
    <x v="2"/>
    <x v="0"/>
    <s v="Returning"/>
  </r>
  <r>
    <n v="574"/>
    <n v="46"/>
    <s v="Female"/>
    <x v="8"/>
    <s v="Skirt"/>
    <n v="62.15"/>
    <x v="3"/>
    <s v="Cash on Delivery"/>
    <n v="3.8"/>
    <n v="22"/>
    <n v="6"/>
    <n v="48.477000000000004"/>
    <x v="0"/>
    <x v="0"/>
    <s v="Returning"/>
  </r>
  <r>
    <n v="575"/>
    <n v="44"/>
    <s v="Male"/>
    <x v="3"/>
    <s v="Curtains"/>
    <n v="124.45"/>
    <x v="3"/>
    <s v="Card"/>
    <n v="5"/>
    <n v="9"/>
    <n v="2"/>
    <n v="113.24950000000001"/>
    <x v="1"/>
    <x v="0"/>
    <s v="Returning"/>
  </r>
  <r>
    <n v="576"/>
    <n v="46"/>
    <s v="Male"/>
    <x v="7"/>
    <s v="Sneakers"/>
    <n v="75.37"/>
    <x v="2"/>
    <s v="Card"/>
    <n v="3.7"/>
    <n v="20"/>
    <n v="10"/>
    <n v="60.296000000000006"/>
    <x v="0"/>
    <x v="0"/>
    <s v="Returning"/>
  </r>
  <r>
    <n v="577"/>
    <n v="30"/>
    <s v="Male"/>
    <x v="2"/>
    <s v="Yoga Mat"/>
    <n v="141.81"/>
    <x v="2"/>
    <s v="Card"/>
    <n v="4.9000000000000004"/>
    <n v="13"/>
    <n v="4"/>
    <n v="123.3747"/>
    <x v="4"/>
    <x v="0"/>
    <s v="Returning"/>
  </r>
  <r>
    <n v="578"/>
    <n v="38"/>
    <s v="Male"/>
    <x v="1"/>
    <s v="Jeans"/>
    <n v="173.03"/>
    <x v="0"/>
    <s v="Card"/>
    <n v="2.6"/>
    <n v="13"/>
    <n v="4"/>
    <n v="150.5361"/>
    <x v="1"/>
    <x v="0"/>
    <s v="Returning"/>
  </r>
  <r>
    <n v="579"/>
    <n v="26"/>
    <s v="Female"/>
    <x v="3"/>
    <s v="Curtains"/>
    <n v="174.88"/>
    <x v="0"/>
    <s v="Card"/>
    <n v="4.4000000000000004"/>
    <n v="14"/>
    <n v="2"/>
    <n v="150.39679999999998"/>
    <x v="4"/>
    <x v="0"/>
    <s v="Returning"/>
  </r>
  <r>
    <n v="580"/>
    <n v="42"/>
    <s v="Female"/>
    <x v="6"/>
    <s v="Perfume"/>
    <n v="48.19"/>
    <x v="2"/>
    <s v="Card"/>
    <n v="2.7"/>
    <n v="12"/>
    <n v="6"/>
    <n v="42.407199999999996"/>
    <x v="1"/>
    <x v="0"/>
    <s v="Returning"/>
  </r>
  <r>
    <n v="581"/>
    <n v="37"/>
    <s v="Male"/>
    <x v="5"/>
    <s v="Laptop"/>
    <n v="714.78"/>
    <x v="2"/>
    <s v="Card"/>
    <n v="4"/>
    <n v="12"/>
    <n v="6"/>
    <n v="629.00639999999999"/>
    <x v="1"/>
    <x v="0"/>
    <s v="Returning"/>
  </r>
  <r>
    <n v="582"/>
    <n v="54"/>
    <s v="Female"/>
    <x v="2"/>
    <s v="Dumbbells"/>
    <n v="30.19"/>
    <x v="0"/>
    <s v="Cash on Delivery"/>
    <n v="4.2"/>
    <n v="13"/>
    <n v="4"/>
    <n v="26.2653"/>
    <x v="0"/>
    <x v="0"/>
    <s v="Returning"/>
  </r>
  <r>
    <n v="583"/>
    <n v="68"/>
    <s v="Female"/>
    <x v="6"/>
    <s v="Makeup Set"/>
    <n v="120.37"/>
    <x v="2"/>
    <s v="Card"/>
    <n v="2.9"/>
    <n v="24"/>
    <n v="7"/>
    <n v="91.481200000000001"/>
    <x v="2"/>
    <x v="0"/>
    <s v="Returning"/>
  </r>
  <r>
    <n v="584"/>
    <n v="38"/>
    <s v="Female"/>
    <x v="8"/>
    <s v="Dress"/>
    <n v="185.35"/>
    <x v="2"/>
    <s v="Card"/>
    <n v="4.9000000000000004"/>
    <n v="12"/>
    <n v="6"/>
    <n v="163.108"/>
    <x v="1"/>
    <x v="0"/>
    <s v="Returning"/>
  </r>
  <r>
    <n v="585"/>
    <n v="25"/>
    <s v="Male"/>
    <x v="5"/>
    <s v="Smart Watch"/>
    <n v="1495.63"/>
    <x v="3"/>
    <s v="Card"/>
    <n v="3.8"/>
    <n v="14"/>
    <n v="2"/>
    <n v="1286.2418"/>
    <x v="3"/>
    <x v="0"/>
    <s v="Returning"/>
  </r>
  <r>
    <n v="586"/>
    <n v="42"/>
    <s v="Male"/>
    <x v="5"/>
    <s v="Mobile Phone"/>
    <n v="1552.24"/>
    <x v="0"/>
    <s v="Card"/>
    <n v="3.8"/>
    <n v="17"/>
    <n v="6"/>
    <n v="1288.3591999999999"/>
    <x v="1"/>
    <x v="0"/>
    <s v="Returning"/>
  </r>
  <r>
    <n v="587"/>
    <n v="26"/>
    <s v="Male"/>
    <x v="2"/>
    <s v="Football"/>
    <n v="175.47"/>
    <x v="0"/>
    <s v="Card"/>
    <n v="3"/>
    <n v="13"/>
    <n v="4"/>
    <n v="152.65889999999999"/>
    <x v="4"/>
    <x v="0"/>
    <s v="Returning"/>
  </r>
  <r>
    <n v="588"/>
    <n v="45"/>
    <s v="Male"/>
    <x v="2"/>
    <s v="Football"/>
    <n v="136.12"/>
    <x v="1"/>
    <s v="Card"/>
    <n v="4.5"/>
    <n v="23"/>
    <n v="9"/>
    <n v="104.81240000000001"/>
    <x v="1"/>
    <x v="0"/>
    <s v="Returning"/>
  </r>
  <r>
    <n v="589"/>
    <n v="22"/>
    <s v="Female"/>
    <x v="7"/>
    <s v="Sneakers"/>
    <n v="174.5"/>
    <x v="0"/>
    <s v="Card"/>
    <n v="3.7"/>
    <n v="14"/>
    <n v="2"/>
    <n v="150.07"/>
    <x v="3"/>
    <x v="0"/>
    <s v="Returning"/>
  </r>
  <r>
    <n v="590"/>
    <n v="40"/>
    <s v="Male"/>
    <x v="3"/>
    <s v="Lamp"/>
    <n v="136.29"/>
    <x v="2"/>
    <s v="Card"/>
    <n v="2.9"/>
    <n v="13"/>
    <n v="4"/>
    <n v="118.5723"/>
    <x v="1"/>
    <x v="0"/>
    <s v="Returning"/>
  </r>
  <r>
    <n v="591"/>
    <n v="44"/>
    <s v="Female"/>
    <x v="7"/>
    <s v="Sandals"/>
    <n v="62.11"/>
    <x v="3"/>
    <s v="Card"/>
    <n v="2.9"/>
    <n v="19"/>
    <n v="7"/>
    <n v="50.309100000000001"/>
    <x v="1"/>
    <x v="0"/>
    <s v="Returning"/>
  </r>
  <r>
    <n v="592"/>
    <n v="31"/>
    <s v="Male"/>
    <x v="2"/>
    <s v="Football"/>
    <n v="209.64"/>
    <x v="0"/>
    <s v="Card"/>
    <n v="4.5999999999999996"/>
    <n v="11"/>
    <n v="3"/>
    <n v="186.5796"/>
    <x v="4"/>
    <x v="0"/>
    <s v="Returning"/>
  </r>
  <r>
    <n v="593"/>
    <n v="23"/>
    <s v="Male"/>
    <x v="7"/>
    <s v="Sandals"/>
    <n v="188.15"/>
    <x v="2"/>
    <s v="Card"/>
    <n v="3.5"/>
    <n v="4"/>
    <n v="2"/>
    <n v="180.624"/>
    <x v="3"/>
    <x v="0"/>
    <s v="Returning"/>
  </r>
  <r>
    <n v="594"/>
    <n v="27"/>
    <s v="Female"/>
    <x v="0"/>
    <s v="Handbag"/>
    <n v="31.87"/>
    <x v="2"/>
    <s v="Cash on Delivery"/>
    <n v="5"/>
    <n v="22"/>
    <n v="6"/>
    <n v="24.858600000000003"/>
    <x v="4"/>
    <x v="0"/>
    <s v="Returning"/>
  </r>
  <r>
    <n v="595"/>
    <n v="24"/>
    <s v="Male"/>
    <x v="1"/>
    <s v="Jeans"/>
    <n v="128.63999999999999"/>
    <x v="0"/>
    <s v="Card"/>
    <n v="4.4000000000000004"/>
    <n v="22"/>
    <n v="6"/>
    <n v="100.33919999999999"/>
    <x v="3"/>
    <x v="0"/>
    <s v="Returning"/>
  </r>
  <r>
    <n v="596"/>
    <n v="57"/>
    <s v="Female"/>
    <x v="7"/>
    <s v="Sneakers"/>
    <n v="107.31"/>
    <x v="2"/>
    <s v="Card"/>
    <n v="3.6"/>
    <n v="16"/>
    <n v="8"/>
    <n v="90.1404"/>
    <x v="0"/>
    <x v="0"/>
    <s v="Returning"/>
  </r>
  <r>
    <n v="597"/>
    <n v="37"/>
    <s v="Female"/>
    <x v="2"/>
    <s v="Football"/>
    <n v="160.72"/>
    <x v="1"/>
    <s v="Card"/>
    <n v="3.8"/>
    <n v="8"/>
    <n v="4"/>
    <n v="147.86240000000001"/>
    <x v="1"/>
    <x v="0"/>
    <s v="Returning"/>
  </r>
  <r>
    <n v="598"/>
    <n v="44"/>
    <s v="Male"/>
    <x v="1"/>
    <s v="Jacket"/>
    <n v="74.66"/>
    <x v="0"/>
    <s v="Cash on Delivery"/>
    <n v="3"/>
    <n v="13"/>
    <n v="4"/>
    <n v="64.9542"/>
    <x v="1"/>
    <x v="0"/>
    <s v="Returning"/>
  </r>
  <r>
    <n v="599"/>
    <n v="69"/>
    <s v="Male"/>
    <x v="7"/>
    <s v="Sneakers"/>
    <n v="210.5"/>
    <x v="2"/>
    <s v="Card"/>
    <n v="3.8"/>
    <n v="13"/>
    <n v="4"/>
    <n v="183.13499999999999"/>
    <x v="2"/>
    <x v="0"/>
    <s v="Returning"/>
  </r>
  <r>
    <n v="600"/>
    <n v="24"/>
    <s v="Male"/>
    <x v="1"/>
    <s v="Shirt"/>
    <n v="35.35"/>
    <x v="2"/>
    <s v="Card"/>
    <n v="3.6"/>
    <n v="21"/>
    <n v="8"/>
    <n v="27.926500000000001"/>
    <x v="3"/>
    <x v="0"/>
    <s v="Returning"/>
  </r>
  <r>
    <n v="601"/>
    <n v="48"/>
    <s v="Male"/>
    <x v="2"/>
    <s v="Dumbbells"/>
    <n v="63.8"/>
    <x v="2"/>
    <s v="Cash on Delivery"/>
    <n v="4.2"/>
    <n v="15"/>
    <n v="5"/>
    <n v="54.23"/>
    <x v="0"/>
    <x v="0"/>
    <s v="Returning"/>
  </r>
  <r>
    <n v="602"/>
    <n v="50"/>
    <s v="Male"/>
    <x v="7"/>
    <s v="Sandals"/>
    <n v="66.64"/>
    <x v="3"/>
    <s v="Card"/>
    <n v="5"/>
    <n v="15"/>
    <n v="5"/>
    <n v="56.643999999999998"/>
    <x v="0"/>
    <x v="0"/>
    <s v="Returning"/>
  </r>
  <r>
    <n v="603"/>
    <n v="33"/>
    <s v="Female"/>
    <x v="2"/>
    <s v="Dumbbells"/>
    <n v="26.47"/>
    <x v="1"/>
    <s v="Cash on Delivery"/>
    <n v="2.7"/>
    <n v="4"/>
    <n v="2"/>
    <n v="25.411199999999997"/>
    <x v="4"/>
    <x v="0"/>
    <s v="Returning"/>
  </r>
  <r>
    <n v="604"/>
    <n v="67"/>
    <s v="Male"/>
    <x v="7"/>
    <s v="Formal Shoes"/>
    <n v="233.68"/>
    <x v="0"/>
    <s v="Card"/>
    <n v="3.3"/>
    <n v="13"/>
    <n v="4"/>
    <n v="203.30160000000001"/>
    <x v="2"/>
    <x v="0"/>
    <s v="Returning"/>
  </r>
  <r>
    <n v="605"/>
    <n v="48"/>
    <s v="Female"/>
    <x v="2"/>
    <s v="Dumbbells"/>
    <n v="184.2"/>
    <x v="1"/>
    <s v="Card"/>
    <n v="4.3"/>
    <n v="19"/>
    <n v="7"/>
    <n v="149.202"/>
    <x v="0"/>
    <x v="0"/>
    <s v="Returning"/>
  </r>
  <r>
    <n v="606"/>
    <n v="43"/>
    <s v="Female"/>
    <x v="7"/>
    <s v="Formal Shoes"/>
    <n v="209.23"/>
    <x v="2"/>
    <s v="Card"/>
    <n v="3"/>
    <n v="13"/>
    <n v="4"/>
    <n v="182.03009999999998"/>
    <x v="1"/>
    <x v="0"/>
    <s v="Returning"/>
  </r>
  <r>
    <n v="607"/>
    <n v="55"/>
    <s v="Male"/>
    <x v="2"/>
    <s v="Football"/>
    <n v="225.1"/>
    <x v="2"/>
    <s v="Card"/>
    <n v="4.8"/>
    <n v="12"/>
    <n v="6"/>
    <n v="198.08799999999999"/>
    <x v="0"/>
    <x v="0"/>
    <s v="Returning"/>
  </r>
  <r>
    <n v="608"/>
    <n v="26"/>
    <s v="Male"/>
    <x v="1"/>
    <s v="Jacket"/>
    <n v="172.87"/>
    <x v="3"/>
    <s v="Card"/>
    <n v="3.3"/>
    <n v="17"/>
    <n v="6"/>
    <n v="143.4821"/>
    <x v="4"/>
    <x v="0"/>
    <s v="Returning"/>
  </r>
  <r>
    <n v="609"/>
    <n v="56"/>
    <s v="Male"/>
    <x v="5"/>
    <s v="Laptop"/>
    <n v="2831.6"/>
    <x v="0"/>
    <s v="Card"/>
    <n v="4.7"/>
    <n v="15"/>
    <n v="5"/>
    <n v="2406.8599999999997"/>
    <x v="0"/>
    <x v="0"/>
    <s v="Returning"/>
  </r>
  <r>
    <n v="610"/>
    <n v="52"/>
    <s v="Female"/>
    <x v="0"/>
    <s v="Handbag"/>
    <n v="20.11"/>
    <x v="1"/>
    <s v="Card"/>
    <n v="5"/>
    <n v="8"/>
    <n v="4"/>
    <n v="18.501200000000001"/>
    <x v="0"/>
    <x v="0"/>
    <s v="Returning"/>
  </r>
  <r>
    <n v="611"/>
    <n v="32"/>
    <s v="Male"/>
    <x v="4"/>
    <s v="Snacks"/>
    <n v="58.96"/>
    <x v="2"/>
    <s v="Cash on Delivery"/>
    <n v="4.8"/>
    <n v="4"/>
    <n v="2"/>
    <n v="56.601599999999998"/>
    <x v="4"/>
    <x v="0"/>
    <s v="Returning"/>
  </r>
  <r>
    <n v="612"/>
    <n v="44"/>
    <s v="Female"/>
    <x v="0"/>
    <s v="Wallet"/>
    <n v="170.49"/>
    <x v="0"/>
    <s v="Card"/>
    <n v="2.9"/>
    <n v="18"/>
    <n v="9"/>
    <n v="139.80180000000001"/>
    <x v="1"/>
    <x v="0"/>
    <s v="Returning"/>
  </r>
  <r>
    <n v="613"/>
    <n v="44"/>
    <s v="Female"/>
    <x v="8"/>
    <s v="Skirt"/>
    <n v="65.05"/>
    <x v="3"/>
    <s v="Cash on Delivery"/>
    <n v="3.4"/>
    <n v="19"/>
    <n v="7"/>
    <n v="52.6905"/>
    <x v="1"/>
    <x v="0"/>
    <s v="Returning"/>
  </r>
  <r>
    <n v="614"/>
    <n v="32"/>
    <s v="Female"/>
    <x v="8"/>
    <s v="Jeans"/>
    <n v="35.659999999999997"/>
    <x v="3"/>
    <s v="Cash on Delivery"/>
    <n v="4.0999999999999996"/>
    <n v="17"/>
    <n v="6"/>
    <n v="29.597799999999996"/>
    <x v="4"/>
    <x v="0"/>
    <s v="Returning"/>
  </r>
  <r>
    <n v="615"/>
    <n v="32"/>
    <s v="Female"/>
    <x v="2"/>
    <s v="Dumbbells"/>
    <n v="37.450000000000003"/>
    <x v="2"/>
    <s v="Card"/>
    <n v="3.2"/>
    <n v="2"/>
    <n v="1"/>
    <n v="36.701000000000001"/>
    <x v="4"/>
    <x v="0"/>
    <s v="Returning"/>
  </r>
  <r>
    <n v="616"/>
    <n v="26"/>
    <s v="Female"/>
    <x v="0"/>
    <s v="Sunglasses"/>
    <n v="170.43"/>
    <x v="1"/>
    <s v="Card"/>
    <n v="3.1"/>
    <n v="17"/>
    <n v="6"/>
    <n v="141.45689999999999"/>
    <x v="4"/>
    <x v="0"/>
    <s v="Returning"/>
  </r>
  <r>
    <n v="617"/>
    <n v="30"/>
    <s v="Female"/>
    <x v="7"/>
    <s v="Sandals"/>
    <n v="61.98"/>
    <x v="1"/>
    <s v="Card"/>
    <n v="3.5"/>
    <n v="10"/>
    <n v="5"/>
    <n v="55.781999999999996"/>
    <x v="4"/>
    <x v="0"/>
    <s v="Returning"/>
  </r>
  <r>
    <n v="618"/>
    <n v="54"/>
    <s v="Female"/>
    <x v="8"/>
    <s v="Dress"/>
    <n v="97.85"/>
    <x v="0"/>
    <s v="Cash on Delivery"/>
    <n v="3.6"/>
    <n v="12"/>
    <n v="6"/>
    <n v="86.10799999999999"/>
    <x v="0"/>
    <x v="0"/>
    <s v="Returning"/>
  </r>
  <r>
    <n v="619"/>
    <n v="44"/>
    <s v="Male"/>
    <x v="7"/>
    <s v="Sandals"/>
    <n v="180.53"/>
    <x v="0"/>
    <s v="Card"/>
    <n v="3.4"/>
    <n v="26"/>
    <n v="8"/>
    <n v="133.59219999999999"/>
    <x v="1"/>
    <x v="0"/>
    <s v="Returning"/>
  </r>
  <r>
    <n v="620"/>
    <n v="70"/>
    <s v="Male"/>
    <x v="5"/>
    <s v="Mobile Phone"/>
    <n v="2658.73"/>
    <x v="3"/>
    <s v="Card"/>
    <n v="4.3"/>
    <n v="22"/>
    <n v="6"/>
    <n v="2073.8094000000001"/>
    <x v="2"/>
    <x v="0"/>
    <s v="Returning"/>
  </r>
  <r>
    <n v="621"/>
    <n v="32"/>
    <s v="Male"/>
    <x v="7"/>
    <s v="Sandals"/>
    <n v="158.28"/>
    <x v="0"/>
    <s v="Card"/>
    <n v="4.0999999999999996"/>
    <n v="26"/>
    <n v="8"/>
    <n v="117.1272"/>
    <x v="4"/>
    <x v="0"/>
    <s v="Returning"/>
  </r>
  <r>
    <n v="622"/>
    <n v="57"/>
    <s v="Male"/>
    <x v="2"/>
    <s v="Yoga Mat"/>
    <n v="222.98"/>
    <x v="2"/>
    <s v="Card"/>
    <n v="3.5"/>
    <n v="24"/>
    <n v="7"/>
    <n v="169.4648"/>
    <x v="0"/>
    <x v="0"/>
    <s v="Returning"/>
  </r>
  <r>
    <n v="623"/>
    <n v="49"/>
    <s v="Male"/>
    <x v="1"/>
    <s v="Shirt"/>
    <n v="197.05"/>
    <x v="2"/>
    <s v="Card"/>
    <n v="4.4000000000000004"/>
    <n v="17"/>
    <n v="6"/>
    <n v="163.5515"/>
    <x v="0"/>
    <x v="0"/>
    <s v="Returning"/>
  </r>
  <r>
    <n v="624"/>
    <n v="48"/>
    <s v="Male"/>
    <x v="2"/>
    <s v="Yoga Mat"/>
    <n v="97.69"/>
    <x v="3"/>
    <s v="Cash on Delivery"/>
    <n v="3.4"/>
    <n v="19"/>
    <n v="7"/>
    <n v="79.128900000000002"/>
    <x v="0"/>
    <x v="0"/>
    <s v="Returning"/>
  </r>
  <r>
    <n v="625"/>
    <n v="35"/>
    <s v="Male"/>
    <x v="5"/>
    <s v="Mobile Phone"/>
    <n v="761.2"/>
    <x v="3"/>
    <s v="Card"/>
    <n v="5"/>
    <n v="24"/>
    <n v="7"/>
    <n v="578.51200000000006"/>
    <x v="4"/>
    <x v="0"/>
    <s v="Returning"/>
  </r>
  <r>
    <n v="626"/>
    <n v="63"/>
    <s v="Female"/>
    <x v="7"/>
    <s v="Formal Shoes"/>
    <n v="208.69"/>
    <x v="2"/>
    <s v="Card"/>
    <n v="3.2"/>
    <n v="13"/>
    <n v="4"/>
    <n v="181.56029999999998"/>
    <x v="2"/>
    <x v="0"/>
    <s v="Returning"/>
  </r>
  <r>
    <n v="627"/>
    <n v="60"/>
    <s v="Female"/>
    <x v="8"/>
    <s v="Dress"/>
    <n v="31.81"/>
    <x v="1"/>
    <s v="Card"/>
    <n v="3.5"/>
    <n v="12"/>
    <n v="6"/>
    <n v="27.992799999999999"/>
    <x v="0"/>
    <x v="0"/>
    <s v="Returning"/>
  </r>
  <r>
    <n v="628"/>
    <n v="29"/>
    <s v="Male"/>
    <x v="5"/>
    <s v="Laptop"/>
    <n v="1170.69"/>
    <x v="3"/>
    <s v="Card"/>
    <n v="3.5"/>
    <n v="16"/>
    <n v="3"/>
    <n v="983.37959999999998"/>
    <x v="4"/>
    <x v="0"/>
    <s v="Returning"/>
  </r>
  <r>
    <n v="629"/>
    <n v="54"/>
    <s v="Male"/>
    <x v="7"/>
    <s v="Formal Shoes"/>
    <n v="66.739999999999995"/>
    <x v="0"/>
    <s v="Cash on Delivery"/>
    <n v="4.3"/>
    <n v="12"/>
    <n v="6"/>
    <n v="58.731199999999994"/>
    <x v="0"/>
    <x v="0"/>
    <s v="Returning"/>
  </r>
  <r>
    <n v="630"/>
    <n v="23"/>
    <s v="Female"/>
    <x v="6"/>
    <s v="Skincare Kit"/>
    <n v="39.909999999999997"/>
    <x v="1"/>
    <s v="Cash on Delivery"/>
    <n v="3.3"/>
    <n v="2"/>
    <n v="1"/>
    <n v="39.111799999999995"/>
    <x v="3"/>
    <x v="0"/>
    <s v="Returning"/>
  </r>
  <r>
    <n v="631"/>
    <n v="42"/>
    <s v="Female"/>
    <x v="4"/>
    <s v="Cooking Oil"/>
    <n v="10.19"/>
    <x v="0"/>
    <s v="Cash on Delivery"/>
    <n v="4.0999999999999996"/>
    <n v="14"/>
    <n v="7"/>
    <n v="8.763399999999999"/>
    <x v="1"/>
    <x v="0"/>
    <s v="Returning"/>
  </r>
  <r>
    <n v="632"/>
    <n v="70"/>
    <s v="Male"/>
    <x v="1"/>
    <s v="Jeans"/>
    <n v="69.05"/>
    <x v="0"/>
    <s v="Card"/>
    <n v="3.9"/>
    <n v="8"/>
    <n v="4"/>
    <n v="63.526000000000003"/>
    <x v="2"/>
    <x v="0"/>
    <s v="Returning"/>
  </r>
  <r>
    <n v="633"/>
    <n v="29"/>
    <s v="Male"/>
    <x v="7"/>
    <s v="Sneakers"/>
    <n v="91.99"/>
    <x v="2"/>
    <s v="Card"/>
    <n v="2.9"/>
    <n v="25"/>
    <n v="10"/>
    <n v="68.992499999999993"/>
    <x v="4"/>
    <x v="0"/>
    <s v="Returning"/>
  </r>
  <r>
    <n v="634"/>
    <n v="38"/>
    <s v="Female"/>
    <x v="7"/>
    <s v="Formal Shoes"/>
    <n v="247.76"/>
    <x v="2"/>
    <s v="Card"/>
    <n v="3.3"/>
    <n v="11"/>
    <n v="3"/>
    <n v="220.50639999999999"/>
    <x v="1"/>
    <x v="0"/>
    <s v="Returning"/>
  </r>
  <r>
    <n v="635"/>
    <n v="45"/>
    <s v="Male"/>
    <x v="7"/>
    <s v="Formal Shoes"/>
    <n v="203.46"/>
    <x v="0"/>
    <s v="Card"/>
    <n v="3.1"/>
    <n v="10"/>
    <n v="5"/>
    <n v="183.114"/>
    <x v="1"/>
    <x v="0"/>
    <s v="Returning"/>
  </r>
  <r>
    <n v="636"/>
    <n v="61"/>
    <s v="Male"/>
    <x v="7"/>
    <s v="Formal Shoes"/>
    <n v="118.53"/>
    <x v="3"/>
    <s v="Card"/>
    <n v="4.9000000000000004"/>
    <n v="14"/>
    <n v="2"/>
    <n v="101.9358"/>
    <x v="2"/>
    <x v="0"/>
    <s v="Returning"/>
  </r>
  <r>
    <n v="637"/>
    <n v="66"/>
    <s v="Male"/>
    <x v="1"/>
    <s v="Shirt"/>
    <n v="63.45"/>
    <x v="2"/>
    <s v="Card"/>
    <n v="3.6"/>
    <n v="15"/>
    <n v="5"/>
    <n v="53.932500000000005"/>
    <x v="2"/>
    <x v="0"/>
    <s v="Returning"/>
  </r>
  <r>
    <n v="638"/>
    <n v="66"/>
    <s v="Female"/>
    <x v="0"/>
    <s v="Sunglasses"/>
    <n v="129.69"/>
    <x v="2"/>
    <s v="Card"/>
    <n v="3.1"/>
    <n v="17"/>
    <n v="6"/>
    <n v="107.64269999999999"/>
    <x v="2"/>
    <x v="0"/>
    <s v="Returning"/>
  </r>
  <r>
    <n v="639"/>
    <n v="27"/>
    <s v="Male"/>
    <x v="5"/>
    <s v="Smart Watch"/>
    <n v="736.92"/>
    <x v="0"/>
    <s v="Card"/>
    <n v="3.3"/>
    <n v="12"/>
    <n v="1"/>
    <n v="648.4896"/>
    <x v="4"/>
    <x v="0"/>
    <s v="Returning"/>
  </r>
  <r>
    <n v="640"/>
    <n v="52"/>
    <s v="Female"/>
    <x v="6"/>
    <s v="Skincare Kit"/>
    <n v="87.62"/>
    <x v="0"/>
    <s v="Card"/>
    <n v="2.9"/>
    <n v="10"/>
    <n v="5"/>
    <n v="78.858000000000004"/>
    <x v="0"/>
    <x v="0"/>
    <s v="Returning"/>
  </r>
  <r>
    <n v="641"/>
    <n v="43"/>
    <s v="Female"/>
    <x v="3"/>
    <s v="Kitchen Set"/>
    <n v="140"/>
    <x v="3"/>
    <s v="Card"/>
    <n v="3.9"/>
    <n v="15"/>
    <n v="5"/>
    <n v="119"/>
    <x v="1"/>
    <x v="0"/>
    <s v="Returning"/>
  </r>
  <r>
    <n v="642"/>
    <n v="35"/>
    <s v="Male"/>
    <x v="2"/>
    <s v="Football"/>
    <n v="107.57"/>
    <x v="3"/>
    <s v="Card"/>
    <n v="3.9"/>
    <n v="12"/>
    <n v="6"/>
    <n v="94.661599999999993"/>
    <x v="4"/>
    <x v="0"/>
    <s v="Returning"/>
  </r>
  <r>
    <n v="643"/>
    <n v="34"/>
    <s v="Male"/>
    <x v="4"/>
    <s v="Cooking Oil"/>
    <n v="78.16"/>
    <x v="1"/>
    <s v="Cash on Delivery"/>
    <n v="2.2000000000000002"/>
    <n v="4"/>
    <n v="2"/>
    <n v="75.033599999999993"/>
    <x v="4"/>
    <x v="0"/>
    <s v="Returning"/>
  </r>
  <r>
    <n v="644"/>
    <n v="51"/>
    <s v="Female"/>
    <x v="8"/>
    <s v="Dress"/>
    <n v="47.3"/>
    <x v="0"/>
    <s v="Cash on Delivery"/>
    <n v="3.9"/>
    <n v="7"/>
    <n v="1"/>
    <n v="43.988999999999997"/>
    <x v="0"/>
    <x v="0"/>
    <s v="Returning"/>
  </r>
  <r>
    <n v="645"/>
    <n v="43"/>
    <s v="Female"/>
    <x v="8"/>
    <s v="Skirt"/>
    <n v="143.80000000000001"/>
    <x v="0"/>
    <s v="Card"/>
    <n v="3.6"/>
    <n v="12"/>
    <n v="6"/>
    <n v="126.54400000000001"/>
    <x v="1"/>
    <x v="0"/>
    <s v="Returning"/>
  </r>
  <r>
    <n v="646"/>
    <n v="50"/>
    <s v="Male"/>
    <x v="2"/>
    <s v="Dumbbells"/>
    <n v="208.8"/>
    <x v="3"/>
    <s v="Card"/>
    <n v="3.4"/>
    <n v="4"/>
    <n v="2"/>
    <n v="200.44800000000001"/>
    <x v="0"/>
    <x v="0"/>
    <s v="Returning"/>
  </r>
  <r>
    <n v="647"/>
    <n v="33"/>
    <s v="Male"/>
    <x v="3"/>
    <s v="Lamp"/>
    <n v="170.58"/>
    <x v="3"/>
    <s v="Card"/>
    <n v="4.2"/>
    <n v="8"/>
    <n v="4"/>
    <n v="156.93360000000001"/>
    <x v="4"/>
    <x v="0"/>
    <s v="Returning"/>
  </r>
  <r>
    <n v="648"/>
    <n v="30"/>
    <s v="Male"/>
    <x v="1"/>
    <s v="Jeans"/>
    <n v="42.67"/>
    <x v="0"/>
    <s v="Cash on Delivery"/>
    <n v="4.0999999999999996"/>
    <n v="8"/>
    <n v="4"/>
    <n v="39.256400000000006"/>
    <x v="4"/>
    <x v="0"/>
    <s v="Returning"/>
  </r>
  <r>
    <n v="649"/>
    <n v="54"/>
    <s v="Male"/>
    <x v="1"/>
    <s v="Jeans"/>
    <n v="170.85"/>
    <x v="3"/>
    <s v="Card"/>
    <n v="3.4"/>
    <n v="13"/>
    <n v="4"/>
    <n v="148.6395"/>
    <x v="0"/>
    <x v="0"/>
    <s v="Returning"/>
  </r>
  <r>
    <n v="650"/>
    <n v="70"/>
    <s v="Male"/>
    <x v="7"/>
    <s v="Formal Shoes"/>
    <n v="174.39"/>
    <x v="3"/>
    <s v="Card"/>
    <n v="3.2"/>
    <n v="20"/>
    <n v="5"/>
    <n v="139.512"/>
    <x v="2"/>
    <x v="0"/>
    <s v="Returning"/>
  </r>
  <r>
    <n v="651"/>
    <n v="58"/>
    <s v="Male"/>
    <x v="2"/>
    <s v="Football"/>
    <n v="124.28"/>
    <x v="1"/>
    <s v="Card"/>
    <n v="3.1"/>
    <n v="16"/>
    <n v="3"/>
    <n v="104.3952"/>
    <x v="0"/>
    <x v="0"/>
    <s v="Returning"/>
  </r>
  <r>
    <n v="652"/>
    <n v="69"/>
    <s v="Male"/>
    <x v="2"/>
    <s v="Dumbbells"/>
    <n v="100.45"/>
    <x v="2"/>
    <s v="Card"/>
    <n v="3.6"/>
    <n v="13"/>
    <n v="4"/>
    <n v="87.391500000000008"/>
    <x v="2"/>
    <x v="0"/>
    <s v="Returning"/>
  </r>
  <r>
    <n v="653"/>
    <n v="52"/>
    <s v="Male"/>
    <x v="3"/>
    <s v="Kitchen Set"/>
    <n v="56.48"/>
    <x v="1"/>
    <s v="Cash on Delivery"/>
    <n v="5"/>
    <n v="29"/>
    <n v="12"/>
    <n v="40.100799999999992"/>
    <x v="0"/>
    <x v="0"/>
    <s v="Returning"/>
  </r>
  <r>
    <n v="654"/>
    <n v="60"/>
    <s v="Female"/>
    <x v="0"/>
    <s v="Wallet"/>
    <n v="30.06"/>
    <x v="0"/>
    <s v="Card"/>
    <n v="4.5999999999999996"/>
    <n v="22"/>
    <n v="6"/>
    <n v="23.4468"/>
    <x v="0"/>
    <x v="0"/>
    <s v="Returning"/>
  </r>
  <r>
    <n v="655"/>
    <n v="70"/>
    <s v="Female"/>
    <x v="7"/>
    <s v="Sandals"/>
    <n v="54"/>
    <x v="0"/>
    <s v="Card"/>
    <n v="2.8"/>
    <n v="30"/>
    <n v="10"/>
    <n v="37.799999999999997"/>
    <x v="2"/>
    <x v="0"/>
    <s v="Returning"/>
  </r>
  <r>
    <n v="656"/>
    <n v="67"/>
    <s v="Male"/>
    <x v="1"/>
    <s v="Jeans"/>
    <n v="174.5"/>
    <x v="3"/>
    <s v="Card"/>
    <n v="4.5"/>
    <n v="15"/>
    <n v="5"/>
    <n v="148.32499999999999"/>
    <x v="2"/>
    <x v="0"/>
    <s v="Returning"/>
  </r>
  <r>
    <n v="657"/>
    <n v="20"/>
    <s v="Female"/>
    <x v="0"/>
    <s v="Sunglasses"/>
    <n v="92.35"/>
    <x v="0"/>
    <s v="Card"/>
    <n v="3.3"/>
    <n v="12"/>
    <n v="1"/>
    <n v="81.268000000000001"/>
    <x v="3"/>
    <x v="0"/>
    <s v="Returning"/>
  </r>
  <r>
    <n v="658"/>
    <n v="33"/>
    <s v="Female"/>
    <x v="0"/>
    <s v="Wallet"/>
    <n v="40.85"/>
    <x v="3"/>
    <s v="Cash on Delivery"/>
    <n v="4.2"/>
    <n v="18"/>
    <n v="4"/>
    <n v="33.497000000000007"/>
    <x v="4"/>
    <x v="0"/>
    <s v="Returning"/>
  </r>
  <r>
    <n v="659"/>
    <n v="27"/>
    <s v="Male"/>
    <x v="2"/>
    <s v="Yoga Mat"/>
    <n v="68.16"/>
    <x v="1"/>
    <s v="Card"/>
    <n v="4.0999999999999996"/>
    <n v="10"/>
    <n v="5"/>
    <n v="61.344000000000001"/>
    <x v="4"/>
    <x v="0"/>
    <s v="Returning"/>
  </r>
  <r>
    <n v="660"/>
    <n v="33"/>
    <s v="Female"/>
    <x v="6"/>
    <s v="Makeup Set"/>
    <n v="107.56"/>
    <x v="1"/>
    <s v="Card"/>
    <n v="2.6"/>
    <n v="8"/>
    <n v="4"/>
    <n v="98.955200000000005"/>
    <x v="4"/>
    <x v="0"/>
    <s v="Returning"/>
  </r>
  <r>
    <n v="661"/>
    <n v="54"/>
    <s v="Female"/>
    <x v="7"/>
    <s v="Sneakers"/>
    <n v="242.06"/>
    <x v="1"/>
    <s v="Card"/>
    <n v="4.0999999999999996"/>
    <n v="19"/>
    <n v="7"/>
    <n v="196.0686"/>
    <x v="0"/>
    <x v="0"/>
    <s v="Returning"/>
  </r>
  <r>
    <n v="662"/>
    <n v="45"/>
    <s v="Female"/>
    <x v="6"/>
    <s v="Perfume"/>
    <n v="144.31"/>
    <x v="0"/>
    <s v="Card"/>
    <n v="3.8"/>
    <n v="0"/>
    <n v="0"/>
    <n v="144.31"/>
    <x v="1"/>
    <x v="1"/>
    <s v="New"/>
  </r>
  <r>
    <n v="663"/>
    <n v="28"/>
    <s v="Female"/>
    <x v="6"/>
    <s v="Perfume"/>
    <n v="119.55"/>
    <x v="2"/>
    <s v="Card"/>
    <n v="3.6"/>
    <n v="6"/>
    <n v="3"/>
    <n v="112.377"/>
    <x v="4"/>
    <x v="0"/>
    <s v="Returning"/>
  </r>
  <r>
    <n v="664"/>
    <n v="46"/>
    <s v="Male"/>
    <x v="2"/>
    <s v="Football"/>
    <n v="56.34"/>
    <x v="2"/>
    <s v="Cash on Delivery"/>
    <n v="2.9"/>
    <n v="11"/>
    <n v="3"/>
    <n v="50.142600000000002"/>
    <x v="0"/>
    <x v="0"/>
    <s v="Returning"/>
  </r>
  <r>
    <n v="665"/>
    <n v="25"/>
    <s v="Male"/>
    <x v="3"/>
    <s v="Lamp"/>
    <n v="279.19"/>
    <x v="3"/>
    <s v="Card"/>
    <n v="4.5"/>
    <n v="8"/>
    <n v="4"/>
    <n v="256.85480000000001"/>
    <x v="3"/>
    <x v="0"/>
    <s v="Returning"/>
  </r>
  <r>
    <n v="666"/>
    <n v="31"/>
    <s v="Female"/>
    <x v="6"/>
    <s v="Makeup Set"/>
    <n v="34.01"/>
    <x v="3"/>
    <s v="Card"/>
    <n v="3.8"/>
    <n v="22"/>
    <n v="6"/>
    <n v="26.527799999999999"/>
    <x v="4"/>
    <x v="0"/>
    <s v="Returning"/>
  </r>
  <r>
    <n v="667"/>
    <n v="60"/>
    <s v="Male"/>
    <x v="7"/>
    <s v="Sneakers"/>
    <n v="99.93"/>
    <x v="2"/>
    <s v="Card"/>
    <n v="3.5"/>
    <n v="28"/>
    <n v="9"/>
    <n v="71.949600000000004"/>
    <x v="0"/>
    <x v="0"/>
    <s v="Returning"/>
  </r>
  <r>
    <n v="668"/>
    <n v="64"/>
    <s v="Male"/>
    <x v="5"/>
    <s v="Headphones"/>
    <n v="1514.05"/>
    <x v="2"/>
    <s v="Card"/>
    <n v="3.7"/>
    <n v="20"/>
    <n v="5"/>
    <n v="1211.24"/>
    <x v="2"/>
    <x v="0"/>
    <s v="Returning"/>
  </r>
  <r>
    <n v="669"/>
    <n v="62"/>
    <s v="Male"/>
    <x v="1"/>
    <s v="T-Shirt"/>
    <n v="182.98"/>
    <x v="0"/>
    <s v="Card"/>
    <n v="3.1"/>
    <n v="13"/>
    <n v="4"/>
    <n v="159.1926"/>
    <x v="2"/>
    <x v="0"/>
    <s v="Returning"/>
  </r>
  <r>
    <n v="670"/>
    <n v="24"/>
    <s v="Male"/>
    <x v="3"/>
    <s v="Curtains"/>
    <n v="237.47"/>
    <x v="2"/>
    <s v="Card"/>
    <n v="3.2"/>
    <n v="28"/>
    <n v="9"/>
    <n v="170.97839999999999"/>
    <x v="3"/>
    <x v="0"/>
    <s v="Returning"/>
  </r>
  <r>
    <n v="671"/>
    <n v="64"/>
    <s v="Male"/>
    <x v="5"/>
    <s v="Laptop"/>
    <n v="1417.01"/>
    <x v="1"/>
    <s v="Card"/>
    <n v="4"/>
    <n v="2"/>
    <n v="1"/>
    <n v="1388.6697999999999"/>
    <x v="2"/>
    <x v="0"/>
    <s v="Returning"/>
  </r>
  <r>
    <n v="672"/>
    <n v="27"/>
    <s v="Female"/>
    <x v="8"/>
    <s v="Skirt"/>
    <n v="43.52"/>
    <x v="3"/>
    <s v="Cash on Delivery"/>
    <n v="4.0999999999999996"/>
    <n v="13"/>
    <n v="4"/>
    <n v="37.862400000000001"/>
    <x v="4"/>
    <x v="0"/>
    <s v="Returning"/>
  </r>
  <r>
    <n v="673"/>
    <n v="33"/>
    <s v="Female"/>
    <x v="8"/>
    <s v="Skirt"/>
    <n v="116.95"/>
    <x v="3"/>
    <s v="Card"/>
    <n v="4.5999999999999996"/>
    <n v="21"/>
    <n v="8"/>
    <n v="92.390500000000003"/>
    <x v="4"/>
    <x v="0"/>
    <s v="Returning"/>
  </r>
  <r>
    <n v="674"/>
    <n v="61"/>
    <s v="Female"/>
    <x v="8"/>
    <s v="Jeans"/>
    <n v="196.34"/>
    <x v="2"/>
    <s v="Card"/>
    <n v="3"/>
    <n v="16"/>
    <n v="8"/>
    <n v="164.9256"/>
    <x v="2"/>
    <x v="0"/>
    <s v="Returning"/>
  </r>
  <r>
    <n v="675"/>
    <n v="68"/>
    <s v="Female"/>
    <x v="7"/>
    <s v="Sandals"/>
    <n v="163.6"/>
    <x v="1"/>
    <s v="Card"/>
    <n v="4.3"/>
    <n v="22"/>
    <n v="6"/>
    <n v="127.608"/>
    <x v="2"/>
    <x v="0"/>
    <s v="Returning"/>
  </r>
  <r>
    <n v="676"/>
    <n v="54"/>
    <s v="Male"/>
    <x v="7"/>
    <s v="Sneakers"/>
    <n v="144.58000000000001"/>
    <x v="1"/>
    <s v="Card"/>
    <n v="3.9"/>
    <n v="24"/>
    <n v="7"/>
    <n v="109.88080000000001"/>
    <x v="0"/>
    <x v="0"/>
    <s v="Returning"/>
  </r>
  <r>
    <n v="677"/>
    <n v="22"/>
    <s v="Male"/>
    <x v="2"/>
    <s v="Yoga Mat"/>
    <n v="158.63999999999999"/>
    <x v="1"/>
    <s v="Card"/>
    <n v="3.9"/>
    <n v="21"/>
    <n v="8"/>
    <n v="125.32559999999999"/>
    <x v="3"/>
    <x v="0"/>
    <s v="Returning"/>
  </r>
  <r>
    <n v="678"/>
    <n v="52"/>
    <s v="Female"/>
    <x v="4"/>
    <s v="Beverages"/>
    <n v="5.89"/>
    <x v="3"/>
    <s v="Card"/>
    <n v="3.6"/>
    <n v="7"/>
    <n v="1"/>
    <n v="5.4776999999999996"/>
    <x v="0"/>
    <x v="0"/>
    <s v="Returning"/>
  </r>
  <r>
    <n v="679"/>
    <n v="63"/>
    <s v="Female"/>
    <x v="0"/>
    <s v="Handbag"/>
    <n v="168.46"/>
    <x v="2"/>
    <s v="Card"/>
    <n v="3.1"/>
    <n v="20"/>
    <n v="5"/>
    <n v="134.768"/>
    <x v="2"/>
    <x v="0"/>
    <s v="Returning"/>
  </r>
  <r>
    <n v="680"/>
    <n v="53"/>
    <s v="Female"/>
    <x v="8"/>
    <s v="Jeans"/>
    <n v="102.52"/>
    <x v="1"/>
    <s v="Card"/>
    <n v="4.3"/>
    <n v="16"/>
    <n v="8"/>
    <n v="86.116799999999998"/>
    <x v="0"/>
    <x v="0"/>
    <s v="Returning"/>
  </r>
  <r>
    <n v="681"/>
    <n v="31"/>
    <s v="Female"/>
    <x v="6"/>
    <s v="Skincare Kit"/>
    <n v="47.92"/>
    <x v="3"/>
    <s v="Card"/>
    <n v="3.6"/>
    <n v="8"/>
    <n v="4"/>
    <n v="44.086400000000005"/>
    <x v="4"/>
    <x v="0"/>
    <s v="Returning"/>
  </r>
  <r>
    <n v="682"/>
    <n v="27"/>
    <s v="Male"/>
    <x v="2"/>
    <s v="Dumbbells"/>
    <n v="119.22"/>
    <x v="2"/>
    <s v="Card"/>
    <n v="4"/>
    <n v="16"/>
    <n v="3"/>
    <n v="100.14479999999999"/>
    <x v="4"/>
    <x v="0"/>
    <s v="Returning"/>
  </r>
  <r>
    <n v="683"/>
    <n v="22"/>
    <s v="Male"/>
    <x v="3"/>
    <s v="Lamp"/>
    <n v="83.17"/>
    <x v="3"/>
    <s v="Cash on Delivery"/>
    <n v="4.5999999999999996"/>
    <n v="22"/>
    <n v="6"/>
    <n v="64.872600000000006"/>
    <x v="3"/>
    <x v="0"/>
    <s v="Returning"/>
  </r>
  <r>
    <n v="684"/>
    <n v="41"/>
    <s v="Male"/>
    <x v="5"/>
    <s v="Laptop"/>
    <n v="1496.4"/>
    <x v="1"/>
    <s v="Card"/>
    <n v="3.9"/>
    <n v="16"/>
    <n v="3"/>
    <n v="1256.9760000000001"/>
    <x v="1"/>
    <x v="0"/>
    <s v="Returning"/>
  </r>
  <r>
    <n v="685"/>
    <n v="35"/>
    <s v="Female"/>
    <x v="3"/>
    <s v="Curtains"/>
    <n v="121.52"/>
    <x v="3"/>
    <s v="Card"/>
    <n v="3.6"/>
    <n v="10"/>
    <n v="5"/>
    <n v="109.36799999999999"/>
    <x v="4"/>
    <x v="0"/>
    <s v="Returning"/>
  </r>
  <r>
    <n v="686"/>
    <n v="51"/>
    <s v="Female"/>
    <x v="6"/>
    <s v="Makeup Set"/>
    <n v="101.58"/>
    <x v="1"/>
    <s v="Card"/>
    <n v="3.7"/>
    <n v="14"/>
    <n v="2"/>
    <n v="87.358800000000002"/>
    <x v="0"/>
    <x v="0"/>
    <s v="Returning"/>
  </r>
  <r>
    <n v="687"/>
    <n v="20"/>
    <s v="Female"/>
    <x v="0"/>
    <s v="Wallet"/>
    <n v="96.93"/>
    <x v="1"/>
    <s v="Cash on Delivery"/>
    <n v="3.2"/>
    <n v="12"/>
    <n v="6"/>
    <n v="85.298400000000001"/>
    <x v="3"/>
    <x v="0"/>
    <s v="Returning"/>
  </r>
  <r>
    <n v="688"/>
    <n v="63"/>
    <s v="Male"/>
    <x v="2"/>
    <s v="Football"/>
    <n v="195.87"/>
    <x v="1"/>
    <s v="Card"/>
    <n v="4"/>
    <n v="18"/>
    <n v="4"/>
    <n v="160.61340000000001"/>
    <x v="2"/>
    <x v="0"/>
    <s v="Returning"/>
  </r>
  <r>
    <n v="689"/>
    <n v="57"/>
    <s v="Female"/>
    <x v="7"/>
    <s v="Sneakers"/>
    <n v="152.19"/>
    <x v="1"/>
    <s v="Card"/>
    <n v="5"/>
    <n v="13"/>
    <n v="4"/>
    <n v="132.40530000000001"/>
    <x v="0"/>
    <x v="0"/>
    <s v="Returning"/>
  </r>
  <r>
    <n v="690"/>
    <n v="68"/>
    <s v="Male"/>
    <x v="1"/>
    <s v="T-Shirt"/>
    <n v="71.13"/>
    <x v="2"/>
    <s v="Cash on Delivery"/>
    <n v="3.8"/>
    <n v="10"/>
    <n v="5"/>
    <n v="64.016999999999996"/>
    <x v="2"/>
    <x v="0"/>
    <s v="Returning"/>
  </r>
  <r>
    <n v="691"/>
    <n v="68"/>
    <s v="Female"/>
    <x v="6"/>
    <s v="Skincare Kit"/>
    <n v="139.63999999999999"/>
    <x v="1"/>
    <s v="Card"/>
    <n v="4.0999999999999996"/>
    <n v="20"/>
    <n v="5"/>
    <n v="111.71199999999999"/>
    <x v="2"/>
    <x v="0"/>
    <s v="Returning"/>
  </r>
  <r>
    <n v="692"/>
    <n v="65"/>
    <s v="Male"/>
    <x v="7"/>
    <s v="Sandals"/>
    <n v="134.93"/>
    <x v="3"/>
    <s v="Card"/>
    <n v="4"/>
    <n v="15"/>
    <n v="5"/>
    <n v="114.6905"/>
    <x v="2"/>
    <x v="0"/>
    <s v="Returning"/>
  </r>
  <r>
    <n v="693"/>
    <n v="30"/>
    <s v="Male"/>
    <x v="7"/>
    <s v="Sandals"/>
    <n v="75.61"/>
    <x v="0"/>
    <s v="Cash on Delivery"/>
    <n v="3.1"/>
    <n v="17"/>
    <n v="6"/>
    <n v="62.756299999999996"/>
    <x v="4"/>
    <x v="0"/>
    <s v="Returning"/>
  </r>
  <r>
    <n v="694"/>
    <n v="23"/>
    <s v="Female"/>
    <x v="0"/>
    <s v="Sunglasses"/>
    <n v="115.77"/>
    <x v="2"/>
    <s v="Card"/>
    <n v="4.5"/>
    <n v="13"/>
    <n v="4"/>
    <n v="100.7199"/>
    <x v="3"/>
    <x v="0"/>
    <s v="Returning"/>
  </r>
  <r>
    <n v="695"/>
    <n v="23"/>
    <s v="Female"/>
    <x v="7"/>
    <s v="Sandals"/>
    <n v="223.09"/>
    <x v="1"/>
    <s v="Card"/>
    <n v="4.0999999999999996"/>
    <n v="16"/>
    <n v="3"/>
    <n v="187.3956"/>
    <x v="3"/>
    <x v="0"/>
    <s v="Returning"/>
  </r>
  <r>
    <n v="696"/>
    <n v="59"/>
    <s v="Female"/>
    <x v="6"/>
    <s v="Skincare Kit"/>
    <n v="127.79"/>
    <x v="2"/>
    <s v="Card"/>
    <n v="3.8"/>
    <n v="6"/>
    <n v="3"/>
    <n v="120.12260000000001"/>
    <x v="0"/>
    <x v="0"/>
    <s v="Returning"/>
  </r>
  <r>
    <n v="697"/>
    <n v="35"/>
    <s v="Male"/>
    <x v="4"/>
    <s v="Cooking Oil"/>
    <n v="49.52"/>
    <x v="1"/>
    <s v="Cash on Delivery"/>
    <n v="3.6"/>
    <n v="13"/>
    <n v="4"/>
    <n v="43.0824"/>
    <x v="4"/>
    <x v="0"/>
    <s v="Returning"/>
  </r>
  <r>
    <n v="698"/>
    <n v="59"/>
    <s v="Female"/>
    <x v="7"/>
    <s v="Sneakers"/>
    <n v="105.81"/>
    <x v="2"/>
    <s v="Card"/>
    <n v="3.8"/>
    <n v="23"/>
    <n v="9"/>
    <n v="81.473700000000008"/>
    <x v="0"/>
    <x v="0"/>
    <s v="Returning"/>
  </r>
  <r>
    <n v="699"/>
    <n v="42"/>
    <s v="Female"/>
    <x v="8"/>
    <s v="Dress"/>
    <n v="178.77"/>
    <x v="3"/>
    <s v="Card"/>
    <n v="3.4"/>
    <n v="9"/>
    <n v="2"/>
    <n v="162.6807"/>
    <x v="1"/>
    <x v="0"/>
    <s v="Returning"/>
  </r>
  <r>
    <n v="700"/>
    <n v="28"/>
    <s v="Male"/>
    <x v="4"/>
    <s v="Rice Pack"/>
    <n v="54.61"/>
    <x v="2"/>
    <s v="Card"/>
    <n v="4.0999999999999996"/>
    <n v="8"/>
    <n v="4"/>
    <n v="50.241199999999999"/>
    <x v="4"/>
    <x v="0"/>
    <s v="Returning"/>
  </r>
  <r>
    <n v="701"/>
    <n v="49"/>
    <s v="Male"/>
    <x v="5"/>
    <s v="Smart Watch"/>
    <n v="1321.86"/>
    <x v="1"/>
    <s v="Card"/>
    <n v="4.4000000000000004"/>
    <n v="24"/>
    <n v="7"/>
    <n v="1004.6135999999999"/>
    <x v="0"/>
    <x v="0"/>
    <s v="Returning"/>
  </r>
  <r>
    <n v="702"/>
    <n v="36"/>
    <s v="Male"/>
    <x v="7"/>
    <s v="Sneakers"/>
    <n v="157.33000000000001"/>
    <x v="3"/>
    <s v="Card"/>
    <n v="3.7"/>
    <n v="17"/>
    <n v="6"/>
    <n v="130.5839"/>
    <x v="1"/>
    <x v="0"/>
    <s v="Returning"/>
  </r>
  <r>
    <n v="703"/>
    <n v="31"/>
    <s v="Male"/>
    <x v="7"/>
    <s v="Formal Shoes"/>
    <n v="157.43"/>
    <x v="2"/>
    <s v="Card"/>
    <n v="3"/>
    <n v="6"/>
    <n v="3"/>
    <n v="147.98419999999999"/>
    <x v="4"/>
    <x v="0"/>
    <s v="Returning"/>
  </r>
  <r>
    <n v="704"/>
    <n v="38"/>
    <s v="Male"/>
    <x v="1"/>
    <s v="Jacket"/>
    <n v="160.97999999999999"/>
    <x v="1"/>
    <s v="Card"/>
    <n v="2.9"/>
    <n v="20"/>
    <n v="5"/>
    <n v="128.78399999999999"/>
    <x v="1"/>
    <x v="0"/>
    <s v="Returning"/>
  </r>
  <r>
    <n v="705"/>
    <n v="46"/>
    <s v="Male"/>
    <x v="2"/>
    <s v="Yoga Mat"/>
    <n v="107.82"/>
    <x v="2"/>
    <s v="Card"/>
    <n v="3.9"/>
    <n v="7"/>
    <n v="1"/>
    <n v="100.27259999999998"/>
    <x v="0"/>
    <x v="0"/>
    <s v="Returning"/>
  </r>
  <r>
    <n v="706"/>
    <n v="39"/>
    <s v="Female"/>
    <x v="7"/>
    <s v="Formal Shoes"/>
    <n v="217.69"/>
    <x v="3"/>
    <s v="Card"/>
    <n v="2.6"/>
    <n v="10"/>
    <n v="5"/>
    <n v="195.92099999999999"/>
    <x v="1"/>
    <x v="0"/>
    <s v="Returning"/>
  </r>
  <r>
    <n v="707"/>
    <n v="45"/>
    <s v="Male"/>
    <x v="2"/>
    <s v="Yoga Mat"/>
    <n v="141.27000000000001"/>
    <x v="0"/>
    <s v="Card"/>
    <n v="3.2"/>
    <n v="16"/>
    <n v="3"/>
    <n v="118.66680000000001"/>
    <x v="1"/>
    <x v="0"/>
    <s v="Returning"/>
  </r>
  <r>
    <n v="708"/>
    <n v="57"/>
    <s v="Male"/>
    <x v="7"/>
    <s v="Sandals"/>
    <n v="233.72"/>
    <x v="3"/>
    <s v="Card"/>
    <n v="2.8"/>
    <n v="14"/>
    <n v="7"/>
    <n v="200.9992"/>
    <x v="0"/>
    <x v="0"/>
    <s v="Returning"/>
  </r>
  <r>
    <n v="709"/>
    <n v="53"/>
    <s v="Male"/>
    <x v="5"/>
    <s v="Headphones"/>
    <n v="1792.88"/>
    <x v="2"/>
    <s v="Card"/>
    <n v="3.6"/>
    <n v="19"/>
    <n v="7"/>
    <n v="1452.2328000000002"/>
    <x v="0"/>
    <x v="0"/>
    <s v="Returning"/>
  </r>
  <r>
    <n v="710"/>
    <n v="24"/>
    <s v="Male"/>
    <x v="5"/>
    <s v="Smart Watch"/>
    <n v="1064.7"/>
    <x v="2"/>
    <s v="Card"/>
    <n v="5"/>
    <n v="18"/>
    <n v="4"/>
    <n v="873.05400000000009"/>
    <x v="3"/>
    <x v="0"/>
    <s v="Returning"/>
  </r>
  <r>
    <n v="711"/>
    <n v="44"/>
    <s v="Female"/>
    <x v="0"/>
    <s v="Sunglasses"/>
    <n v="103.15"/>
    <x v="0"/>
    <s v="Card"/>
    <n v="3.6"/>
    <n v="13"/>
    <n v="4"/>
    <n v="89.740500000000011"/>
    <x v="1"/>
    <x v="0"/>
    <s v="Returning"/>
  </r>
  <r>
    <n v="712"/>
    <n v="69"/>
    <s v="Male"/>
    <x v="7"/>
    <s v="Sandals"/>
    <n v="48.78"/>
    <x v="3"/>
    <s v="Card"/>
    <n v="1.9"/>
    <n v="17"/>
    <n v="6"/>
    <n v="40.487400000000001"/>
    <x v="2"/>
    <x v="0"/>
    <s v="Returning"/>
  </r>
  <r>
    <n v="713"/>
    <n v="64"/>
    <s v="Female"/>
    <x v="6"/>
    <s v="Perfume"/>
    <n v="74.05"/>
    <x v="1"/>
    <s v="Card"/>
    <n v="4.9000000000000004"/>
    <n v="21"/>
    <n v="8"/>
    <n v="58.499499999999998"/>
    <x v="2"/>
    <x v="0"/>
    <s v="Returning"/>
  </r>
  <r>
    <n v="714"/>
    <n v="59"/>
    <s v="Female"/>
    <x v="8"/>
    <s v="Dress"/>
    <n v="35.33"/>
    <x v="3"/>
    <s v="Cash on Delivery"/>
    <n v="3.7"/>
    <n v="13"/>
    <n v="4"/>
    <n v="30.737099999999998"/>
    <x v="0"/>
    <x v="0"/>
    <s v="Returning"/>
  </r>
  <r>
    <n v="715"/>
    <n v="68"/>
    <s v="Female"/>
    <x v="8"/>
    <s v="Jeans"/>
    <n v="114.33"/>
    <x v="3"/>
    <s v="Card"/>
    <n v="2.9"/>
    <n v="10"/>
    <n v="5"/>
    <n v="102.89700000000001"/>
    <x v="2"/>
    <x v="0"/>
    <s v="Returning"/>
  </r>
  <r>
    <n v="716"/>
    <n v="48"/>
    <s v="Female"/>
    <x v="0"/>
    <s v="Handbag"/>
    <n v="41.13"/>
    <x v="2"/>
    <s v="Card"/>
    <n v="3.2"/>
    <n v="9"/>
    <n v="2"/>
    <n v="37.4283"/>
    <x v="0"/>
    <x v="0"/>
    <s v="Returning"/>
  </r>
  <r>
    <n v="717"/>
    <n v="56"/>
    <s v="Female"/>
    <x v="3"/>
    <s v="Kitchen Set"/>
    <n v="245.44"/>
    <x v="1"/>
    <s v="Card"/>
    <n v="3.2"/>
    <n v="2"/>
    <n v="1"/>
    <n v="240.53119999999998"/>
    <x v="0"/>
    <x v="0"/>
    <s v="Returning"/>
  </r>
  <r>
    <n v="718"/>
    <n v="36"/>
    <s v="Female"/>
    <x v="8"/>
    <s v="Jeans"/>
    <n v="153.84"/>
    <x v="2"/>
    <s v="Card"/>
    <n v="3.2"/>
    <n v="0"/>
    <n v="0"/>
    <n v="153.84"/>
    <x v="1"/>
    <x v="1"/>
    <s v="New"/>
  </r>
  <r>
    <n v="719"/>
    <n v="44"/>
    <s v="Female"/>
    <x v="7"/>
    <s v="Sandals"/>
    <n v="236.11"/>
    <x v="3"/>
    <s v="Card"/>
    <n v="5"/>
    <n v="23"/>
    <n v="9"/>
    <n v="181.80470000000003"/>
    <x v="1"/>
    <x v="0"/>
    <s v="Returning"/>
  </r>
  <r>
    <n v="720"/>
    <n v="54"/>
    <s v="Female"/>
    <x v="8"/>
    <s v="Dress"/>
    <n v="165.35"/>
    <x v="0"/>
    <s v="Card"/>
    <n v="3.7"/>
    <n v="10"/>
    <n v="0"/>
    <n v="148.815"/>
    <x v="0"/>
    <x v="0"/>
    <s v="New"/>
  </r>
  <r>
    <n v="721"/>
    <n v="30"/>
    <s v="Female"/>
    <x v="0"/>
    <s v="Sunglasses"/>
    <n v="59.51"/>
    <x v="2"/>
    <s v="Card"/>
    <n v="3.8"/>
    <n v="24"/>
    <n v="7"/>
    <n v="45.227600000000002"/>
    <x v="4"/>
    <x v="0"/>
    <s v="Returning"/>
  </r>
  <r>
    <n v="722"/>
    <n v="61"/>
    <s v="Male"/>
    <x v="2"/>
    <s v="Dumbbells"/>
    <n v="190.26"/>
    <x v="2"/>
    <s v="Card"/>
    <n v="4.4000000000000004"/>
    <n v="14"/>
    <n v="2"/>
    <n v="163.62359999999998"/>
    <x v="2"/>
    <x v="0"/>
    <s v="Returning"/>
  </r>
  <r>
    <n v="723"/>
    <n v="63"/>
    <s v="Female"/>
    <x v="3"/>
    <s v="Kitchen Set"/>
    <n v="168.64"/>
    <x v="0"/>
    <s v="Card"/>
    <n v="3.2"/>
    <n v="6"/>
    <n v="3"/>
    <n v="158.52159999999998"/>
    <x v="2"/>
    <x v="0"/>
    <s v="Returning"/>
  </r>
  <r>
    <n v="724"/>
    <n v="42"/>
    <s v="Male"/>
    <x v="5"/>
    <s v="Headphones"/>
    <n v="2517.98"/>
    <x v="3"/>
    <s v="Card"/>
    <n v="3.2"/>
    <n v="17"/>
    <n v="6"/>
    <n v="2089.9234000000001"/>
    <x v="1"/>
    <x v="0"/>
    <s v="Returning"/>
  </r>
  <r>
    <n v="725"/>
    <n v="35"/>
    <s v="Male"/>
    <x v="2"/>
    <s v="Football"/>
    <n v="240.4"/>
    <x v="2"/>
    <s v="Card"/>
    <n v="3.7"/>
    <n v="10"/>
    <n v="5"/>
    <n v="216.36"/>
    <x v="4"/>
    <x v="0"/>
    <s v="Returning"/>
  </r>
  <r>
    <n v="726"/>
    <n v="66"/>
    <s v="Female"/>
    <x v="4"/>
    <s v="Beverages"/>
    <n v="75.72"/>
    <x v="1"/>
    <s v="Card"/>
    <n v="3.9"/>
    <n v="14"/>
    <n v="7"/>
    <n v="65.119199999999992"/>
    <x v="2"/>
    <x v="0"/>
    <s v="Returning"/>
  </r>
  <r>
    <n v="727"/>
    <n v="37"/>
    <s v="Male"/>
    <x v="7"/>
    <s v="Formal Shoes"/>
    <n v="229.47"/>
    <x v="1"/>
    <s v="Card"/>
    <n v="4.2"/>
    <n v="14"/>
    <n v="7"/>
    <n v="197.3442"/>
    <x v="1"/>
    <x v="0"/>
    <s v="Returning"/>
  </r>
  <r>
    <n v="728"/>
    <n v="31"/>
    <s v="Female"/>
    <x v="2"/>
    <s v="Football"/>
    <n v="103.72"/>
    <x v="2"/>
    <s v="Card"/>
    <n v="3.4"/>
    <n v="20"/>
    <n v="5"/>
    <n v="82.975999999999999"/>
    <x v="4"/>
    <x v="0"/>
    <s v="Returning"/>
  </r>
  <r>
    <n v="729"/>
    <n v="46"/>
    <s v="Female"/>
    <x v="8"/>
    <s v="Jeans"/>
    <n v="134.76"/>
    <x v="3"/>
    <s v="Card"/>
    <n v="4.5999999999999996"/>
    <n v="20"/>
    <n v="5"/>
    <n v="107.80799999999999"/>
    <x v="0"/>
    <x v="0"/>
    <s v="Returning"/>
  </r>
  <r>
    <n v="730"/>
    <n v="46"/>
    <s v="Male"/>
    <x v="4"/>
    <s v="Rice Pack"/>
    <n v="59.16"/>
    <x v="0"/>
    <s v="Card"/>
    <n v="4.5"/>
    <n v="24"/>
    <n v="7"/>
    <n v="44.961599999999997"/>
    <x v="0"/>
    <x v="0"/>
    <s v="Returning"/>
  </r>
  <r>
    <n v="731"/>
    <n v="51"/>
    <s v="Male"/>
    <x v="1"/>
    <s v="T-Shirt"/>
    <n v="99.13"/>
    <x v="3"/>
    <s v="Card"/>
    <n v="4.0999999999999996"/>
    <n v="17"/>
    <n v="6"/>
    <n v="82.277899999999988"/>
    <x v="0"/>
    <x v="0"/>
    <s v="Returning"/>
  </r>
  <r>
    <n v="732"/>
    <n v="38"/>
    <s v="Male"/>
    <x v="2"/>
    <s v="Dumbbells"/>
    <n v="205.6"/>
    <x v="1"/>
    <s v="Card"/>
    <n v="4.5"/>
    <n v="22"/>
    <n v="6"/>
    <n v="160.36799999999999"/>
    <x v="1"/>
    <x v="0"/>
    <s v="Returning"/>
  </r>
  <r>
    <n v="733"/>
    <n v="31"/>
    <s v="Male"/>
    <x v="7"/>
    <s v="Formal Shoes"/>
    <n v="51.91"/>
    <x v="3"/>
    <s v="Cash on Delivery"/>
    <n v="2.2000000000000002"/>
    <n v="2"/>
    <n v="1"/>
    <n v="50.871799999999993"/>
    <x v="4"/>
    <x v="0"/>
    <s v="Returning"/>
  </r>
  <r>
    <n v="734"/>
    <n v="26"/>
    <s v="Female"/>
    <x v="6"/>
    <s v="Makeup Set"/>
    <n v="64.09"/>
    <x v="2"/>
    <s v="Card"/>
    <n v="4.5"/>
    <n v="11"/>
    <n v="3"/>
    <n v="57.040100000000002"/>
    <x v="4"/>
    <x v="0"/>
    <s v="Returning"/>
  </r>
  <r>
    <n v="735"/>
    <n v="46"/>
    <s v="Female"/>
    <x v="7"/>
    <s v="Sandals"/>
    <n v="44.74"/>
    <x v="2"/>
    <s v="Cash on Delivery"/>
    <n v="3.6"/>
    <n v="13"/>
    <n v="4"/>
    <n v="38.9238"/>
    <x v="0"/>
    <x v="0"/>
    <s v="Returning"/>
  </r>
  <r>
    <n v="736"/>
    <n v="42"/>
    <s v="Female"/>
    <x v="3"/>
    <s v="Lamp"/>
    <n v="44.21"/>
    <x v="3"/>
    <s v="Card"/>
    <n v="3.4"/>
    <n v="15"/>
    <n v="5"/>
    <n v="37.578499999999998"/>
    <x v="1"/>
    <x v="0"/>
    <s v="Returning"/>
  </r>
  <r>
    <n v="737"/>
    <n v="24"/>
    <s v="Female"/>
    <x v="0"/>
    <s v="Handbag"/>
    <n v="177.47"/>
    <x v="2"/>
    <s v="Card"/>
    <n v="3.3"/>
    <n v="8"/>
    <n v="4"/>
    <n v="163.2724"/>
    <x v="3"/>
    <x v="0"/>
    <s v="Returning"/>
  </r>
  <r>
    <n v="738"/>
    <n v="30"/>
    <s v="Female"/>
    <x v="6"/>
    <s v="Makeup Set"/>
    <n v="114.32"/>
    <x v="1"/>
    <s v="Card"/>
    <n v="4"/>
    <n v="7"/>
    <n v="1"/>
    <n v="106.31759999999998"/>
    <x v="4"/>
    <x v="0"/>
    <s v="Returning"/>
  </r>
  <r>
    <n v="739"/>
    <n v="53"/>
    <s v="Male"/>
    <x v="7"/>
    <s v="Formal Shoes"/>
    <n v="139.94"/>
    <x v="0"/>
    <s v="Card"/>
    <n v="3.5"/>
    <n v="13"/>
    <n v="4"/>
    <n v="121.7478"/>
    <x v="0"/>
    <x v="0"/>
    <s v="Returning"/>
  </r>
  <r>
    <n v="740"/>
    <n v="29"/>
    <s v="Male"/>
    <x v="7"/>
    <s v="Sneakers"/>
    <n v="247.94"/>
    <x v="2"/>
    <s v="Card"/>
    <n v="3.4"/>
    <n v="8"/>
    <n v="4"/>
    <n v="228.10480000000001"/>
    <x v="4"/>
    <x v="0"/>
    <s v="Returning"/>
  </r>
  <r>
    <n v="741"/>
    <n v="49"/>
    <s v="Male"/>
    <x v="5"/>
    <s v="Laptop"/>
    <n v="2588.27"/>
    <x v="3"/>
    <s v="Card"/>
    <n v="4.9000000000000004"/>
    <n v="11"/>
    <n v="3"/>
    <n v="2303.5603000000001"/>
    <x v="0"/>
    <x v="0"/>
    <s v="Returning"/>
  </r>
  <r>
    <n v="742"/>
    <n v="70"/>
    <s v="Male"/>
    <x v="5"/>
    <s v="Mobile Phone"/>
    <n v="780.6"/>
    <x v="0"/>
    <s v="Card"/>
    <n v="4.7"/>
    <n v="20"/>
    <n v="5"/>
    <n v="624.48"/>
    <x v="2"/>
    <x v="0"/>
    <s v="Returning"/>
  </r>
  <r>
    <n v="743"/>
    <n v="35"/>
    <s v="Male"/>
    <x v="7"/>
    <s v="Sandals"/>
    <n v="113.18"/>
    <x v="1"/>
    <s v="Card"/>
    <n v="3.8"/>
    <n v="12"/>
    <n v="6"/>
    <n v="99.598400000000012"/>
    <x v="4"/>
    <x v="0"/>
    <s v="Returning"/>
  </r>
  <r>
    <n v="744"/>
    <n v="57"/>
    <s v="Male"/>
    <x v="3"/>
    <s v="Lamp"/>
    <n v="107.82"/>
    <x v="2"/>
    <s v="Card"/>
    <n v="4.0999999999999996"/>
    <n v="16"/>
    <n v="3"/>
    <n v="90.568799999999996"/>
    <x v="0"/>
    <x v="0"/>
    <s v="Returning"/>
  </r>
  <r>
    <n v="745"/>
    <n v="36"/>
    <s v="Male"/>
    <x v="3"/>
    <s v="Lamp"/>
    <n v="224.49"/>
    <x v="0"/>
    <s v="Card"/>
    <n v="4.5"/>
    <n v="12"/>
    <n v="6"/>
    <n v="197.55120000000002"/>
    <x v="1"/>
    <x v="0"/>
    <s v="Returning"/>
  </r>
  <r>
    <n v="746"/>
    <n v="52"/>
    <s v="Male"/>
    <x v="1"/>
    <s v="Jacket"/>
    <n v="132.43"/>
    <x v="3"/>
    <s v="Card"/>
    <n v="3.5"/>
    <n v="12"/>
    <n v="1"/>
    <n v="116.53840000000001"/>
    <x v="0"/>
    <x v="0"/>
    <s v="Returning"/>
  </r>
  <r>
    <n v="747"/>
    <n v="47"/>
    <s v="Female"/>
    <x v="2"/>
    <s v="Football"/>
    <n v="57.77"/>
    <x v="1"/>
    <s v="Cash on Delivery"/>
    <n v="2.9"/>
    <n v="16"/>
    <n v="3"/>
    <n v="48.526800000000001"/>
    <x v="0"/>
    <x v="0"/>
    <s v="Returning"/>
  </r>
  <r>
    <n v="748"/>
    <n v="24"/>
    <s v="Male"/>
    <x v="2"/>
    <s v="Yoga Mat"/>
    <n v="139.11000000000001"/>
    <x v="1"/>
    <s v="Card"/>
    <n v="3.1"/>
    <n v="19"/>
    <n v="7"/>
    <n v="112.67910000000002"/>
    <x v="3"/>
    <x v="0"/>
    <s v="Returning"/>
  </r>
  <r>
    <n v="749"/>
    <n v="55"/>
    <s v="Female"/>
    <x v="0"/>
    <s v="Wallet"/>
    <n v="159.49"/>
    <x v="1"/>
    <s v="Card"/>
    <n v="3.4"/>
    <n v="18"/>
    <n v="4"/>
    <n v="130.7818"/>
    <x v="0"/>
    <x v="0"/>
    <s v="Returning"/>
  </r>
  <r>
    <n v="750"/>
    <n v="22"/>
    <s v="Male"/>
    <x v="4"/>
    <s v="Cooking Oil"/>
    <n v="36.590000000000003"/>
    <x v="1"/>
    <s v="Cash on Delivery"/>
    <n v="3.2"/>
    <n v="15"/>
    <n v="5"/>
    <n v="31.101500000000001"/>
    <x v="3"/>
    <x v="0"/>
    <s v="Returning"/>
  </r>
  <r>
    <n v="751"/>
    <n v="36"/>
    <s v="Female"/>
    <x v="8"/>
    <s v="Top"/>
    <n v="114.62"/>
    <x v="3"/>
    <s v="Card"/>
    <n v="3.4"/>
    <n v="16"/>
    <n v="3"/>
    <n v="96.280799999999999"/>
    <x v="1"/>
    <x v="0"/>
    <s v="Returning"/>
  </r>
  <r>
    <n v="752"/>
    <n v="60"/>
    <s v="Male"/>
    <x v="2"/>
    <s v="Dumbbells"/>
    <n v="79.86"/>
    <x v="1"/>
    <s v="Cash on Delivery"/>
    <n v="4.4000000000000004"/>
    <n v="19"/>
    <n v="7"/>
    <n v="64.686599999999999"/>
    <x v="0"/>
    <x v="0"/>
    <s v="Returning"/>
  </r>
  <r>
    <n v="753"/>
    <n v="43"/>
    <s v="Male"/>
    <x v="1"/>
    <s v="Jacket"/>
    <n v="110.06"/>
    <x v="3"/>
    <s v="Card"/>
    <n v="3.3"/>
    <n v="20"/>
    <n v="10"/>
    <n v="88.048000000000002"/>
    <x v="1"/>
    <x v="0"/>
    <s v="Returning"/>
  </r>
  <r>
    <n v="754"/>
    <n v="57"/>
    <s v="Male"/>
    <x v="2"/>
    <s v="Yoga Mat"/>
    <n v="203.13"/>
    <x v="2"/>
    <s v="Card"/>
    <n v="3.3"/>
    <n v="11"/>
    <n v="3"/>
    <n v="180.78569999999999"/>
    <x v="0"/>
    <x v="0"/>
    <s v="Returning"/>
  </r>
  <r>
    <n v="755"/>
    <n v="54"/>
    <s v="Male"/>
    <x v="5"/>
    <s v="Laptop"/>
    <n v="1829.89"/>
    <x v="2"/>
    <s v="Card"/>
    <n v="4.9000000000000004"/>
    <n v="30"/>
    <n v="10"/>
    <n v="1280.923"/>
    <x v="0"/>
    <x v="0"/>
    <s v="Returning"/>
  </r>
  <r>
    <n v="756"/>
    <n v="33"/>
    <s v="Female"/>
    <x v="2"/>
    <s v="Football"/>
    <n v="183.9"/>
    <x v="3"/>
    <s v="Card"/>
    <n v="2.6"/>
    <n v="15"/>
    <n v="5"/>
    <n v="156.315"/>
    <x v="4"/>
    <x v="0"/>
    <s v="Returning"/>
  </r>
  <r>
    <n v="757"/>
    <n v="63"/>
    <s v="Female"/>
    <x v="7"/>
    <s v="Formal Shoes"/>
    <n v="108.4"/>
    <x v="1"/>
    <s v="Card"/>
    <n v="2.6"/>
    <n v="16"/>
    <n v="3"/>
    <n v="91.055999999999997"/>
    <x v="2"/>
    <x v="0"/>
    <s v="Returning"/>
  </r>
  <r>
    <n v="758"/>
    <n v="66"/>
    <s v="Male"/>
    <x v="4"/>
    <s v="Snacks"/>
    <n v="37.9"/>
    <x v="2"/>
    <s v="Card"/>
    <n v="3.5"/>
    <n v="14"/>
    <n v="7"/>
    <n v="32.594000000000001"/>
    <x v="2"/>
    <x v="0"/>
    <s v="Returning"/>
  </r>
  <r>
    <n v="759"/>
    <n v="30"/>
    <s v="Male"/>
    <x v="1"/>
    <s v="T-Shirt"/>
    <n v="30.45"/>
    <x v="3"/>
    <s v="Card"/>
    <n v="3.6"/>
    <n v="15"/>
    <n v="5"/>
    <n v="25.8825"/>
    <x v="4"/>
    <x v="0"/>
    <s v="Returning"/>
  </r>
  <r>
    <n v="760"/>
    <n v="55"/>
    <s v="Male"/>
    <x v="2"/>
    <s v="Yoga Mat"/>
    <n v="54.84"/>
    <x v="1"/>
    <s v="Cash on Delivery"/>
    <n v="1.1000000000000001"/>
    <n v="8"/>
    <n v="4"/>
    <n v="50.452800000000003"/>
    <x v="0"/>
    <x v="0"/>
    <s v="Returning"/>
  </r>
  <r>
    <n v="761"/>
    <n v="35"/>
    <s v="Female"/>
    <x v="0"/>
    <s v="Sunglasses"/>
    <n v="154.72"/>
    <x v="1"/>
    <s v="Card"/>
    <n v="3.2"/>
    <n v="26"/>
    <n v="8"/>
    <n v="114.4928"/>
    <x v="4"/>
    <x v="0"/>
    <s v="Returning"/>
  </r>
  <r>
    <n v="762"/>
    <n v="33"/>
    <s v="Male"/>
    <x v="5"/>
    <s v="Headphones"/>
    <n v="2603.54"/>
    <x v="0"/>
    <s v="Card"/>
    <n v="4.4000000000000004"/>
    <n v="12"/>
    <n v="6"/>
    <n v="2291.1152000000002"/>
    <x v="4"/>
    <x v="0"/>
    <s v="Returning"/>
  </r>
  <r>
    <n v="763"/>
    <n v="28"/>
    <s v="Male"/>
    <x v="7"/>
    <s v="Sandals"/>
    <n v="192.41"/>
    <x v="2"/>
    <s v="Card"/>
    <n v="3.2"/>
    <n v="8"/>
    <n v="4"/>
    <n v="177.0172"/>
    <x v="4"/>
    <x v="0"/>
    <s v="Returning"/>
  </r>
  <r>
    <n v="764"/>
    <n v="38"/>
    <s v="Male"/>
    <x v="2"/>
    <s v="Yoga Mat"/>
    <n v="248.91"/>
    <x v="0"/>
    <s v="Card"/>
    <n v="4.8"/>
    <n v="26"/>
    <n v="8"/>
    <n v="184.1934"/>
    <x v="1"/>
    <x v="0"/>
    <s v="Returning"/>
  </r>
  <r>
    <n v="765"/>
    <n v="51"/>
    <s v="Male"/>
    <x v="4"/>
    <s v="Beverages"/>
    <n v="43.81"/>
    <x v="2"/>
    <s v="Cash on Delivery"/>
    <n v="4.0999999999999996"/>
    <n v="7"/>
    <n v="1"/>
    <n v="40.743299999999998"/>
    <x v="0"/>
    <x v="0"/>
    <s v="Returning"/>
  </r>
  <r>
    <n v="766"/>
    <n v="24"/>
    <s v="Male"/>
    <x v="4"/>
    <s v="Cooking Oil"/>
    <n v="63.21"/>
    <x v="1"/>
    <s v="Cash on Delivery"/>
    <n v="4"/>
    <n v="10"/>
    <n v="5"/>
    <n v="56.889000000000003"/>
    <x v="3"/>
    <x v="0"/>
    <s v="Returning"/>
  </r>
  <r>
    <n v="767"/>
    <n v="62"/>
    <s v="Male"/>
    <x v="3"/>
    <s v="Curtains"/>
    <n v="98"/>
    <x v="1"/>
    <s v="Cash on Delivery"/>
    <n v="5"/>
    <n v="28"/>
    <n v="9"/>
    <n v="70.56"/>
    <x v="2"/>
    <x v="0"/>
    <s v="Returning"/>
  </r>
  <r>
    <n v="768"/>
    <n v="63"/>
    <s v="Male"/>
    <x v="2"/>
    <s v="Yoga Mat"/>
    <n v="117.1"/>
    <x v="0"/>
    <s v="Card"/>
    <n v="3.6"/>
    <n v="8"/>
    <n v="4"/>
    <n v="107.732"/>
    <x v="2"/>
    <x v="0"/>
    <s v="Returning"/>
  </r>
  <r>
    <n v="769"/>
    <n v="60"/>
    <s v="Female"/>
    <x v="2"/>
    <s v="Dumbbells"/>
    <n v="248.11"/>
    <x v="0"/>
    <s v="Card"/>
    <n v="3.9"/>
    <n v="20"/>
    <n v="5"/>
    <n v="198.48800000000003"/>
    <x v="0"/>
    <x v="0"/>
    <s v="Returning"/>
  </r>
  <r>
    <n v="770"/>
    <n v="26"/>
    <s v="Female"/>
    <x v="8"/>
    <s v="Dress"/>
    <n v="43.35"/>
    <x v="1"/>
    <s v="Card"/>
    <n v="4.4000000000000004"/>
    <n v="14"/>
    <n v="7"/>
    <n v="37.280999999999999"/>
    <x v="4"/>
    <x v="0"/>
    <s v="Returning"/>
  </r>
  <r>
    <n v="771"/>
    <n v="56"/>
    <s v="Female"/>
    <x v="4"/>
    <s v="Beverages"/>
    <n v="62.63"/>
    <x v="0"/>
    <s v="Card"/>
    <n v="3.7"/>
    <n v="18"/>
    <n v="4"/>
    <n v="51.356600000000007"/>
    <x v="0"/>
    <x v="0"/>
    <s v="Returning"/>
  </r>
  <r>
    <n v="772"/>
    <n v="21"/>
    <s v="Female"/>
    <x v="8"/>
    <s v="Top"/>
    <n v="92.13"/>
    <x v="2"/>
    <s v="Cash on Delivery"/>
    <n v="3.5"/>
    <n v="20"/>
    <n v="5"/>
    <n v="73.703999999999994"/>
    <x v="3"/>
    <x v="0"/>
    <s v="Returning"/>
  </r>
  <r>
    <n v="773"/>
    <n v="31"/>
    <s v="Female"/>
    <x v="0"/>
    <s v="Wallet"/>
    <n v="136.74"/>
    <x v="2"/>
    <s v="Card"/>
    <n v="2.9"/>
    <n v="8"/>
    <n v="4"/>
    <n v="125.80080000000001"/>
    <x v="4"/>
    <x v="0"/>
    <s v="Returning"/>
  </r>
  <r>
    <n v="774"/>
    <n v="51"/>
    <s v="Female"/>
    <x v="6"/>
    <s v="Makeup Set"/>
    <n v="101.97"/>
    <x v="0"/>
    <s v="Card"/>
    <n v="3.4"/>
    <n v="9"/>
    <n v="2"/>
    <n v="92.792699999999996"/>
    <x v="0"/>
    <x v="0"/>
    <s v="Returning"/>
  </r>
  <r>
    <n v="775"/>
    <n v="38"/>
    <s v="Female"/>
    <x v="8"/>
    <s v="Top"/>
    <n v="50.83"/>
    <x v="0"/>
    <s v="Card"/>
    <n v="3.9"/>
    <n v="7"/>
    <n v="1"/>
    <n v="47.271899999999995"/>
    <x v="1"/>
    <x v="0"/>
    <s v="Returning"/>
  </r>
  <r>
    <n v="776"/>
    <n v="52"/>
    <s v="Male"/>
    <x v="7"/>
    <s v="Sandals"/>
    <n v="161.58000000000001"/>
    <x v="1"/>
    <s v="Card"/>
    <n v="2.6"/>
    <n v="22"/>
    <n v="11"/>
    <n v="126.03240000000001"/>
    <x v="0"/>
    <x v="0"/>
    <s v="Returning"/>
  </r>
  <r>
    <n v="777"/>
    <n v="36"/>
    <s v="Female"/>
    <x v="4"/>
    <s v="Beverages"/>
    <n v="11.85"/>
    <x v="1"/>
    <s v="Cash on Delivery"/>
    <n v="3.6"/>
    <n v="19"/>
    <n v="7"/>
    <n v="9.5984999999999996"/>
    <x v="1"/>
    <x v="0"/>
    <s v="Returning"/>
  </r>
  <r>
    <n v="778"/>
    <n v="42"/>
    <s v="Male"/>
    <x v="7"/>
    <s v="Sneakers"/>
    <n v="205.2"/>
    <x v="2"/>
    <s v="Card"/>
    <n v="2.9"/>
    <n v="4"/>
    <n v="2"/>
    <n v="196.99199999999999"/>
    <x v="1"/>
    <x v="0"/>
    <s v="Returning"/>
  </r>
  <r>
    <n v="779"/>
    <n v="69"/>
    <s v="Male"/>
    <x v="3"/>
    <s v="Lamp"/>
    <n v="120.93"/>
    <x v="3"/>
    <s v="Card"/>
    <n v="4.5"/>
    <n v="28"/>
    <n v="9"/>
    <n v="87.069600000000008"/>
    <x v="2"/>
    <x v="0"/>
    <s v="Returning"/>
  </r>
  <r>
    <n v="780"/>
    <n v="67"/>
    <s v="Male"/>
    <x v="1"/>
    <s v="Jacket"/>
    <n v="35.68"/>
    <x v="0"/>
    <s v="Cash on Delivery"/>
    <n v="3.5"/>
    <n v="10"/>
    <n v="5"/>
    <n v="32.112000000000002"/>
    <x v="2"/>
    <x v="0"/>
    <s v="Returning"/>
  </r>
  <r>
    <n v="781"/>
    <n v="69"/>
    <s v="Male"/>
    <x v="2"/>
    <s v="Dumbbells"/>
    <n v="109.07"/>
    <x v="2"/>
    <s v="Card"/>
    <n v="3.3"/>
    <n v="10"/>
    <n v="5"/>
    <n v="98.162999999999997"/>
    <x v="2"/>
    <x v="0"/>
    <s v="Returning"/>
  </r>
  <r>
    <n v="782"/>
    <n v="30"/>
    <s v="Female"/>
    <x v="7"/>
    <s v="Formal Shoes"/>
    <n v="109.86"/>
    <x v="2"/>
    <s v="Card"/>
    <n v="3.6"/>
    <n v="9"/>
    <n v="2"/>
    <n v="99.9726"/>
    <x v="4"/>
    <x v="0"/>
    <s v="Returning"/>
  </r>
  <r>
    <n v="783"/>
    <n v="40"/>
    <s v="Female"/>
    <x v="8"/>
    <s v="Skirt"/>
    <n v="34.85"/>
    <x v="3"/>
    <s v="Cash on Delivery"/>
    <n v="3"/>
    <n v="14"/>
    <n v="2"/>
    <n v="29.971"/>
    <x v="1"/>
    <x v="0"/>
    <s v="Returning"/>
  </r>
  <r>
    <n v="784"/>
    <n v="41"/>
    <s v="Female"/>
    <x v="4"/>
    <s v="Snacks"/>
    <n v="70.84"/>
    <x v="0"/>
    <s v="Card"/>
    <n v="4.4000000000000004"/>
    <n v="12"/>
    <n v="6"/>
    <n v="62.339200000000005"/>
    <x v="1"/>
    <x v="0"/>
    <s v="Returning"/>
  </r>
  <r>
    <n v="785"/>
    <n v="20"/>
    <s v="Male"/>
    <x v="7"/>
    <s v="Sandals"/>
    <n v="170.06"/>
    <x v="2"/>
    <s v="Card"/>
    <n v="4.4000000000000004"/>
    <n v="12"/>
    <n v="1"/>
    <n v="149.65280000000001"/>
    <x v="3"/>
    <x v="0"/>
    <s v="Returning"/>
  </r>
  <r>
    <n v="786"/>
    <n v="39"/>
    <s v="Female"/>
    <x v="3"/>
    <s v="Lamp"/>
    <n v="80.69"/>
    <x v="1"/>
    <s v="Cash on Delivery"/>
    <n v="3.8"/>
    <n v="16"/>
    <n v="8"/>
    <n v="67.779600000000002"/>
    <x v="1"/>
    <x v="0"/>
    <s v="Returning"/>
  </r>
  <r>
    <n v="787"/>
    <n v="54"/>
    <s v="Male"/>
    <x v="5"/>
    <s v="Laptop"/>
    <n v="980.43"/>
    <x v="3"/>
    <s v="Card"/>
    <n v="3.6"/>
    <n v="14"/>
    <n v="2"/>
    <n v="843.1697999999999"/>
    <x v="0"/>
    <x v="0"/>
    <s v="Returning"/>
  </r>
  <r>
    <n v="788"/>
    <n v="66"/>
    <s v="Male"/>
    <x v="2"/>
    <s v="Football"/>
    <n v="103.3"/>
    <x v="1"/>
    <s v="Card"/>
    <n v="2.6"/>
    <n v="6"/>
    <n v="3"/>
    <n v="97.10199999999999"/>
    <x v="2"/>
    <x v="0"/>
    <s v="Returning"/>
  </r>
  <r>
    <n v="789"/>
    <n v="39"/>
    <s v="Male"/>
    <x v="2"/>
    <s v="Football"/>
    <n v="245.18"/>
    <x v="2"/>
    <s v="Card"/>
    <n v="4"/>
    <n v="20"/>
    <n v="5"/>
    <n v="196.14400000000001"/>
    <x v="1"/>
    <x v="0"/>
    <s v="Returning"/>
  </r>
  <r>
    <n v="790"/>
    <n v="39"/>
    <s v="Female"/>
    <x v="0"/>
    <s v="Handbag"/>
    <n v="128.03"/>
    <x v="1"/>
    <s v="Card"/>
    <n v="3.7"/>
    <n v="8"/>
    <n v="4"/>
    <n v="117.78760000000001"/>
    <x v="1"/>
    <x v="0"/>
    <s v="Returning"/>
  </r>
  <r>
    <n v="791"/>
    <n v="21"/>
    <s v="Male"/>
    <x v="2"/>
    <s v="Yoga Mat"/>
    <n v="231.08"/>
    <x v="1"/>
    <s v="Card"/>
    <n v="4.7"/>
    <n v="18"/>
    <n v="4"/>
    <n v="189.48560000000003"/>
    <x v="3"/>
    <x v="0"/>
    <s v="Returning"/>
  </r>
  <r>
    <n v="792"/>
    <n v="60"/>
    <s v="Female"/>
    <x v="8"/>
    <s v="Jeans"/>
    <n v="48.29"/>
    <x v="2"/>
    <s v="Cash on Delivery"/>
    <n v="3.9"/>
    <n v="22"/>
    <n v="6"/>
    <n v="37.666200000000003"/>
    <x v="0"/>
    <x v="0"/>
    <s v="Returning"/>
  </r>
  <r>
    <n v="793"/>
    <n v="27"/>
    <s v="Male"/>
    <x v="5"/>
    <s v="Laptop"/>
    <n v="677.89"/>
    <x v="3"/>
    <s v="Card"/>
    <n v="3.3"/>
    <n v="16"/>
    <n v="8"/>
    <n v="569.42759999999998"/>
    <x v="4"/>
    <x v="0"/>
    <s v="Returning"/>
  </r>
  <r>
    <n v="794"/>
    <n v="36"/>
    <s v="Male"/>
    <x v="2"/>
    <s v="Football"/>
    <n v="163.62"/>
    <x v="2"/>
    <s v="Card"/>
    <n v="2.9"/>
    <n v="15"/>
    <n v="5"/>
    <n v="139.077"/>
    <x v="1"/>
    <x v="0"/>
    <s v="Returning"/>
  </r>
  <r>
    <n v="795"/>
    <n v="21"/>
    <s v="Female"/>
    <x v="4"/>
    <s v="Rice Pack"/>
    <n v="23.18"/>
    <x v="1"/>
    <s v="Card"/>
    <n v="4.4000000000000004"/>
    <n v="11"/>
    <n v="3"/>
    <n v="20.630199999999999"/>
    <x v="3"/>
    <x v="0"/>
    <s v="Returning"/>
  </r>
  <r>
    <n v="796"/>
    <n v="63"/>
    <s v="Male"/>
    <x v="2"/>
    <s v="Dumbbells"/>
    <n v="136.33000000000001"/>
    <x v="0"/>
    <s v="Card"/>
    <n v="4.5999999999999996"/>
    <n v="15"/>
    <n v="5"/>
    <n v="115.88050000000001"/>
    <x v="2"/>
    <x v="0"/>
    <s v="Returning"/>
  </r>
  <r>
    <n v="797"/>
    <n v="67"/>
    <s v="Male"/>
    <x v="5"/>
    <s v="Laptop"/>
    <n v="2406.63"/>
    <x v="2"/>
    <s v="Card"/>
    <n v="3.2"/>
    <n v="16"/>
    <n v="3"/>
    <n v="2021.5691999999999"/>
    <x v="2"/>
    <x v="0"/>
    <s v="Returning"/>
  </r>
  <r>
    <n v="798"/>
    <n v="27"/>
    <s v="Male"/>
    <x v="7"/>
    <s v="Sneakers"/>
    <n v="172.16"/>
    <x v="2"/>
    <s v="Card"/>
    <n v="3.4"/>
    <n v="14"/>
    <n v="7"/>
    <n v="148.05760000000001"/>
    <x v="4"/>
    <x v="0"/>
    <s v="Returning"/>
  </r>
  <r>
    <n v="799"/>
    <n v="69"/>
    <s v="Male"/>
    <x v="7"/>
    <s v="Sneakers"/>
    <n v="242.66"/>
    <x v="1"/>
    <s v="Card"/>
    <n v="5"/>
    <n v="2"/>
    <n v="1"/>
    <n v="237.80679999999998"/>
    <x v="2"/>
    <x v="0"/>
    <s v="Returning"/>
  </r>
  <r>
    <n v="800"/>
    <n v="64"/>
    <s v="Male"/>
    <x v="2"/>
    <s v="Football"/>
    <n v="99.39"/>
    <x v="0"/>
    <s v="Card"/>
    <n v="3.6"/>
    <n v="16"/>
    <n v="8"/>
    <n v="83.4876"/>
    <x v="2"/>
    <x v="0"/>
    <s v="Returning"/>
  </r>
  <r>
    <n v="801"/>
    <n v="62"/>
    <s v="Female"/>
    <x v="6"/>
    <s v="Perfume"/>
    <n v="36.869999999999997"/>
    <x v="2"/>
    <s v="Card"/>
    <n v="4.7"/>
    <n v="23"/>
    <n v="9"/>
    <n v="28.389899999999997"/>
    <x v="2"/>
    <x v="0"/>
    <s v="Returning"/>
  </r>
  <r>
    <n v="802"/>
    <n v="55"/>
    <s v="Male"/>
    <x v="5"/>
    <s v="Laptop"/>
    <n v="2855.84"/>
    <x v="0"/>
    <s v="Card"/>
    <n v="3.7"/>
    <n v="11"/>
    <n v="3"/>
    <n v="2541.6976"/>
    <x v="0"/>
    <x v="0"/>
    <s v="Returning"/>
  </r>
  <r>
    <n v="803"/>
    <n v="49"/>
    <s v="Female"/>
    <x v="0"/>
    <s v="Handbag"/>
    <n v="135.05000000000001"/>
    <x v="1"/>
    <s v="Card"/>
    <n v="2.9"/>
    <n v="6"/>
    <n v="3"/>
    <n v="126.947"/>
    <x v="0"/>
    <x v="0"/>
    <s v="Returning"/>
  </r>
  <r>
    <n v="804"/>
    <n v="34"/>
    <s v="Male"/>
    <x v="2"/>
    <s v="Football"/>
    <n v="49.52"/>
    <x v="1"/>
    <s v="Cash on Delivery"/>
    <n v="2.2999999999999998"/>
    <n v="9"/>
    <n v="2"/>
    <n v="45.063200000000002"/>
    <x v="4"/>
    <x v="0"/>
    <s v="Returning"/>
  </r>
  <r>
    <n v="805"/>
    <n v="42"/>
    <s v="Male"/>
    <x v="7"/>
    <s v="Sneakers"/>
    <n v="161.18"/>
    <x v="1"/>
    <s v="Card"/>
    <n v="4.5"/>
    <n v="20"/>
    <n v="5"/>
    <n v="128.94400000000002"/>
    <x v="1"/>
    <x v="0"/>
    <s v="Returning"/>
  </r>
  <r>
    <n v="806"/>
    <n v="70"/>
    <s v="Female"/>
    <x v="4"/>
    <s v="Cooking Oil"/>
    <n v="36.299999999999997"/>
    <x v="2"/>
    <s v="Card"/>
    <n v="3.1"/>
    <n v="12"/>
    <n v="6"/>
    <n v="31.943999999999999"/>
    <x v="2"/>
    <x v="0"/>
    <s v="Returning"/>
  </r>
  <r>
    <n v="807"/>
    <n v="42"/>
    <s v="Male"/>
    <x v="5"/>
    <s v="Mobile Phone"/>
    <n v="2889.05"/>
    <x v="1"/>
    <s v="Card"/>
    <n v="4.0999999999999996"/>
    <n v="12"/>
    <n v="1"/>
    <n v="2542.364"/>
    <x v="1"/>
    <x v="0"/>
    <s v="Returning"/>
  </r>
  <r>
    <n v="808"/>
    <n v="49"/>
    <s v="Female"/>
    <x v="7"/>
    <s v="Formal Shoes"/>
    <n v="185.74"/>
    <x v="1"/>
    <s v="Card"/>
    <n v="2.5"/>
    <n v="13"/>
    <n v="4"/>
    <n v="161.59380000000002"/>
    <x v="0"/>
    <x v="0"/>
    <s v="Returning"/>
  </r>
  <r>
    <n v="809"/>
    <n v="57"/>
    <s v="Female"/>
    <x v="8"/>
    <s v="Dress"/>
    <n v="149.82"/>
    <x v="1"/>
    <s v="Card"/>
    <n v="3.3"/>
    <n v="16"/>
    <n v="8"/>
    <n v="125.84879999999998"/>
    <x v="0"/>
    <x v="0"/>
    <s v="Returning"/>
  </r>
  <r>
    <n v="810"/>
    <n v="45"/>
    <s v="Female"/>
    <x v="2"/>
    <s v="Yoga Mat"/>
    <n v="159.87"/>
    <x v="2"/>
    <s v="Card"/>
    <n v="3.6"/>
    <n v="11"/>
    <n v="3"/>
    <n v="142.2843"/>
    <x v="1"/>
    <x v="0"/>
    <s v="Returning"/>
  </r>
  <r>
    <n v="811"/>
    <n v="47"/>
    <s v="Female"/>
    <x v="7"/>
    <s v="Sneakers"/>
    <n v="116.66"/>
    <x v="1"/>
    <s v="Card"/>
    <n v="4.0999999999999996"/>
    <n v="16"/>
    <n v="8"/>
    <n v="97.994399999999999"/>
    <x v="0"/>
    <x v="0"/>
    <s v="Returning"/>
  </r>
  <r>
    <n v="812"/>
    <n v="60"/>
    <s v="Male"/>
    <x v="7"/>
    <s v="Formal Shoes"/>
    <n v="69.97"/>
    <x v="2"/>
    <s v="Card"/>
    <n v="4.5999999999999996"/>
    <n v="24"/>
    <n v="7"/>
    <n v="53.177199999999999"/>
    <x v="0"/>
    <x v="0"/>
    <s v="Returning"/>
  </r>
  <r>
    <n v="813"/>
    <n v="43"/>
    <s v="Female"/>
    <x v="7"/>
    <s v="Sneakers"/>
    <n v="243.54"/>
    <x v="2"/>
    <s v="Card"/>
    <n v="4.0999999999999996"/>
    <n v="22"/>
    <n v="6"/>
    <n v="189.96119999999999"/>
    <x v="1"/>
    <x v="0"/>
    <s v="Returning"/>
  </r>
  <r>
    <n v="814"/>
    <n v="64"/>
    <s v="Male"/>
    <x v="2"/>
    <s v="Football"/>
    <n v="182"/>
    <x v="3"/>
    <s v="Card"/>
    <n v="4.5"/>
    <n v="11"/>
    <n v="3"/>
    <n v="161.97999999999999"/>
    <x v="2"/>
    <x v="0"/>
    <s v="Returning"/>
  </r>
  <r>
    <n v="815"/>
    <n v="55"/>
    <s v="Female"/>
    <x v="6"/>
    <s v="Makeup Set"/>
    <n v="129.26"/>
    <x v="1"/>
    <s v="Card"/>
    <n v="3.2"/>
    <n v="8"/>
    <n v="4"/>
    <n v="118.9192"/>
    <x v="0"/>
    <x v="0"/>
    <s v="Returning"/>
  </r>
  <r>
    <n v="816"/>
    <n v="62"/>
    <s v="Female"/>
    <x v="7"/>
    <s v="Formal Shoes"/>
    <n v="199.51"/>
    <x v="1"/>
    <s v="Card"/>
    <n v="5"/>
    <n v="26"/>
    <n v="13"/>
    <n v="147.63739999999999"/>
    <x v="2"/>
    <x v="0"/>
    <s v="Returning"/>
  </r>
  <r>
    <n v="817"/>
    <n v="48"/>
    <s v="Female"/>
    <x v="4"/>
    <s v="Snacks"/>
    <n v="42.88"/>
    <x v="3"/>
    <s v="Cash on Delivery"/>
    <n v="3.9"/>
    <n v="22"/>
    <n v="6"/>
    <n v="33.446400000000004"/>
    <x v="0"/>
    <x v="0"/>
    <s v="Returning"/>
  </r>
  <r>
    <n v="818"/>
    <n v="65"/>
    <s v="Female"/>
    <x v="8"/>
    <s v="Skirt"/>
    <n v="108.5"/>
    <x v="3"/>
    <s v="Card"/>
    <n v="3.4"/>
    <n v="16"/>
    <n v="8"/>
    <n v="91.14"/>
    <x v="2"/>
    <x v="0"/>
    <s v="Returning"/>
  </r>
  <r>
    <n v="819"/>
    <n v="27"/>
    <s v="Female"/>
    <x v="6"/>
    <s v="Makeup Set"/>
    <n v="38.35"/>
    <x v="3"/>
    <s v="Cash on Delivery"/>
    <n v="5"/>
    <n v="13"/>
    <n v="4"/>
    <n v="33.3645"/>
    <x v="4"/>
    <x v="0"/>
    <s v="Returning"/>
  </r>
  <r>
    <n v="820"/>
    <n v="68"/>
    <s v="Female"/>
    <x v="4"/>
    <s v="Rice Pack"/>
    <n v="28.85"/>
    <x v="3"/>
    <s v="Card"/>
    <n v="4.4000000000000004"/>
    <n v="17"/>
    <n v="6"/>
    <n v="23.945499999999999"/>
    <x v="2"/>
    <x v="0"/>
    <s v="Returning"/>
  </r>
  <r>
    <n v="821"/>
    <n v="64"/>
    <s v="Male"/>
    <x v="5"/>
    <s v="Laptop"/>
    <n v="1305.74"/>
    <x v="3"/>
    <s v="Card"/>
    <n v="4.8"/>
    <n v="12"/>
    <n v="6"/>
    <n v="1149.0512000000001"/>
    <x v="2"/>
    <x v="0"/>
    <s v="Returning"/>
  </r>
  <r>
    <n v="822"/>
    <n v="31"/>
    <s v="Male"/>
    <x v="5"/>
    <s v="Mobile Phone"/>
    <n v="2370.9899999999998"/>
    <x v="1"/>
    <s v="Card"/>
    <n v="3.6"/>
    <n v="20"/>
    <n v="5"/>
    <n v="1896.7919999999999"/>
    <x v="4"/>
    <x v="0"/>
    <s v="Returning"/>
  </r>
  <r>
    <n v="823"/>
    <n v="56"/>
    <s v="Female"/>
    <x v="2"/>
    <s v="Football"/>
    <n v="197.64"/>
    <x v="3"/>
    <s v="Card"/>
    <n v="5"/>
    <n v="22"/>
    <n v="6"/>
    <n v="154.1592"/>
    <x v="0"/>
    <x v="0"/>
    <s v="Returning"/>
  </r>
  <r>
    <n v="824"/>
    <n v="55"/>
    <s v="Female"/>
    <x v="8"/>
    <s v="Top"/>
    <n v="33.4"/>
    <x v="3"/>
    <s v="Cash on Delivery"/>
    <n v="4.9000000000000004"/>
    <n v="14"/>
    <n v="2"/>
    <n v="28.723999999999997"/>
    <x v="0"/>
    <x v="0"/>
    <s v="Returning"/>
  </r>
  <r>
    <n v="825"/>
    <n v="57"/>
    <s v="Female"/>
    <x v="4"/>
    <s v="Beverages"/>
    <n v="68.77"/>
    <x v="1"/>
    <s v="Card"/>
    <n v="4.2"/>
    <n v="32"/>
    <n v="11"/>
    <n v="46.76359999999999"/>
    <x v="0"/>
    <x v="0"/>
    <s v="Returning"/>
  </r>
  <r>
    <n v="826"/>
    <n v="36"/>
    <s v="Female"/>
    <x v="8"/>
    <s v="Jeans"/>
    <n v="42.75"/>
    <x v="3"/>
    <s v="Card"/>
    <n v="3.8"/>
    <n v="17"/>
    <n v="6"/>
    <n v="35.482500000000002"/>
    <x v="1"/>
    <x v="0"/>
    <s v="Returning"/>
  </r>
  <r>
    <n v="827"/>
    <n v="41"/>
    <s v="Female"/>
    <x v="3"/>
    <s v="Curtains"/>
    <n v="157.96"/>
    <x v="3"/>
    <s v="Card"/>
    <n v="4.4000000000000004"/>
    <n v="10"/>
    <n v="5"/>
    <n v="142.16400000000002"/>
    <x v="1"/>
    <x v="0"/>
    <s v="Returning"/>
  </r>
  <r>
    <n v="828"/>
    <n v="38"/>
    <s v="Male"/>
    <x v="5"/>
    <s v="Headphones"/>
    <n v="2502.52"/>
    <x v="0"/>
    <s v="Card"/>
    <n v="2.9"/>
    <n v="15"/>
    <n v="5"/>
    <n v="2127.1419999999998"/>
    <x v="1"/>
    <x v="0"/>
    <s v="Returning"/>
  </r>
  <r>
    <n v="829"/>
    <n v="43"/>
    <s v="Female"/>
    <x v="2"/>
    <s v="Yoga Mat"/>
    <n v="93.26"/>
    <x v="2"/>
    <s v="Card"/>
    <n v="4.3"/>
    <n v="10"/>
    <n v="5"/>
    <n v="83.934000000000012"/>
    <x v="1"/>
    <x v="0"/>
    <s v="Returning"/>
  </r>
  <r>
    <n v="830"/>
    <n v="46"/>
    <s v="Male"/>
    <x v="7"/>
    <s v="Sandals"/>
    <n v="160.09"/>
    <x v="0"/>
    <s v="Card"/>
    <n v="4"/>
    <n v="8"/>
    <n v="4"/>
    <n v="147.28280000000001"/>
    <x v="0"/>
    <x v="0"/>
    <s v="Returning"/>
  </r>
  <r>
    <n v="831"/>
    <n v="38"/>
    <s v="Male"/>
    <x v="5"/>
    <s v="Headphones"/>
    <n v="2841.72"/>
    <x v="0"/>
    <s v="Card"/>
    <n v="4"/>
    <n v="23"/>
    <n v="9"/>
    <n v="2188.1243999999997"/>
    <x v="1"/>
    <x v="0"/>
    <s v="Returning"/>
  </r>
  <r>
    <n v="832"/>
    <n v="32"/>
    <s v="Male"/>
    <x v="3"/>
    <s v="Curtains"/>
    <n v="220.24"/>
    <x v="3"/>
    <s v="Card"/>
    <n v="5"/>
    <n v="16"/>
    <n v="3"/>
    <n v="185.0016"/>
    <x v="4"/>
    <x v="0"/>
    <s v="Returning"/>
  </r>
  <r>
    <n v="833"/>
    <n v="59"/>
    <s v="Male"/>
    <x v="7"/>
    <s v="Sandals"/>
    <n v="239.65"/>
    <x v="2"/>
    <s v="Card"/>
    <n v="2.7"/>
    <n v="9"/>
    <n v="2"/>
    <n v="218.08150000000001"/>
    <x v="0"/>
    <x v="0"/>
    <s v="Returning"/>
  </r>
  <r>
    <n v="834"/>
    <n v="37"/>
    <s v="Female"/>
    <x v="8"/>
    <s v="Jeans"/>
    <n v="41.62"/>
    <x v="2"/>
    <s v="Card"/>
    <n v="3.5"/>
    <n v="21"/>
    <n v="8"/>
    <n v="32.879799999999996"/>
    <x v="1"/>
    <x v="0"/>
    <s v="Returning"/>
  </r>
  <r>
    <n v="835"/>
    <n v="36"/>
    <s v="Male"/>
    <x v="3"/>
    <s v="Lamp"/>
    <n v="254.85"/>
    <x v="3"/>
    <s v="Card"/>
    <n v="3"/>
    <n v="8"/>
    <n v="4"/>
    <n v="234.46200000000002"/>
    <x v="1"/>
    <x v="0"/>
    <s v="Returning"/>
  </r>
  <r>
    <n v="836"/>
    <n v="34"/>
    <s v="Female"/>
    <x v="8"/>
    <s v="Dress"/>
    <n v="46.13"/>
    <x v="3"/>
    <s v="Cash on Delivery"/>
    <n v="3.5"/>
    <n v="21"/>
    <n v="8"/>
    <n v="36.442700000000002"/>
    <x v="4"/>
    <x v="0"/>
    <s v="Returning"/>
  </r>
  <r>
    <n v="837"/>
    <n v="62"/>
    <s v="Female"/>
    <x v="0"/>
    <s v="Handbag"/>
    <n v="144.18"/>
    <x v="2"/>
    <s v="Card"/>
    <n v="3.7"/>
    <n v="6"/>
    <n v="3"/>
    <n v="135.5292"/>
    <x v="2"/>
    <x v="0"/>
    <s v="Returning"/>
  </r>
  <r>
    <n v="838"/>
    <n v="59"/>
    <s v="Male"/>
    <x v="2"/>
    <s v="Football"/>
    <n v="140.99"/>
    <x v="1"/>
    <s v="Card"/>
    <n v="2.7"/>
    <n v="12"/>
    <n v="6"/>
    <n v="124.0712"/>
    <x v="0"/>
    <x v="0"/>
    <s v="Returning"/>
  </r>
  <r>
    <n v="839"/>
    <n v="38"/>
    <s v="Male"/>
    <x v="3"/>
    <s v="Lamp"/>
    <n v="140.12"/>
    <x v="3"/>
    <s v="Card"/>
    <n v="4.9000000000000004"/>
    <n v="14"/>
    <n v="7"/>
    <n v="120.50320000000001"/>
    <x v="1"/>
    <x v="0"/>
    <s v="Returning"/>
  </r>
  <r>
    <n v="840"/>
    <n v="31"/>
    <s v="Male"/>
    <x v="1"/>
    <s v="Jacket"/>
    <n v="81.16"/>
    <x v="0"/>
    <s v="Card"/>
    <n v="3.9"/>
    <n v="21"/>
    <n v="8"/>
    <n v="64.116399999999999"/>
    <x v="4"/>
    <x v="0"/>
    <s v="Returning"/>
  </r>
  <r>
    <n v="841"/>
    <n v="40"/>
    <s v="Female"/>
    <x v="0"/>
    <s v="Handbag"/>
    <n v="74.23"/>
    <x v="1"/>
    <s v="Card"/>
    <n v="4.4000000000000004"/>
    <n v="11"/>
    <n v="3"/>
    <n v="66.064700000000002"/>
    <x v="1"/>
    <x v="0"/>
    <s v="Returning"/>
  </r>
  <r>
    <n v="842"/>
    <n v="51"/>
    <s v="Female"/>
    <x v="0"/>
    <s v="Sunglasses"/>
    <n v="125.26"/>
    <x v="1"/>
    <s v="Card"/>
    <n v="4.7"/>
    <n v="14"/>
    <n v="2"/>
    <n v="107.7236"/>
    <x v="0"/>
    <x v="0"/>
    <s v="Returning"/>
  </r>
  <r>
    <n v="843"/>
    <n v="24"/>
    <s v="Male"/>
    <x v="7"/>
    <s v="Sandals"/>
    <n v="214.97"/>
    <x v="2"/>
    <s v="Card"/>
    <n v="4.2"/>
    <n v="19"/>
    <n v="7"/>
    <n v="174.12570000000002"/>
    <x v="3"/>
    <x v="0"/>
    <s v="Returning"/>
  </r>
  <r>
    <n v="844"/>
    <n v="23"/>
    <s v="Male"/>
    <x v="5"/>
    <s v="Mobile Phone"/>
    <n v="1810.64"/>
    <x v="0"/>
    <s v="Card"/>
    <n v="4.5"/>
    <n v="11"/>
    <n v="3"/>
    <n v="1611.4696000000001"/>
    <x v="3"/>
    <x v="0"/>
    <s v="Returning"/>
  </r>
  <r>
    <n v="845"/>
    <n v="33"/>
    <s v="Male"/>
    <x v="1"/>
    <s v="Jeans"/>
    <n v="140.65"/>
    <x v="3"/>
    <s v="Card"/>
    <n v="4.7"/>
    <n v="20"/>
    <n v="5"/>
    <n v="112.52000000000001"/>
    <x v="4"/>
    <x v="0"/>
    <s v="Returning"/>
  </r>
  <r>
    <n v="846"/>
    <n v="33"/>
    <s v="Male"/>
    <x v="5"/>
    <s v="Mobile Phone"/>
    <n v="2064.65"/>
    <x v="0"/>
    <s v="Card"/>
    <n v="4.7"/>
    <n v="17"/>
    <n v="6"/>
    <n v="1713.6595"/>
    <x v="4"/>
    <x v="0"/>
    <s v="Returning"/>
  </r>
  <r>
    <n v="847"/>
    <n v="36"/>
    <s v="Female"/>
    <x v="4"/>
    <s v="Cooking Oil"/>
    <n v="11.44"/>
    <x v="0"/>
    <s v="Card"/>
    <n v="3.1"/>
    <n v="13"/>
    <n v="4"/>
    <n v="9.9527999999999999"/>
    <x v="1"/>
    <x v="0"/>
    <s v="Returning"/>
  </r>
  <r>
    <n v="848"/>
    <n v="54"/>
    <s v="Female"/>
    <x v="6"/>
    <s v="Perfume"/>
    <n v="76.66"/>
    <x v="1"/>
    <s v="Cash on Delivery"/>
    <n v="4.3"/>
    <n v="12"/>
    <n v="6"/>
    <n v="67.460799999999992"/>
    <x v="0"/>
    <x v="0"/>
    <s v="Returning"/>
  </r>
  <r>
    <n v="849"/>
    <n v="64"/>
    <s v="Female"/>
    <x v="0"/>
    <s v="Wallet"/>
    <n v="97.05"/>
    <x v="0"/>
    <s v="Cash on Delivery"/>
    <n v="4.3"/>
    <n v="17"/>
    <n v="6"/>
    <n v="80.55149999999999"/>
    <x v="2"/>
    <x v="0"/>
    <s v="Returning"/>
  </r>
  <r>
    <n v="850"/>
    <n v="24"/>
    <s v="Male"/>
    <x v="2"/>
    <s v="Football"/>
    <n v="214.49"/>
    <x v="0"/>
    <s v="Card"/>
    <n v="4.4000000000000004"/>
    <n v="7"/>
    <n v="1"/>
    <n v="199.47569999999999"/>
    <x v="3"/>
    <x v="0"/>
    <s v="Returning"/>
  </r>
  <r>
    <n v="851"/>
    <n v="27"/>
    <s v="Male"/>
    <x v="1"/>
    <s v="Jacket"/>
    <n v="43.04"/>
    <x v="3"/>
    <s v="Cash on Delivery"/>
    <n v="2"/>
    <n v="13"/>
    <n v="4"/>
    <n v="37.444800000000001"/>
    <x v="4"/>
    <x v="0"/>
    <s v="Returning"/>
  </r>
  <r>
    <n v="852"/>
    <n v="42"/>
    <s v="Female"/>
    <x v="0"/>
    <s v="Sunglasses"/>
    <n v="60.96"/>
    <x v="1"/>
    <s v="Card"/>
    <n v="3.2"/>
    <n v="4"/>
    <n v="2"/>
    <n v="58.521599999999999"/>
    <x v="1"/>
    <x v="0"/>
    <s v="Returning"/>
  </r>
  <r>
    <n v="853"/>
    <n v="40"/>
    <s v="Female"/>
    <x v="3"/>
    <s v="Lamp"/>
    <n v="198.03"/>
    <x v="0"/>
    <s v="Card"/>
    <n v="3"/>
    <n v="20"/>
    <n v="5"/>
    <n v="158.42400000000001"/>
    <x v="1"/>
    <x v="0"/>
    <s v="Returning"/>
  </r>
  <r>
    <n v="854"/>
    <n v="44"/>
    <s v="Female"/>
    <x v="2"/>
    <s v="Dumbbells"/>
    <n v="218.22"/>
    <x v="1"/>
    <s v="Card"/>
    <n v="3.3"/>
    <n v="19"/>
    <n v="7"/>
    <n v="176.75820000000002"/>
    <x v="1"/>
    <x v="0"/>
    <s v="Returning"/>
  </r>
  <r>
    <n v="855"/>
    <n v="51"/>
    <s v="Female"/>
    <x v="3"/>
    <s v="Curtains"/>
    <n v="207.52"/>
    <x v="1"/>
    <s v="Card"/>
    <n v="3.6"/>
    <n v="17"/>
    <n v="6"/>
    <n v="172.24160000000001"/>
    <x v="0"/>
    <x v="0"/>
    <s v="Returning"/>
  </r>
  <r>
    <n v="856"/>
    <n v="55"/>
    <s v="Female"/>
    <x v="6"/>
    <s v="Skincare Kit"/>
    <n v="72.03"/>
    <x v="0"/>
    <s v="Card"/>
    <n v="4.2"/>
    <n v="12"/>
    <n v="6"/>
    <n v="63.386400000000002"/>
    <x v="0"/>
    <x v="0"/>
    <s v="Returning"/>
  </r>
  <r>
    <n v="857"/>
    <n v="60"/>
    <s v="Male"/>
    <x v="7"/>
    <s v="Sandals"/>
    <n v="186.72"/>
    <x v="1"/>
    <s v="Card"/>
    <n v="4"/>
    <n v="18"/>
    <n v="4"/>
    <n v="153.1104"/>
    <x v="0"/>
    <x v="0"/>
    <s v="Returning"/>
  </r>
  <r>
    <n v="858"/>
    <n v="62"/>
    <s v="Male"/>
    <x v="7"/>
    <s v="Formal Shoes"/>
    <n v="114.97"/>
    <x v="0"/>
    <s v="Card"/>
    <n v="2.9"/>
    <n v="22"/>
    <n v="11"/>
    <n v="89.676600000000008"/>
    <x v="2"/>
    <x v="0"/>
    <s v="Returning"/>
  </r>
  <r>
    <n v="859"/>
    <n v="22"/>
    <s v="Male"/>
    <x v="4"/>
    <s v="Snacks"/>
    <n v="40.19"/>
    <x v="1"/>
    <s v="Cash on Delivery"/>
    <n v="3.7"/>
    <n v="14"/>
    <n v="2"/>
    <n v="34.563399999999994"/>
    <x v="3"/>
    <x v="0"/>
    <s v="Returning"/>
  </r>
  <r>
    <n v="860"/>
    <n v="32"/>
    <s v="Female"/>
    <x v="8"/>
    <s v="Jeans"/>
    <n v="120.08"/>
    <x v="1"/>
    <s v="Card"/>
    <n v="3.5"/>
    <n v="8"/>
    <n v="4"/>
    <n v="110.4736"/>
    <x v="4"/>
    <x v="0"/>
    <s v="Returning"/>
  </r>
  <r>
    <n v="861"/>
    <n v="58"/>
    <s v="Male"/>
    <x v="5"/>
    <s v="Laptop"/>
    <n v="2431.86"/>
    <x v="3"/>
    <s v="Card"/>
    <n v="4.5999999999999996"/>
    <n v="15"/>
    <n v="5"/>
    <n v="2067.0810000000001"/>
    <x v="0"/>
    <x v="0"/>
    <s v="Returning"/>
  </r>
  <r>
    <n v="862"/>
    <n v="59"/>
    <s v="Male"/>
    <x v="5"/>
    <s v="Headphones"/>
    <n v="1129"/>
    <x v="2"/>
    <s v="Card"/>
    <n v="2.5"/>
    <n v="11"/>
    <n v="3"/>
    <n v="1004.8100000000001"/>
    <x v="0"/>
    <x v="0"/>
    <s v="Returning"/>
  </r>
  <r>
    <n v="863"/>
    <n v="40"/>
    <s v="Male"/>
    <x v="7"/>
    <s v="Sneakers"/>
    <n v="96.21"/>
    <x v="2"/>
    <s v="Cash on Delivery"/>
    <n v="2.6"/>
    <n v="11"/>
    <n v="3"/>
    <n v="85.626899999999992"/>
    <x v="1"/>
    <x v="0"/>
    <s v="Returning"/>
  </r>
  <r>
    <n v="864"/>
    <n v="46"/>
    <s v="Male"/>
    <x v="5"/>
    <s v="Headphones"/>
    <n v="1454.05"/>
    <x v="3"/>
    <s v="Card"/>
    <n v="3.5"/>
    <n v="23"/>
    <n v="9"/>
    <n v="1119.6185"/>
    <x v="0"/>
    <x v="0"/>
    <s v="Returning"/>
  </r>
  <r>
    <n v="865"/>
    <n v="22"/>
    <s v="Male"/>
    <x v="2"/>
    <s v="Yoga Mat"/>
    <n v="210.91"/>
    <x v="1"/>
    <s v="Card"/>
    <n v="3.8"/>
    <n v="24"/>
    <n v="7"/>
    <n v="160.29159999999999"/>
    <x v="3"/>
    <x v="0"/>
    <s v="Returning"/>
  </r>
  <r>
    <n v="866"/>
    <n v="52"/>
    <s v="Female"/>
    <x v="8"/>
    <s v="Dress"/>
    <n v="35.17"/>
    <x v="0"/>
    <s v="Card"/>
    <n v="4.0999999999999996"/>
    <n v="26"/>
    <n v="8"/>
    <n v="26.0258"/>
    <x v="0"/>
    <x v="0"/>
    <s v="Returning"/>
  </r>
  <r>
    <n v="867"/>
    <n v="70"/>
    <s v="Male"/>
    <x v="5"/>
    <s v="Mobile Phone"/>
    <n v="2108.89"/>
    <x v="2"/>
    <s v="Card"/>
    <n v="4.4000000000000004"/>
    <n v="23"/>
    <n v="9"/>
    <n v="1623.8453"/>
    <x v="2"/>
    <x v="0"/>
    <s v="Returning"/>
  </r>
  <r>
    <n v="868"/>
    <n v="51"/>
    <s v="Male"/>
    <x v="2"/>
    <s v="Dumbbells"/>
    <n v="219.04"/>
    <x v="3"/>
    <s v="Card"/>
    <n v="3.2"/>
    <n v="11"/>
    <n v="3"/>
    <n v="194.94559999999998"/>
    <x v="0"/>
    <x v="0"/>
    <s v="Returning"/>
  </r>
  <r>
    <n v="869"/>
    <n v="67"/>
    <s v="Female"/>
    <x v="0"/>
    <s v="Sunglasses"/>
    <n v="48.74"/>
    <x v="0"/>
    <s v="Card"/>
    <n v="3.1"/>
    <n v="24"/>
    <n v="7"/>
    <n v="37.042400000000001"/>
    <x v="2"/>
    <x v="0"/>
    <s v="Returning"/>
  </r>
  <r>
    <n v="870"/>
    <n v="31"/>
    <s v="Female"/>
    <x v="8"/>
    <s v="Jeans"/>
    <n v="93.29"/>
    <x v="0"/>
    <s v="Card"/>
    <n v="5"/>
    <n v="16"/>
    <n v="3"/>
    <n v="78.363600000000005"/>
    <x v="4"/>
    <x v="0"/>
    <s v="Returning"/>
  </r>
  <r>
    <n v="871"/>
    <n v="58"/>
    <s v="Female"/>
    <x v="7"/>
    <s v="Sandals"/>
    <n v="59.04"/>
    <x v="0"/>
    <s v="Card"/>
    <n v="2.9"/>
    <n v="10"/>
    <n v="5"/>
    <n v="53.136000000000003"/>
    <x v="0"/>
    <x v="0"/>
    <s v="Returning"/>
  </r>
  <r>
    <n v="872"/>
    <n v="30"/>
    <s v="Male"/>
    <x v="7"/>
    <s v="Formal Shoes"/>
    <n v="87.7"/>
    <x v="0"/>
    <s v="Card"/>
    <n v="4.2"/>
    <n v="19"/>
    <n v="7"/>
    <n v="71.037000000000006"/>
    <x v="4"/>
    <x v="0"/>
    <s v="Returning"/>
  </r>
  <r>
    <n v="873"/>
    <n v="39"/>
    <s v="Female"/>
    <x v="6"/>
    <s v="Perfume"/>
    <n v="58.21"/>
    <x v="2"/>
    <s v="Card"/>
    <n v="2.5"/>
    <n v="7"/>
    <n v="1"/>
    <n v="54.135299999999994"/>
    <x v="1"/>
    <x v="0"/>
    <s v="Returning"/>
  </r>
  <r>
    <n v="874"/>
    <n v="69"/>
    <s v="Female"/>
    <x v="8"/>
    <s v="Jeans"/>
    <n v="100.29"/>
    <x v="2"/>
    <s v="Card"/>
    <n v="2.6"/>
    <n v="24"/>
    <n v="7"/>
    <n v="76.220400000000012"/>
    <x v="2"/>
    <x v="0"/>
    <s v="Returning"/>
  </r>
  <r>
    <n v="875"/>
    <n v="22"/>
    <s v="Male"/>
    <x v="7"/>
    <s v="Sandals"/>
    <n v="154.19999999999999"/>
    <x v="3"/>
    <s v="Card"/>
    <n v="3.4"/>
    <n v="4"/>
    <n v="2"/>
    <n v="148.03199999999998"/>
    <x v="3"/>
    <x v="0"/>
    <s v="Returning"/>
  </r>
  <r>
    <n v="876"/>
    <n v="32"/>
    <s v="Male"/>
    <x v="5"/>
    <s v="Laptop"/>
    <n v="1370.18"/>
    <x v="1"/>
    <s v="Card"/>
    <n v="3"/>
    <n v="20"/>
    <n v="5"/>
    <n v="1096.144"/>
    <x v="4"/>
    <x v="0"/>
    <s v="Returning"/>
  </r>
  <r>
    <n v="877"/>
    <n v="40"/>
    <s v="Male"/>
    <x v="7"/>
    <s v="Sneakers"/>
    <n v="123.96"/>
    <x v="3"/>
    <s v="Card"/>
    <n v="4.0999999999999996"/>
    <n v="11"/>
    <n v="3"/>
    <n v="110.3244"/>
    <x v="1"/>
    <x v="0"/>
    <s v="Returning"/>
  </r>
  <r>
    <n v="878"/>
    <n v="32"/>
    <s v="Female"/>
    <x v="7"/>
    <s v="Formal Shoes"/>
    <n v="151.91"/>
    <x v="3"/>
    <s v="Card"/>
    <n v="4.2"/>
    <n v="22"/>
    <n v="6"/>
    <n v="118.4898"/>
    <x v="4"/>
    <x v="0"/>
    <s v="Returning"/>
  </r>
  <r>
    <n v="879"/>
    <n v="69"/>
    <s v="Female"/>
    <x v="3"/>
    <s v="Curtains"/>
    <n v="201.11"/>
    <x v="1"/>
    <s v="Card"/>
    <n v="3.9"/>
    <n v="11"/>
    <n v="3"/>
    <n v="178.98790000000002"/>
    <x v="2"/>
    <x v="0"/>
    <s v="Returning"/>
  </r>
  <r>
    <n v="880"/>
    <n v="59"/>
    <s v="Male"/>
    <x v="7"/>
    <s v="Sneakers"/>
    <n v="42.35"/>
    <x v="1"/>
    <s v="Cash on Delivery"/>
    <n v="3.6"/>
    <n v="13"/>
    <n v="4"/>
    <n v="36.844500000000004"/>
    <x v="0"/>
    <x v="0"/>
    <s v="Returning"/>
  </r>
  <r>
    <n v="881"/>
    <n v="70"/>
    <s v="Female"/>
    <x v="6"/>
    <s v="Makeup Set"/>
    <n v="142.85"/>
    <x v="2"/>
    <s v="Card"/>
    <n v="3.2"/>
    <n v="20"/>
    <n v="5"/>
    <n v="114.28"/>
    <x v="2"/>
    <x v="0"/>
    <s v="Returning"/>
  </r>
  <r>
    <n v="882"/>
    <n v="46"/>
    <s v="Male"/>
    <x v="5"/>
    <s v="Mobile Phone"/>
    <n v="533.08000000000004"/>
    <x v="3"/>
    <s v="Card"/>
    <n v="5"/>
    <n v="16"/>
    <n v="3"/>
    <n v="447.78720000000004"/>
    <x v="0"/>
    <x v="0"/>
    <s v="Returning"/>
  </r>
  <r>
    <n v="883"/>
    <n v="36"/>
    <s v="Female"/>
    <x v="3"/>
    <s v="Kitchen Set"/>
    <n v="100.72"/>
    <x v="0"/>
    <s v="Card"/>
    <n v="2.8"/>
    <n v="22"/>
    <n v="6"/>
    <n v="78.561599999999999"/>
    <x v="1"/>
    <x v="0"/>
    <s v="Returning"/>
  </r>
  <r>
    <n v="884"/>
    <n v="31"/>
    <s v="Female"/>
    <x v="0"/>
    <s v="Sunglasses"/>
    <n v="172.26"/>
    <x v="3"/>
    <s v="Card"/>
    <n v="2.8"/>
    <n v="20"/>
    <n v="5"/>
    <n v="137.80799999999999"/>
    <x v="4"/>
    <x v="0"/>
    <s v="Returning"/>
  </r>
  <r>
    <n v="885"/>
    <n v="46"/>
    <s v="Female"/>
    <x v="2"/>
    <s v="Dumbbells"/>
    <n v="200.96"/>
    <x v="3"/>
    <s v="Card"/>
    <n v="4.2"/>
    <n v="16"/>
    <n v="3"/>
    <n v="168.8064"/>
    <x v="0"/>
    <x v="0"/>
    <s v="Returning"/>
  </r>
  <r>
    <n v="886"/>
    <n v="66"/>
    <s v="Female"/>
    <x v="7"/>
    <s v="Sneakers"/>
    <n v="113.39"/>
    <x v="1"/>
    <s v="Card"/>
    <n v="3.4"/>
    <n v="23"/>
    <n v="9"/>
    <n v="87.310299999999998"/>
    <x v="2"/>
    <x v="0"/>
    <s v="Returning"/>
  </r>
  <r>
    <n v="887"/>
    <n v="36"/>
    <s v="Female"/>
    <x v="0"/>
    <s v="Wallet"/>
    <n v="65.17"/>
    <x v="3"/>
    <s v="Cash on Delivery"/>
    <n v="4.5999999999999996"/>
    <n v="15"/>
    <n v="5"/>
    <n v="55.394500000000001"/>
    <x v="1"/>
    <x v="0"/>
    <s v="Returning"/>
  </r>
  <r>
    <n v="888"/>
    <n v="42"/>
    <s v="Male"/>
    <x v="7"/>
    <s v="Sneakers"/>
    <n v="154.55000000000001"/>
    <x v="2"/>
    <s v="Card"/>
    <n v="5"/>
    <n v="17"/>
    <n v="6"/>
    <n v="128.2765"/>
    <x v="1"/>
    <x v="0"/>
    <s v="Returning"/>
  </r>
  <r>
    <n v="889"/>
    <n v="26"/>
    <s v="Male"/>
    <x v="1"/>
    <s v="Jeans"/>
    <n v="100.84"/>
    <x v="1"/>
    <s v="Card"/>
    <n v="3.6"/>
    <n v="14"/>
    <n v="2"/>
    <n v="86.722400000000007"/>
    <x v="4"/>
    <x v="0"/>
    <s v="Returning"/>
  </r>
  <r>
    <n v="890"/>
    <n v="31"/>
    <s v="Male"/>
    <x v="5"/>
    <s v="Mobile Phone"/>
    <n v="1142.03"/>
    <x v="2"/>
    <s v="Card"/>
    <n v="4.2"/>
    <n v="10"/>
    <n v="5"/>
    <n v="1027.827"/>
    <x v="4"/>
    <x v="0"/>
    <s v="Returning"/>
  </r>
  <r>
    <n v="891"/>
    <n v="39"/>
    <s v="Male"/>
    <x v="1"/>
    <s v="Shirt"/>
    <n v="168.97"/>
    <x v="3"/>
    <s v="Card"/>
    <n v="4.5999999999999996"/>
    <n v="24"/>
    <n v="7"/>
    <n v="128.41720000000001"/>
    <x v="1"/>
    <x v="0"/>
    <s v="Returning"/>
  </r>
  <r>
    <n v="892"/>
    <n v="64"/>
    <s v="Male"/>
    <x v="7"/>
    <s v="Sandals"/>
    <n v="220.97"/>
    <x v="0"/>
    <s v="Card"/>
    <n v="5"/>
    <n v="4"/>
    <n v="2"/>
    <n v="212.13119999999998"/>
    <x v="2"/>
    <x v="0"/>
    <s v="Returning"/>
  </r>
  <r>
    <n v="893"/>
    <n v="59"/>
    <s v="Female"/>
    <x v="3"/>
    <s v="Curtains"/>
    <n v="181.46"/>
    <x v="0"/>
    <s v="Card"/>
    <n v="3.1"/>
    <n v="18"/>
    <n v="4"/>
    <n v="148.7972"/>
    <x v="0"/>
    <x v="0"/>
    <s v="Returning"/>
  </r>
  <r>
    <n v="894"/>
    <n v="30"/>
    <s v="Female"/>
    <x v="7"/>
    <s v="Sneakers"/>
    <n v="212.78"/>
    <x v="1"/>
    <s v="Card"/>
    <n v="4.4000000000000004"/>
    <n v="22"/>
    <n v="6"/>
    <n v="165.9684"/>
    <x v="4"/>
    <x v="0"/>
    <s v="Returning"/>
  </r>
  <r>
    <n v="895"/>
    <n v="30"/>
    <s v="Female"/>
    <x v="2"/>
    <s v="Yoga Mat"/>
    <n v="102.27"/>
    <x v="1"/>
    <s v="Card"/>
    <n v="3.1"/>
    <n v="16"/>
    <n v="8"/>
    <n v="85.90679999999999"/>
    <x v="4"/>
    <x v="0"/>
    <s v="Returning"/>
  </r>
  <r>
    <n v="896"/>
    <n v="40"/>
    <s v="Male"/>
    <x v="2"/>
    <s v="Dumbbells"/>
    <n v="101.71"/>
    <x v="1"/>
    <s v="Card"/>
    <n v="3.8"/>
    <n v="17"/>
    <n v="6"/>
    <n v="84.419299999999993"/>
    <x v="1"/>
    <x v="0"/>
    <s v="Returning"/>
  </r>
  <r>
    <n v="897"/>
    <n v="57"/>
    <s v="Male"/>
    <x v="2"/>
    <s v="Yoga Mat"/>
    <n v="166.23"/>
    <x v="1"/>
    <s v="Card"/>
    <n v="4"/>
    <n v="20"/>
    <n v="5"/>
    <n v="132.98400000000001"/>
    <x v="0"/>
    <x v="0"/>
    <s v="Returning"/>
  </r>
  <r>
    <n v="898"/>
    <n v="59"/>
    <s v="Male"/>
    <x v="7"/>
    <s v="Sneakers"/>
    <n v="82.01"/>
    <x v="1"/>
    <s v="Cash on Delivery"/>
    <n v="3.3"/>
    <n v="16"/>
    <n v="3"/>
    <n v="68.888400000000004"/>
    <x v="0"/>
    <x v="0"/>
    <s v="Returning"/>
  </r>
  <r>
    <n v="899"/>
    <n v="23"/>
    <s v="Female"/>
    <x v="7"/>
    <s v="Sandals"/>
    <n v="214.88"/>
    <x v="2"/>
    <s v="Card"/>
    <n v="5"/>
    <n v="20"/>
    <n v="5"/>
    <n v="171.904"/>
    <x v="3"/>
    <x v="0"/>
    <s v="Returning"/>
  </r>
  <r>
    <n v="900"/>
    <n v="64"/>
    <s v="Female"/>
    <x v="0"/>
    <s v="Handbag"/>
    <n v="110.37"/>
    <x v="1"/>
    <s v="Card"/>
    <n v="4.2"/>
    <n v="17"/>
    <n v="6"/>
    <n v="91.607100000000003"/>
    <x v="2"/>
    <x v="0"/>
    <s v="Returning"/>
  </r>
  <r>
    <n v="901"/>
    <n v="23"/>
    <s v="Male"/>
    <x v="7"/>
    <s v="Sneakers"/>
    <n v="144.05000000000001"/>
    <x v="3"/>
    <s v="Card"/>
    <n v="2.6"/>
    <n v="18"/>
    <n v="4"/>
    <n v="118.12100000000002"/>
    <x v="3"/>
    <x v="0"/>
    <s v="Returning"/>
  </r>
  <r>
    <n v="902"/>
    <n v="47"/>
    <s v="Female"/>
    <x v="0"/>
    <s v="Sunglasses"/>
    <n v="134.41999999999999"/>
    <x v="2"/>
    <s v="Card"/>
    <n v="4.0999999999999996"/>
    <n v="8"/>
    <n v="4"/>
    <n v="123.6664"/>
    <x v="0"/>
    <x v="0"/>
    <s v="Returning"/>
  </r>
  <r>
    <n v="903"/>
    <n v="64"/>
    <s v="Female"/>
    <x v="6"/>
    <s v="Skincare Kit"/>
    <n v="133.46"/>
    <x v="2"/>
    <s v="Card"/>
    <n v="4.5999999999999996"/>
    <n v="10"/>
    <n v="5"/>
    <n v="120.114"/>
    <x v="2"/>
    <x v="0"/>
    <s v="Returning"/>
  </r>
  <r>
    <n v="904"/>
    <n v="70"/>
    <s v="Female"/>
    <x v="3"/>
    <s v="Lamp"/>
    <n v="256.37"/>
    <x v="3"/>
    <s v="Card"/>
    <n v="3.6"/>
    <n v="24"/>
    <n v="7"/>
    <n v="194.84120000000001"/>
    <x v="2"/>
    <x v="0"/>
    <s v="Returning"/>
  </r>
  <r>
    <n v="905"/>
    <n v="59"/>
    <s v="Male"/>
    <x v="2"/>
    <s v="Dumbbells"/>
    <n v="160.41999999999999"/>
    <x v="1"/>
    <s v="Card"/>
    <n v="4.3"/>
    <n v="22"/>
    <n v="6"/>
    <n v="125.1276"/>
    <x v="0"/>
    <x v="0"/>
    <s v="Returning"/>
  </r>
  <r>
    <n v="906"/>
    <n v="31"/>
    <s v="Male"/>
    <x v="5"/>
    <s v="Mobile Phone"/>
    <n v="1501.64"/>
    <x v="0"/>
    <s v="Card"/>
    <n v="3.2"/>
    <n v="12"/>
    <n v="6"/>
    <n v="1321.4432000000002"/>
    <x v="4"/>
    <x v="0"/>
    <s v="Returning"/>
  </r>
  <r>
    <n v="907"/>
    <n v="69"/>
    <s v="Male"/>
    <x v="7"/>
    <s v="Formal Shoes"/>
    <n v="145.19999999999999"/>
    <x v="0"/>
    <s v="Card"/>
    <n v="2.8"/>
    <n v="18"/>
    <n v="4"/>
    <n v="119.06399999999999"/>
    <x v="2"/>
    <x v="0"/>
    <s v="Returning"/>
  </r>
  <r>
    <n v="908"/>
    <n v="50"/>
    <s v="Male"/>
    <x v="1"/>
    <s v="Shirt"/>
    <n v="66.680000000000007"/>
    <x v="2"/>
    <s v="Card"/>
    <n v="3.1"/>
    <n v="13"/>
    <n v="4"/>
    <n v="58.011600000000008"/>
    <x v="0"/>
    <x v="0"/>
    <s v="Returning"/>
  </r>
  <r>
    <n v="909"/>
    <n v="60"/>
    <s v="Male"/>
    <x v="5"/>
    <s v="Smart Watch"/>
    <n v="592.23"/>
    <x v="1"/>
    <s v="Card"/>
    <n v="3.6"/>
    <n v="13"/>
    <n v="4"/>
    <n v="515.24009999999998"/>
    <x v="0"/>
    <x v="0"/>
    <s v="Returning"/>
  </r>
  <r>
    <n v="910"/>
    <n v="39"/>
    <s v="Male"/>
    <x v="5"/>
    <s v="Mobile Phone"/>
    <n v="646.99"/>
    <x v="2"/>
    <s v="Card"/>
    <n v="4.0999999999999996"/>
    <n v="24"/>
    <n v="7"/>
    <n v="491.7124"/>
    <x v="1"/>
    <x v="0"/>
    <s v="Returning"/>
  </r>
  <r>
    <n v="911"/>
    <n v="50"/>
    <s v="Male"/>
    <x v="7"/>
    <s v="Sandals"/>
    <n v="58.87"/>
    <x v="1"/>
    <s v="Cash on Delivery"/>
    <n v="3.1"/>
    <n v="16"/>
    <n v="3"/>
    <n v="49.450799999999994"/>
    <x v="0"/>
    <x v="0"/>
    <s v="Returning"/>
  </r>
  <r>
    <n v="912"/>
    <n v="42"/>
    <s v="Male"/>
    <x v="2"/>
    <s v="Dumbbells"/>
    <n v="51.43"/>
    <x v="2"/>
    <s v="Card"/>
    <n v="2.7"/>
    <n v="13"/>
    <n v="4"/>
    <n v="44.744099999999996"/>
    <x v="1"/>
    <x v="0"/>
    <s v="Returning"/>
  </r>
  <r>
    <n v="913"/>
    <n v="56"/>
    <s v="Female"/>
    <x v="3"/>
    <s v="Lamp"/>
    <n v="235.41"/>
    <x v="3"/>
    <s v="Card"/>
    <n v="2.6"/>
    <n v="2"/>
    <n v="1"/>
    <n v="230.70179999999999"/>
    <x v="0"/>
    <x v="0"/>
    <s v="Returning"/>
  </r>
  <r>
    <n v="914"/>
    <n v="46"/>
    <s v="Female"/>
    <x v="0"/>
    <s v="Wallet"/>
    <n v="99.47"/>
    <x v="2"/>
    <s v="Cash on Delivery"/>
    <n v="3.7"/>
    <n v="22"/>
    <n v="11"/>
    <n v="77.586600000000004"/>
    <x v="0"/>
    <x v="0"/>
    <s v="Returning"/>
  </r>
  <r>
    <n v="915"/>
    <n v="40"/>
    <s v="Female"/>
    <x v="0"/>
    <s v="Sunglasses"/>
    <n v="38.29"/>
    <x v="0"/>
    <s v="Card"/>
    <n v="4.0999999999999996"/>
    <n v="18"/>
    <n v="9"/>
    <n v="31.3978"/>
    <x v="1"/>
    <x v="0"/>
    <s v="Returning"/>
  </r>
  <r>
    <n v="916"/>
    <n v="54"/>
    <s v="Male"/>
    <x v="7"/>
    <s v="Sandals"/>
    <n v="240.73"/>
    <x v="1"/>
    <s v="Card"/>
    <n v="4.5"/>
    <n v="18"/>
    <n v="4"/>
    <n v="197.39860000000002"/>
    <x v="0"/>
    <x v="0"/>
    <s v="Returning"/>
  </r>
  <r>
    <n v="917"/>
    <n v="24"/>
    <s v="Female"/>
    <x v="8"/>
    <s v="Top"/>
    <n v="145.27000000000001"/>
    <x v="3"/>
    <s v="Card"/>
    <n v="4.7"/>
    <n v="20"/>
    <n v="10"/>
    <n v="116.21600000000001"/>
    <x v="3"/>
    <x v="0"/>
    <s v="Returning"/>
  </r>
  <r>
    <n v="918"/>
    <n v="22"/>
    <s v="Male"/>
    <x v="7"/>
    <s v="Sandals"/>
    <n v="140.13"/>
    <x v="1"/>
    <s v="Card"/>
    <n v="4.4000000000000004"/>
    <n v="16"/>
    <n v="3"/>
    <n v="117.7092"/>
    <x v="3"/>
    <x v="0"/>
    <s v="Returning"/>
  </r>
  <r>
    <n v="919"/>
    <n v="43"/>
    <s v="Male"/>
    <x v="7"/>
    <s v="Sneakers"/>
    <n v="192.45"/>
    <x v="0"/>
    <s v="Card"/>
    <n v="3.3"/>
    <n v="7"/>
    <n v="1"/>
    <n v="178.97849999999997"/>
    <x v="1"/>
    <x v="0"/>
    <s v="Returning"/>
  </r>
  <r>
    <n v="920"/>
    <n v="21"/>
    <s v="Male"/>
    <x v="5"/>
    <s v="Headphones"/>
    <n v="2391.56"/>
    <x v="1"/>
    <s v="Card"/>
    <n v="3.7"/>
    <n v="24"/>
    <n v="7"/>
    <n v="1817.5855999999999"/>
    <x v="3"/>
    <x v="0"/>
    <s v="Returning"/>
  </r>
  <r>
    <n v="921"/>
    <n v="58"/>
    <s v="Female"/>
    <x v="3"/>
    <s v="Curtains"/>
    <n v="246.33"/>
    <x v="2"/>
    <s v="Card"/>
    <n v="3.9"/>
    <n v="12"/>
    <n v="6"/>
    <n v="216.77040000000002"/>
    <x v="0"/>
    <x v="0"/>
    <s v="Returning"/>
  </r>
  <r>
    <n v="922"/>
    <n v="57"/>
    <s v="Male"/>
    <x v="2"/>
    <s v="Dumbbells"/>
    <n v="39.18"/>
    <x v="3"/>
    <s v="Cash on Delivery"/>
    <n v="3.4"/>
    <n v="23"/>
    <n v="9"/>
    <n v="30.168600000000001"/>
    <x v="0"/>
    <x v="0"/>
    <s v="Returning"/>
  </r>
  <r>
    <n v="923"/>
    <n v="25"/>
    <s v="Female"/>
    <x v="6"/>
    <s v="Skincare Kit"/>
    <n v="21.93"/>
    <x v="0"/>
    <s v="Cash on Delivery"/>
    <n v="4.5"/>
    <n v="18"/>
    <n v="4"/>
    <n v="17.982600000000001"/>
    <x v="3"/>
    <x v="0"/>
    <s v="Returning"/>
  </r>
  <r>
    <n v="924"/>
    <n v="35"/>
    <s v="Male"/>
    <x v="1"/>
    <s v="T-Shirt"/>
    <n v="35.65"/>
    <x v="0"/>
    <s v="Card"/>
    <n v="4.5"/>
    <n v="13"/>
    <n v="4"/>
    <n v="31.015499999999999"/>
    <x v="4"/>
    <x v="0"/>
    <s v="Returning"/>
  </r>
  <r>
    <n v="925"/>
    <n v="23"/>
    <s v="Male"/>
    <x v="1"/>
    <s v="Jacket"/>
    <n v="174.44"/>
    <x v="3"/>
    <s v="Card"/>
    <n v="2.9"/>
    <n v="14"/>
    <n v="7"/>
    <n v="150.01839999999999"/>
    <x v="3"/>
    <x v="0"/>
    <s v="Returning"/>
  </r>
  <r>
    <n v="926"/>
    <n v="23"/>
    <s v="Female"/>
    <x v="0"/>
    <s v="Wallet"/>
    <n v="130.69999999999999"/>
    <x v="1"/>
    <s v="Card"/>
    <n v="3.2"/>
    <n v="19"/>
    <n v="7"/>
    <n v="105.867"/>
    <x v="3"/>
    <x v="0"/>
    <s v="Returning"/>
  </r>
  <r>
    <n v="927"/>
    <n v="31"/>
    <s v="Male"/>
    <x v="2"/>
    <s v="Football"/>
    <n v="231.91"/>
    <x v="2"/>
    <s v="Card"/>
    <n v="4.4000000000000004"/>
    <n v="21"/>
    <n v="8"/>
    <n v="183.2089"/>
    <x v="4"/>
    <x v="0"/>
    <s v="Returning"/>
  </r>
  <r>
    <n v="928"/>
    <n v="33"/>
    <s v="Female"/>
    <x v="0"/>
    <s v="Wallet"/>
    <n v="130.37"/>
    <x v="0"/>
    <s v="Card"/>
    <n v="3.3"/>
    <n v="6"/>
    <n v="3"/>
    <n v="122.5478"/>
    <x v="4"/>
    <x v="0"/>
    <s v="Returning"/>
  </r>
  <r>
    <n v="929"/>
    <n v="45"/>
    <s v="Female"/>
    <x v="8"/>
    <s v="Top"/>
    <n v="185.7"/>
    <x v="0"/>
    <s v="Card"/>
    <n v="2.8"/>
    <n v="8"/>
    <n v="4"/>
    <n v="170.84399999999999"/>
    <x v="1"/>
    <x v="0"/>
    <s v="Returning"/>
  </r>
  <r>
    <n v="930"/>
    <n v="59"/>
    <s v="Male"/>
    <x v="4"/>
    <s v="Snacks"/>
    <n v="8.6999999999999993"/>
    <x v="0"/>
    <s v="Cash on Delivery"/>
    <n v="3.5"/>
    <n v="32"/>
    <n v="11"/>
    <n v="5.9159999999999986"/>
    <x v="0"/>
    <x v="0"/>
    <s v="Returning"/>
  </r>
  <r>
    <n v="931"/>
    <n v="43"/>
    <s v="Male"/>
    <x v="5"/>
    <s v="Laptop"/>
    <n v="2197.9899999999998"/>
    <x v="3"/>
    <s v="Card"/>
    <n v="4.0999999999999996"/>
    <n v="10"/>
    <n v="5"/>
    <n v="1978.1909999999998"/>
    <x v="1"/>
    <x v="0"/>
    <s v="Returning"/>
  </r>
  <r>
    <n v="932"/>
    <n v="27"/>
    <s v="Male"/>
    <x v="2"/>
    <s v="Yoga Mat"/>
    <n v="113.14"/>
    <x v="3"/>
    <s v="Card"/>
    <n v="4.4000000000000004"/>
    <n v="10"/>
    <n v="5"/>
    <n v="101.82600000000001"/>
    <x v="4"/>
    <x v="0"/>
    <s v="Returning"/>
  </r>
  <r>
    <n v="933"/>
    <n v="53"/>
    <s v="Male"/>
    <x v="7"/>
    <s v="Formal Shoes"/>
    <n v="223.47"/>
    <x v="0"/>
    <s v="Card"/>
    <n v="3.4"/>
    <n v="8"/>
    <n v="4"/>
    <n v="205.5924"/>
    <x v="0"/>
    <x v="0"/>
    <s v="Returning"/>
  </r>
  <r>
    <n v="934"/>
    <n v="60"/>
    <s v="Male"/>
    <x v="2"/>
    <s v="Football"/>
    <n v="203.1"/>
    <x v="0"/>
    <s v="Card"/>
    <n v="3.9"/>
    <n v="10"/>
    <n v="5"/>
    <n v="182.79"/>
    <x v="0"/>
    <x v="0"/>
    <s v="Returning"/>
  </r>
  <r>
    <n v="935"/>
    <n v="42"/>
    <s v="Male"/>
    <x v="1"/>
    <s v="Jeans"/>
    <n v="85.93"/>
    <x v="2"/>
    <s v="Card"/>
    <n v="2.6"/>
    <n v="22"/>
    <n v="6"/>
    <n v="67.025400000000005"/>
    <x v="1"/>
    <x v="0"/>
    <s v="Returning"/>
  </r>
  <r>
    <n v="936"/>
    <n v="43"/>
    <s v="Male"/>
    <x v="5"/>
    <s v="Headphones"/>
    <n v="622.05999999999995"/>
    <x v="0"/>
    <s v="Card"/>
    <n v="3.5"/>
    <n v="20"/>
    <n v="5"/>
    <n v="497.64799999999997"/>
    <x v="1"/>
    <x v="0"/>
    <s v="Returning"/>
  </r>
  <r>
    <n v="937"/>
    <n v="62"/>
    <s v="Male"/>
    <x v="3"/>
    <s v="Kitchen Set"/>
    <n v="136.93"/>
    <x v="0"/>
    <s v="Card"/>
    <n v="2"/>
    <n v="12"/>
    <n v="6"/>
    <n v="120.4984"/>
    <x v="2"/>
    <x v="0"/>
    <s v="Returning"/>
  </r>
  <r>
    <n v="938"/>
    <n v="52"/>
    <s v="Female"/>
    <x v="3"/>
    <s v="Curtains"/>
    <n v="287.12"/>
    <x v="1"/>
    <s v="Card"/>
    <n v="4.2"/>
    <n v="28"/>
    <n v="9"/>
    <n v="206.72639999999998"/>
    <x v="0"/>
    <x v="0"/>
    <s v="Returning"/>
  </r>
  <r>
    <n v="939"/>
    <n v="70"/>
    <s v="Male"/>
    <x v="7"/>
    <s v="Sandals"/>
    <n v="223.82"/>
    <x v="3"/>
    <s v="Card"/>
    <n v="5"/>
    <n v="9"/>
    <n v="2"/>
    <n v="203.67619999999999"/>
    <x v="2"/>
    <x v="0"/>
    <s v="Returning"/>
  </r>
  <r>
    <n v="940"/>
    <n v="69"/>
    <s v="Female"/>
    <x v="4"/>
    <s v="Beverages"/>
    <n v="52.06"/>
    <x v="1"/>
    <s v="Card"/>
    <n v="4.7"/>
    <n v="20"/>
    <n v="5"/>
    <n v="41.648000000000003"/>
    <x v="2"/>
    <x v="0"/>
    <s v="Returning"/>
  </r>
  <r>
    <n v="941"/>
    <n v="38"/>
    <s v="Male"/>
    <x v="3"/>
    <s v="Lamp"/>
    <n v="230.54"/>
    <x v="1"/>
    <s v="Card"/>
    <n v="4.2"/>
    <n v="16"/>
    <n v="8"/>
    <n v="193.65359999999998"/>
    <x v="1"/>
    <x v="0"/>
    <s v="Returning"/>
  </r>
  <r>
    <n v="942"/>
    <n v="64"/>
    <s v="Female"/>
    <x v="0"/>
    <s v="Wallet"/>
    <n v="146.22999999999999"/>
    <x v="3"/>
    <s v="Card"/>
    <n v="4"/>
    <n v="14"/>
    <n v="7"/>
    <n v="125.75779999999999"/>
    <x v="2"/>
    <x v="0"/>
    <s v="Returning"/>
  </r>
  <r>
    <n v="943"/>
    <n v="43"/>
    <s v="Female"/>
    <x v="8"/>
    <s v="Jeans"/>
    <n v="84.02"/>
    <x v="1"/>
    <s v="Cash on Delivery"/>
    <n v="4"/>
    <n v="8"/>
    <n v="4"/>
    <n v="77.298400000000001"/>
    <x v="1"/>
    <x v="0"/>
    <s v="Returning"/>
  </r>
  <r>
    <n v="944"/>
    <n v="40"/>
    <s v="Male"/>
    <x v="5"/>
    <s v="Laptop"/>
    <n v="570.66"/>
    <x v="2"/>
    <s v="Card"/>
    <n v="3.7"/>
    <n v="7"/>
    <n v="1"/>
    <n v="530.71379999999988"/>
    <x v="1"/>
    <x v="0"/>
    <s v="Returning"/>
  </r>
  <r>
    <n v="945"/>
    <n v="59"/>
    <s v="Male"/>
    <x v="7"/>
    <s v="Sandals"/>
    <n v="208.68"/>
    <x v="2"/>
    <s v="Card"/>
    <n v="2.9"/>
    <n v="22"/>
    <n v="6"/>
    <n v="162.77040000000002"/>
    <x v="0"/>
    <x v="0"/>
    <s v="Returning"/>
  </r>
  <r>
    <n v="946"/>
    <n v="55"/>
    <s v="Male"/>
    <x v="1"/>
    <s v="Shirt"/>
    <n v="105.92"/>
    <x v="1"/>
    <s v="Card"/>
    <n v="4"/>
    <n v="14"/>
    <n v="2"/>
    <n v="91.091200000000001"/>
    <x v="0"/>
    <x v="0"/>
    <s v="Returning"/>
  </r>
  <r>
    <n v="947"/>
    <n v="67"/>
    <s v="Male"/>
    <x v="5"/>
    <s v="Smart Watch"/>
    <n v="594.99"/>
    <x v="2"/>
    <s v="Card"/>
    <n v="4.7"/>
    <n v="15"/>
    <n v="5"/>
    <n v="505.74149999999997"/>
    <x v="2"/>
    <x v="0"/>
    <s v="Returning"/>
  </r>
  <r>
    <n v="948"/>
    <n v="48"/>
    <s v="Male"/>
    <x v="2"/>
    <s v="Football"/>
    <n v="122.6"/>
    <x v="1"/>
    <s v="Card"/>
    <n v="3.6"/>
    <n v="14"/>
    <n v="7"/>
    <n v="105.43599999999999"/>
    <x v="0"/>
    <x v="0"/>
    <s v="Returning"/>
  </r>
  <r>
    <n v="949"/>
    <n v="62"/>
    <s v="Female"/>
    <x v="6"/>
    <s v="Skincare Kit"/>
    <n v="105.62"/>
    <x v="2"/>
    <s v="Card"/>
    <n v="3.6"/>
    <n v="29"/>
    <n v="12"/>
    <n v="74.990200000000002"/>
    <x v="2"/>
    <x v="0"/>
    <s v="Returning"/>
  </r>
  <r>
    <n v="950"/>
    <n v="57"/>
    <s v="Female"/>
    <x v="3"/>
    <s v="Curtains"/>
    <n v="57.08"/>
    <x v="2"/>
    <s v="Cash on Delivery"/>
    <n v="3.9"/>
    <n v="10"/>
    <n v="5"/>
    <n v="51.372"/>
    <x v="0"/>
    <x v="0"/>
    <s v="Returning"/>
  </r>
  <r>
    <n v="951"/>
    <n v="44"/>
    <s v="Male"/>
    <x v="3"/>
    <s v="Lamp"/>
    <n v="157.74"/>
    <x v="2"/>
    <s v="Card"/>
    <n v="3.3"/>
    <n v="17"/>
    <n v="6"/>
    <n v="130.92420000000001"/>
    <x v="1"/>
    <x v="0"/>
    <s v="Returning"/>
  </r>
  <r>
    <n v="952"/>
    <n v="25"/>
    <s v="Male"/>
    <x v="4"/>
    <s v="Snacks"/>
    <n v="77.760000000000005"/>
    <x v="3"/>
    <s v="Card"/>
    <n v="4.3"/>
    <n v="27"/>
    <n v="11"/>
    <n v="56.764800000000001"/>
    <x v="3"/>
    <x v="0"/>
    <s v="Returning"/>
  </r>
  <r>
    <n v="953"/>
    <n v="48"/>
    <s v="Female"/>
    <x v="3"/>
    <s v="Curtains"/>
    <n v="243.65"/>
    <x v="0"/>
    <s v="Card"/>
    <n v="4.8"/>
    <n v="15"/>
    <n v="5"/>
    <n v="207.10249999999999"/>
    <x v="0"/>
    <x v="0"/>
    <s v="Returning"/>
  </r>
  <r>
    <n v="954"/>
    <n v="28"/>
    <s v="Male"/>
    <x v="2"/>
    <s v="Dumbbells"/>
    <n v="73.599999999999994"/>
    <x v="1"/>
    <s v="Card"/>
    <n v="3.3"/>
    <n v="14"/>
    <n v="7"/>
    <n v="63.295999999999992"/>
    <x v="4"/>
    <x v="0"/>
    <s v="Returning"/>
  </r>
  <r>
    <n v="955"/>
    <n v="51"/>
    <s v="Female"/>
    <x v="7"/>
    <s v="Formal Shoes"/>
    <n v="187.41"/>
    <x v="1"/>
    <s v="Card"/>
    <n v="4.4000000000000004"/>
    <n v="20"/>
    <n v="5"/>
    <n v="149.928"/>
    <x v="0"/>
    <x v="0"/>
    <s v="Returning"/>
  </r>
  <r>
    <n v="956"/>
    <n v="46"/>
    <s v="Female"/>
    <x v="7"/>
    <s v="Sneakers"/>
    <n v="191.13"/>
    <x v="1"/>
    <s v="Card"/>
    <n v="3.9"/>
    <n v="12"/>
    <n v="6"/>
    <n v="168.1944"/>
    <x v="0"/>
    <x v="0"/>
    <s v="Returning"/>
  </r>
  <r>
    <n v="957"/>
    <n v="24"/>
    <s v="Male"/>
    <x v="5"/>
    <s v="Smart Watch"/>
    <n v="2923.37"/>
    <x v="2"/>
    <s v="Card"/>
    <n v="3.5"/>
    <n v="15"/>
    <n v="5"/>
    <n v="2484.8644999999997"/>
    <x v="3"/>
    <x v="0"/>
    <s v="Returning"/>
  </r>
  <r>
    <n v="958"/>
    <n v="66"/>
    <s v="Female"/>
    <x v="4"/>
    <s v="Snacks"/>
    <n v="56.64"/>
    <x v="3"/>
    <s v="Cash on Delivery"/>
    <n v="4"/>
    <n v="18"/>
    <n v="9"/>
    <n v="46.444800000000001"/>
    <x v="2"/>
    <x v="0"/>
    <s v="Returning"/>
  </r>
  <r>
    <n v="959"/>
    <n v="47"/>
    <s v="Male"/>
    <x v="4"/>
    <s v="Cooking Oil"/>
    <n v="54.21"/>
    <x v="3"/>
    <s v="Cash on Delivery"/>
    <n v="3.7"/>
    <n v="15"/>
    <n v="5"/>
    <n v="46.078499999999998"/>
    <x v="0"/>
    <x v="0"/>
    <s v="Returning"/>
  </r>
  <r>
    <n v="960"/>
    <n v="60"/>
    <s v="Female"/>
    <x v="0"/>
    <s v="Handbag"/>
    <n v="117.39"/>
    <x v="3"/>
    <s v="Card"/>
    <n v="2.9"/>
    <n v="10"/>
    <n v="5"/>
    <n v="105.651"/>
    <x v="0"/>
    <x v="0"/>
    <s v="Returning"/>
  </r>
  <r>
    <n v="961"/>
    <n v="40"/>
    <s v="Female"/>
    <x v="7"/>
    <s v="Sneakers"/>
    <n v="197.69"/>
    <x v="2"/>
    <s v="Card"/>
    <n v="1.8"/>
    <n v="20"/>
    <n v="5"/>
    <n v="158.15200000000002"/>
    <x v="1"/>
    <x v="0"/>
    <s v="Returning"/>
  </r>
  <r>
    <n v="962"/>
    <n v="47"/>
    <s v="Male"/>
    <x v="2"/>
    <s v="Football"/>
    <n v="178.62"/>
    <x v="2"/>
    <s v="Card"/>
    <n v="3.3"/>
    <n v="16"/>
    <n v="8"/>
    <n v="150.04079999999999"/>
    <x v="0"/>
    <x v="0"/>
    <s v="Returning"/>
  </r>
  <r>
    <n v="963"/>
    <n v="54"/>
    <s v="Male"/>
    <x v="1"/>
    <s v="Jeans"/>
    <n v="199.78"/>
    <x v="0"/>
    <s v="Card"/>
    <n v="3"/>
    <n v="2"/>
    <n v="1"/>
    <n v="195.78440000000001"/>
    <x v="0"/>
    <x v="0"/>
    <s v="Returning"/>
  </r>
  <r>
    <n v="964"/>
    <n v="31"/>
    <s v="Male"/>
    <x v="2"/>
    <s v="Yoga Mat"/>
    <n v="243.71"/>
    <x v="2"/>
    <s v="Card"/>
    <n v="3.8"/>
    <n v="4"/>
    <n v="2"/>
    <n v="233.9616"/>
    <x v="4"/>
    <x v="0"/>
    <s v="Returning"/>
  </r>
  <r>
    <n v="965"/>
    <n v="37"/>
    <s v="Male"/>
    <x v="5"/>
    <s v="Laptop"/>
    <n v="2839.22"/>
    <x v="3"/>
    <s v="Card"/>
    <n v="3.9"/>
    <n v="16"/>
    <n v="8"/>
    <n v="2384.9447999999998"/>
    <x v="1"/>
    <x v="0"/>
    <s v="Returning"/>
  </r>
  <r>
    <n v="966"/>
    <n v="55"/>
    <s v="Female"/>
    <x v="7"/>
    <s v="Formal Shoes"/>
    <n v="103.82"/>
    <x v="0"/>
    <s v="Card"/>
    <n v="4.5"/>
    <n v="16"/>
    <n v="3"/>
    <n v="87.208799999999997"/>
    <x v="0"/>
    <x v="0"/>
    <s v="Returning"/>
  </r>
  <r>
    <n v="967"/>
    <n v="60"/>
    <s v="Female"/>
    <x v="0"/>
    <s v="Handbag"/>
    <n v="131.19"/>
    <x v="0"/>
    <s v="Card"/>
    <n v="3.8"/>
    <n v="6"/>
    <n v="3"/>
    <n v="123.31859999999999"/>
    <x v="0"/>
    <x v="0"/>
    <s v="Returning"/>
  </r>
  <r>
    <n v="968"/>
    <n v="52"/>
    <s v="Male"/>
    <x v="1"/>
    <s v="Jacket"/>
    <n v="194.91"/>
    <x v="3"/>
    <s v="Card"/>
    <n v="4.9000000000000004"/>
    <n v="23"/>
    <n v="9"/>
    <n v="150.08070000000001"/>
    <x v="0"/>
    <x v="0"/>
    <s v="Returning"/>
  </r>
  <r>
    <n v="969"/>
    <n v="48"/>
    <s v="Male"/>
    <x v="7"/>
    <s v="Formal Shoes"/>
    <n v="113.38"/>
    <x v="1"/>
    <s v="Card"/>
    <n v="2.6"/>
    <n v="11"/>
    <n v="3"/>
    <n v="100.90819999999999"/>
    <x v="0"/>
    <x v="0"/>
    <s v="Returning"/>
  </r>
  <r>
    <n v="970"/>
    <n v="55"/>
    <s v="Female"/>
    <x v="7"/>
    <s v="Formal Shoes"/>
    <n v="122.62"/>
    <x v="1"/>
    <s v="Card"/>
    <n v="2.7"/>
    <n v="13"/>
    <n v="4"/>
    <n v="106.6794"/>
    <x v="0"/>
    <x v="0"/>
    <s v="Returning"/>
  </r>
  <r>
    <n v="971"/>
    <n v="39"/>
    <s v="Female"/>
    <x v="6"/>
    <s v="Skincare Kit"/>
    <n v="126.77"/>
    <x v="1"/>
    <s v="Card"/>
    <n v="3.7"/>
    <n v="24"/>
    <n v="7"/>
    <n v="96.345199999999991"/>
    <x v="1"/>
    <x v="0"/>
    <s v="Returning"/>
  </r>
  <r>
    <n v="972"/>
    <n v="56"/>
    <s v="Male"/>
    <x v="7"/>
    <s v="Sandals"/>
    <n v="247.66"/>
    <x v="2"/>
    <s v="Card"/>
    <n v="4.5"/>
    <n v="22"/>
    <n v="6"/>
    <n v="193.1748"/>
    <x v="0"/>
    <x v="0"/>
    <s v="Returning"/>
  </r>
  <r>
    <n v="973"/>
    <n v="55"/>
    <s v="Male"/>
    <x v="2"/>
    <s v="Dumbbells"/>
    <n v="245.63"/>
    <x v="2"/>
    <s v="Card"/>
    <n v="4"/>
    <n v="15"/>
    <n v="5"/>
    <n v="208.78549999999998"/>
    <x v="0"/>
    <x v="0"/>
    <s v="Returning"/>
  </r>
  <r>
    <n v="974"/>
    <n v="59"/>
    <s v="Male"/>
    <x v="2"/>
    <s v="Football"/>
    <n v="42.7"/>
    <x v="2"/>
    <s v="Card"/>
    <n v="2.9"/>
    <n v="8"/>
    <n v="4"/>
    <n v="39.284000000000006"/>
    <x v="0"/>
    <x v="0"/>
    <s v="Returning"/>
  </r>
  <r>
    <n v="975"/>
    <n v="32"/>
    <s v="Female"/>
    <x v="2"/>
    <s v="Football"/>
    <n v="143.21"/>
    <x v="2"/>
    <s v="Card"/>
    <n v="3.4"/>
    <n v="22"/>
    <n v="6"/>
    <n v="111.70380000000002"/>
    <x v="4"/>
    <x v="0"/>
    <s v="Returning"/>
  </r>
  <r>
    <n v="976"/>
    <n v="20"/>
    <s v="Male"/>
    <x v="1"/>
    <s v="T-Shirt"/>
    <n v="182.98"/>
    <x v="0"/>
    <s v="Card"/>
    <n v="4.5"/>
    <n v="20"/>
    <n v="5"/>
    <n v="146.38399999999999"/>
    <x v="3"/>
    <x v="0"/>
    <s v="Returning"/>
  </r>
  <r>
    <n v="977"/>
    <n v="50"/>
    <s v="Male"/>
    <x v="5"/>
    <s v="Laptop"/>
    <n v="1854.1"/>
    <x v="0"/>
    <s v="Card"/>
    <n v="4.2"/>
    <n v="12"/>
    <n v="6"/>
    <n v="1631.6079999999999"/>
    <x v="0"/>
    <x v="0"/>
    <s v="Returning"/>
  </r>
  <r>
    <n v="978"/>
    <n v="32"/>
    <s v="Male"/>
    <x v="7"/>
    <s v="Formal Shoes"/>
    <n v="122.08"/>
    <x v="0"/>
    <s v="Card"/>
    <n v="3.4"/>
    <n v="18"/>
    <n v="4"/>
    <n v="100.10560000000001"/>
    <x v="4"/>
    <x v="0"/>
    <s v="Returning"/>
  </r>
  <r>
    <n v="979"/>
    <n v="52"/>
    <s v="Female"/>
    <x v="0"/>
    <s v="Wallet"/>
    <n v="81.599999999999994"/>
    <x v="0"/>
    <s v="Card"/>
    <n v="4.3"/>
    <n v="22"/>
    <n v="6"/>
    <n v="63.647999999999996"/>
    <x v="0"/>
    <x v="0"/>
    <s v="Returning"/>
  </r>
  <r>
    <n v="980"/>
    <n v="20"/>
    <s v="Female"/>
    <x v="7"/>
    <s v="Sneakers"/>
    <n v="191.41"/>
    <x v="2"/>
    <s v="Card"/>
    <n v="3.6"/>
    <n v="15"/>
    <n v="5"/>
    <n v="162.6985"/>
    <x v="3"/>
    <x v="0"/>
    <s v="Returning"/>
  </r>
  <r>
    <n v="981"/>
    <n v="24"/>
    <s v="Male"/>
    <x v="2"/>
    <s v="Yoga Mat"/>
    <n v="31.49"/>
    <x v="2"/>
    <s v="Card"/>
    <n v="3.5"/>
    <n v="16"/>
    <n v="3"/>
    <n v="26.451599999999999"/>
    <x v="3"/>
    <x v="0"/>
    <s v="Returning"/>
  </r>
  <r>
    <n v="982"/>
    <n v="28"/>
    <s v="Female"/>
    <x v="7"/>
    <s v="Sneakers"/>
    <n v="50.93"/>
    <x v="0"/>
    <s v="Cash on Delivery"/>
    <n v="4.3"/>
    <n v="11"/>
    <n v="3"/>
    <n v="45.3277"/>
    <x v="4"/>
    <x v="0"/>
    <s v="Returning"/>
  </r>
  <r>
    <n v="983"/>
    <n v="52"/>
    <s v="Female"/>
    <x v="0"/>
    <s v="Sunglasses"/>
    <n v="167.87"/>
    <x v="2"/>
    <s v="Card"/>
    <n v="3.5"/>
    <n v="26"/>
    <n v="8"/>
    <n v="124.2238"/>
    <x v="0"/>
    <x v="0"/>
    <s v="Returning"/>
  </r>
  <r>
    <n v="984"/>
    <n v="50"/>
    <s v="Male"/>
    <x v="7"/>
    <s v="Formal Shoes"/>
    <n v="119.8"/>
    <x v="0"/>
    <s v="Card"/>
    <n v="4.7"/>
    <n v="22"/>
    <n v="6"/>
    <n v="93.444000000000003"/>
    <x v="0"/>
    <x v="0"/>
    <s v="Returning"/>
  </r>
  <r>
    <n v="985"/>
    <n v="34"/>
    <s v="Male"/>
    <x v="1"/>
    <s v="Jacket"/>
    <n v="93.54"/>
    <x v="1"/>
    <s v="Cash on Delivery"/>
    <n v="3.4"/>
    <n v="16"/>
    <n v="8"/>
    <n v="78.573599999999999"/>
    <x v="4"/>
    <x v="0"/>
    <s v="Returning"/>
  </r>
  <r>
    <n v="986"/>
    <n v="47"/>
    <s v="Male"/>
    <x v="2"/>
    <s v="Dumbbells"/>
    <n v="194.21"/>
    <x v="0"/>
    <s v="Card"/>
    <n v="3.5"/>
    <n v="16"/>
    <n v="3"/>
    <n v="163.13640000000001"/>
    <x v="0"/>
    <x v="0"/>
    <s v="Returning"/>
  </r>
  <r>
    <n v="987"/>
    <n v="46"/>
    <s v="Male"/>
    <x v="2"/>
    <s v="Yoga Mat"/>
    <n v="96.22"/>
    <x v="0"/>
    <s v="Cash on Delivery"/>
    <n v="3.1"/>
    <n v="20"/>
    <n v="5"/>
    <n v="76.975999999999999"/>
    <x v="0"/>
    <x v="0"/>
    <s v="Returning"/>
  </r>
  <r>
    <n v="988"/>
    <n v="60"/>
    <s v="Male"/>
    <x v="5"/>
    <s v="Headphones"/>
    <n v="802.1"/>
    <x v="0"/>
    <s v="Card"/>
    <n v="4.0999999999999996"/>
    <n v="16"/>
    <n v="3"/>
    <n v="673.76400000000001"/>
    <x v="0"/>
    <x v="0"/>
    <s v="Returning"/>
  </r>
  <r>
    <n v="989"/>
    <n v="42"/>
    <s v="Female"/>
    <x v="8"/>
    <s v="Jeans"/>
    <n v="126.92"/>
    <x v="1"/>
    <s v="Card"/>
    <n v="3.6"/>
    <n v="16"/>
    <n v="3"/>
    <n v="106.61279999999999"/>
    <x v="1"/>
    <x v="0"/>
    <s v="Returning"/>
  </r>
  <r>
    <n v="990"/>
    <n v="68"/>
    <s v="Male"/>
    <x v="1"/>
    <s v="T-Shirt"/>
    <n v="46.11"/>
    <x v="2"/>
    <s v="Card"/>
    <n v="5"/>
    <n v="12"/>
    <n v="1"/>
    <n v="40.576799999999999"/>
    <x v="2"/>
    <x v="0"/>
    <s v="Returning"/>
  </r>
  <r>
    <n v="991"/>
    <n v="66"/>
    <s v="Male"/>
    <x v="2"/>
    <s v="Football"/>
    <n v="172.75"/>
    <x v="0"/>
    <s v="Card"/>
    <n v="4.2"/>
    <n v="20"/>
    <n v="5"/>
    <n v="138.20000000000002"/>
    <x v="2"/>
    <x v="0"/>
    <s v="Returning"/>
  </r>
  <r>
    <n v="992"/>
    <n v="43"/>
    <s v="Male"/>
    <x v="5"/>
    <s v="Headphones"/>
    <n v="1247.6600000000001"/>
    <x v="1"/>
    <s v="Card"/>
    <n v="2.5"/>
    <n v="15"/>
    <n v="5"/>
    <n v="1060.511"/>
    <x v="1"/>
    <x v="0"/>
    <s v="Returning"/>
  </r>
  <r>
    <n v="993"/>
    <n v="61"/>
    <s v="Male"/>
    <x v="7"/>
    <s v="Sneakers"/>
    <n v="70.459999999999994"/>
    <x v="3"/>
    <s v="Card"/>
    <n v="4.5999999999999996"/>
    <n v="4"/>
    <n v="2"/>
    <n v="67.641599999999997"/>
    <x v="2"/>
    <x v="0"/>
    <s v="Returning"/>
  </r>
  <r>
    <n v="994"/>
    <n v="33"/>
    <s v="Male"/>
    <x v="2"/>
    <s v="Yoga Mat"/>
    <n v="90.86"/>
    <x v="0"/>
    <s v="Card"/>
    <n v="4"/>
    <n v="16"/>
    <n v="8"/>
    <n v="76.322400000000002"/>
    <x v="4"/>
    <x v="0"/>
    <s v="Returning"/>
  </r>
  <r>
    <n v="995"/>
    <n v="36"/>
    <s v="Male"/>
    <x v="1"/>
    <s v="T-Shirt"/>
    <n v="56.95"/>
    <x v="2"/>
    <s v="Card"/>
    <n v="3.9"/>
    <n v="12"/>
    <n v="6"/>
    <n v="50.116"/>
    <x v="1"/>
    <x v="0"/>
    <s v="Returning"/>
  </r>
  <r>
    <n v="996"/>
    <n v="65"/>
    <s v="Male"/>
    <x v="1"/>
    <s v="Jacket"/>
    <n v="100.4"/>
    <x v="0"/>
    <s v="Card"/>
    <n v="3.8"/>
    <n v="17"/>
    <n v="6"/>
    <n v="83.331999999999994"/>
    <x v="2"/>
    <x v="0"/>
    <s v="Returning"/>
  </r>
  <r>
    <n v="997"/>
    <n v="42"/>
    <s v="Female"/>
    <x v="3"/>
    <s v="Lamp"/>
    <n v="142.72999999999999"/>
    <x v="0"/>
    <s v="Card"/>
    <n v="4.0999999999999996"/>
    <n v="15"/>
    <n v="5"/>
    <n v="121.32049999999998"/>
    <x v="1"/>
    <x v="0"/>
    <s v="Returning"/>
  </r>
  <r>
    <n v="998"/>
    <n v="34"/>
    <s v="Male"/>
    <x v="5"/>
    <s v="Laptop"/>
    <n v="2857.91"/>
    <x v="3"/>
    <s v="Card"/>
    <n v="3.5"/>
    <n v="8"/>
    <n v="4"/>
    <n v="2629.2772"/>
    <x v="4"/>
    <x v="0"/>
    <s v="Returning"/>
  </r>
  <r>
    <n v="999"/>
    <n v="62"/>
    <s v="Male"/>
    <x v="1"/>
    <s v="Jacket"/>
    <n v="79.55"/>
    <x v="3"/>
    <s v="Card"/>
    <n v="3.9"/>
    <n v="12"/>
    <n v="6"/>
    <n v="70.004000000000005"/>
    <x v="2"/>
    <x v="0"/>
    <s v="Returning"/>
  </r>
  <r>
    <n v="1000"/>
    <n v="46"/>
    <s v="Female"/>
    <x v="4"/>
    <s v="Rice Pack"/>
    <n v="17.850000000000001"/>
    <x v="2"/>
    <s v="Cash on Delivery"/>
    <n v="5"/>
    <n v="26"/>
    <n v="8"/>
    <n v="13.209000000000001"/>
    <x v="0"/>
    <x v="0"/>
    <s v="Returning"/>
  </r>
  <r>
    <n v="1001"/>
    <n v="21"/>
    <s v="Male"/>
    <x v="3"/>
    <s v="Lamp"/>
    <n v="113.93"/>
    <x v="0"/>
    <s v="Card"/>
    <n v="3.7"/>
    <n v="19"/>
    <n v="7"/>
    <n v="92.283300000000011"/>
    <x v="3"/>
    <x v="0"/>
    <s v="Returning"/>
  </r>
  <r>
    <n v="1002"/>
    <n v="29"/>
    <s v="Male"/>
    <x v="7"/>
    <s v="Formal Shoes"/>
    <n v="48.18"/>
    <x v="3"/>
    <s v="Card"/>
    <n v="4.9000000000000004"/>
    <n v="34"/>
    <n v="12"/>
    <n v="31.798799999999996"/>
    <x v="4"/>
    <x v="0"/>
    <s v="Returning"/>
  </r>
  <r>
    <n v="1003"/>
    <n v="57"/>
    <s v="Female"/>
    <x v="0"/>
    <s v="Handbag"/>
    <n v="54.15"/>
    <x v="0"/>
    <s v="Cash on Delivery"/>
    <n v="2.6"/>
    <n v="26"/>
    <n v="8"/>
    <n v="40.070999999999998"/>
    <x v="0"/>
    <x v="0"/>
    <s v="Returning"/>
  </r>
  <r>
    <n v="1004"/>
    <n v="41"/>
    <s v="Female"/>
    <x v="8"/>
    <s v="Jeans"/>
    <n v="58.88"/>
    <x v="3"/>
    <s v="Cash on Delivery"/>
    <n v="4"/>
    <n v="11"/>
    <n v="3"/>
    <n v="52.403200000000005"/>
    <x v="1"/>
    <x v="0"/>
    <s v="Returning"/>
  </r>
  <r>
    <n v="1005"/>
    <n v="63"/>
    <s v="Male"/>
    <x v="1"/>
    <s v="T-Shirt"/>
    <n v="127.76"/>
    <x v="3"/>
    <s v="Card"/>
    <n v="3.2"/>
    <n v="4"/>
    <n v="2"/>
    <n v="122.64960000000001"/>
    <x v="2"/>
    <x v="0"/>
    <s v="Returning"/>
  </r>
  <r>
    <n v="1006"/>
    <n v="45"/>
    <s v="Male"/>
    <x v="1"/>
    <s v="Jacket"/>
    <n v="88.21"/>
    <x v="0"/>
    <s v="Cash on Delivery"/>
    <n v="2.2000000000000002"/>
    <n v="2"/>
    <n v="1"/>
    <n v="86.445799999999991"/>
    <x v="1"/>
    <x v="0"/>
    <s v="Returning"/>
  </r>
  <r>
    <n v="1007"/>
    <n v="65"/>
    <s v="Female"/>
    <x v="8"/>
    <s v="Skirt"/>
    <n v="154.19999999999999"/>
    <x v="3"/>
    <s v="Card"/>
    <n v="3.8"/>
    <n v="16"/>
    <n v="8"/>
    <n v="129.52799999999999"/>
    <x v="2"/>
    <x v="0"/>
    <s v="Returning"/>
  </r>
  <r>
    <n v="1008"/>
    <n v="53"/>
    <s v="Male"/>
    <x v="1"/>
    <s v="Jacket"/>
    <n v="186.55"/>
    <x v="0"/>
    <s v="Card"/>
    <n v="3.7"/>
    <n v="16"/>
    <n v="3"/>
    <n v="156.702"/>
    <x v="0"/>
    <x v="0"/>
    <s v="Returning"/>
  </r>
  <r>
    <n v="1009"/>
    <n v="63"/>
    <s v="Male"/>
    <x v="7"/>
    <s v="Formal Shoes"/>
    <n v="55.74"/>
    <x v="1"/>
    <s v="Cash on Delivery"/>
    <n v="4.8"/>
    <n v="22"/>
    <n v="6"/>
    <n v="43.477200000000003"/>
    <x v="2"/>
    <x v="0"/>
    <s v="Returning"/>
  </r>
  <r>
    <n v="1010"/>
    <n v="41"/>
    <s v="Female"/>
    <x v="6"/>
    <s v="Makeup Set"/>
    <n v="149.31"/>
    <x v="2"/>
    <s v="Card"/>
    <n v="4"/>
    <n v="8"/>
    <n v="4"/>
    <n v="137.36520000000002"/>
    <x v="1"/>
    <x v="0"/>
    <s v="Returning"/>
  </r>
  <r>
    <n v="1011"/>
    <n v="65"/>
    <s v="Male"/>
    <x v="1"/>
    <s v="Jacket"/>
    <n v="71.91"/>
    <x v="2"/>
    <s v="Cash on Delivery"/>
    <n v="3.5"/>
    <n v="19"/>
    <n v="7"/>
    <n v="58.247100000000003"/>
    <x v="2"/>
    <x v="0"/>
    <s v="Returning"/>
  </r>
  <r>
    <n v="1012"/>
    <n v="20"/>
    <s v="Female"/>
    <x v="6"/>
    <s v="Skincare Kit"/>
    <n v="25.51"/>
    <x v="1"/>
    <s v="Card"/>
    <n v="3.6"/>
    <n v="30"/>
    <n v="10"/>
    <n v="17.856999999999999"/>
    <x v="3"/>
    <x v="0"/>
    <s v="Returning"/>
  </r>
  <r>
    <n v="1013"/>
    <n v="57"/>
    <s v="Female"/>
    <x v="6"/>
    <s v="Makeup Set"/>
    <n v="140"/>
    <x v="0"/>
    <s v="Card"/>
    <n v="3.5"/>
    <n v="20"/>
    <n v="5"/>
    <n v="112"/>
    <x v="0"/>
    <x v="0"/>
    <s v="Returning"/>
  </r>
  <r>
    <n v="1014"/>
    <n v="45"/>
    <s v="Male"/>
    <x v="4"/>
    <s v="Cooking Oil"/>
    <n v="22.48"/>
    <x v="0"/>
    <s v="Card"/>
    <n v="4.2"/>
    <n v="8"/>
    <n v="4"/>
    <n v="20.6816"/>
    <x v="1"/>
    <x v="0"/>
    <s v="Returning"/>
  </r>
  <r>
    <n v="1015"/>
    <n v="69"/>
    <s v="Female"/>
    <x v="0"/>
    <s v="Wallet"/>
    <n v="63.27"/>
    <x v="0"/>
    <s v="Cash on Delivery"/>
    <n v="2.9"/>
    <n v="12"/>
    <n v="6"/>
    <n v="55.677600000000005"/>
    <x v="2"/>
    <x v="0"/>
    <s v="Returning"/>
  </r>
  <r>
    <n v="1016"/>
    <n v="32"/>
    <s v="Male"/>
    <x v="4"/>
    <s v="Rice Pack"/>
    <n v="79.819999999999993"/>
    <x v="0"/>
    <s v="Card"/>
    <n v="3.5"/>
    <n v="14"/>
    <n v="2"/>
    <n v="68.645199999999988"/>
    <x v="4"/>
    <x v="0"/>
    <s v="Returning"/>
  </r>
  <r>
    <n v="1017"/>
    <n v="69"/>
    <s v="Female"/>
    <x v="6"/>
    <s v="Perfume"/>
    <n v="68.75"/>
    <x v="1"/>
    <s v="Card"/>
    <n v="3.8"/>
    <n v="8"/>
    <n v="4"/>
    <n v="63.25"/>
    <x v="2"/>
    <x v="0"/>
    <s v="Returning"/>
  </r>
  <r>
    <n v="1018"/>
    <n v="43"/>
    <s v="Male"/>
    <x v="5"/>
    <s v="Smart Watch"/>
    <n v="1327.27"/>
    <x v="3"/>
    <s v="Card"/>
    <n v="2.7"/>
    <n v="13"/>
    <n v="4"/>
    <n v="1154.7248999999999"/>
    <x v="1"/>
    <x v="0"/>
    <s v="Returning"/>
  </r>
  <r>
    <n v="1019"/>
    <n v="28"/>
    <s v="Male"/>
    <x v="2"/>
    <s v="Yoga Mat"/>
    <n v="220.03"/>
    <x v="3"/>
    <s v="Card"/>
    <n v="3.2"/>
    <n v="10"/>
    <n v="5"/>
    <n v="198.02700000000002"/>
    <x v="4"/>
    <x v="0"/>
    <s v="Returning"/>
  </r>
  <r>
    <n v="1020"/>
    <n v="53"/>
    <s v="Female"/>
    <x v="2"/>
    <s v="Football"/>
    <n v="233.03"/>
    <x v="1"/>
    <s v="Card"/>
    <n v="3.7"/>
    <n v="18"/>
    <n v="4"/>
    <n v="191.08460000000002"/>
    <x v="0"/>
    <x v="0"/>
    <s v="Returning"/>
  </r>
  <r>
    <n v="1021"/>
    <n v="25"/>
    <s v="Female"/>
    <x v="0"/>
    <s v="Handbag"/>
    <n v="106.02"/>
    <x v="3"/>
    <s v="Card"/>
    <n v="4.8"/>
    <n v="13"/>
    <n v="4"/>
    <n v="92.237399999999994"/>
    <x v="3"/>
    <x v="0"/>
    <s v="Returning"/>
  </r>
  <r>
    <n v="1022"/>
    <n v="30"/>
    <s v="Male"/>
    <x v="2"/>
    <s v="Football"/>
    <n v="74.36"/>
    <x v="2"/>
    <s v="Card"/>
    <n v="5"/>
    <n v="15"/>
    <n v="5"/>
    <n v="63.205999999999996"/>
    <x v="4"/>
    <x v="0"/>
    <s v="Returning"/>
  </r>
  <r>
    <n v="1023"/>
    <n v="59"/>
    <s v="Female"/>
    <x v="6"/>
    <s v="Skincare Kit"/>
    <n v="28.72"/>
    <x v="3"/>
    <s v="Cash on Delivery"/>
    <n v="4.5"/>
    <n v="12"/>
    <n v="6"/>
    <n v="25.273599999999998"/>
    <x v="0"/>
    <x v="0"/>
    <s v="Returning"/>
  </r>
  <r>
    <n v="1024"/>
    <n v="53"/>
    <s v="Male"/>
    <x v="5"/>
    <s v="Laptop"/>
    <n v="512"/>
    <x v="2"/>
    <s v="Card"/>
    <n v="4"/>
    <n v="18"/>
    <n v="9"/>
    <n v="419.84000000000003"/>
    <x v="0"/>
    <x v="0"/>
    <s v="Returning"/>
  </r>
  <r>
    <n v="1025"/>
    <n v="60"/>
    <s v="Female"/>
    <x v="8"/>
    <s v="Top"/>
    <n v="108.63"/>
    <x v="0"/>
    <s v="Card"/>
    <n v="3.5"/>
    <n v="28"/>
    <n v="9"/>
    <n v="78.2136"/>
    <x v="0"/>
    <x v="0"/>
    <s v="Returning"/>
  </r>
  <r>
    <n v="1026"/>
    <n v="25"/>
    <s v="Male"/>
    <x v="1"/>
    <s v="Jeans"/>
    <n v="34.19"/>
    <x v="2"/>
    <s v="Cash on Delivery"/>
    <n v="3.1"/>
    <n v="19"/>
    <n v="7"/>
    <n v="27.693899999999999"/>
    <x v="3"/>
    <x v="0"/>
    <s v="Returning"/>
  </r>
  <r>
    <n v="1027"/>
    <n v="21"/>
    <s v="Female"/>
    <x v="0"/>
    <s v="Wallet"/>
    <n v="121.23"/>
    <x v="1"/>
    <s v="Card"/>
    <n v="2.9"/>
    <n v="16"/>
    <n v="3"/>
    <n v="101.83320000000001"/>
    <x v="3"/>
    <x v="0"/>
    <s v="Returning"/>
  </r>
  <r>
    <n v="1028"/>
    <n v="31"/>
    <s v="Male"/>
    <x v="3"/>
    <s v="Curtains"/>
    <n v="39.869999999999997"/>
    <x v="0"/>
    <s v="Cash on Delivery"/>
    <n v="3.1"/>
    <n v="14"/>
    <n v="7"/>
    <n v="34.288199999999996"/>
    <x v="4"/>
    <x v="0"/>
    <s v="Returning"/>
  </r>
  <r>
    <n v="1029"/>
    <n v="65"/>
    <s v="Female"/>
    <x v="8"/>
    <s v="Jeans"/>
    <n v="194.79"/>
    <x v="2"/>
    <s v="Card"/>
    <n v="4.0999999999999996"/>
    <n v="15"/>
    <n v="5"/>
    <n v="165.57149999999999"/>
    <x v="2"/>
    <x v="0"/>
    <s v="Returning"/>
  </r>
  <r>
    <n v="1030"/>
    <n v="45"/>
    <s v="Female"/>
    <x v="8"/>
    <s v="Dress"/>
    <n v="192.67"/>
    <x v="1"/>
    <s v="Card"/>
    <n v="4.3"/>
    <n v="20"/>
    <n v="5"/>
    <n v="154.136"/>
    <x v="1"/>
    <x v="0"/>
    <s v="Returning"/>
  </r>
  <r>
    <n v="1031"/>
    <n v="33"/>
    <s v="Female"/>
    <x v="7"/>
    <s v="Sneakers"/>
    <n v="119.68"/>
    <x v="0"/>
    <s v="Card"/>
    <n v="2.5"/>
    <n v="19"/>
    <n v="7"/>
    <n v="96.94080000000001"/>
    <x v="4"/>
    <x v="0"/>
    <s v="Returning"/>
  </r>
  <r>
    <n v="1032"/>
    <n v="40"/>
    <s v="Female"/>
    <x v="4"/>
    <s v="Cooking Oil"/>
    <n v="12.42"/>
    <x v="1"/>
    <s v="Card"/>
    <n v="4"/>
    <n v="20"/>
    <n v="5"/>
    <n v="9.9359999999999999"/>
    <x v="1"/>
    <x v="0"/>
    <s v="Returning"/>
  </r>
  <r>
    <n v="1033"/>
    <n v="55"/>
    <s v="Female"/>
    <x v="2"/>
    <s v="Dumbbells"/>
    <n v="91.6"/>
    <x v="3"/>
    <s v="Cash on Delivery"/>
    <n v="3.7"/>
    <n v="17"/>
    <n v="6"/>
    <n v="76.027999999999992"/>
    <x v="0"/>
    <x v="0"/>
    <s v="Returning"/>
  </r>
  <r>
    <n v="1034"/>
    <n v="28"/>
    <s v="Female"/>
    <x v="4"/>
    <s v="Beverages"/>
    <n v="78.81"/>
    <x v="3"/>
    <s v="Card"/>
    <n v="4.0999999999999996"/>
    <n v="15"/>
    <n v="5"/>
    <n v="66.988500000000002"/>
    <x v="4"/>
    <x v="0"/>
    <s v="Returning"/>
  </r>
  <r>
    <n v="1035"/>
    <n v="36"/>
    <s v="Male"/>
    <x v="3"/>
    <s v="Lamp"/>
    <n v="299.29000000000002"/>
    <x v="1"/>
    <s v="Card"/>
    <n v="4.5999999999999996"/>
    <n v="10"/>
    <n v="5"/>
    <n v="269.36100000000005"/>
    <x v="1"/>
    <x v="0"/>
    <s v="Returning"/>
  </r>
  <r>
    <n v="1036"/>
    <n v="59"/>
    <s v="Female"/>
    <x v="6"/>
    <s v="Makeup Set"/>
    <n v="52.13"/>
    <x v="2"/>
    <s v="Card"/>
    <n v="4.4000000000000004"/>
    <n v="14"/>
    <n v="2"/>
    <n v="44.831800000000001"/>
    <x v="0"/>
    <x v="0"/>
    <s v="Returning"/>
  </r>
  <r>
    <n v="1037"/>
    <n v="42"/>
    <s v="Female"/>
    <x v="0"/>
    <s v="Handbag"/>
    <n v="73.709999999999994"/>
    <x v="0"/>
    <s v="Card"/>
    <n v="2.8"/>
    <n v="8"/>
    <n v="4"/>
    <n v="67.813199999999995"/>
    <x v="1"/>
    <x v="0"/>
    <s v="Returning"/>
  </r>
  <r>
    <n v="1038"/>
    <n v="21"/>
    <s v="Female"/>
    <x v="0"/>
    <s v="Wallet"/>
    <n v="108.59"/>
    <x v="2"/>
    <s v="Card"/>
    <n v="4.3"/>
    <n v="26"/>
    <n v="8"/>
    <n v="80.3566"/>
    <x v="3"/>
    <x v="0"/>
    <s v="Returning"/>
  </r>
  <r>
    <n v="1039"/>
    <n v="63"/>
    <s v="Male"/>
    <x v="5"/>
    <s v="Headphones"/>
    <n v="2738.93"/>
    <x v="3"/>
    <s v="Card"/>
    <n v="4"/>
    <n v="12"/>
    <n v="6"/>
    <n v="2410.2583999999997"/>
    <x v="2"/>
    <x v="0"/>
    <s v="Returning"/>
  </r>
  <r>
    <n v="1040"/>
    <n v="32"/>
    <s v="Female"/>
    <x v="0"/>
    <s v="Sunglasses"/>
    <n v="159.16"/>
    <x v="3"/>
    <s v="Card"/>
    <n v="4.0999999999999996"/>
    <n v="10"/>
    <n v="5"/>
    <n v="143.244"/>
    <x v="4"/>
    <x v="0"/>
    <s v="Returning"/>
  </r>
  <r>
    <n v="1041"/>
    <n v="32"/>
    <s v="Female"/>
    <x v="8"/>
    <s v="Top"/>
    <n v="193.19"/>
    <x v="1"/>
    <s v="Card"/>
    <n v="4.9000000000000004"/>
    <n v="26"/>
    <n v="8"/>
    <n v="142.9606"/>
    <x v="4"/>
    <x v="0"/>
    <s v="Returning"/>
  </r>
  <r>
    <n v="1042"/>
    <n v="45"/>
    <s v="Male"/>
    <x v="7"/>
    <s v="Sandals"/>
    <n v="143.72"/>
    <x v="3"/>
    <s v="Card"/>
    <n v="2.6"/>
    <n v="20"/>
    <n v="5"/>
    <n v="114.976"/>
    <x v="1"/>
    <x v="0"/>
    <s v="Returning"/>
  </r>
  <r>
    <n v="1043"/>
    <n v="24"/>
    <s v="Female"/>
    <x v="8"/>
    <s v="Dress"/>
    <n v="141.82"/>
    <x v="2"/>
    <s v="Card"/>
    <n v="3.8"/>
    <n v="10"/>
    <n v="5"/>
    <n v="127.63799999999999"/>
    <x v="3"/>
    <x v="0"/>
    <s v="Returning"/>
  </r>
  <r>
    <n v="1044"/>
    <n v="44"/>
    <s v="Female"/>
    <x v="8"/>
    <s v="Top"/>
    <n v="177.01"/>
    <x v="1"/>
    <s v="Card"/>
    <n v="1.9"/>
    <n v="7"/>
    <n v="1"/>
    <n v="164.61929999999998"/>
    <x v="1"/>
    <x v="0"/>
    <s v="Returning"/>
  </r>
  <r>
    <n v="1045"/>
    <n v="33"/>
    <s v="Male"/>
    <x v="2"/>
    <s v="Yoga Mat"/>
    <n v="144.52000000000001"/>
    <x v="0"/>
    <s v="Card"/>
    <n v="4.5999999999999996"/>
    <n v="10"/>
    <n v="5"/>
    <n v="130.06800000000001"/>
    <x v="4"/>
    <x v="0"/>
    <s v="Returning"/>
  </r>
  <r>
    <n v="1046"/>
    <n v="40"/>
    <s v="Male"/>
    <x v="1"/>
    <s v="T-Shirt"/>
    <n v="141.59"/>
    <x v="1"/>
    <s v="Card"/>
    <n v="3.3"/>
    <n v="4"/>
    <n v="2"/>
    <n v="135.9264"/>
    <x v="1"/>
    <x v="0"/>
    <s v="Returning"/>
  </r>
  <r>
    <n v="1047"/>
    <n v="53"/>
    <s v="Female"/>
    <x v="8"/>
    <s v="Skirt"/>
    <n v="130.75"/>
    <x v="3"/>
    <s v="Card"/>
    <n v="3.9"/>
    <n v="15"/>
    <n v="5"/>
    <n v="111.1375"/>
    <x v="0"/>
    <x v="0"/>
    <s v="Returning"/>
  </r>
  <r>
    <n v="1048"/>
    <n v="55"/>
    <s v="Male"/>
    <x v="7"/>
    <s v="Sandals"/>
    <n v="57.48"/>
    <x v="3"/>
    <s v="Card"/>
    <n v="4.0999999999999996"/>
    <n v="15"/>
    <n v="5"/>
    <n v="48.857999999999997"/>
    <x v="0"/>
    <x v="0"/>
    <s v="Returning"/>
  </r>
  <r>
    <n v="1049"/>
    <n v="40"/>
    <s v="Female"/>
    <x v="8"/>
    <s v="Dress"/>
    <n v="75.56"/>
    <x v="2"/>
    <s v="Cash on Delivery"/>
    <n v="4.0999999999999996"/>
    <n v="10"/>
    <n v="5"/>
    <n v="68.004000000000005"/>
    <x v="1"/>
    <x v="0"/>
    <s v="Returning"/>
  </r>
  <r>
    <n v="1050"/>
    <n v="34"/>
    <s v="Female"/>
    <x v="0"/>
    <s v="Handbag"/>
    <n v="50.23"/>
    <x v="1"/>
    <s v="Cash on Delivery"/>
    <n v="2.2000000000000002"/>
    <n v="6"/>
    <n v="3"/>
    <n v="47.216199999999994"/>
    <x v="4"/>
    <x v="0"/>
    <s v="Returning"/>
  </r>
  <r>
    <n v="1051"/>
    <n v="45"/>
    <s v="Female"/>
    <x v="0"/>
    <s v="Handbag"/>
    <n v="56.28"/>
    <x v="3"/>
    <s v="Cash on Delivery"/>
    <n v="4.5"/>
    <n v="18"/>
    <n v="4"/>
    <n v="46.149600000000007"/>
    <x v="1"/>
    <x v="0"/>
    <s v="Returning"/>
  </r>
  <r>
    <n v="1052"/>
    <n v="31"/>
    <s v="Male"/>
    <x v="3"/>
    <s v="Curtains"/>
    <n v="211.48"/>
    <x v="1"/>
    <s v="Card"/>
    <n v="2.8"/>
    <n v="9"/>
    <n v="2"/>
    <n v="192.4468"/>
    <x v="4"/>
    <x v="0"/>
    <s v="Returning"/>
  </r>
  <r>
    <n v="1053"/>
    <n v="37"/>
    <s v="Female"/>
    <x v="3"/>
    <s v="Lamp"/>
    <n v="75.819999999999993"/>
    <x v="2"/>
    <s v="Card"/>
    <n v="4.3"/>
    <n v="12"/>
    <n v="1"/>
    <n v="66.721599999999995"/>
    <x v="1"/>
    <x v="0"/>
    <s v="Returning"/>
  </r>
  <r>
    <n v="1054"/>
    <n v="60"/>
    <s v="Female"/>
    <x v="0"/>
    <s v="Sunglasses"/>
    <n v="58.95"/>
    <x v="2"/>
    <s v="Cash on Delivery"/>
    <n v="3.5"/>
    <n v="6"/>
    <n v="3"/>
    <n v="55.412999999999997"/>
    <x v="0"/>
    <x v="0"/>
    <s v="Returning"/>
  </r>
  <r>
    <n v="1055"/>
    <n v="38"/>
    <s v="Male"/>
    <x v="5"/>
    <s v="Headphones"/>
    <n v="1948.69"/>
    <x v="3"/>
    <s v="Card"/>
    <n v="2.9"/>
    <n v="16"/>
    <n v="8"/>
    <n v="1636.8996"/>
    <x v="1"/>
    <x v="0"/>
    <s v="Returning"/>
  </r>
  <r>
    <n v="1056"/>
    <n v="60"/>
    <s v="Male"/>
    <x v="2"/>
    <s v="Yoga Mat"/>
    <n v="221.58"/>
    <x v="3"/>
    <s v="Card"/>
    <n v="3.2"/>
    <n v="10"/>
    <n v="5"/>
    <n v="199.42200000000003"/>
    <x v="0"/>
    <x v="0"/>
    <s v="Returning"/>
  </r>
  <r>
    <n v="1057"/>
    <n v="40"/>
    <s v="Male"/>
    <x v="2"/>
    <s v="Football"/>
    <n v="194.16"/>
    <x v="2"/>
    <s v="Card"/>
    <n v="3.9"/>
    <n v="21"/>
    <n v="8"/>
    <n v="153.38640000000001"/>
    <x v="1"/>
    <x v="0"/>
    <s v="Returning"/>
  </r>
  <r>
    <n v="1058"/>
    <n v="33"/>
    <s v="Female"/>
    <x v="7"/>
    <s v="Sneakers"/>
    <n v="40.299999999999997"/>
    <x v="2"/>
    <s v="Card"/>
    <n v="2.5"/>
    <n v="22"/>
    <n v="6"/>
    <n v="31.433999999999997"/>
    <x v="4"/>
    <x v="0"/>
    <s v="Returning"/>
  </r>
  <r>
    <n v="1059"/>
    <n v="64"/>
    <s v="Female"/>
    <x v="8"/>
    <s v="Top"/>
    <n v="178.98"/>
    <x v="0"/>
    <s v="Card"/>
    <n v="3.2"/>
    <n v="20"/>
    <n v="5"/>
    <n v="143.184"/>
    <x v="2"/>
    <x v="0"/>
    <s v="Returning"/>
  </r>
  <r>
    <n v="1060"/>
    <n v="64"/>
    <s v="Female"/>
    <x v="8"/>
    <s v="Top"/>
    <n v="190.01"/>
    <x v="1"/>
    <s v="Card"/>
    <n v="4.0999999999999996"/>
    <n v="18"/>
    <n v="9"/>
    <n v="155.8082"/>
    <x v="2"/>
    <x v="0"/>
    <s v="Returning"/>
  </r>
  <r>
    <n v="1061"/>
    <n v="66"/>
    <s v="Female"/>
    <x v="8"/>
    <s v="Skirt"/>
    <n v="114.31"/>
    <x v="0"/>
    <s v="Card"/>
    <n v="5"/>
    <n v="8"/>
    <n v="4"/>
    <n v="105.16520000000001"/>
    <x v="2"/>
    <x v="0"/>
    <s v="Returning"/>
  </r>
  <r>
    <n v="1062"/>
    <n v="21"/>
    <s v="Male"/>
    <x v="1"/>
    <s v="Shirt"/>
    <n v="114.03"/>
    <x v="0"/>
    <s v="Card"/>
    <n v="2.6"/>
    <n v="12"/>
    <n v="1"/>
    <n v="100.3464"/>
    <x v="3"/>
    <x v="0"/>
    <s v="Returning"/>
  </r>
  <r>
    <n v="1063"/>
    <n v="49"/>
    <s v="Male"/>
    <x v="7"/>
    <s v="Formal Shoes"/>
    <n v="106.57"/>
    <x v="0"/>
    <s v="Card"/>
    <n v="3.2"/>
    <n v="8"/>
    <n v="4"/>
    <n v="98.044399999999996"/>
    <x v="0"/>
    <x v="0"/>
    <s v="Returning"/>
  </r>
  <r>
    <n v="1064"/>
    <n v="40"/>
    <s v="Female"/>
    <x v="6"/>
    <s v="Makeup Set"/>
    <n v="44.46"/>
    <x v="3"/>
    <s v="Card"/>
    <n v="3.5"/>
    <n v="22"/>
    <n v="6"/>
    <n v="34.678800000000003"/>
    <x v="1"/>
    <x v="0"/>
    <s v="Returning"/>
  </r>
  <r>
    <n v="1065"/>
    <n v="49"/>
    <s v="Female"/>
    <x v="8"/>
    <s v="Skirt"/>
    <n v="43.75"/>
    <x v="1"/>
    <s v="Card"/>
    <n v="3.8"/>
    <n v="22"/>
    <n v="6"/>
    <n v="34.125"/>
    <x v="0"/>
    <x v="0"/>
    <s v="Returning"/>
  </r>
  <r>
    <n v="1066"/>
    <n v="20"/>
    <s v="Male"/>
    <x v="2"/>
    <s v="Yoga Mat"/>
    <n v="98.82"/>
    <x v="2"/>
    <s v="Card"/>
    <n v="3.5"/>
    <n v="16"/>
    <n v="3"/>
    <n v="83.008799999999994"/>
    <x v="3"/>
    <x v="0"/>
    <s v="Returning"/>
  </r>
  <r>
    <n v="1067"/>
    <n v="53"/>
    <s v="Male"/>
    <x v="1"/>
    <s v="Jeans"/>
    <n v="176.35"/>
    <x v="0"/>
    <s v="Card"/>
    <n v="4"/>
    <n v="6"/>
    <n v="3"/>
    <n v="165.76899999999998"/>
    <x v="0"/>
    <x v="0"/>
    <s v="Returning"/>
  </r>
  <r>
    <n v="1068"/>
    <n v="20"/>
    <s v="Male"/>
    <x v="5"/>
    <s v="Laptop"/>
    <n v="768.38"/>
    <x v="0"/>
    <s v="Card"/>
    <n v="4.3"/>
    <n v="15"/>
    <n v="5"/>
    <n v="653.12299999999993"/>
    <x v="3"/>
    <x v="0"/>
    <s v="Returning"/>
  </r>
  <r>
    <n v="1069"/>
    <n v="58"/>
    <s v="Male"/>
    <x v="5"/>
    <s v="Laptop"/>
    <n v="2823.73"/>
    <x v="1"/>
    <s v="Card"/>
    <n v="4.5"/>
    <n v="20"/>
    <n v="5"/>
    <n v="2258.9839999999999"/>
    <x v="0"/>
    <x v="0"/>
    <s v="Returning"/>
  </r>
  <r>
    <n v="1070"/>
    <n v="53"/>
    <s v="Male"/>
    <x v="2"/>
    <s v="Yoga Mat"/>
    <n v="33.24"/>
    <x v="0"/>
    <s v="Cash on Delivery"/>
    <n v="4.0999999999999996"/>
    <n v="22"/>
    <n v="6"/>
    <n v="25.927200000000003"/>
    <x v="0"/>
    <x v="0"/>
    <s v="Returning"/>
  </r>
  <r>
    <n v="1071"/>
    <n v="38"/>
    <s v="Female"/>
    <x v="0"/>
    <s v="Wallet"/>
    <n v="150.79"/>
    <x v="0"/>
    <s v="Card"/>
    <n v="2.7"/>
    <n v="10"/>
    <n v="5"/>
    <n v="135.71099999999998"/>
    <x v="1"/>
    <x v="0"/>
    <s v="Returning"/>
  </r>
  <r>
    <n v="1072"/>
    <n v="65"/>
    <s v="Male"/>
    <x v="2"/>
    <s v="Yoga Mat"/>
    <n v="208.78"/>
    <x v="0"/>
    <s v="Card"/>
    <n v="4.3"/>
    <n v="20"/>
    <n v="5"/>
    <n v="167.024"/>
    <x v="2"/>
    <x v="0"/>
    <s v="Returning"/>
  </r>
  <r>
    <n v="1073"/>
    <n v="22"/>
    <s v="Female"/>
    <x v="0"/>
    <s v="Handbag"/>
    <n v="80.5"/>
    <x v="3"/>
    <s v="Card"/>
    <n v="4"/>
    <n v="16"/>
    <n v="3"/>
    <n v="67.62"/>
    <x v="3"/>
    <x v="0"/>
    <s v="Returning"/>
  </r>
  <r>
    <n v="1074"/>
    <n v="60"/>
    <s v="Male"/>
    <x v="2"/>
    <s v="Dumbbells"/>
    <n v="139.63999999999999"/>
    <x v="0"/>
    <s v="Card"/>
    <n v="4"/>
    <n v="26"/>
    <n v="8"/>
    <n v="103.33359999999999"/>
    <x v="0"/>
    <x v="0"/>
    <s v="Returning"/>
  </r>
  <r>
    <n v="1075"/>
    <n v="32"/>
    <s v="Female"/>
    <x v="6"/>
    <s v="Skincare Kit"/>
    <n v="105.08"/>
    <x v="1"/>
    <s v="Card"/>
    <n v="3"/>
    <n v="13"/>
    <n v="4"/>
    <n v="91.419600000000003"/>
    <x v="4"/>
    <x v="0"/>
    <s v="Returning"/>
  </r>
  <r>
    <n v="1076"/>
    <n v="47"/>
    <s v="Male"/>
    <x v="4"/>
    <s v="Cooking Oil"/>
    <n v="73.92"/>
    <x v="1"/>
    <s v="Cash on Delivery"/>
    <n v="3.5"/>
    <n v="9"/>
    <n v="2"/>
    <n v="67.267200000000003"/>
    <x v="0"/>
    <x v="0"/>
    <s v="Returning"/>
  </r>
  <r>
    <n v="1077"/>
    <n v="48"/>
    <s v="Male"/>
    <x v="5"/>
    <s v="Smart Watch"/>
    <n v="2738.51"/>
    <x v="3"/>
    <s v="Card"/>
    <n v="3.5"/>
    <n v="11"/>
    <n v="3"/>
    <n v="2437.2739000000001"/>
    <x v="0"/>
    <x v="0"/>
    <s v="Returning"/>
  </r>
  <r>
    <n v="1078"/>
    <n v="69"/>
    <s v="Male"/>
    <x v="5"/>
    <s v="Smart Watch"/>
    <n v="1627.36"/>
    <x v="1"/>
    <s v="Card"/>
    <n v="3.5"/>
    <n v="18"/>
    <n v="4"/>
    <n v="1334.4352000000001"/>
    <x v="2"/>
    <x v="0"/>
    <s v="Returning"/>
  </r>
  <r>
    <n v="1079"/>
    <n v="64"/>
    <s v="Male"/>
    <x v="4"/>
    <s v="Snacks"/>
    <n v="44.35"/>
    <x v="1"/>
    <s v="Cash on Delivery"/>
    <n v="3.4"/>
    <n v="15"/>
    <n v="5"/>
    <n v="37.697499999999998"/>
    <x v="2"/>
    <x v="0"/>
    <s v="Returning"/>
  </r>
  <r>
    <n v="1080"/>
    <n v="51"/>
    <s v="Male"/>
    <x v="4"/>
    <s v="Beverages"/>
    <n v="67.37"/>
    <x v="2"/>
    <s v="Cash on Delivery"/>
    <n v="3.6"/>
    <n v="22"/>
    <n v="6"/>
    <n v="52.548600000000008"/>
    <x v="0"/>
    <x v="0"/>
    <s v="Returning"/>
  </r>
  <r>
    <n v="1081"/>
    <n v="55"/>
    <s v="Female"/>
    <x v="6"/>
    <s v="Perfume"/>
    <n v="51.63"/>
    <x v="0"/>
    <s v="Card"/>
    <n v="4.5999999999999996"/>
    <n v="18"/>
    <n v="4"/>
    <n v="42.336600000000004"/>
    <x v="0"/>
    <x v="0"/>
    <s v="Returning"/>
  </r>
  <r>
    <n v="1082"/>
    <n v="62"/>
    <s v="Male"/>
    <x v="2"/>
    <s v="Football"/>
    <n v="202.1"/>
    <x v="3"/>
    <s v="Card"/>
    <n v="2.2000000000000002"/>
    <n v="20"/>
    <n v="5"/>
    <n v="161.68"/>
    <x v="2"/>
    <x v="0"/>
    <s v="Returning"/>
  </r>
  <r>
    <n v="1083"/>
    <n v="52"/>
    <s v="Female"/>
    <x v="7"/>
    <s v="Sneakers"/>
    <n v="86.78"/>
    <x v="1"/>
    <s v="Cash on Delivery"/>
    <n v="4"/>
    <n v="20"/>
    <n v="5"/>
    <n v="69.424000000000007"/>
    <x v="0"/>
    <x v="0"/>
    <s v="Returning"/>
  </r>
  <r>
    <n v="1084"/>
    <n v="41"/>
    <s v="Male"/>
    <x v="7"/>
    <s v="Formal Shoes"/>
    <n v="82.05"/>
    <x v="3"/>
    <s v="Card"/>
    <n v="4.0999999999999996"/>
    <n v="20"/>
    <n v="5"/>
    <n v="65.64"/>
    <x v="1"/>
    <x v="0"/>
    <s v="Returning"/>
  </r>
  <r>
    <n v="1085"/>
    <n v="27"/>
    <s v="Female"/>
    <x v="6"/>
    <s v="Perfume"/>
    <n v="24.02"/>
    <x v="2"/>
    <s v="Cash on Delivery"/>
    <n v="4.3"/>
    <n v="14"/>
    <n v="2"/>
    <n v="20.6572"/>
    <x v="4"/>
    <x v="0"/>
    <s v="Returning"/>
  </r>
  <r>
    <n v="1086"/>
    <n v="29"/>
    <s v="Female"/>
    <x v="8"/>
    <s v="Top"/>
    <n v="45.21"/>
    <x v="1"/>
    <s v="Card"/>
    <n v="3.9"/>
    <n v="25"/>
    <n v="10"/>
    <n v="33.907499999999999"/>
    <x v="4"/>
    <x v="0"/>
    <s v="Returning"/>
  </r>
  <r>
    <n v="1087"/>
    <n v="66"/>
    <s v="Male"/>
    <x v="7"/>
    <s v="Sandals"/>
    <n v="239.97"/>
    <x v="1"/>
    <s v="Card"/>
    <n v="4.7"/>
    <n v="17"/>
    <n v="6"/>
    <n v="199.17509999999999"/>
    <x v="2"/>
    <x v="0"/>
    <s v="Returning"/>
  </r>
  <r>
    <n v="1088"/>
    <n v="67"/>
    <s v="Male"/>
    <x v="2"/>
    <s v="Football"/>
    <n v="117.03"/>
    <x v="1"/>
    <s v="Card"/>
    <n v="3.4"/>
    <n v="4"/>
    <n v="2"/>
    <n v="112.3488"/>
    <x v="2"/>
    <x v="0"/>
    <s v="Returning"/>
  </r>
  <r>
    <n v="1089"/>
    <n v="44"/>
    <s v="Female"/>
    <x v="3"/>
    <s v="Kitchen Set"/>
    <n v="121.22"/>
    <x v="2"/>
    <s v="Card"/>
    <n v="4.7"/>
    <n v="6"/>
    <n v="3"/>
    <n v="113.9468"/>
    <x v="1"/>
    <x v="0"/>
    <s v="Returning"/>
  </r>
  <r>
    <n v="1090"/>
    <n v="26"/>
    <s v="Male"/>
    <x v="3"/>
    <s v="Kitchen Set"/>
    <n v="155.63"/>
    <x v="0"/>
    <s v="Card"/>
    <n v="3.2"/>
    <n v="20"/>
    <n v="5"/>
    <n v="124.504"/>
    <x v="4"/>
    <x v="0"/>
    <s v="Returning"/>
  </r>
  <r>
    <n v="1091"/>
    <n v="64"/>
    <s v="Male"/>
    <x v="7"/>
    <s v="Sneakers"/>
    <n v="133.61000000000001"/>
    <x v="3"/>
    <s v="Card"/>
    <n v="4.5999999999999996"/>
    <n v="10"/>
    <n v="5"/>
    <n v="120.24900000000001"/>
    <x v="2"/>
    <x v="0"/>
    <s v="Returning"/>
  </r>
  <r>
    <n v="1092"/>
    <n v="39"/>
    <s v="Male"/>
    <x v="1"/>
    <s v="T-Shirt"/>
    <n v="136.87"/>
    <x v="2"/>
    <s v="Card"/>
    <n v="5"/>
    <n v="17"/>
    <n v="6"/>
    <n v="113.60209999999999"/>
    <x v="1"/>
    <x v="0"/>
    <s v="Returning"/>
  </r>
  <r>
    <n v="1093"/>
    <n v="24"/>
    <s v="Female"/>
    <x v="6"/>
    <s v="Makeup Set"/>
    <n v="61.18"/>
    <x v="1"/>
    <s v="Cash on Delivery"/>
    <n v="3.1"/>
    <n v="12"/>
    <n v="6"/>
    <n v="53.8384"/>
    <x v="3"/>
    <x v="0"/>
    <s v="Returning"/>
  </r>
  <r>
    <n v="1094"/>
    <n v="22"/>
    <s v="Female"/>
    <x v="6"/>
    <s v="Makeup Set"/>
    <n v="52.42"/>
    <x v="3"/>
    <s v="Cash on Delivery"/>
    <n v="4.4000000000000004"/>
    <n v="10"/>
    <n v="5"/>
    <n v="47.178000000000004"/>
    <x v="3"/>
    <x v="0"/>
    <s v="Returning"/>
  </r>
  <r>
    <n v="1095"/>
    <n v="64"/>
    <s v="Female"/>
    <x v="2"/>
    <s v="Football"/>
    <n v="64.47"/>
    <x v="0"/>
    <s v="Card"/>
    <n v="2.8"/>
    <n v="16"/>
    <n v="3"/>
    <n v="54.154799999999994"/>
    <x v="2"/>
    <x v="0"/>
    <s v="Returning"/>
  </r>
  <r>
    <n v="1096"/>
    <n v="41"/>
    <s v="Male"/>
    <x v="1"/>
    <s v="Jeans"/>
    <n v="72.23"/>
    <x v="0"/>
    <s v="Cash on Delivery"/>
    <n v="3.6"/>
    <n v="11"/>
    <n v="3"/>
    <n v="64.284700000000001"/>
    <x v="1"/>
    <x v="0"/>
    <s v="Returning"/>
  </r>
  <r>
    <n v="1097"/>
    <n v="55"/>
    <s v="Male"/>
    <x v="1"/>
    <s v="Jeans"/>
    <n v="121.35"/>
    <x v="3"/>
    <s v="Card"/>
    <n v="3.4"/>
    <n v="10"/>
    <n v="5"/>
    <n v="109.215"/>
    <x v="0"/>
    <x v="0"/>
    <s v="Returning"/>
  </r>
  <r>
    <n v="1098"/>
    <n v="23"/>
    <s v="Female"/>
    <x v="0"/>
    <s v="Sunglasses"/>
    <n v="117.09"/>
    <x v="1"/>
    <s v="Card"/>
    <n v="3.4"/>
    <n v="4"/>
    <n v="2"/>
    <n v="112.4064"/>
    <x v="3"/>
    <x v="0"/>
    <s v="Returning"/>
  </r>
  <r>
    <n v="1099"/>
    <n v="70"/>
    <s v="Male"/>
    <x v="1"/>
    <s v="Jacket"/>
    <n v="190.63"/>
    <x v="3"/>
    <s v="Card"/>
    <n v="3.7"/>
    <n v="2"/>
    <n v="1"/>
    <n v="186.81739999999999"/>
    <x v="2"/>
    <x v="0"/>
    <s v="Returning"/>
  </r>
  <r>
    <n v="1100"/>
    <n v="57"/>
    <s v="Male"/>
    <x v="1"/>
    <s v="Jacket"/>
    <n v="53.94"/>
    <x v="3"/>
    <s v="Cash on Delivery"/>
    <n v="3.7"/>
    <n v="17"/>
    <n v="6"/>
    <n v="44.770199999999996"/>
    <x v="0"/>
    <x v="0"/>
    <s v="Returning"/>
  </r>
  <r>
    <n v="1101"/>
    <n v="26"/>
    <s v="Female"/>
    <x v="0"/>
    <s v="Handbag"/>
    <n v="158.79"/>
    <x v="3"/>
    <s v="Card"/>
    <n v="4.5999999999999996"/>
    <n v="7"/>
    <n v="1"/>
    <n v="147.67469999999997"/>
    <x v="4"/>
    <x v="0"/>
    <s v="Returning"/>
  </r>
  <r>
    <n v="1102"/>
    <n v="62"/>
    <s v="Male"/>
    <x v="2"/>
    <s v="Yoga Mat"/>
    <n v="77.56"/>
    <x v="1"/>
    <s v="Cash on Delivery"/>
    <n v="3.8"/>
    <n v="15"/>
    <n v="5"/>
    <n v="65.926000000000002"/>
    <x v="2"/>
    <x v="0"/>
    <s v="Returning"/>
  </r>
  <r>
    <n v="1103"/>
    <n v="23"/>
    <s v="Male"/>
    <x v="5"/>
    <s v="Laptop"/>
    <n v="559.52"/>
    <x v="0"/>
    <s v="Card"/>
    <n v="4"/>
    <n v="18"/>
    <n v="4"/>
    <n v="458.8064"/>
    <x v="3"/>
    <x v="0"/>
    <s v="Returning"/>
  </r>
  <r>
    <n v="1104"/>
    <n v="44"/>
    <s v="Male"/>
    <x v="5"/>
    <s v="Laptop"/>
    <n v="2966"/>
    <x v="1"/>
    <s v="Card"/>
    <n v="2.9"/>
    <n v="10"/>
    <n v="5"/>
    <n v="2669.4"/>
    <x v="1"/>
    <x v="0"/>
    <s v="Returning"/>
  </r>
  <r>
    <n v="1105"/>
    <n v="57"/>
    <s v="Female"/>
    <x v="4"/>
    <s v="Snacks"/>
    <n v="20.37"/>
    <x v="3"/>
    <s v="Card"/>
    <n v="4"/>
    <n v="30"/>
    <n v="10"/>
    <n v="14.259"/>
    <x v="0"/>
    <x v="0"/>
    <s v="Returning"/>
  </r>
  <r>
    <n v="1106"/>
    <n v="26"/>
    <s v="Female"/>
    <x v="8"/>
    <s v="Skirt"/>
    <n v="175.46"/>
    <x v="0"/>
    <s v="Card"/>
    <n v="3.4"/>
    <n v="24"/>
    <n v="7"/>
    <n v="133.34960000000001"/>
    <x v="4"/>
    <x v="0"/>
    <s v="Returning"/>
  </r>
  <r>
    <n v="1107"/>
    <n v="42"/>
    <s v="Female"/>
    <x v="7"/>
    <s v="Sneakers"/>
    <n v="193.23"/>
    <x v="0"/>
    <s v="Card"/>
    <n v="4.5999999999999996"/>
    <n v="8"/>
    <n v="4"/>
    <n v="177.77160000000001"/>
    <x v="1"/>
    <x v="0"/>
    <s v="Returning"/>
  </r>
  <r>
    <n v="1108"/>
    <n v="26"/>
    <s v="Male"/>
    <x v="2"/>
    <s v="Yoga Mat"/>
    <n v="67.09"/>
    <x v="3"/>
    <s v="Card"/>
    <n v="3.5"/>
    <n v="18"/>
    <n v="9"/>
    <n v="55.01380000000001"/>
    <x v="4"/>
    <x v="0"/>
    <s v="Returning"/>
  </r>
  <r>
    <n v="1109"/>
    <n v="28"/>
    <s v="Female"/>
    <x v="0"/>
    <s v="Wallet"/>
    <n v="57.75"/>
    <x v="1"/>
    <s v="Cash on Delivery"/>
    <n v="5"/>
    <n v="9"/>
    <n v="2"/>
    <n v="52.552500000000002"/>
    <x v="4"/>
    <x v="0"/>
    <s v="Returning"/>
  </r>
  <r>
    <n v="1110"/>
    <n v="46"/>
    <s v="Male"/>
    <x v="1"/>
    <s v="Jeans"/>
    <n v="60.83"/>
    <x v="0"/>
    <s v="Card"/>
    <n v="3.9"/>
    <n v="8"/>
    <n v="4"/>
    <n v="55.9636"/>
    <x v="0"/>
    <x v="0"/>
    <s v="Returning"/>
  </r>
  <r>
    <n v="1111"/>
    <n v="28"/>
    <s v="Male"/>
    <x v="1"/>
    <s v="Jeans"/>
    <n v="153.1"/>
    <x v="3"/>
    <s v="Card"/>
    <n v="4.5"/>
    <n v="8"/>
    <n v="4"/>
    <n v="140.852"/>
    <x v="4"/>
    <x v="0"/>
    <s v="Returning"/>
  </r>
  <r>
    <n v="1112"/>
    <n v="49"/>
    <s v="Female"/>
    <x v="4"/>
    <s v="Beverages"/>
    <n v="29.32"/>
    <x v="1"/>
    <s v="Card"/>
    <n v="5"/>
    <n v="23"/>
    <n v="9"/>
    <n v="22.5764"/>
    <x v="0"/>
    <x v="0"/>
    <s v="Returning"/>
  </r>
  <r>
    <n v="1113"/>
    <n v="67"/>
    <s v="Female"/>
    <x v="0"/>
    <s v="Sunglasses"/>
    <n v="133.57"/>
    <x v="2"/>
    <s v="Card"/>
    <n v="3.9"/>
    <n v="26"/>
    <n v="8"/>
    <n v="98.841799999999992"/>
    <x v="2"/>
    <x v="0"/>
    <s v="Returning"/>
  </r>
  <r>
    <n v="1114"/>
    <n v="69"/>
    <s v="Female"/>
    <x v="0"/>
    <s v="Wallet"/>
    <n v="26.45"/>
    <x v="0"/>
    <s v="Card"/>
    <n v="3.2"/>
    <n v="14"/>
    <n v="7"/>
    <n v="22.747"/>
    <x v="2"/>
    <x v="0"/>
    <s v="Returning"/>
  </r>
  <r>
    <n v="1115"/>
    <n v="56"/>
    <s v="Female"/>
    <x v="4"/>
    <s v="Snacks"/>
    <n v="66.52"/>
    <x v="2"/>
    <s v="Card"/>
    <n v="3.9"/>
    <n v="13"/>
    <n v="4"/>
    <n v="57.872399999999999"/>
    <x v="0"/>
    <x v="0"/>
    <s v="Returning"/>
  </r>
  <r>
    <n v="1116"/>
    <n v="66"/>
    <s v="Female"/>
    <x v="6"/>
    <s v="Perfume"/>
    <n v="125.89"/>
    <x v="0"/>
    <s v="Card"/>
    <n v="4.3"/>
    <n v="16"/>
    <n v="3"/>
    <n v="105.74759999999999"/>
    <x v="2"/>
    <x v="0"/>
    <s v="Returning"/>
  </r>
  <r>
    <n v="1117"/>
    <n v="26"/>
    <s v="Female"/>
    <x v="0"/>
    <s v="Handbag"/>
    <n v="177.36"/>
    <x v="0"/>
    <s v="Card"/>
    <n v="4.8"/>
    <n v="20"/>
    <n v="5"/>
    <n v="141.88800000000001"/>
    <x v="4"/>
    <x v="0"/>
    <s v="Returning"/>
  </r>
  <r>
    <n v="1118"/>
    <n v="31"/>
    <s v="Male"/>
    <x v="7"/>
    <s v="Sneakers"/>
    <n v="168.74"/>
    <x v="3"/>
    <s v="Card"/>
    <n v="4.0999999999999996"/>
    <n v="16"/>
    <n v="8"/>
    <n v="141.74160000000001"/>
    <x v="4"/>
    <x v="0"/>
    <s v="Returning"/>
  </r>
  <r>
    <n v="1119"/>
    <n v="63"/>
    <s v="Female"/>
    <x v="8"/>
    <s v="Jeans"/>
    <n v="61.35"/>
    <x v="3"/>
    <s v="Cash on Delivery"/>
    <n v="3.6"/>
    <n v="20"/>
    <n v="5"/>
    <n v="49.080000000000005"/>
    <x v="2"/>
    <x v="0"/>
    <s v="Returning"/>
  </r>
  <r>
    <n v="1120"/>
    <n v="44"/>
    <s v="Female"/>
    <x v="6"/>
    <s v="Perfume"/>
    <n v="128.72999999999999"/>
    <x v="2"/>
    <s v="Card"/>
    <n v="4.9000000000000004"/>
    <n v="12"/>
    <n v="6"/>
    <n v="113.2824"/>
    <x v="1"/>
    <x v="0"/>
    <s v="Returning"/>
  </r>
  <r>
    <n v="1121"/>
    <n v="20"/>
    <s v="Female"/>
    <x v="2"/>
    <s v="Dumbbells"/>
    <n v="144.69999999999999"/>
    <x v="3"/>
    <s v="Card"/>
    <n v="4.2"/>
    <n v="16"/>
    <n v="3"/>
    <n v="121.54799999999999"/>
    <x v="3"/>
    <x v="0"/>
    <s v="Returning"/>
  </r>
  <r>
    <n v="1122"/>
    <n v="41"/>
    <s v="Female"/>
    <x v="0"/>
    <s v="Wallet"/>
    <n v="107.04"/>
    <x v="0"/>
    <s v="Card"/>
    <n v="3.5"/>
    <n v="8"/>
    <n v="4"/>
    <n v="98.476800000000011"/>
    <x v="1"/>
    <x v="0"/>
    <s v="Returning"/>
  </r>
  <r>
    <n v="1123"/>
    <n v="36"/>
    <s v="Female"/>
    <x v="0"/>
    <s v="Sunglasses"/>
    <n v="31.74"/>
    <x v="1"/>
    <s v="Cash on Delivery"/>
    <n v="3.9"/>
    <n v="6"/>
    <n v="3"/>
    <n v="29.835599999999996"/>
    <x v="1"/>
    <x v="0"/>
    <s v="Returning"/>
  </r>
  <r>
    <n v="1124"/>
    <n v="38"/>
    <s v="Male"/>
    <x v="5"/>
    <s v="Laptop"/>
    <n v="2415.1999999999998"/>
    <x v="3"/>
    <s v="Card"/>
    <n v="4.3"/>
    <n v="20"/>
    <n v="5"/>
    <n v="1932.1599999999999"/>
    <x v="1"/>
    <x v="0"/>
    <s v="Returning"/>
  </r>
  <r>
    <n v="1125"/>
    <n v="44"/>
    <s v="Male"/>
    <x v="1"/>
    <s v="Jacket"/>
    <n v="91.47"/>
    <x v="2"/>
    <s v="Cash on Delivery"/>
    <n v="3.5"/>
    <n v="17"/>
    <n v="6"/>
    <n v="75.920099999999991"/>
    <x v="1"/>
    <x v="0"/>
    <s v="Returning"/>
  </r>
  <r>
    <n v="1126"/>
    <n v="40"/>
    <s v="Female"/>
    <x v="7"/>
    <s v="Sandals"/>
    <n v="118.69"/>
    <x v="0"/>
    <s v="Card"/>
    <n v="3.5"/>
    <n v="14"/>
    <n v="7"/>
    <n v="102.07339999999999"/>
    <x v="1"/>
    <x v="0"/>
    <s v="Returning"/>
  </r>
  <r>
    <n v="1127"/>
    <n v="33"/>
    <s v="Male"/>
    <x v="7"/>
    <s v="Sneakers"/>
    <n v="163.49"/>
    <x v="2"/>
    <s v="Card"/>
    <n v="2.7"/>
    <n v="22"/>
    <n v="6"/>
    <n v="127.52220000000001"/>
    <x v="4"/>
    <x v="0"/>
    <s v="Returning"/>
  </r>
  <r>
    <n v="1128"/>
    <n v="55"/>
    <s v="Female"/>
    <x v="7"/>
    <s v="Sandals"/>
    <n v="104.63"/>
    <x v="1"/>
    <s v="Card"/>
    <n v="3.2"/>
    <n v="20"/>
    <n v="5"/>
    <n v="83.704000000000008"/>
    <x v="0"/>
    <x v="0"/>
    <s v="Returning"/>
  </r>
  <r>
    <n v="1129"/>
    <n v="43"/>
    <s v="Male"/>
    <x v="2"/>
    <s v="Yoga Mat"/>
    <n v="195.7"/>
    <x v="0"/>
    <s v="Card"/>
    <n v="2.8"/>
    <n v="10"/>
    <n v="5"/>
    <n v="176.13"/>
    <x v="1"/>
    <x v="0"/>
    <s v="Returning"/>
  </r>
  <r>
    <n v="1130"/>
    <n v="67"/>
    <s v="Female"/>
    <x v="0"/>
    <s v="Wallet"/>
    <n v="42.94"/>
    <x v="1"/>
    <s v="Card"/>
    <n v="3.4"/>
    <n v="9"/>
    <n v="2"/>
    <n v="39.075400000000002"/>
    <x v="2"/>
    <x v="0"/>
    <s v="Returning"/>
  </r>
  <r>
    <n v="1131"/>
    <n v="33"/>
    <s v="Male"/>
    <x v="5"/>
    <s v="Mobile Phone"/>
    <n v="2697.97"/>
    <x v="3"/>
    <s v="Card"/>
    <n v="3.8"/>
    <n v="6"/>
    <n v="3"/>
    <n v="2536.0917999999997"/>
    <x v="4"/>
    <x v="0"/>
    <s v="Returning"/>
  </r>
  <r>
    <n v="1132"/>
    <n v="34"/>
    <s v="Female"/>
    <x v="0"/>
    <s v="Handbag"/>
    <n v="86.46"/>
    <x v="2"/>
    <s v="Cash on Delivery"/>
    <n v="4.5"/>
    <n v="4"/>
    <n v="2"/>
    <n v="83.001599999999996"/>
    <x v="4"/>
    <x v="0"/>
    <s v="Returning"/>
  </r>
  <r>
    <n v="1133"/>
    <n v="50"/>
    <s v="Male"/>
    <x v="2"/>
    <s v="Dumbbells"/>
    <n v="166.99"/>
    <x v="2"/>
    <s v="Card"/>
    <n v="4.5"/>
    <n v="23"/>
    <n v="9"/>
    <n v="128.5823"/>
    <x v="0"/>
    <x v="0"/>
    <s v="Returning"/>
  </r>
  <r>
    <n v="1134"/>
    <n v="50"/>
    <s v="Male"/>
    <x v="5"/>
    <s v="Mobile Phone"/>
    <n v="1790.31"/>
    <x v="3"/>
    <s v="Card"/>
    <n v="2.7"/>
    <n v="18"/>
    <n v="4"/>
    <n v="1468.0542"/>
    <x v="0"/>
    <x v="0"/>
    <s v="Returning"/>
  </r>
  <r>
    <n v="1135"/>
    <n v="43"/>
    <s v="Male"/>
    <x v="2"/>
    <s v="Football"/>
    <n v="86.47"/>
    <x v="2"/>
    <s v="Card"/>
    <n v="3"/>
    <n v="25"/>
    <n v="10"/>
    <n v="64.852499999999992"/>
    <x v="1"/>
    <x v="0"/>
    <s v="Returning"/>
  </r>
  <r>
    <n v="1136"/>
    <n v="41"/>
    <s v="Female"/>
    <x v="7"/>
    <s v="Sneakers"/>
    <n v="215.58"/>
    <x v="0"/>
    <s v="Card"/>
    <n v="4.0999999999999996"/>
    <n v="21"/>
    <n v="8"/>
    <n v="170.30820000000003"/>
    <x v="1"/>
    <x v="0"/>
    <s v="Returning"/>
  </r>
  <r>
    <n v="1137"/>
    <n v="52"/>
    <s v="Female"/>
    <x v="0"/>
    <s v="Sunglasses"/>
    <n v="51.85"/>
    <x v="3"/>
    <s v="Card"/>
    <n v="3.5"/>
    <n v="20"/>
    <n v="5"/>
    <n v="41.480000000000004"/>
    <x v="0"/>
    <x v="0"/>
    <s v="Returning"/>
  </r>
  <r>
    <n v="1138"/>
    <n v="45"/>
    <s v="Male"/>
    <x v="4"/>
    <s v="Snacks"/>
    <n v="13.27"/>
    <x v="3"/>
    <s v="Cash on Delivery"/>
    <n v="5"/>
    <n v="24"/>
    <n v="7"/>
    <n v="10.0852"/>
    <x v="1"/>
    <x v="0"/>
    <s v="Returning"/>
  </r>
  <r>
    <n v="1139"/>
    <n v="66"/>
    <s v="Male"/>
    <x v="5"/>
    <s v="Smart Watch"/>
    <n v="1457.42"/>
    <x v="2"/>
    <s v="Card"/>
    <n v="2.7"/>
    <n v="11"/>
    <n v="3"/>
    <n v="1297.1038000000001"/>
    <x v="2"/>
    <x v="0"/>
    <s v="Returning"/>
  </r>
  <r>
    <n v="1140"/>
    <n v="20"/>
    <s v="Male"/>
    <x v="5"/>
    <s v="Headphones"/>
    <n v="1172.26"/>
    <x v="0"/>
    <s v="Card"/>
    <n v="2.9"/>
    <n v="14"/>
    <n v="2"/>
    <n v="1008.1436"/>
    <x v="3"/>
    <x v="0"/>
    <s v="Returning"/>
  </r>
  <r>
    <n v="1141"/>
    <n v="48"/>
    <s v="Female"/>
    <x v="8"/>
    <s v="Dress"/>
    <n v="188.55"/>
    <x v="0"/>
    <s v="Card"/>
    <n v="4.7"/>
    <n v="13"/>
    <n v="4"/>
    <n v="164.0385"/>
    <x v="0"/>
    <x v="0"/>
    <s v="Returning"/>
  </r>
  <r>
    <n v="1142"/>
    <n v="48"/>
    <s v="Female"/>
    <x v="8"/>
    <s v="Skirt"/>
    <n v="188.22"/>
    <x v="2"/>
    <s v="Card"/>
    <n v="2.7"/>
    <n v="15"/>
    <n v="5"/>
    <n v="159.98699999999999"/>
    <x v="0"/>
    <x v="0"/>
    <s v="Returning"/>
  </r>
  <r>
    <n v="1143"/>
    <n v="27"/>
    <s v="Female"/>
    <x v="8"/>
    <s v="Top"/>
    <n v="90.74"/>
    <x v="2"/>
    <s v="Cash on Delivery"/>
    <n v="2.8"/>
    <n v="22"/>
    <n v="6"/>
    <n v="70.777199999999993"/>
    <x v="4"/>
    <x v="0"/>
    <s v="Returning"/>
  </r>
  <r>
    <n v="1144"/>
    <n v="59"/>
    <s v="Female"/>
    <x v="7"/>
    <s v="Formal Shoes"/>
    <n v="69.569999999999993"/>
    <x v="1"/>
    <s v="Cash on Delivery"/>
    <n v="5"/>
    <n v="20"/>
    <n v="5"/>
    <n v="55.655999999999999"/>
    <x v="0"/>
    <x v="0"/>
    <s v="Returning"/>
  </r>
  <r>
    <n v="1145"/>
    <n v="56"/>
    <s v="Male"/>
    <x v="5"/>
    <s v="Mobile Phone"/>
    <n v="2953.85"/>
    <x v="2"/>
    <s v="Card"/>
    <n v="4.2"/>
    <n v="18"/>
    <n v="4"/>
    <n v="2422.1570000000002"/>
    <x v="0"/>
    <x v="0"/>
    <s v="Returning"/>
  </r>
  <r>
    <n v="1146"/>
    <n v="23"/>
    <s v="Male"/>
    <x v="7"/>
    <s v="Sneakers"/>
    <n v="224.71"/>
    <x v="2"/>
    <s v="Card"/>
    <n v="4.5999999999999996"/>
    <n v="22"/>
    <n v="6"/>
    <n v="175.27380000000002"/>
    <x v="3"/>
    <x v="0"/>
    <s v="Returning"/>
  </r>
  <r>
    <n v="1147"/>
    <n v="32"/>
    <s v="Female"/>
    <x v="0"/>
    <s v="Wallet"/>
    <n v="53.71"/>
    <x v="0"/>
    <s v="Cash on Delivery"/>
    <n v="3.2"/>
    <n v="21"/>
    <n v="8"/>
    <n v="42.430900000000001"/>
    <x v="4"/>
    <x v="0"/>
    <s v="Returning"/>
  </r>
  <r>
    <n v="1148"/>
    <n v="43"/>
    <s v="Female"/>
    <x v="2"/>
    <s v="Dumbbells"/>
    <n v="38.869999999999997"/>
    <x v="2"/>
    <s v="Cash on Delivery"/>
    <n v="4"/>
    <n v="16"/>
    <n v="8"/>
    <n v="32.650799999999997"/>
    <x v="1"/>
    <x v="0"/>
    <s v="Returning"/>
  </r>
  <r>
    <n v="1149"/>
    <n v="55"/>
    <s v="Female"/>
    <x v="3"/>
    <s v="Curtains"/>
    <n v="200.15"/>
    <x v="3"/>
    <s v="Card"/>
    <n v="4.7"/>
    <n v="26"/>
    <n v="8"/>
    <n v="148.11099999999999"/>
    <x v="0"/>
    <x v="0"/>
    <s v="Returning"/>
  </r>
  <r>
    <n v="1150"/>
    <n v="36"/>
    <s v="Female"/>
    <x v="7"/>
    <s v="Sneakers"/>
    <n v="207.62"/>
    <x v="3"/>
    <s v="Card"/>
    <n v="4"/>
    <n v="21"/>
    <n v="8"/>
    <n v="164.0198"/>
    <x v="1"/>
    <x v="0"/>
    <s v="Returning"/>
  </r>
  <r>
    <n v="1151"/>
    <n v="24"/>
    <s v="Male"/>
    <x v="7"/>
    <s v="Sneakers"/>
    <n v="221.11"/>
    <x v="3"/>
    <s v="Card"/>
    <n v="3.1"/>
    <n v="11"/>
    <n v="3"/>
    <n v="196.78790000000001"/>
    <x v="3"/>
    <x v="0"/>
    <s v="Returning"/>
  </r>
  <r>
    <n v="1152"/>
    <n v="42"/>
    <s v="Female"/>
    <x v="8"/>
    <s v="Dress"/>
    <n v="49.43"/>
    <x v="2"/>
    <s v="Cash on Delivery"/>
    <n v="4.9000000000000004"/>
    <n v="8"/>
    <n v="4"/>
    <n v="45.4756"/>
    <x v="1"/>
    <x v="0"/>
    <s v="Returning"/>
  </r>
  <r>
    <n v="1153"/>
    <n v="44"/>
    <s v="Male"/>
    <x v="5"/>
    <s v="Headphones"/>
    <n v="1549.6"/>
    <x v="2"/>
    <s v="Card"/>
    <n v="3.1"/>
    <n v="14"/>
    <n v="7"/>
    <n v="1332.6559999999999"/>
    <x v="1"/>
    <x v="0"/>
    <s v="Returning"/>
  </r>
  <r>
    <n v="1154"/>
    <n v="48"/>
    <s v="Female"/>
    <x v="7"/>
    <s v="Sneakers"/>
    <n v="113.07"/>
    <x v="0"/>
    <s v="Card"/>
    <n v="2.5"/>
    <n v="9"/>
    <n v="2"/>
    <n v="102.8937"/>
    <x v="0"/>
    <x v="0"/>
    <s v="Returning"/>
  </r>
  <r>
    <n v="1155"/>
    <n v="52"/>
    <s v="Female"/>
    <x v="6"/>
    <s v="Makeup Set"/>
    <n v="53.48"/>
    <x v="3"/>
    <s v="Cash on Delivery"/>
    <n v="5"/>
    <n v="12"/>
    <n v="6"/>
    <n v="47.062399999999997"/>
    <x v="0"/>
    <x v="0"/>
    <s v="Returning"/>
  </r>
  <r>
    <n v="1156"/>
    <n v="56"/>
    <s v="Male"/>
    <x v="1"/>
    <s v="T-Shirt"/>
    <n v="75.17"/>
    <x v="1"/>
    <s v="Cash on Delivery"/>
    <n v="3.7"/>
    <n v="8"/>
    <n v="4"/>
    <n v="69.156400000000005"/>
    <x v="0"/>
    <x v="0"/>
    <s v="Returning"/>
  </r>
  <r>
    <n v="1157"/>
    <n v="33"/>
    <s v="Female"/>
    <x v="0"/>
    <s v="Wallet"/>
    <n v="166.03"/>
    <x v="1"/>
    <s v="Card"/>
    <n v="3.8"/>
    <n v="16"/>
    <n v="8"/>
    <n v="139.46519999999998"/>
    <x v="4"/>
    <x v="0"/>
    <s v="Returning"/>
  </r>
  <r>
    <n v="1158"/>
    <n v="58"/>
    <s v="Male"/>
    <x v="1"/>
    <s v="Shirt"/>
    <n v="103.75"/>
    <x v="0"/>
    <s v="Card"/>
    <n v="3.4"/>
    <n v="17"/>
    <n v="6"/>
    <n v="86.112499999999997"/>
    <x v="0"/>
    <x v="0"/>
    <s v="Returning"/>
  </r>
  <r>
    <n v="1159"/>
    <n v="31"/>
    <s v="Female"/>
    <x v="0"/>
    <s v="Handbag"/>
    <n v="45.34"/>
    <x v="3"/>
    <s v="Cash on Delivery"/>
    <n v="3.2"/>
    <n v="20"/>
    <n v="10"/>
    <n v="36.272000000000006"/>
    <x v="4"/>
    <x v="0"/>
    <s v="Returning"/>
  </r>
  <r>
    <n v="1160"/>
    <n v="41"/>
    <s v="Male"/>
    <x v="1"/>
    <s v="Jacket"/>
    <n v="122.83"/>
    <x v="2"/>
    <s v="Card"/>
    <n v="3.7"/>
    <n v="22"/>
    <n v="6"/>
    <n v="95.807400000000001"/>
    <x v="1"/>
    <x v="0"/>
    <s v="Returning"/>
  </r>
  <r>
    <n v="1161"/>
    <n v="65"/>
    <s v="Male"/>
    <x v="7"/>
    <s v="Formal Shoes"/>
    <n v="77.34"/>
    <x v="3"/>
    <s v="Cash on Delivery"/>
    <n v="4.8"/>
    <n v="6"/>
    <n v="3"/>
    <n v="72.699600000000004"/>
    <x v="2"/>
    <x v="0"/>
    <s v="Returning"/>
  </r>
  <r>
    <n v="1162"/>
    <n v="46"/>
    <s v="Male"/>
    <x v="5"/>
    <s v="Laptop"/>
    <n v="2424.09"/>
    <x v="2"/>
    <s v="Card"/>
    <n v="3.6"/>
    <n v="18"/>
    <n v="4"/>
    <n v="1987.7538000000002"/>
    <x v="0"/>
    <x v="0"/>
    <s v="Returning"/>
  </r>
  <r>
    <n v="1163"/>
    <n v="30"/>
    <s v="Male"/>
    <x v="4"/>
    <s v="Cooking Oil"/>
    <n v="25.43"/>
    <x v="1"/>
    <s v="Cash on Delivery"/>
    <n v="4.3"/>
    <n v="6"/>
    <n v="3"/>
    <n v="23.904199999999999"/>
    <x v="4"/>
    <x v="0"/>
    <s v="Returning"/>
  </r>
  <r>
    <n v="1164"/>
    <n v="62"/>
    <s v="Male"/>
    <x v="5"/>
    <s v="Headphones"/>
    <n v="603.16999999999996"/>
    <x v="1"/>
    <s v="Card"/>
    <n v="2.9"/>
    <n v="16"/>
    <n v="8"/>
    <n v="506.66279999999995"/>
    <x v="2"/>
    <x v="0"/>
    <s v="Returning"/>
  </r>
  <r>
    <n v="1165"/>
    <n v="22"/>
    <s v="Female"/>
    <x v="6"/>
    <s v="Perfume"/>
    <n v="80.91"/>
    <x v="0"/>
    <s v="Card"/>
    <n v="5"/>
    <n v="20"/>
    <n v="5"/>
    <n v="64.727999999999994"/>
    <x v="3"/>
    <x v="0"/>
    <s v="Returning"/>
  </r>
  <r>
    <n v="1166"/>
    <n v="22"/>
    <s v="Male"/>
    <x v="5"/>
    <s v="Mobile Phone"/>
    <n v="542.16"/>
    <x v="0"/>
    <s v="Card"/>
    <n v="3.5"/>
    <n v="9"/>
    <n v="2"/>
    <n v="493.36559999999997"/>
    <x v="3"/>
    <x v="0"/>
    <s v="Returning"/>
  </r>
  <r>
    <n v="1167"/>
    <n v="51"/>
    <s v="Male"/>
    <x v="5"/>
    <s v="Laptop"/>
    <n v="1413.04"/>
    <x v="0"/>
    <s v="Card"/>
    <n v="3.3"/>
    <n v="13"/>
    <n v="4"/>
    <n v="1229.3447999999999"/>
    <x v="0"/>
    <x v="0"/>
    <s v="Returning"/>
  </r>
  <r>
    <n v="1168"/>
    <n v="37"/>
    <s v="Female"/>
    <x v="4"/>
    <s v="Snacks"/>
    <n v="47.92"/>
    <x v="3"/>
    <s v="Cash on Delivery"/>
    <n v="3.9"/>
    <n v="20"/>
    <n v="5"/>
    <n v="38.336000000000006"/>
    <x v="1"/>
    <x v="0"/>
    <s v="Returning"/>
  </r>
  <r>
    <n v="1169"/>
    <n v="59"/>
    <s v="Female"/>
    <x v="0"/>
    <s v="Wallet"/>
    <n v="93.12"/>
    <x v="3"/>
    <s v="Cash on Delivery"/>
    <n v="4.2"/>
    <n v="22"/>
    <n v="6"/>
    <n v="72.633600000000001"/>
    <x v="0"/>
    <x v="0"/>
    <s v="Returning"/>
  </r>
  <r>
    <n v="1170"/>
    <n v="48"/>
    <s v="Female"/>
    <x v="2"/>
    <s v="Football"/>
    <n v="58.09"/>
    <x v="0"/>
    <s v="Card"/>
    <n v="3.4"/>
    <n v="11"/>
    <n v="3"/>
    <n v="51.700100000000006"/>
    <x v="0"/>
    <x v="0"/>
    <s v="Returning"/>
  </r>
  <r>
    <n v="1171"/>
    <n v="48"/>
    <s v="Male"/>
    <x v="5"/>
    <s v="Laptop"/>
    <n v="1992.41"/>
    <x v="3"/>
    <s v="Card"/>
    <n v="4.4000000000000004"/>
    <n v="16"/>
    <n v="3"/>
    <n v="1673.6243999999999"/>
    <x v="0"/>
    <x v="0"/>
    <s v="Returning"/>
  </r>
  <r>
    <n v="1172"/>
    <n v="58"/>
    <s v="Male"/>
    <x v="2"/>
    <s v="Dumbbells"/>
    <n v="137.08000000000001"/>
    <x v="2"/>
    <s v="Card"/>
    <n v="3.1"/>
    <n v="28"/>
    <n v="9"/>
    <n v="98.697600000000008"/>
    <x v="0"/>
    <x v="0"/>
    <s v="Returning"/>
  </r>
  <r>
    <n v="1173"/>
    <n v="33"/>
    <s v="Male"/>
    <x v="4"/>
    <s v="Rice Pack"/>
    <n v="7.64"/>
    <x v="1"/>
    <s v="Card"/>
    <n v="3.6"/>
    <n v="4"/>
    <n v="2"/>
    <n v="7.3343999999999996"/>
    <x v="4"/>
    <x v="0"/>
    <s v="Returning"/>
  </r>
  <r>
    <n v="1174"/>
    <n v="20"/>
    <s v="Male"/>
    <x v="5"/>
    <s v="Laptop"/>
    <n v="1333.64"/>
    <x v="3"/>
    <s v="Card"/>
    <n v="2.7"/>
    <n v="10"/>
    <n v="5"/>
    <n v="1200.2760000000001"/>
    <x v="3"/>
    <x v="0"/>
    <s v="Returning"/>
  </r>
  <r>
    <n v="1175"/>
    <n v="23"/>
    <s v="Male"/>
    <x v="1"/>
    <s v="Jacket"/>
    <n v="58.77"/>
    <x v="2"/>
    <s v="Cash on Delivery"/>
    <n v="3.1"/>
    <n v="10"/>
    <n v="5"/>
    <n v="52.893000000000001"/>
    <x v="3"/>
    <x v="0"/>
    <s v="Returning"/>
  </r>
  <r>
    <n v="1176"/>
    <n v="64"/>
    <s v="Female"/>
    <x v="7"/>
    <s v="Formal Shoes"/>
    <n v="42.22"/>
    <x v="1"/>
    <s v="Card"/>
    <n v="3.9"/>
    <n v="17"/>
    <n v="6"/>
    <n v="35.0426"/>
    <x v="2"/>
    <x v="0"/>
    <s v="Returning"/>
  </r>
  <r>
    <n v="1177"/>
    <n v="66"/>
    <s v="Male"/>
    <x v="7"/>
    <s v="Formal Shoes"/>
    <n v="158.22"/>
    <x v="3"/>
    <s v="Card"/>
    <n v="2.8"/>
    <n v="11"/>
    <n v="3"/>
    <n v="140.8158"/>
    <x v="2"/>
    <x v="0"/>
    <s v="Returning"/>
  </r>
  <r>
    <n v="1178"/>
    <n v="55"/>
    <s v="Male"/>
    <x v="7"/>
    <s v="Sneakers"/>
    <n v="77.33"/>
    <x v="0"/>
    <s v="Cash on Delivery"/>
    <n v="3.6"/>
    <n v="15"/>
    <n v="5"/>
    <n v="65.730499999999992"/>
    <x v="0"/>
    <x v="0"/>
    <s v="Returning"/>
  </r>
  <r>
    <n v="1179"/>
    <n v="29"/>
    <s v="Male"/>
    <x v="3"/>
    <s v="Curtains"/>
    <n v="255.41"/>
    <x v="3"/>
    <s v="Card"/>
    <n v="4.5999999999999996"/>
    <n v="24"/>
    <n v="7"/>
    <n v="194.11160000000001"/>
    <x v="4"/>
    <x v="0"/>
    <s v="Returning"/>
  </r>
  <r>
    <n v="1180"/>
    <n v="39"/>
    <s v="Male"/>
    <x v="2"/>
    <s v="Yoga Mat"/>
    <n v="241.39"/>
    <x v="1"/>
    <s v="Card"/>
    <n v="2.1"/>
    <n v="18"/>
    <n v="9"/>
    <n v="197.93979999999999"/>
    <x v="1"/>
    <x v="0"/>
    <s v="Returning"/>
  </r>
  <r>
    <n v="1181"/>
    <n v="67"/>
    <s v="Male"/>
    <x v="2"/>
    <s v="Dumbbells"/>
    <n v="141.33000000000001"/>
    <x v="2"/>
    <s v="Card"/>
    <n v="5"/>
    <n v="24"/>
    <n v="7"/>
    <n v="107.41080000000001"/>
    <x v="2"/>
    <x v="0"/>
    <s v="Returning"/>
  </r>
  <r>
    <n v="1182"/>
    <n v="29"/>
    <s v="Female"/>
    <x v="7"/>
    <s v="Sneakers"/>
    <n v="78.349999999999994"/>
    <x v="3"/>
    <s v="Cash on Delivery"/>
    <n v="3.8"/>
    <n v="16"/>
    <n v="3"/>
    <n v="65.813999999999993"/>
    <x v="4"/>
    <x v="0"/>
    <s v="Returning"/>
  </r>
  <r>
    <n v="1183"/>
    <n v="30"/>
    <s v="Female"/>
    <x v="7"/>
    <s v="Formal Shoes"/>
    <n v="170.77"/>
    <x v="2"/>
    <s v="Card"/>
    <n v="4.9000000000000004"/>
    <n v="11"/>
    <n v="3"/>
    <n v="151.98530000000002"/>
    <x v="4"/>
    <x v="0"/>
    <s v="Returning"/>
  </r>
  <r>
    <n v="1184"/>
    <n v="20"/>
    <s v="Male"/>
    <x v="7"/>
    <s v="Sneakers"/>
    <n v="249.56"/>
    <x v="3"/>
    <s v="Card"/>
    <n v="2.4"/>
    <n v="26"/>
    <n v="8"/>
    <n v="184.67439999999999"/>
    <x v="3"/>
    <x v="0"/>
    <s v="Returning"/>
  </r>
  <r>
    <n v="1185"/>
    <n v="44"/>
    <s v="Female"/>
    <x v="6"/>
    <s v="Skincare Kit"/>
    <n v="69.64"/>
    <x v="3"/>
    <s v="Cash on Delivery"/>
    <n v="2.7"/>
    <n v="10"/>
    <n v="5"/>
    <n v="62.676000000000002"/>
    <x v="1"/>
    <x v="0"/>
    <s v="Returning"/>
  </r>
  <r>
    <n v="1186"/>
    <n v="61"/>
    <s v="Male"/>
    <x v="2"/>
    <s v="Dumbbells"/>
    <n v="31.66"/>
    <x v="2"/>
    <s v="Cash on Delivery"/>
    <n v="4"/>
    <n v="20"/>
    <n v="5"/>
    <n v="25.328000000000003"/>
    <x v="2"/>
    <x v="0"/>
    <s v="Returning"/>
  </r>
  <r>
    <n v="1187"/>
    <n v="25"/>
    <s v="Female"/>
    <x v="6"/>
    <s v="Skincare Kit"/>
    <n v="56.01"/>
    <x v="1"/>
    <s v="Cash on Delivery"/>
    <n v="3.1"/>
    <n v="10"/>
    <n v="5"/>
    <n v="50.408999999999999"/>
    <x v="3"/>
    <x v="0"/>
    <s v="Returning"/>
  </r>
  <r>
    <n v="1188"/>
    <n v="57"/>
    <s v="Male"/>
    <x v="7"/>
    <s v="Formal Shoes"/>
    <n v="191.16"/>
    <x v="1"/>
    <s v="Card"/>
    <n v="3.8"/>
    <n v="15"/>
    <n v="5"/>
    <n v="162.48599999999999"/>
    <x v="0"/>
    <x v="0"/>
    <s v="Returning"/>
  </r>
  <r>
    <n v="1189"/>
    <n v="32"/>
    <s v="Female"/>
    <x v="7"/>
    <s v="Formal Shoes"/>
    <n v="200.69"/>
    <x v="3"/>
    <s v="Card"/>
    <n v="3.9"/>
    <n v="10"/>
    <n v="5"/>
    <n v="180.62100000000001"/>
    <x v="4"/>
    <x v="0"/>
    <s v="Returning"/>
  </r>
  <r>
    <n v="1190"/>
    <n v="33"/>
    <s v="Male"/>
    <x v="1"/>
    <s v="Shirt"/>
    <n v="30.68"/>
    <x v="1"/>
    <s v="Card"/>
    <n v="3.7"/>
    <n v="10"/>
    <n v="5"/>
    <n v="27.612000000000002"/>
    <x v="4"/>
    <x v="0"/>
    <s v="Returning"/>
  </r>
  <r>
    <n v="1191"/>
    <n v="38"/>
    <s v="Male"/>
    <x v="2"/>
    <s v="Dumbbells"/>
    <n v="225"/>
    <x v="3"/>
    <s v="Card"/>
    <n v="3.7"/>
    <n v="2"/>
    <n v="1"/>
    <n v="220.5"/>
    <x v="1"/>
    <x v="0"/>
    <s v="Returning"/>
  </r>
  <r>
    <n v="1192"/>
    <n v="31"/>
    <s v="Female"/>
    <x v="6"/>
    <s v="Skincare Kit"/>
    <n v="39.450000000000003"/>
    <x v="3"/>
    <s v="Cash on Delivery"/>
    <n v="4.2"/>
    <n v="18"/>
    <n v="9"/>
    <n v="32.349000000000004"/>
    <x v="4"/>
    <x v="0"/>
    <s v="Returning"/>
  </r>
  <r>
    <n v="1193"/>
    <n v="65"/>
    <s v="Female"/>
    <x v="7"/>
    <s v="Sneakers"/>
    <n v="131.71"/>
    <x v="0"/>
    <s v="Card"/>
    <n v="3.5"/>
    <n v="13"/>
    <n v="4"/>
    <n v="114.58770000000001"/>
    <x v="2"/>
    <x v="0"/>
    <s v="Returning"/>
  </r>
  <r>
    <n v="1194"/>
    <n v="43"/>
    <s v="Male"/>
    <x v="7"/>
    <s v="Formal Shoes"/>
    <n v="141.38999999999999"/>
    <x v="0"/>
    <s v="Card"/>
    <n v="4.3"/>
    <n v="17"/>
    <n v="6"/>
    <n v="117.35369999999999"/>
    <x v="1"/>
    <x v="0"/>
    <s v="Returning"/>
  </r>
  <r>
    <n v="1195"/>
    <n v="33"/>
    <s v="Male"/>
    <x v="3"/>
    <s v="Kitchen Set"/>
    <n v="48.08"/>
    <x v="3"/>
    <s v="Card"/>
    <n v="3.8"/>
    <n v="30"/>
    <n v="10"/>
    <n v="33.655999999999999"/>
    <x v="4"/>
    <x v="0"/>
    <s v="Returning"/>
  </r>
  <r>
    <n v="1196"/>
    <n v="29"/>
    <s v="Female"/>
    <x v="7"/>
    <s v="Formal Shoes"/>
    <n v="143.49"/>
    <x v="1"/>
    <s v="Card"/>
    <n v="2.4"/>
    <n v="18"/>
    <n v="4"/>
    <n v="117.66180000000001"/>
    <x v="4"/>
    <x v="0"/>
    <s v="Returning"/>
  </r>
  <r>
    <n v="1197"/>
    <n v="23"/>
    <s v="Female"/>
    <x v="4"/>
    <s v="Beverages"/>
    <n v="32.67"/>
    <x v="1"/>
    <s v="Cash on Delivery"/>
    <n v="4"/>
    <n v="19"/>
    <n v="7"/>
    <n v="26.462700000000002"/>
    <x v="3"/>
    <x v="0"/>
    <s v="Returning"/>
  </r>
  <r>
    <n v="1198"/>
    <n v="68"/>
    <s v="Female"/>
    <x v="8"/>
    <s v="Jeans"/>
    <n v="95.87"/>
    <x v="0"/>
    <s v="Cash on Delivery"/>
    <n v="3.3"/>
    <n v="13"/>
    <n v="4"/>
    <n v="83.406900000000007"/>
    <x v="2"/>
    <x v="0"/>
    <s v="Returning"/>
  </r>
  <r>
    <n v="1199"/>
    <n v="61"/>
    <s v="Male"/>
    <x v="2"/>
    <s v="Yoga Mat"/>
    <n v="102.24"/>
    <x v="2"/>
    <s v="Card"/>
    <n v="3.6"/>
    <n v="20"/>
    <n v="5"/>
    <n v="81.792000000000002"/>
    <x v="2"/>
    <x v="0"/>
    <s v="Returning"/>
  </r>
  <r>
    <n v="1200"/>
    <n v="64"/>
    <s v="Male"/>
    <x v="7"/>
    <s v="Sneakers"/>
    <n v="55.35"/>
    <x v="3"/>
    <s v="Card"/>
    <n v="4"/>
    <n v="26"/>
    <n v="8"/>
    <n v="40.959000000000003"/>
    <x v="2"/>
    <x v="0"/>
    <s v="Returning"/>
  </r>
  <r>
    <n v="1201"/>
    <n v="28"/>
    <s v="Female"/>
    <x v="8"/>
    <s v="Jeans"/>
    <n v="39.68"/>
    <x v="3"/>
    <s v="Cash on Delivery"/>
    <n v="3.4"/>
    <n v="16"/>
    <n v="3"/>
    <n v="33.331199999999995"/>
    <x v="4"/>
    <x v="0"/>
    <s v="Returning"/>
  </r>
  <r>
    <n v="1202"/>
    <n v="34"/>
    <s v="Male"/>
    <x v="1"/>
    <s v="Jacket"/>
    <n v="188.14"/>
    <x v="0"/>
    <s v="Card"/>
    <n v="4.2"/>
    <n v="8"/>
    <n v="4"/>
    <n v="173.08879999999999"/>
    <x v="4"/>
    <x v="0"/>
    <s v="Returning"/>
  </r>
  <r>
    <n v="1203"/>
    <n v="26"/>
    <s v="Female"/>
    <x v="8"/>
    <s v="Top"/>
    <n v="148.54"/>
    <x v="2"/>
    <s v="Card"/>
    <n v="3.6"/>
    <n v="26"/>
    <n v="8"/>
    <n v="109.91959999999999"/>
    <x v="4"/>
    <x v="0"/>
    <s v="Returning"/>
  </r>
  <r>
    <n v="1204"/>
    <n v="29"/>
    <s v="Male"/>
    <x v="7"/>
    <s v="Sneakers"/>
    <n v="102"/>
    <x v="1"/>
    <s v="Card"/>
    <n v="3.5"/>
    <n v="10"/>
    <n v="5"/>
    <n v="91.8"/>
    <x v="4"/>
    <x v="0"/>
    <s v="Returning"/>
  </r>
  <r>
    <n v="1205"/>
    <n v="47"/>
    <s v="Female"/>
    <x v="2"/>
    <s v="Football"/>
    <n v="239.73"/>
    <x v="3"/>
    <s v="Card"/>
    <n v="4.8"/>
    <n v="24"/>
    <n v="7"/>
    <n v="182.19479999999999"/>
    <x v="0"/>
    <x v="0"/>
    <s v="Returning"/>
  </r>
  <r>
    <n v="1206"/>
    <n v="37"/>
    <s v="Female"/>
    <x v="6"/>
    <s v="Skincare Kit"/>
    <n v="102.4"/>
    <x v="1"/>
    <s v="Card"/>
    <n v="4.3"/>
    <n v="20"/>
    <n v="5"/>
    <n v="81.920000000000016"/>
    <x v="1"/>
    <x v="0"/>
    <s v="Returning"/>
  </r>
  <r>
    <n v="1207"/>
    <n v="54"/>
    <s v="Female"/>
    <x v="6"/>
    <s v="Skincare Kit"/>
    <n v="34.86"/>
    <x v="2"/>
    <s v="Cash on Delivery"/>
    <n v="3.6"/>
    <n v="13"/>
    <n v="4"/>
    <n v="30.328199999999999"/>
    <x v="0"/>
    <x v="0"/>
    <s v="Returning"/>
  </r>
  <r>
    <n v="1208"/>
    <n v="67"/>
    <s v="Female"/>
    <x v="7"/>
    <s v="Formal Shoes"/>
    <n v="184.03"/>
    <x v="3"/>
    <s v="Card"/>
    <n v="4.0999999999999996"/>
    <n v="24"/>
    <n v="7"/>
    <n v="139.86279999999999"/>
    <x v="2"/>
    <x v="0"/>
    <s v="Returning"/>
  </r>
  <r>
    <n v="1209"/>
    <n v="24"/>
    <s v="Male"/>
    <x v="7"/>
    <s v="Sneakers"/>
    <n v="129.9"/>
    <x v="2"/>
    <s v="Card"/>
    <n v="3.8"/>
    <n v="16"/>
    <n v="8"/>
    <n v="109.116"/>
    <x v="3"/>
    <x v="0"/>
    <s v="Returning"/>
  </r>
  <r>
    <n v="1210"/>
    <n v="33"/>
    <s v="Male"/>
    <x v="3"/>
    <s v="Kitchen Set"/>
    <n v="255.3"/>
    <x v="2"/>
    <s v="Card"/>
    <n v="3.3"/>
    <n v="26"/>
    <n v="8"/>
    <n v="188.922"/>
    <x v="4"/>
    <x v="0"/>
    <s v="Returning"/>
  </r>
  <r>
    <n v="1211"/>
    <n v="31"/>
    <s v="Male"/>
    <x v="4"/>
    <s v="Rice Pack"/>
    <n v="63.06"/>
    <x v="0"/>
    <s v="Cash on Delivery"/>
    <n v="2.5"/>
    <n v="15"/>
    <n v="5"/>
    <n v="53.600999999999999"/>
    <x v="4"/>
    <x v="0"/>
    <s v="Returning"/>
  </r>
  <r>
    <n v="1212"/>
    <n v="37"/>
    <s v="Male"/>
    <x v="2"/>
    <s v="Dumbbells"/>
    <n v="147.46"/>
    <x v="0"/>
    <s v="Card"/>
    <n v="3.7"/>
    <n v="14"/>
    <n v="2"/>
    <n v="126.8156"/>
    <x v="1"/>
    <x v="0"/>
    <s v="Returning"/>
  </r>
  <r>
    <n v="1213"/>
    <n v="28"/>
    <s v="Female"/>
    <x v="6"/>
    <s v="Skincare Kit"/>
    <n v="68.680000000000007"/>
    <x v="0"/>
    <s v="Cash on Delivery"/>
    <n v="3.1"/>
    <n v="18"/>
    <n v="4"/>
    <n v="56.317600000000013"/>
    <x v="4"/>
    <x v="0"/>
    <s v="Returning"/>
  </r>
  <r>
    <n v="1214"/>
    <n v="58"/>
    <s v="Female"/>
    <x v="0"/>
    <s v="Handbag"/>
    <n v="118.34"/>
    <x v="3"/>
    <s v="Card"/>
    <n v="4.0999999999999996"/>
    <n v="19"/>
    <n v="7"/>
    <n v="95.855400000000003"/>
    <x v="0"/>
    <x v="0"/>
    <s v="Returning"/>
  </r>
  <r>
    <n v="1215"/>
    <n v="60"/>
    <s v="Male"/>
    <x v="1"/>
    <s v="T-Shirt"/>
    <n v="99.54"/>
    <x v="2"/>
    <s v="Cash on Delivery"/>
    <n v="3.7"/>
    <n v="12"/>
    <n v="1"/>
    <n v="87.595200000000006"/>
    <x v="0"/>
    <x v="0"/>
    <s v="Returning"/>
  </r>
  <r>
    <n v="1216"/>
    <n v="28"/>
    <s v="Male"/>
    <x v="3"/>
    <s v="Lamp"/>
    <n v="206.37"/>
    <x v="3"/>
    <s v="Card"/>
    <n v="3.1"/>
    <n v="16"/>
    <n v="8"/>
    <n v="173.35079999999999"/>
    <x v="4"/>
    <x v="0"/>
    <s v="Returning"/>
  </r>
  <r>
    <n v="1217"/>
    <n v="66"/>
    <s v="Female"/>
    <x v="8"/>
    <s v="Top"/>
    <n v="163.33000000000001"/>
    <x v="1"/>
    <s v="Card"/>
    <n v="3"/>
    <n v="12"/>
    <n v="6"/>
    <n v="143.7304"/>
    <x v="2"/>
    <x v="0"/>
    <s v="Returning"/>
  </r>
  <r>
    <n v="1218"/>
    <n v="55"/>
    <s v="Male"/>
    <x v="1"/>
    <s v="Jacket"/>
    <n v="162.46"/>
    <x v="2"/>
    <s v="Card"/>
    <n v="3.2"/>
    <n v="4"/>
    <n v="2"/>
    <n v="155.9616"/>
    <x v="0"/>
    <x v="0"/>
    <s v="Returning"/>
  </r>
  <r>
    <n v="1219"/>
    <n v="35"/>
    <s v="Female"/>
    <x v="7"/>
    <s v="Sandals"/>
    <n v="242.17"/>
    <x v="0"/>
    <s v="Card"/>
    <n v="3.8"/>
    <n v="21"/>
    <n v="8"/>
    <n v="191.3143"/>
    <x v="4"/>
    <x v="0"/>
    <s v="Returning"/>
  </r>
  <r>
    <n v="1220"/>
    <n v="65"/>
    <s v="Male"/>
    <x v="2"/>
    <s v="Yoga Mat"/>
    <n v="108.5"/>
    <x v="1"/>
    <s v="Card"/>
    <n v="4.4000000000000004"/>
    <n v="14"/>
    <n v="7"/>
    <n v="93.31"/>
    <x v="2"/>
    <x v="0"/>
    <s v="Returning"/>
  </r>
  <r>
    <n v="1221"/>
    <n v="35"/>
    <s v="Female"/>
    <x v="0"/>
    <s v="Handbag"/>
    <n v="82.93"/>
    <x v="0"/>
    <s v="Card"/>
    <n v="3.6"/>
    <n v="19"/>
    <n v="7"/>
    <n v="67.173300000000012"/>
    <x v="4"/>
    <x v="0"/>
    <s v="Returning"/>
  </r>
  <r>
    <n v="1222"/>
    <n v="21"/>
    <s v="Male"/>
    <x v="5"/>
    <s v="Laptop"/>
    <n v="2122.12"/>
    <x v="0"/>
    <s v="Card"/>
    <n v="4.0999999999999996"/>
    <n v="18"/>
    <n v="4"/>
    <n v="1740.1384"/>
    <x v="3"/>
    <x v="0"/>
    <s v="Returning"/>
  </r>
  <r>
    <n v="1223"/>
    <n v="31"/>
    <s v="Male"/>
    <x v="3"/>
    <s v="Kitchen Set"/>
    <n v="187.38"/>
    <x v="1"/>
    <s v="Card"/>
    <n v="4.0999999999999996"/>
    <n v="18"/>
    <n v="9"/>
    <n v="153.6516"/>
    <x v="4"/>
    <x v="0"/>
    <s v="Returning"/>
  </r>
  <r>
    <n v="1224"/>
    <n v="42"/>
    <s v="Male"/>
    <x v="2"/>
    <s v="Yoga Mat"/>
    <n v="157.06"/>
    <x v="2"/>
    <s v="Card"/>
    <n v="4.2"/>
    <n v="20"/>
    <n v="5"/>
    <n v="125.64800000000001"/>
    <x v="1"/>
    <x v="0"/>
    <s v="Returning"/>
  </r>
  <r>
    <n v="1225"/>
    <n v="22"/>
    <s v="Male"/>
    <x v="5"/>
    <s v="Laptop"/>
    <n v="1708.09"/>
    <x v="1"/>
    <s v="Card"/>
    <n v="3.7"/>
    <n v="6"/>
    <n v="3"/>
    <n v="1605.6045999999999"/>
    <x v="3"/>
    <x v="0"/>
    <s v="Returning"/>
  </r>
  <r>
    <n v="1226"/>
    <n v="62"/>
    <s v="Female"/>
    <x v="7"/>
    <s v="Formal Shoes"/>
    <n v="156.84"/>
    <x v="2"/>
    <s v="Card"/>
    <n v="3.4"/>
    <n v="13"/>
    <n v="4"/>
    <n v="136.45080000000002"/>
    <x v="2"/>
    <x v="0"/>
    <s v="Returning"/>
  </r>
  <r>
    <n v="1227"/>
    <n v="28"/>
    <s v="Female"/>
    <x v="8"/>
    <s v="Skirt"/>
    <n v="189.2"/>
    <x v="1"/>
    <s v="Card"/>
    <n v="2.9"/>
    <n v="13"/>
    <n v="4"/>
    <n v="164.60399999999998"/>
    <x v="4"/>
    <x v="0"/>
    <s v="Returning"/>
  </r>
  <r>
    <n v="1228"/>
    <n v="33"/>
    <s v="Female"/>
    <x v="3"/>
    <s v="Curtains"/>
    <n v="117.64"/>
    <x v="1"/>
    <s v="Card"/>
    <n v="3"/>
    <n v="14"/>
    <n v="7"/>
    <n v="101.1704"/>
    <x v="4"/>
    <x v="0"/>
    <s v="Returning"/>
  </r>
  <r>
    <n v="1229"/>
    <n v="36"/>
    <s v="Male"/>
    <x v="7"/>
    <s v="Sandals"/>
    <n v="147.47999999999999"/>
    <x v="0"/>
    <s v="Card"/>
    <n v="4.3"/>
    <n v="15"/>
    <n v="5"/>
    <n v="125.35799999999999"/>
    <x v="1"/>
    <x v="0"/>
    <s v="Returning"/>
  </r>
  <r>
    <n v="1230"/>
    <n v="28"/>
    <s v="Male"/>
    <x v="1"/>
    <s v="Jeans"/>
    <n v="75.040000000000006"/>
    <x v="1"/>
    <s v="Cash on Delivery"/>
    <n v="3.8"/>
    <n v="4"/>
    <n v="2"/>
    <n v="72.03840000000001"/>
    <x v="4"/>
    <x v="0"/>
    <s v="Returning"/>
  </r>
  <r>
    <n v="1231"/>
    <n v="26"/>
    <s v="Male"/>
    <x v="1"/>
    <s v="T-Shirt"/>
    <n v="108.5"/>
    <x v="0"/>
    <s v="Card"/>
    <n v="3.7"/>
    <n v="14"/>
    <n v="2"/>
    <n v="93.31"/>
    <x v="4"/>
    <x v="0"/>
    <s v="Returning"/>
  </r>
  <r>
    <n v="1232"/>
    <n v="55"/>
    <s v="Male"/>
    <x v="5"/>
    <s v="Laptop"/>
    <n v="1226.67"/>
    <x v="3"/>
    <s v="Card"/>
    <n v="3.4"/>
    <n v="10"/>
    <n v="5"/>
    <n v="1104.0030000000002"/>
    <x v="0"/>
    <x v="0"/>
    <s v="Returning"/>
  </r>
  <r>
    <n v="1233"/>
    <n v="64"/>
    <s v="Female"/>
    <x v="7"/>
    <s v="Formal Shoes"/>
    <n v="70.09"/>
    <x v="1"/>
    <s v="Cash on Delivery"/>
    <n v="4.3"/>
    <n v="20"/>
    <n v="5"/>
    <n v="56.072000000000003"/>
    <x v="2"/>
    <x v="0"/>
    <s v="Returning"/>
  </r>
  <r>
    <n v="1234"/>
    <n v="51"/>
    <s v="Female"/>
    <x v="8"/>
    <s v="Top"/>
    <n v="145.44999999999999"/>
    <x v="3"/>
    <s v="Card"/>
    <n v="2.6"/>
    <n v="10"/>
    <n v="5"/>
    <n v="130.905"/>
    <x v="0"/>
    <x v="0"/>
    <s v="Returning"/>
  </r>
  <r>
    <n v="1235"/>
    <n v="37"/>
    <s v="Female"/>
    <x v="8"/>
    <s v="Jeans"/>
    <n v="121.42"/>
    <x v="2"/>
    <s v="Card"/>
    <n v="4.7"/>
    <n v="8"/>
    <n v="4"/>
    <n v="111.7064"/>
    <x v="1"/>
    <x v="0"/>
    <s v="Returning"/>
  </r>
  <r>
    <n v="1236"/>
    <n v="21"/>
    <s v="Male"/>
    <x v="1"/>
    <s v="Jeans"/>
    <n v="129.32"/>
    <x v="2"/>
    <s v="Card"/>
    <n v="3.5"/>
    <n v="9"/>
    <n v="2"/>
    <n v="117.6812"/>
    <x v="3"/>
    <x v="0"/>
    <s v="Returning"/>
  </r>
  <r>
    <n v="1237"/>
    <n v="27"/>
    <s v="Female"/>
    <x v="8"/>
    <s v="Top"/>
    <n v="134.56"/>
    <x v="3"/>
    <s v="Card"/>
    <n v="3.9"/>
    <n v="14"/>
    <n v="7"/>
    <n v="115.7216"/>
    <x v="4"/>
    <x v="0"/>
    <s v="Returning"/>
  </r>
  <r>
    <n v="1238"/>
    <n v="28"/>
    <s v="Male"/>
    <x v="1"/>
    <s v="Jeans"/>
    <n v="190.96"/>
    <x v="1"/>
    <s v="Card"/>
    <n v="5"/>
    <n v="19"/>
    <n v="7"/>
    <n v="154.67760000000001"/>
    <x v="4"/>
    <x v="0"/>
    <s v="Returning"/>
  </r>
  <r>
    <n v="1239"/>
    <n v="56"/>
    <s v="Female"/>
    <x v="0"/>
    <s v="Wallet"/>
    <n v="32.97"/>
    <x v="0"/>
    <s v="Cash on Delivery"/>
    <n v="5"/>
    <n v="14"/>
    <n v="7"/>
    <n v="28.354199999999999"/>
    <x v="0"/>
    <x v="0"/>
    <s v="Returning"/>
  </r>
  <r>
    <n v="1240"/>
    <n v="25"/>
    <s v="Male"/>
    <x v="1"/>
    <s v="Jeans"/>
    <n v="140.93"/>
    <x v="1"/>
    <s v="Card"/>
    <n v="3.6"/>
    <n v="8"/>
    <n v="4"/>
    <n v="129.65560000000002"/>
    <x v="3"/>
    <x v="0"/>
    <s v="Returning"/>
  </r>
  <r>
    <n v="1241"/>
    <n v="35"/>
    <s v="Female"/>
    <x v="8"/>
    <s v="Top"/>
    <n v="96.4"/>
    <x v="0"/>
    <s v="Card"/>
    <n v="4.3"/>
    <n v="9"/>
    <n v="2"/>
    <n v="87.724000000000004"/>
    <x v="4"/>
    <x v="0"/>
    <s v="Returning"/>
  </r>
  <r>
    <n v="1242"/>
    <n v="55"/>
    <s v="Female"/>
    <x v="8"/>
    <s v="Dress"/>
    <n v="136.21"/>
    <x v="0"/>
    <s v="Card"/>
    <n v="3"/>
    <n v="12"/>
    <n v="6"/>
    <n v="119.8648"/>
    <x v="0"/>
    <x v="0"/>
    <s v="Returning"/>
  </r>
  <r>
    <n v="1243"/>
    <n v="52"/>
    <s v="Female"/>
    <x v="3"/>
    <s v="Curtains"/>
    <n v="44.41"/>
    <x v="1"/>
    <s v="Cash on Delivery"/>
    <n v="3"/>
    <n v="11"/>
    <n v="3"/>
    <n v="39.524899999999995"/>
    <x v="0"/>
    <x v="0"/>
    <s v="Returning"/>
  </r>
  <r>
    <n v="1244"/>
    <n v="67"/>
    <s v="Female"/>
    <x v="6"/>
    <s v="Perfume"/>
    <n v="91.85"/>
    <x v="2"/>
    <s v="Card"/>
    <n v="3.2"/>
    <n v="10"/>
    <n v="5"/>
    <n v="82.664999999999992"/>
    <x v="2"/>
    <x v="0"/>
    <s v="Returning"/>
  </r>
  <r>
    <n v="1245"/>
    <n v="35"/>
    <s v="Male"/>
    <x v="5"/>
    <s v="Mobile Phone"/>
    <n v="2677.54"/>
    <x v="3"/>
    <s v="Card"/>
    <n v="4.3"/>
    <n v="28"/>
    <n v="9"/>
    <n v="1927.8288"/>
    <x v="4"/>
    <x v="0"/>
    <s v="Returning"/>
  </r>
  <r>
    <n v="1246"/>
    <n v="49"/>
    <s v="Female"/>
    <x v="6"/>
    <s v="Skincare Kit"/>
    <n v="106.28"/>
    <x v="0"/>
    <s v="Card"/>
    <n v="4.4000000000000004"/>
    <n v="12"/>
    <n v="6"/>
    <n v="93.526399999999995"/>
    <x v="0"/>
    <x v="0"/>
    <s v="Returning"/>
  </r>
  <r>
    <n v="1247"/>
    <n v="64"/>
    <s v="Male"/>
    <x v="5"/>
    <s v="Smart Watch"/>
    <n v="2907.6"/>
    <x v="1"/>
    <s v="Card"/>
    <n v="4.5"/>
    <n v="16"/>
    <n v="3"/>
    <n v="2442.384"/>
    <x v="2"/>
    <x v="0"/>
    <s v="Returning"/>
  </r>
  <r>
    <n v="1248"/>
    <n v="20"/>
    <s v="Male"/>
    <x v="7"/>
    <s v="Formal Shoes"/>
    <n v="176.9"/>
    <x v="0"/>
    <s v="Card"/>
    <n v="3.9"/>
    <n v="15"/>
    <n v="5"/>
    <n v="150.36500000000001"/>
    <x v="3"/>
    <x v="0"/>
    <s v="Returning"/>
  </r>
  <r>
    <n v="1249"/>
    <n v="52"/>
    <s v="Female"/>
    <x v="8"/>
    <s v="Dress"/>
    <n v="89.05"/>
    <x v="2"/>
    <s v="Cash on Delivery"/>
    <n v="3.7"/>
    <n v="7"/>
    <n v="1"/>
    <n v="82.816499999999991"/>
    <x v="0"/>
    <x v="0"/>
    <s v="Returning"/>
  </r>
  <r>
    <n v="1250"/>
    <n v="37"/>
    <s v="Male"/>
    <x v="4"/>
    <s v="Cooking Oil"/>
    <n v="57.93"/>
    <x v="1"/>
    <s v="Card"/>
    <n v="2.7"/>
    <n v="4"/>
    <n v="2"/>
    <n v="55.6128"/>
    <x v="1"/>
    <x v="0"/>
    <s v="Returning"/>
  </r>
  <r>
    <n v="1251"/>
    <n v="44"/>
    <s v="Female"/>
    <x v="0"/>
    <s v="Sunglasses"/>
    <n v="22.1"/>
    <x v="1"/>
    <s v="Cash on Delivery"/>
    <n v="4.2"/>
    <n v="12"/>
    <n v="6"/>
    <n v="19.448"/>
    <x v="1"/>
    <x v="0"/>
    <s v="Returning"/>
  </r>
  <r>
    <n v="1252"/>
    <n v="66"/>
    <s v="Male"/>
    <x v="2"/>
    <s v="Yoga Mat"/>
    <n v="81.13"/>
    <x v="0"/>
    <s v="Cash on Delivery"/>
    <n v="3.3"/>
    <n v="9"/>
    <n v="2"/>
    <n v="73.828299999999999"/>
    <x v="2"/>
    <x v="0"/>
    <s v="Returning"/>
  </r>
  <r>
    <n v="1253"/>
    <n v="28"/>
    <s v="Female"/>
    <x v="0"/>
    <s v="Wallet"/>
    <n v="165.53"/>
    <x v="0"/>
    <s v="Card"/>
    <n v="5"/>
    <n v="15"/>
    <n v="5"/>
    <n v="140.70050000000001"/>
    <x v="4"/>
    <x v="0"/>
    <s v="Returning"/>
  </r>
  <r>
    <n v="1254"/>
    <n v="30"/>
    <s v="Male"/>
    <x v="7"/>
    <s v="Sneakers"/>
    <n v="222.83"/>
    <x v="1"/>
    <s v="Card"/>
    <n v="3.8"/>
    <n v="6"/>
    <n v="3"/>
    <n v="209.46019999999999"/>
    <x v="4"/>
    <x v="0"/>
    <s v="Returning"/>
  </r>
  <r>
    <n v="1255"/>
    <n v="70"/>
    <s v="Male"/>
    <x v="5"/>
    <s v="Laptop"/>
    <n v="2919.39"/>
    <x v="2"/>
    <s v="Card"/>
    <n v="3.5"/>
    <n v="13"/>
    <n v="4"/>
    <n v="2539.8692999999998"/>
    <x v="2"/>
    <x v="0"/>
    <s v="Returning"/>
  </r>
  <r>
    <n v="1256"/>
    <n v="44"/>
    <s v="Female"/>
    <x v="6"/>
    <s v="Skincare Kit"/>
    <n v="143.9"/>
    <x v="1"/>
    <s v="Card"/>
    <n v="4.7"/>
    <n v="26"/>
    <n v="8"/>
    <n v="106.486"/>
    <x v="1"/>
    <x v="0"/>
    <s v="Returning"/>
  </r>
  <r>
    <n v="1257"/>
    <n v="45"/>
    <s v="Female"/>
    <x v="6"/>
    <s v="Perfume"/>
    <n v="85.13"/>
    <x v="0"/>
    <s v="Cash on Delivery"/>
    <n v="3.4"/>
    <n v="10"/>
    <n v="5"/>
    <n v="76.617000000000004"/>
    <x v="1"/>
    <x v="0"/>
    <s v="Returning"/>
  </r>
  <r>
    <n v="1258"/>
    <n v="41"/>
    <s v="Male"/>
    <x v="4"/>
    <s v="Cooking Oil"/>
    <n v="8.8699999999999992"/>
    <x v="2"/>
    <s v="Card"/>
    <n v="4.4000000000000004"/>
    <n v="16"/>
    <n v="3"/>
    <n v="7.4507999999999992"/>
    <x v="1"/>
    <x v="0"/>
    <s v="Returning"/>
  </r>
  <r>
    <n v="1259"/>
    <n v="42"/>
    <s v="Male"/>
    <x v="7"/>
    <s v="Sneakers"/>
    <n v="166.69"/>
    <x v="0"/>
    <s v="Card"/>
    <n v="2.8"/>
    <n v="6"/>
    <n v="3"/>
    <n v="156.68859999999998"/>
    <x v="1"/>
    <x v="0"/>
    <s v="Returning"/>
  </r>
  <r>
    <n v="1260"/>
    <n v="51"/>
    <s v="Male"/>
    <x v="7"/>
    <s v="Formal Shoes"/>
    <n v="195.92"/>
    <x v="1"/>
    <s v="Card"/>
    <n v="2.8"/>
    <n v="19"/>
    <n v="7"/>
    <n v="158.6952"/>
    <x v="0"/>
    <x v="0"/>
    <s v="Returning"/>
  </r>
  <r>
    <n v="1261"/>
    <n v="59"/>
    <s v="Male"/>
    <x v="1"/>
    <s v="Jeans"/>
    <n v="165.21"/>
    <x v="1"/>
    <s v="Card"/>
    <n v="3.8"/>
    <n v="14"/>
    <n v="7"/>
    <n v="142.0806"/>
    <x v="0"/>
    <x v="0"/>
    <s v="Returning"/>
  </r>
  <r>
    <n v="1262"/>
    <n v="58"/>
    <s v="Male"/>
    <x v="5"/>
    <s v="Smart Watch"/>
    <n v="500.44"/>
    <x v="3"/>
    <s v="Card"/>
    <n v="4.4000000000000004"/>
    <n v="16"/>
    <n v="3"/>
    <n v="420.36959999999999"/>
    <x v="0"/>
    <x v="0"/>
    <s v="Returning"/>
  </r>
  <r>
    <n v="1263"/>
    <n v="56"/>
    <s v="Male"/>
    <x v="2"/>
    <s v="Yoga Mat"/>
    <n v="95.43"/>
    <x v="1"/>
    <s v="Cash on Delivery"/>
    <n v="4"/>
    <n v="6"/>
    <n v="3"/>
    <n v="89.7042"/>
    <x v="0"/>
    <x v="0"/>
    <s v="Returning"/>
  </r>
  <r>
    <n v="1264"/>
    <n v="52"/>
    <s v="Male"/>
    <x v="5"/>
    <s v="Smart Watch"/>
    <n v="2764.97"/>
    <x v="2"/>
    <s v="Card"/>
    <n v="2.7"/>
    <n v="9"/>
    <n v="2"/>
    <n v="2516.1226999999999"/>
    <x v="0"/>
    <x v="0"/>
    <s v="Returning"/>
  </r>
  <r>
    <n v="1265"/>
    <n v="41"/>
    <s v="Male"/>
    <x v="4"/>
    <s v="Cooking Oil"/>
    <n v="60.98"/>
    <x v="1"/>
    <s v="Card"/>
    <n v="2.8"/>
    <n v="14"/>
    <n v="7"/>
    <n v="52.442799999999998"/>
    <x v="1"/>
    <x v="0"/>
    <s v="Returning"/>
  </r>
  <r>
    <n v="1266"/>
    <n v="37"/>
    <s v="Male"/>
    <x v="5"/>
    <s v="Smart Watch"/>
    <n v="943.53"/>
    <x v="1"/>
    <s v="Card"/>
    <n v="4.7"/>
    <n v="2"/>
    <n v="1"/>
    <n v="924.65940000000001"/>
    <x v="1"/>
    <x v="0"/>
    <s v="Returning"/>
  </r>
  <r>
    <n v="1267"/>
    <n v="51"/>
    <s v="Male"/>
    <x v="2"/>
    <s v="Yoga Mat"/>
    <n v="246.18"/>
    <x v="1"/>
    <s v="Card"/>
    <n v="3.6"/>
    <n v="8"/>
    <n v="4"/>
    <n v="226.48560000000001"/>
    <x v="0"/>
    <x v="0"/>
    <s v="Returning"/>
  </r>
  <r>
    <n v="1268"/>
    <n v="65"/>
    <s v="Male"/>
    <x v="5"/>
    <s v="Headphones"/>
    <n v="1135.9000000000001"/>
    <x v="2"/>
    <s v="Card"/>
    <n v="3.5"/>
    <n v="13"/>
    <n v="4"/>
    <n v="988.23300000000006"/>
    <x v="2"/>
    <x v="0"/>
    <s v="Returning"/>
  </r>
  <r>
    <n v="1269"/>
    <n v="45"/>
    <s v="Male"/>
    <x v="5"/>
    <s v="Headphones"/>
    <n v="1704.22"/>
    <x v="3"/>
    <s v="Card"/>
    <n v="4.0999999999999996"/>
    <n v="15"/>
    <n v="5"/>
    <n v="1448.587"/>
    <x v="1"/>
    <x v="0"/>
    <s v="Returning"/>
  </r>
  <r>
    <n v="1270"/>
    <n v="23"/>
    <s v="Male"/>
    <x v="7"/>
    <s v="Formal Shoes"/>
    <n v="92.79"/>
    <x v="0"/>
    <s v="Card"/>
    <n v="4.9000000000000004"/>
    <n v="13"/>
    <n v="4"/>
    <n v="80.7273"/>
    <x v="3"/>
    <x v="0"/>
    <s v="Returning"/>
  </r>
  <r>
    <n v="1271"/>
    <n v="55"/>
    <s v="Male"/>
    <x v="1"/>
    <s v="Jeans"/>
    <n v="165.27"/>
    <x v="1"/>
    <s v="Card"/>
    <n v="3.5"/>
    <n v="17"/>
    <n v="6"/>
    <n v="137.17410000000001"/>
    <x v="0"/>
    <x v="0"/>
    <s v="Returning"/>
  </r>
  <r>
    <n v="1272"/>
    <n v="45"/>
    <s v="Female"/>
    <x v="6"/>
    <s v="Makeup Set"/>
    <n v="72.319999999999993"/>
    <x v="3"/>
    <s v="Cash on Delivery"/>
    <n v="3.4"/>
    <n v="17"/>
    <n v="6"/>
    <n v="60.02559999999999"/>
    <x v="1"/>
    <x v="0"/>
    <s v="Returning"/>
  </r>
  <r>
    <n v="1273"/>
    <n v="55"/>
    <s v="Male"/>
    <x v="5"/>
    <s v="Headphones"/>
    <n v="1843.01"/>
    <x v="1"/>
    <s v="Card"/>
    <n v="2.9"/>
    <n v="20"/>
    <n v="10"/>
    <n v="1474.4080000000001"/>
    <x v="0"/>
    <x v="0"/>
    <s v="Returning"/>
  </r>
  <r>
    <n v="1274"/>
    <n v="45"/>
    <s v="Male"/>
    <x v="2"/>
    <s v="Football"/>
    <n v="40.4"/>
    <x v="3"/>
    <s v="Card"/>
    <n v="3.3"/>
    <n v="10"/>
    <n v="5"/>
    <n v="36.36"/>
    <x v="1"/>
    <x v="0"/>
    <s v="Returning"/>
  </r>
  <r>
    <n v="1275"/>
    <n v="29"/>
    <s v="Male"/>
    <x v="2"/>
    <s v="Yoga Mat"/>
    <n v="80.31"/>
    <x v="2"/>
    <s v="Cash on Delivery"/>
    <n v="4.3"/>
    <n v="11"/>
    <n v="3"/>
    <n v="71.47590000000001"/>
    <x v="4"/>
    <x v="0"/>
    <s v="Returning"/>
  </r>
  <r>
    <n v="1276"/>
    <n v="27"/>
    <s v="Female"/>
    <x v="7"/>
    <s v="Sandals"/>
    <n v="197.36"/>
    <x v="0"/>
    <s v="Card"/>
    <n v="3.5"/>
    <n v="16"/>
    <n v="3"/>
    <n v="165.7824"/>
    <x v="4"/>
    <x v="0"/>
    <s v="Returning"/>
  </r>
  <r>
    <n v="1277"/>
    <n v="22"/>
    <s v="Male"/>
    <x v="7"/>
    <s v="Sandals"/>
    <n v="153.96"/>
    <x v="1"/>
    <s v="Card"/>
    <n v="4.7"/>
    <n v="11"/>
    <n v="3"/>
    <n v="137.02440000000001"/>
    <x v="3"/>
    <x v="0"/>
    <s v="Returning"/>
  </r>
  <r>
    <n v="1278"/>
    <n v="55"/>
    <s v="Male"/>
    <x v="7"/>
    <s v="Sandals"/>
    <n v="46.48"/>
    <x v="3"/>
    <s v="Cash on Delivery"/>
    <n v="3.1"/>
    <n v="6"/>
    <n v="3"/>
    <n v="43.691199999999995"/>
    <x v="0"/>
    <x v="0"/>
    <s v="Returning"/>
  </r>
  <r>
    <n v="1279"/>
    <n v="40"/>
    <s v="Male"/>
    <x v="3"/>
    <s v="Kitchen Set"/>
    <n v="129.11000000000001"/>
    <x v="3"/>
    <s v="Card"/>
    <n v="3.1"/>
    <n v="20"/>
    <n v="5"/>
    <n v="103.28800000000001"/>
    <x v="1"/>
    <x v="0"/>
    <s v="Returning"/>
  </r>
  <r>
    <n v="1280"/>
    <n v="63"/>
    <s v="Male"/>
    <x v="2"/>
    <s v="Yoga Mat"/>
    <n v="130.97999999999999"/>
    <x v="3"/>
    <s v="Card"/>
    <n v="3.3"/>
    <n v="10"/>
    <n v="5"/>
    <n v="117.88199999999999"/>
    <x v="2"/>
    <x v="0"/>
    <s v="Returning"/>
  </r>
  <r>
    <n v="1281"/>
    <n v="43"/>
    <s v="Male"/>
    <x v="2"/>
    <s v="Dumbbells"/>
    <n v="116.56"/>
    <x v="3"/>
    <s v="Card"/>
    <n v="3.1"/>
    <n v="25"/>
    <n v="10"/>
    <n v="87.42"/>
    <x v="1"/>
    <x v="0"/>
    <s v="Returning"/>
  </r>
  <r>
    <n v="1282"/>
    <n v="34"/>
    <s v="Male"/>
    <x v="5"/>
    <s v="Headphones"/>
    <n v="1105.45"/>
    <x v="2"/>
    <s v="Card"/>
    <n v="5"/>
    <n v="24"/>
    <n v="7"/>
    <n v="840.14200000000005"/>
    <x v="4"/>
    <x v="0"/>
    <s v="Returning"/>
  </r>
  <r>
    <n v="1283"/>
    <n v="46"/>
    <s v="Male"/>
    <x v="7"/>
    <s v="Sneakers"/>
    <n v="192.39"/>
    <x v="0"/>
    <s v="Card"/>
    <n v="3.9"/>
    <n v="9"/>
    <n v="2"/>
    <n v="175.07489999999999"/>
    <x v="0"/>
    <x v="0"/>
    <s v="Returning"/>
  </r>
  <r>
    <n v="1284"/>
    <n v="51"/>
    <s v="Female"/>
    <x v="8"/>
    <s v="Dress"/>
    <n v="184.44"/>
    <x v="1"/>
    <s v="Card"/>
    <n v="3.6"/>
    <n v="15"/>
    <n v="5"/>
    <n v="156.774"/>
    <x v="0"/>
    <x v="0"/>
    <s v="Returning"/>
  </r>
  <r>
    <n v="1285"/>
    <n v="25"/>
    <s v="Male"/>
    <x v="3"/>
    <s v="Kitchen Set"/>
    <n v="227.36"/>
    <x v="1"/>
    <s v="Card"/>
    <n v="3.2"/>
    <n v="15"/>
    <n v="5"/>
    <n v="193.256"/>
    <x v="3"/>
    <x v="0"/>
    <s v="Returning"/>
  </r>
  <r>
    <n v="1286"/>
    <n v="55"/>
    <s v="Male"/>
    <x v="1"/>
    <s v="Jacket"/>
    <n v="91.95"/>
    <x v="3"/>
    <s v="Card"/>
    <n v="4.0999999999999996"/>
    <n v="20"/>
    <n v="5"/>
    <n v="73.56"/>
    <x v="0"/>
    <x v="0"/>
    <s v="Returning"/>
  </r>
  <r>
    <n v="1287"/>
    <n v="40"/>
    <s v="Female"/>
    <x v="2"/>
    <s v="Dumbbells"/>
    <n v="71.11"/>
    <x v="2"/>
    <s v="Cash on Delivery"/>
    <n v="4.5999999999999996"/>
    <n v="18"/>
    <n v="4"/>
    <n v="58.310200000000002"/>
    <x v="1"/>
    <x v="0"/>
    <s v="Returning"/>
  </r>
  <r>
    <n v="1288"/>
    <n v="36"/>
    <s v="Male"/>
    <x v="7"/>
    <s v="Formal Shoes"/>
    <n v="114.22"/>
    <x v="0"/>
    <s v="Card"/>
    <n v="3.9"/>
    <n v="22"/>
    <n v="6"/>
    <n v="89.0916"/>
    <x v="1"/>
    <x v="0"/>
    <s v="Returning"/>
  </r>
  <r>
    <n v="1289"/>
    <n v="70"/>
    <s v="Female"/>
    <x v="6"/>
    <s v="Skincare Kit"/>
    <n v="104.25"/>
    <x v="2"/>
    <s v="Card"/>
    <n v="3.9"/>
    <n v="10"/>
    <n v="5"/>
    <n v="93.825000000000003"/>
    <x v="2"/>
    <x v="0"/>
    <s v="Returning"/>
  </r>
  <r>
    <n v="1290"/>
    <n v="20"/>
    <s v="Female"/>
    <x v="8"/>
    <s v="Skirt"/>
    <n v="151.63"/>
    <x v="2"/>
    <s v="Card"/>
    <n v="2"/>
    <n v="12"/>
    <n v="6"/>
    <n v="133.43440000000001"/>
    <x v="3"/>
    <x v="0"/>
    <s v="Returning"/>
  </r>
  <r>
    <n v="1291"/>
    <n v="35"/>
    <s v="Male"/>
    <x v="2"/>
    <s v="Dumbbells"/>
    <n v="113.99"/>
    <x v="3"/>
    <s v="Card"/>
    <n v="3.3"/>
    <n v="8"/>
    <n v="4"/>
    <n v="104.8708"/>
    <x v="4"/>
    <x v="0"/>
    <s v="Returning"/>
  </r>
  <r>
    <n v="1292"/>
    <n v="37"/>
    <s v="Female"/>
    <x v="7"/>
    <s v="Sandals"/>
    <n v="149.77000000000001"/>
    <x v="1"/>
    <s v="Card"/>
    <n v="4"/>
    <n v="25"/>
    <n v="10"/>
    <n v="112.32750000000001"/>
    <x v="1"/>
    <x v="0"/>
    <s v="Returning"/>
  </r>
  <r>
    <n v="1293"/>
    <n v="35"/>
    <s v="Female"/>
    <x v="2"/>
    <s v="Football"/>
    <n v="149.11000000000001"/>
    <x v="1"/>
    <s v="Card"/>
    <n v="3.1"/>
    <n v="14"/>
    <n v="7"/>
    <n v="128.2346"/>
    <x v="4"/>
    <x v="0"/>
    <s v="Returning"/>
  </r>
  <r>
    <n v="1294"/>
    <n v="47"/>
    <s v="Female"/>
    <x v="0"/>
    <s v="Wallet"/>
    <n v="44.02"/>
    <x v="0"/>
    <s v="Cash on Delivery"/>
    <n v="4.4000000000000004"/>
    <n v="6"/>
    <n v="3"/>
    <n v="41.378799999999998"/>
    <x v="0"/>
    <x v="0"/>
    <s v="Returning"/>
  </r>
  <r>
    <n v="1295"/>
    <n v="60"/>
    <s v="Male"/>
    <x v="1"/>
    <s v="Jacket"/>
    <n v="42.96"/>
    <x v="1"/>
    <s v="Card"/>
    <n v="5"/>
    <n v="25"/>
    <n v="10"/>
    <n v="32.22"/>
    <x v="0"/>
    <x v="0"/>
    <s v="Returning"/>
  </r>
  <r>
    <n v="1296"/>
    <n v="55"/>
    <s v="Female"/>
    <x v="8"/>
    <s v="Dress"/>
    <n v="186.61"/>
    <x v="3"/>
    <s v="Card"/>
    <n v="3.2"/>
    <n v="14"/>
    <n v="7"/>
    <n v="160.4846"/>
    <x v="0"/>
    <x v="0"/>
    <s v="Returning"/>
  </r>
  <r>
    <n v="1297"/>
    <n v="36"/>
    <s v="Male"/>
    <x v="4"/>
    <s v="Rice Pack"/>
    <n v="20.05"/>
    <x v="1"/>
    <s v="Cash on Delivery"/>
    <n v="3.9"/>
    <n v="13"/>
    <n v="4"/>
    <n v="17.4435"/>
    <x v="1"/>
    <x v="0"/>
    <s v="Returning"/>
  </r>
  <r>
    <n v="1298"/>
    <n v="31"/>
    <s v="Male"/>
    <x v="5"/>
    <s v="Laptop"/>
    <n v="2520.3000000000002"/>
    <x v="3"/>
    <s v="Card"/>
    <n v="2.7"/>
    <n v="14"/>
    <n v="7"/>
    <n v="2167.4580000000001"/>
    <x v="4"/>
    <x v="0"/>
    <s v="Returning"/>
  </r>
  <r>
    <n v="1299"/>
    <n v="51"/>
    <s v="Female"/>
    <x v="8"/>
    <s v="Dress"/>
    <n v="119.82"/>
    <x v="2"/>
    <s v="Card"/>
    <n v="4.3"/>
    <n v="21"/>
    <n v="8"/>
    <n v="94.657799999999995"/>
    <x v="0"/>
    <x v="0"/>
    <s v="Returning"/>
  </r>
  <r>
    <n v="1300"/>
    <n v="62"/>
    <s v="Male"/>
    <x v="7"/>
    <s v="Formal Shoes"/>
    <n v="144.66999999999999"/>
    <x v="0"/>
    <s v="Card"/>
    <n v="3.7"/>
    <n v="14"/>
    <n v="7"/>
    <n v="124.41619999999999"/>
    <x v="2"/>
    <x v="0"/>
    <s v="Returning"/>
  </r>
  <r>
    <n v="1301"/>
    <n v="29"/>
    <s v="Female"/>
    <x v="6"/>
    <s v="Perfume"/>
    <n v="38.64"/>
    <x v="0"/>
    <s v="Cash on Delivery"/>
    <n v="4"/>
    <n v="16"/>
    <n v="3"/>
    <n v="32.457599999999999"/>
    <x v="4"/>
    <x v="0"/>
    <s v="Returning"/>
  </r>
  <r>
    <n v="1302"/>
    <n v="28"/>
    <s v="Male"/>
    <x v="2"/>
    <s v="Football"/>
    <n v="64.16"/>
    <x v="2"/>
    <s v="Cash on Delivery"/>
    <n v="3.7"/>
    <n v="28"/>
    <n v="9"/>
    <n v="46.195199999999993"/>
    <x v="4"/>
    <x v="0"/>
    <s v="Returning"/>
  </r>
  <r>
    <n v="1303"/>
    <n v="35"/>
    <s v="Male"/>
    <x v="2"/>
    <s v="Yoga Mat"/>
    <n v="238.78"/>
    <x v="3"/>
    <s v="Card"/>
    <n v="3.8"/>
    <n v="9"/>
    <n v="2"/>
    <n v="217.28980000000001"/>
    <x v="4"/>
    <x v="0"/>
    <s v="Returning"/>
  </r>
  <r>
    <n v="1304"/>
    <n v="34"/>
    <s v="Female"/>
    <x v="0"/>
    <s v="Sunglasses"/>
    <n v="159.38999999999999"/>
    <x v="1"/>
    <s v="Card"/>
    <n v="3"/>
    <n v="6"/>
    <n v="3"/>
    <n v="149.82659999999998"/>
    <x v="4"/>
    <x v="0"/>
    <s v="Returning"/>
  </r>
  <r>
    <n v="1305"/>
    <n v="22"/>
    <s v="Female"/>
    <x v="4"/>
    <s v="Cooking Oil"/>
    <n v="60.87"/>
    <x v="2"/>
    <s v="Card"/>
    <n v="3.6"/>
    <n v="14"/>
    <n v="7"/>
    <n v="52.348199999999999"/>
    <x v="3"/>
    <x v="0"/>
    <s v="Returning"/>
  </r>
  <r>
    <n v="1306"/>
    <n v="70"/>
    <s v="Male"/>
    <x v="7"/>
    <s v="Formal Shoes"/>
    <n v="61.28"/>
    <x v="3"/>
    <s v="Card"/>
    <n v="4.5999999999999996"/>
    <n v="14"/>
    <n v="7"/>
    <n v="52.700800000000001"/>
    <x v="2"/>
    <x v="0"/>
    <s v="Returning"/>
  </r>
  <r>
    <n v="1307"/>
    <n v="42"/>
    <s v="Male"/>
    <x v="7"/>
    <s v="Sandals"/>
    <n v="219.14"/>
    <x v="2"/>
    <s v="Card"/>
    <n v="4.2"/>
    <n v="18"/>
    <n v="4"/>
    <n v="179.69480000000001"/>
    <x v="1"/>
    <x v="0"/>
    <s v="Returning"/>
  </r>
  <r>
    <n v="1308"/>
    <n v="22"/>
    <s v="Female"/>
    <x v="8"/>
    <s v="Skirt"/>
    <n v="125.23"/>
    <x v="2"/>
    <s v="Card"/>
    <n v="4.8"/>
    <n v="13"/>
    <n v="4"/>
    <n v="108.95010000000001"/>
    <x v="3"/>
    <x v="0"/>
    <s v="Returning"/>
  </r>
  <r>
    <n v="1309"/>
    <n v="39"/>
    <s v="Female"/>
    <x v="0"/>
    <s v="Wallet"/>
    <n v="77.930000000000007"/>
    <x v="3"/>
    <s v="Card"/>
    <n v="3.5"/>
    <n v="10"/>
    <n v="5"/>
    <n v="70.137000000000015"/>
    <x v="1"/>
    <x v="0"/>
    <s v="Returning"/>
  </r>
  <r>
    <n v="1310"/>
    <n v="48"/>
    <s v="Male"/>
    <x v="5"/>
    <s v="Smart Watch"/>
    <n v="579.51"/>
    <x v="1"/>
    <s v="Card"/>
    <n v="2.5"/>
    <n v="11"/>
    <n v="3"/>
    <n v="515.76390000000004"/>
    <x v="0"/>
    <x v="0"/>
    <s v="Returning"/>
  </r>
  <r>
    <n v="1311"/>
    <n v="58"/>
    <s v="Male"/>
    <x v="1"/>
    <s v="Jacket"/>
    <n v="142.47"/>
    <x v="1"/>
    <s v="Card"/>
    <n v="3.5"/>
    <n v="20"/>
    <n v="5"/>
    <n v="113.976"/>
    <x v="0"/>
    <x v="0"/>
    <s v="Returning"/>
  </r>
  <r>
    <n v="1312"/>
    <n v="21"/>
    <s v="Male"/>
    <x v="2"/>
    <s v="Yoga Mat"/>
    <n v="34.03"/>
    <x v="3"/>
    <s v="Cash on Delivery"/>
    <n v="3.3"/>
    <n v="6"/>
    <n v="3"/>
    <n v="31.988199999999999"/>
    <x v="3"/>
    <x v="0"/>
    <s v="Returning"/>
  </r>
  <r>
    <n v="1313"/>
    <n v="56"/>
    <s v="Male"/>
    <x v="1"/>
    <s v="Jeans"/>
    <n v="191.15"/>
    <x v="3"/>
    <s v="Card"/>
    <n v="3.2"/>
    <n v="30"/>
    <n v="10"/>
    <n v="133.80500000000001"/>
    <x v="0"/>
    <x v="0"/>
    <s v="Returning"/>
  </r>
  <r>
    <n v="1314"/>
    <n v="57"/>
    <s v="Female"/>
    <x v="4"/>
    <s v="Cooking Oil"/>
    <n v="57.36"/>
    <x v="3"/>
    <s v="Card"/>
    <n v="3.8"/>
    <n v="20"/>
    <n v="5"/>
    <n v="45.888000000000005"/>
    <x v="0"/>
    <x v="0"/>
    <s v="Returning"/>
  </r>
  <r>
    <n v="1315"/>
    <n v="40"/>
    <s v="Male"/>
    <x v="2"/>
    <s v="Yoga Mat"/>
    <n v="235.9"/>
    <x v="0"/>
    <s v="Card"/>
    <n v="3.5"/>
    <n v="13"/>
    <n v="4"/>
    <n v="205.233"/>
    <x v="1"/>
    <x v="0"/>
    <s v="Returning"/>
  </r>
  <r>
    <n v="1316"/>
    <n v="53"/>
    <s v="Male"/>
    <x v="5"/>
    <s v="Smart Watch"/>
    <n v="1327.45"/>
    <x v="3"/>
    <s v="Card"/>
    <n v="3.9"/>
    <n v="6"/>
    <n v="3"/>
    <n v="1247.8029999999999"/>
    <x v="0"/>
    <x v="0"/>
    <s v="Returning"/>
  </r>
  <r>
    <n v="1317"/>
    <n v="69"/>
    <s v="Male"/>
    <x v="3"/>
    <s v="Kitchen Set"/>
    <n v="120.8"/>
    <x v="1"/>
    <s v="Card"/>
    <n v="4.8"/>
    <n v="20"/>
    <n v="5"/>
    <n v="96.64"/>
    <x v="2"/>
    <x v="0"/>
    <s v="Returning"/>
  </r>
  <r>
    <n v="1318"/>
    <n v="30"/>
    <s v="Male"/>
    <x v="5"/>
    <s v="Laptop"/>
    <n v="2944.78"/>
    <x v="1"/>
    <s v="Card"/>
    <n v="4"/>
    <n v="23"/>
    <n v="9"/>
    <n v="2267.4806000000003"/>
    <x v="4"/>
    <x v="0"/>
    <s v="Returning"/>
  </r>
  <r>
    <n v="1319"/>
    <n v="52"/>
    <s v="Female"/>
    <x v="6"/>
    <s v="Skincare Kit"/>
    <n v="105.98"/>
    <x v="1"/>
    <s v="Card"/>
    <n v="3.9"/>
    <n v="19"/>
    <n v="7"/>
    <n v="85.843800000000016"/>
    <x v="0"/>
    <x v="0"/>
    <s v="Returning"/>
  </r>
  <r>
    <n v="1320"/>
    <n v="24"/>
    <s v="Male"/>
    <x v="2"/>
    <s v="Football"/>
    <n v="71.53"/>
    <x v="0"/>
    <s v="Card"/>
    <n v="4"/>
    <n v="11"/>
    <n v="3"/>
    <n v="63.661700000000003"/>
    <x v="3"/>
    <x v="0"/>
    <s v="Returning"/>
  </r>
  <r>
    <n v="1321"/>
    <n v="51"/>
    <s v="Female"/>
    <x v="6"/>
    <s v="Skincare Kit"/>
    <n v="30.99"/>
    <x v="3"/>
    <s v="Cash on Delivery"/>
    <n v="3.4"/>
    <n v="8"/>
    <n v="4"/>
    <n v="28.5108"/>
    <x v="0"/>
    <x v="0"/>
    <s v="Returning"/>
  </r>
  <r>
    <n v="1322"/>
    <n v="50"/>
    <s v="Female"/>
    <x v="6"/>
    <s v="Makeup Set"/>
    <n v="53.04"/>
    <x v="3"/>
    <s v="Cash on Delivery"/>
    <n v="3.7"/>
    <n v="10"/>
    <n v="0"/>
    <n v="47.735999999999997"/>
    <x v="0"/>
    <x v="0"/>
    <s v="New"/>
  </r>
  <r>
    <n v="1323"/>
    <n v="52"/>
    <s v="Female"/>
    <x v="6"/>
    <s v="Skincare Kit"/>
    <n v="50.77"/>
    <x v="2"/>
    <s v="Cash on Delivery"/>
    <n v="4.4000000000000004"/>
    <n v="12"/>
    <n v="6"/>
    <n v="44.677600000000005"/>
    <x v="0"/>
    <x v="0"/>
    <s v="Returning"/>
  </r>
  <r>
    <n v="1324"/>
    <n v="23"/>
    <s v="Female"/>
    <x v="6"/>
    <s v="Skincare Kit"/>
    <n v="25.79"/>
    <x v="0"/>
    <s v="Card"/>
    <n v="4.5999999999999996"/>
    <n v="16"/>
    <n v="8"/>
    <n v="21.663599999999999"/>
    <x v="3"/>
    <x v="0"/>
    <s v="Returning"/>
  </r>
  <r>
    <n v="1325"/>
    <n v="64"/>
    <s v="Male"/>
    <x v="2"/>
    <s v="Dumbbells"/>
    <n v="194.44"/>
    <x v="2"/>
    <s v="Card"/>
    <n v="4.3"/>
    <n v="30"/>
    <n v="10"/>
    <n v="136.10799999999998"/>
    <x v="2"/>
    <x v="0"/>
    <s v="Returning"/>
  </r>
  <r>
    <n v="1326"/>
    <n v="25"/>
    <s v="Female"/>
    <x v="7"/>
    <s v="Formal Shoes"/>
    <n v="160.51"/>
    <x v="3"/>
    <s v="Card"/>
    <n v="3.4"/>
    <n v="15"/>
    <n v="5"/>
    <n v="136.43349999999998"/>
    <x v="3"/>
    <x v="0"/>
    <s v="Returning"/>
  </r>
  <r>
    <n v="1327"/>
    <n v="67"/>
    <s v="Male"/>
    <x v="2"/>
    <s v="Yoga Mat"/>
    <n v="36.44"/>
    <x v="1"/>
    <s v="Card"/>
    <n v="3"/>
    <n v="13"/>
    <n v="4"/>
    <n v="31.702799999999996"/>
    <x v="2"/>
    <x v="0"/>
    <s v="Returning"/>
  </r>
  <r>
    <n v="1328"/>
    <n v="57"/>
    <s v="Female"/>
    <x v="0"/>
    <s v="Sunglasses"/>
    <n v="80.59"/>
    <x v="3"/>
    <s v="Cash on Delivery"/>
    <n v="3.1"/>
    <n v="16"/>
    <n v="3"/>
    <n v="67.695599999999999"/>
    <x v="0"/>
    <x v="0"/>
    <s v="Returning"/>
  </r>
  <r>
    <n v="1329"/>
    <n v="36"/>
    <s v="Female"/>
    <x v="8"/>
    <s v="Skirt"/>
    <n v="194.05"/>
    <x v="2"/>
    <s v="Card"/>
    <n v="3.3"/>
    <n v="8"/>
    <n v="4"/>
    <n v="178.52600000000001"/>
    <x v="1"/>
    <x v="0"/>
    <s v="Returning"/>
  </r>
  <r>
    <n v="1330"/>
    <n v="62"/>
    <s v="Male"/>
    <x v="1"/>
    <s v="Shirt"/>
    <n v="143.18"/>
    <x v="1"/>
    <s v="Card"/>
    <n v="2.8"/>
    <n v="24"/>
    <n v="7"/>
    <n v="108.8168"/>
    <x v="2"/>
    <x v="0"/>
    <s v="Returning"/>
  </r>
  <r>
    <n v="1331"/>
    <n v="47"/>
    <s v="Male"/>
    <x v="5"/>
    <s v="Mobile Phone"/>
    <n v="1170.3699999999999"/>
    <x v="0"/>
    <s v="Card"/>
    <n v="3.4"/>
    <n v="16"/>
    <n v="3"/>
    <n v="983.11079999999993"/>
    <x v="0"/>
    <x v="0"/>
    <s v="Returning"/>
  </r>
  <r>
    <n v="1332"/>
    <n v="25"/>
    <s v="Female"/>
    <x v="8"/>
    <s v="Dress"/>
    <n v="164.39"/>
    <x v="2"/>
    <s v="Card"/>
    <n v="3.6"/>
    <n v="18"/>
    <n v="4"/>
    <n v="134.7998"/>
    <x v="3"/>
    <x v="0"/>
    <s v="Returning"/>
  </r>
  <r>
    <n v="1333"/>
    <n v="56"/>
    <s v="Male"/>
    <x v="2"/>
    <s v="Yoga Mat"/>
    <n v="52.53"/>
    <x v="3"/>
    <s v="Cash on Delivery"/>
    <n v="3.1"/>
    <n v="14"/>
    <n v="2"/>
    <n v="45.175800000000002"/>
    <x v="0"/>
    <x v="0"/>
    <s v="Returning"/>
  </r>
  <r>
    <n v="1334"/>
    <n v="55"/>
    <s v="Female"/>
    <x v="7"/>
    <s v="Sandals"/>
    <n v="46.45"/>
    <x v="2"/>
    <s v="Card"/>
    <n v="4.9000000000000004"/>
    <n v="16"/>
    <n v="8"/>
    <n v="39.018000000000001"/>
    <x v="0"/>
    <x v="0"/>
    <s v="Returning"/>
  </r>
  <r>
    <n v="1335"/>
    <n v="34"/>
    <s v="Male"/>
    <x v="7"/>
    <s v="Sneakers"/>
    <n v="85.32"/>
    <x v="3"/>
    <s v="Cash on Delivery"/>
    <n v="4.8"/>
    <n v="15"/>
    <n v="5"/>
    <n v="72.521999999999991"/>
    <x v="4"/>
    <x v="0"/>
    <s v="Returning"/>
  </r>
  <r>
    <n v="1336"/>
    <n v="58"/>
    <s v="Male"/>
    <x v="5"/>
    <s v="Mobile Phone"/>
    <n v="1082.29"/>
    <x v="3"/>
    <s v="Card"/>
    <n v="3.2"/>
    <n v="8"/>
    <n v="4"/>
    <n v="995.70680000000004"/>
    <x v="0"/>
    <x v="0"/>
    <s v="Returning"/>
  </r>
  <r>
    <n v="1337"/>
    <n v="60"/>
    <s v="Female"/>
    <x v="0"/>
    <s v="Wallet"/>
    <n v="97.14"/>
    <x v="0"/>
    <s v="Cash on Delivery"/>
    <n v="3.3"/>
    <n v="17"/>
    <n v="6"/>
    <n v="80.626199999999997"/>
    <x v="0"/>
    <x v="0"/>
    <s v="Returning"/>
  </r>
  <r>
    <n v="1338"/>
    <n v="22"/>
    <s v="Female"/>
    <x v="8"/>
    <s v="Top"/>
    <n v="72.12"/>
    <x v="0"/>
    <s v="Cash on Delivery"/>
    <n v="2.4"/>
    <n v="8"/>
    <n v="4"/>
    <n v="66.350400000000008"/>
    <x v="3"/>
    <x v="0"/>
    <s v="Returning"/>
  </r>
  <r>
    <n v="1339"/>
    <n v="31"/>
    <s v="Female"/>
    <x v="8"/>
    <s v="Jeans"/>
    <n v="115.32"/>
    <x v="3"/>
    <s v="Card"/>
    <n v="2.6"/>
    <n v="12"/>
    <n v="6"/>
    <n v="101.4816"/>
    <x v="4"/>
    <x v="0"/>
    <s v="Returning"/>
  </r>
  <r>
    <n v="1340"/>
    <n v="51"/>
    <s v="Female"/>
    <x v="6"/>
    <s v="Skincare Kit"/>
    <n v="76.33"/>
    <x v="1"/>
    <s v="Card"/>
    <n v="4"/>
    <n v="9"/>
    <n v="2"/>
    <n v="69.460300000000004"/>
    <x v="0"/>
    <x v="0"/>
    <s v="Returning"/>
  </r>
  <r>
    <n v="1341"/>
    <n v="62"/>
    <s v="Male"/>
    <x v="1"/>
    <s v="Jacket"/>
    <n v="181.25"/>
    <x v="3"/>
    <s v="Card"/>
    <n v="2.8"/>
    <n v="21"/>
    <n v="8"/>
    <n v="143.1875"/>
    <x v="2"/>
    <x v="0"/>
    <s v="Returning"/>
  </r>
  <r>
    <n v="1342"/>
    <n v="62"/>
    <s v="Male"/>
    <x v="3"/>
    <s v="Kitchen Set"/>
    <n v="178.48"/>
    <x v="1"/>
    <s v="Card"/>
    <n v="2.9"/>
    <n v="20"/>
    <n v="5"/>
    <n v="142.78399999999999"/>
    <x v="2"/>
    <x v="0"/>
    <s v="Returning"/>
  </r>
  <r>
    <n v="1343"/>
    <n v="49"/>
    <s v="Male"/>
    <x v="2"/>
    <s v="Yoga Mat"/>
    <n v="28.95"/>
    <x v="3"/>
    <s v="Cash on Delivery"/>
    <n v="3.4"/>
    <n v="24"/>
    <n v="7"/>
    <n v="22.001999999999999"/>
    <x v="0"/>
    <x v="0"/>
    <s v="Returning"/>
  </r>
  <r>
    <n v="1344"/>
    <n v="55"/>
    <s v="Female"/>
    <x v="7"/>
    <s v="Sandals"/>
    <n v="96.28"/>
    <x v="1"/>
    <s v="Card"/>
    <n v="4"/>
    <n v="17"/>
    <n v="6"/>
    <n v="79.912399999999991"/>
    <x v="0"/>
    <x v="0"/>
    <s v="Returning"/>
  </r>
  <r>
    <n v="1345"/>
    <n v="36"/>
    <s v="Male"/>
    <x v="4"/>
    <s v="Cooking Oil"/>
    <n v="17.13"/>
    <x v="2"/>
    <s v="Cash on Delivery"/>
    <n v="2.9"/>
    <n v="9"/>
    <n v="2"/>
    <n v="15.5883"/>
    <x v="1"/>
    <x v="0"/>
    <s v="Returning"/>
  </r>
  <r>
    <n v="1346"/>
    <n v="41"/>
    <s v="Female"/>
    <x v="3"/>
    <s v="Kitchen Set"/>
    <n v="233.88"/>
    <x v="3"/>
    <s v="Card"/>
    <n v="4.4000000000000004"/>
    <n v="14"/>
    <n v="7"/>
    <n v="201.13679999999999"/>
    <x v="1"/>
    <x v="0"/>
    <s v="Returning"/>
  </r>
  <r>
    <n v="1347"/>
    <n v="33"/>
    <s v="Female"/>
    <x v="7"/>
    <s v="Sandals"/>
    <n v="125.68"/>
    <x v="2"/>
    <s v="Card"/>
    <n v="4.5"/>
    <n v="24"/>
    <n v="7"/>
    <n v="95.516800000000003"/>
    <x v="4"/>
    <x v="0"/>
    <s v="Returning"/>
  </r>
  <r>
    <n v="1348"/>
    <n v="22"/>
    <s v="Male"/>
    <x v="3"/>
    <s v="Lamp"/>
    <n v="132.30000000000001"/>
    <x v="0"/>
    <s v="Card"/>
    <n v="4.4000000000000004"/>
    <n v="8"/>
    <n v="4"/>
    <n v="121.71600000000002"/>
    <x v="3"/>
    <x v="0"/>
    <s v="Returning"/>
  </r>
  <r>
    <n v="1349"/>
    <n v="65"/>
    <s v="Female"/>
    <x v="8"/>
    <s v="Jeans"/>
    <n v="80.239999999999995"/>
    <x v="3"/>
    <s v="Card"/>
    <n v="3.3"/>
    <n v="6"/>
    <n v="3"/>
    <n v="75.425599999999989"/>
    <x v="2"/>
    <x v="0"/>
    <s v="Returning"/>
  </r>
  <r>
    <n v="1350"/>
    <n v="58"/>
    <s v="Female"/>
    <x v="8"/>
    <s v="Top"/>
    <n v="197.63"/>
    <x v="1"/>
    <s v="Card"/>
    <n v="4.2"/>
    <n v="30"/>
    <n v="10"/>
    <n v="138.34099999999998"/>
    <x v="0"/>
    <x v="0"/>
    <s v="Returning"/>
  </r>
  <r>
    <n v="1351"/>
    <n v="58"/>
    <s v="Male"/>
    <x v="2"/>
    <s v="Football"/>
    <n v="144"/>
    <x v="0"/>
    <s v="Card"/>
    <n v="4.4000000000000004"/>
    <n v="24"/>
    <n v="7"/>
    <n v="109.44"/>
    <x v="0"/>
    <x v="0"/>
    <s v="Returning"/>
  </r>
  <r>
    <n v="1352"/>
    <n v="67"/>
    <s v="Female"/>
    <x v="0"/>
    <s v="Sunglasses"/>
    <n v="173.81"/>
    <x v="3"/>
    <s v="Card"/>
    <n v="2.7"/>
    <n v="8"/>
    <n v="4"/>
    <n v="159.90520000000001"/>
    <x v="2"/>
    <x v="0"/>
    <s v="Returning"/>
  </r>
  <r>
    <n v="1353"/>
    <n v="54"/>
    <s v="Female"/>
    <x v="8"/>
    <s v="Dress"/>
    <n v="130.33000000000001"/>
    <x v="3"/>
    <s v="Card"/>
    <n v="3.9"/>
    <n v="16"/>
    <n v="8"/>
    <n v="109.47720000000001"/>
    <x v="0"/>
    <x v="0"/>
    <s v="Returning"/>
  </r>
  <r>
    <n v="1354"/>
    <n v="52"/>
    <s v="Female"/>
    <x v="0"/>
    <s v="Wallet"/>
    <n v="151.16999999999999"/>
    <x v="1"/>
    <s v="Card"/>
    <n v="2.7"/>
    <n v="21"/>
    <n v="8"/>
    <n v="119.4243"/>
    <x v="0"/>
    <x v="0"/>
    <s v="Returning"/>
  </r>
  <r>
    <n v="1355"/>
    <n v="43"/>
    <s v="Female"/>
    <x v="6"/>
    <s v="Skincare Kit"/>
    <n v="56.31"/>
    <x v="1"/>
    <s v="Cash on Delivery"/>
    <n v="5"/>
    <n v="6"/>
    <n v="3"/>
    <n v="52.931399999999996"/>
    <x v="1"/>
    <x v="0"/>
    <s v="Returning"/>
  </r>
  <r>
    <n v="1356"/>
    <n v="39"/>
    <s v="Female"/>
    <x v="7"/>
    <s v="Formal Shoes"/>
    <n v="79.95"/>
    <x v="3"/>
    <s v="Card"/>
    <n v="3.4"/>
    <n v="30"/>
    <n v="10"/>
    <n v="55.964999999999996"/>
    <x v="1"/>
    <x v="0"/>
    <s v="Returning"/>
  </r>
  <r>
    <n v="1357"/>
    <n v="60"/>
    <s v="Male"/>
    <x v="5"/>
    <s v="Smart Watch"/>
    <n v="1905.2"/>
    <x v="2"/>
    <s v="Card"/>
    <n v="3.3"/>
    <n v="21"/>
    <n v="8"/>
    <n v="1505.1080000000002"/>
    <x v="0"/>
    <x v="0"/>
    <s v="Returning"/>
  </r>
  <r>
    <n v="1358"/>
    <n v="30"/>
    <s v="Female"/>
    <x v="3"/>
    <s v="Kitchen Set"/>
    <n v="172.51"/>
    <x v="3"/>
    <s v="Card"/>
    <n v="2.4"/>
    <n v="22"/>
    <n v="6"/>
    <n v="134.55779999999999"/>
    <x v="4"/>
    <x v="0"/>
    <s v="Returning"/>
  </r>
  <r>
    <n v="1359"/>
    <n v="28"/>
    <s v="Female"/>
    <x v="7"/>
    <s v="Sneakers"/>
    <n v="162.07"/>
    <x v="1"/>
    <s v="Card"/>
    <n v="2.7"/>
    <n v="11"/>
    <n v="3"/>
    <n v="144.2423"/>
    <x v="4"/>
    <x v="0"/>
    <s v="Returning"/>
  </r>
  <r>
    <n v="1360"/>
    <n v="60"/>
    <s v="Female"/>
    <x v="8"/>
    <s v="Dress"/>
    <n v="75.11"/>
    <x v="3"/>
    <s v="Card"/>
    <n v="4"/>
    <n v="12"/>
    <n v="6"/>
    <n v="66.096800000000002"/>
    <x v="0"/>
    <x v="0"/>
    <s v="Returning"/>
  </r>
  <r>
    <n v="1361"/>
    <n v="52"/>
    <s v="Female"/>
    <x v="4"/>
    <s v="Cooking Oil"/>
    <n v="66.05"/>
    <x v="3"/>
    <s v="Cash on Delivery"/>
    <n v="3.7"/>
    <n v="10"/>
    <n v="5"/>
    <n v="59.445"/>
    <x v="0"/>
    <x v="0"/>
    <s v="Returning"/>
  </r>
  <r>
    <n v="1362"/>
    <n v="32"/>
    <s v="Male"/>
    <x v="2"/>
    <s v="Football"/>
    <n v="136.35"/>
    <x v="1"/>
    <s v="Card"/>
    <n v="3.3"/>
    <n v="16"/>
    <n v="3"/>
    <n v="114.53399999999999"/>
    <x v="4"/>
    <x v="0"/>
    <s v="Returning"/>
  </r>
  <r>
    <n v="1363"/>
    <n v="39"/>
    <s v="Female"/>
    <x v="6"/>
    <s v="Makeup Set"/>
    <n v="141.19"/>
    <x v="2"/>
    <s v="Card"/>
    <n v="1.5"/>
    <n v="14"/>
    <n v="7"/>
    <n v="121.4234"/>
    <x v="1"/>
    <x v="0"/>
    <s v="Returning"/>
  </r>
  <r>
    <n v="1364"/>
    <n v="42"/>
    <s v="Female"/>
    <x v="7"/>
    <s v="Formal Shoes"/>
    <n v="76.55"/>
    <x v="0"/>
    <s v="Cash on Delivery"/>
    <n v="3.6"/>
    <n v="15"/>
    <n v="5"/>
    <n v="65.067499999999995"/>
    <x v="1"/>
    <x v="0"/>
    <s v="Returning"/>
  </r>
  <r>
    <n v="1365"/>
    <n v="52"/>
    <s v="Male"/>
    <x v="7"/>
    <s v="Formal Shoes"/>
    <n v="248.92"/>
    <x v="1"/>
    <s v="Card"/>
    <n v="3.4"/>
    <n v="13"/>
    <n v="4"/>
    <n v="216.56039999999999"/>
    <x v="0"/>
    <x v="0"/>
    <s v="Returning"/>
  </r>
  <r>
    <n v="1366"/>
    <n v="54"/>
    <s v="Male"/>
    <x v="7"/>
    <s v="Sneakers"/>
    <n v="247.98"/>
    <x v="1"/>
    <s v="Card"/>
    <n v="3.6"/>
    <n v="10"/>
    <n v="5"/>
    <n v="223.18199999999999"/>
    <x v="0"/>
    <x v="0"/>
    <s v="Returning"/>
  </r>
  <r>
    <n v="1367"/>
    <n v="64"/>
    <s v="Male"/>
    <x v="5"/>
    <s v="Smart Watch"/>
    <n v="1925.6"/>
    <x v="1"/>
    <s v="Card"/>
    <n v="2.6"/>
    <n v="13"/>
    <n v="4"/>
    <n v="1675.2719999999999"/>
    <x v="2"/>
    <x v="0"/>
    <s v="Returning"/>
  </r>
  <r>
    <n v="1368"/>
    <n v="51"/>
    <s v="Male"/>
    <x v="2"/>
    <s v="Dumbbells"/>
    <n v="139.66"/>
    <x v="2"/>
    <s v="Card"/>
    <n v="3.6"/>
    <n v="9"/>
    <n v="2"/>
    <n v="127.09059999999999"/>
    <x v="0"/>
    <x v="0"/>
    <s v="Returning"/>
  </r>
  <r>
    <n v="1369"/>
    <n v="65"/>
    <s v="Male"/>
    <x v="1"/>
    <s v="Jeans"/>
    <n v="199.78"/>
    <x v="0"/>
    <s v="Card"/>
    <n v="3.5"/>
    <n v="15"/>
    <n v="5"/>
    <n v="169.81299999999999"/>
    <x v="2"/>
    <x v="0"/>
    <s v="Returning"/>
  </r>
  <r>
    <n v="1370"/>
    <n v="22"/>
    <s v="Female"/>
    <x v="6"/>
    <s v="Skincare Kit"/>
    <n v="45.19"/>
    <x v="3"/>
    <s v="Card"/>
    <n v="4.7"/>
    <n v="12"/>
    <n v="6"/>
    <n v="39.767199999999995"/>
    <x v="3"/>
    <x v="0"/>
    <s v="Returning"/>
  </r>
  <r>
    <n v="1371"/>
    <n v="30"/>
    <s v="Female"/>
    <x v="7"/>
    <s v="Sneakers"/>
    <n v="206.49"/>
    <x v="3"/>
    <s v="Card"/>
    <n v="3.6"/>
    <n v="20"/>
    <n v="5"/>
    <n v="165.19200000000001"/>
    <x v="4"/>
    <x v="0"/>
    <s v="Returning"/>
  </r>
  <r>
    <n v="1372"/>
    <n v="52"/>
    <s v="Male"/>
    <x v="5"/>
    <s v="Mobile Phone"/>
    <n v="1357.56"/>
    <x v="0"/>
    <s v="Card"/>
    <n v="5"/>
    <n v="16"/>
    <n v="8"/>
    <n v="1140.3503999999998"/>
    <x v="0"/>
    <x v="0"/>
    <s v="Returning"/>
  </r>
  <r>
    <n v="1373"/>
    <n v="26"/>
    <s v="Female"/>
    <x v="7"/>
    <s v="Sneakers"/>
    <n v="160.69"/>
    <x v="0"/>
    <s v="Card"/>
    <n v="4.3"/>
    <n v="15"/>
    <n v="5"/>
    <n v="136.5865"/>
    <x v="4"/>
    <x v="0"/>
    <s v="Returning"/>
  </r>
  <r>
    <n v="1374"/>
    <n v="29"/>
    <s v="Female"/>
    <x v="2"/>
    <s v="Yoga Mat"/>
    <n v="239.09"/>
    <x v="3"/>
    <s v="Card"/>
    <n v="4"/>
    <n v="6"/>
    <n v="3"/>
    <n v="224.74459999999999"/>
    <x v="4"/>
    <x v="0"/>
    <s v="Returning"/>
  </r>
  <r>
    <n v="1375"/>
    <n v="61"/>
    <s v="Male"/>
    <x v="5"/>
    <s v="Headphones"/>
    <n v="2519.73"/>
    <x v="3"/>
    <s v="Card"/>
    <n v="3.5"/>
    <n v="20"/>
    <n v="5"/>
    <n v="2015.7840000000001"/>
    <x v="2"/>
    <x v="0"/>
    <s v="Returning"/>
  </r>
  <r>
    <n v="1376"/>
    <n v="62"/>
    <s v="Female"/>
    <x v="7"/>
    <s v="Formal Shoes"/>
    <n v="218.99"/>
    <x v="0"/>
    <s v="Card"/>
    <n v="3.6"/>
    <n v="16"/>
    <n v="3"/>
    <n v="183.95160000000001"/>
    <x v="2"/>
    <x v="0"/>
    <s v="Returning"/>
  </r>
  <r>
    <n v="1377"/>
    <n v="64"/>
    <s v="Male"/>
    <x v="7"/>
    <s v="Formal Shoes"/>
    <n v="244.01"/>
    <x v="1"/>
    <s v="Card"/>
    <n v="4.0999999999999996"/>
    <n v="15"/>
    <n v="5"/>
    <n v="207.40849999999998"/>
    <x v="2"/>
    <x v="0"/>
    <s v="Returning"/>
  </r>
  <r>
    <n v="1378"/>
    <n v="31"/>
    <s v="Female"/>
    <x v="3"/>
    <s v="Lamp"/>
    <n v="140.22999999999999"/>
    <x v="0"/>
    <s v="Card"/>
    <n v="3"/>
    <n v="9"/>
    <n v="2"/>
    <n v="127.60929999999999"/>
    <x v="4"/>
    <x v="0"/>
    <s v="Returning"/>
  </r>
  <r>
    <n v="1379"/>
    <n v="49"/>
    <s v="Male"/>
    <x v="5"/>
    <s v="Smart Watch"/>
    <n v="2191.92"/>
    <x v="3"/>
    <s v="Card"/>
    <n v="2.8"/>
    <n v="13"/>
    <n v="4"/>
    <n v="1906.9704000000002"/>
    <x v="0"/>
    <x v="0"/>
    <s v="Returning"/>
  </r>
  <r>
    <n v="1380"/>
    <n v="46"/>
    <s v="Female"/>
    <x v="3"/>
    <s v="Curtains"/>
    <n v="145.72999999999999"/>
    <x v="0"/>
    <s v="Card"/>
    <n v="2.7"/>
    <n v="14"/>
    <n v="2"/>
    <n v="125.3278"/>
    <x v="0"/>
    <x v="0"/>
    <s v="Returning"/>
  </r>
  <r>
    <n v="1381"/>
    <n v="32"/>
    <s v="Female"/>
    <x v="8"/>
    <s v="Top"/>
    <n v="194.29"/>
    <x v="3"/>
    <s v="Card"/>
    <n v="3.6"/>
    <n v="10"/>
    <n v="5"/>
    <n v="174.86099999999999"/>
    <x v="4"/>
    <x v="0"/>
    <s v="Returning"/>
  </r>
  <r>
    <n v="1382"/>
    <n v="29"/>
    <s v="Male"/>
    <x v="3"/>
    <s v="Curtains"/>
    <n v="219.13"/>
    <x v="3"/>
    <s v="Card"/>
    <n v="2.8"/>
    <n v="20"/>
    <n v="5"/>
    <n v="175.304"/>
    <x v="4"/>
    <x v="0"/>
    <s v="Returning"/>
  </r>
  <r>
    <n v="1383"/>
    <n v="53"/>
    <s v="Female"/>
    <x v="6"/>
    <s v="Perfume"/>
    <n v="73"/>
    <x v="0"/>
    <s v="Card"/>
    <n v="2.8"/>
    <n v="18"/>
    <n v="4"/>
    <n v="59.860000000000007"/>
    <x v="0"/>
    <x v="0"/>
    <s v="Returning"/>
  </r>
  <r>
    <n v="1384"/>
    <n v="56"/>
    <s v="Male"/>
    <x v="2"/>
    <s v="Yoga Mat"/>
    <n v="206.69"/>
    <x v="3"/>
    <s v="Card"/>
    <n v="4.0999999999999996"/>
    <n v="15"/>
    <n v="5"/>
    <n v="175.6865"/>
    <x v="0"/>
    <x v="0"/>
    <s v="Returning"/>
  </r>
  <r>
    <n v="1385"/>
    <n v="49"/>
    <s v="Male"/>
    <x v="7"/>
    <s v="Sandals"/>
    <n v="171.39"/>
    <x v="2"/>
    <s v="Card"/>
    <n v="5"/>
    <n v="13"/>
    <n v="4"/>
    <n v="149.10929999999999"/>
    <x v="0"/>
    <x v="0"/>
    <s v="Returning"/>
  </r>
  <r>
    <n v="1386"/>
    <n v="49"/>
    <s v="Female"/>
    <x v="3"/>
    <s v="Lamp"/>
    <n v="281.41000000000003"/>
    <x v="0"/>
    <s v="Card"/>
    <n v="4.5999999999999996"/>
    <n v="10"/>
    <n v="5"/>
    <n v="253.26900000000003"/>
    <x v="0"/>
    <x v="0"/>
    <s v="Returning"/>
  </r>
  <r>
    <n v="1387"/>
    <n v="42"/>
    <s v="Male"/>
    <x v="4"/>
    <s v="Cooking Oil"/>
    <n v="65.66"/>
    <x v="3"/>
    <s v="Cash on Delivery"/>
    <n v="3.1"/>
    <n v="20"/>
    <n v="5"/>
    <n v="52.527999999999999"/>
    <x v="1"/>
    <x v="0"/>
    <s v="Returning"/>
  </r>
  <r>
    <n v="1388"/>
    <n v="66"/>
    <s v="Male"/>
    <x v="1"/>
    <s v="T-Shirt"/>
    <n v="117.92"/>
    <x v="3"/>
    <s v="Card"/>
    <n v="3.1"/>
    <n v="18"/>
    <n v="9"/>
    <n v="96.694400000000002"/>
    <x v="2"/>
    <x v="0"/>
    <s v="Returning"/>
  </r>
  <r>
    <n v="1389"/>
    <n v="57"/>
    <s v="Female"/>
    <x v="0"/>
    <s v="Wallet"/>
    <n v="85.12"/>
    <x v="0"/>
    <s v="Cash on Delivery"/>
    <n v="3"/>
    <n v="10"/>
    <n v="5"/>
    <n v="76.608000000000004"/>
    <x v="0"/>
    <x v="0"/>
    <s v="Returning"/>
  </r>
  <r>
    <n v="1390"/>
    <n v="21"/>
    <s v="Male"/>
    <x v="5"/>
    <s v="Headphones"/>
    <n v="522.74"/>
    <x v="3"/>
    <s v="Card"/>
    <n v="4.8"/>
    <n v="24"/>
    <n v="7"/>
    <n v="397.2824"/>
    <x v="3"/>
    <x v="0"/>
    <s v="Returning"/>
  </r>
  <r>
    <n v="1391"/>
    <n v="70"/>
    <s v="Male"/>
    <x v="2"/>
    <s v="Dumbbells"/>
    <n v="146.30000000000001"/>
    <x v="3"/>
    <s v="Card"/>
    <n v="3.3"/>
    <n v="20"/>
    <n v="5"/>
    <n v="117.04000000000002"/>
    <x v="2"/>
    <x v="0"/>
    <s v="Returning"/>
  </r>
  <r>
    <n v="1392"/>
    <n v="57"/>
    <s v="Male"/>
    <x v="7"/>
    <s v="Sneakers"/>
    <n v="188.81"/>
    <x v="1"/>
    <s v="Card"/>
    <n v="4.0999999999999996"/>
    <n v="11"/>
    <n v="3"/>
    <n v="168.04089999999999"/>
    <x v="0"/>
    <x v="0"/>
    <s v="Returning"/>
  </r>
  <r>
    <n v="1393"/>
    <n v="24"/>
    <s v="Male"/>
    <x v="5"/>
    <s v="Smart Watch"/>
    <n v="973.64"/>
    <x v="0"/>
    <s v="Card"/>
    <n v="4.3"/>
    <n v="16"/>
    <n v="3"/>
    <n v="817.85759999999993"/>
    <x v="3"/>
    <x v="0"/>
    <s v="Returning"/>
  </r>
  <r>
    <n v="1394"/>
    <n v="61"/>
    <s v="Male"/>
    <x v="5"/>
    <s v="Mobile Phone"/>
    <n v="1496.01"/>
    <x v="2"/>
    <s v="Card"/>
    <n v="4"/>
    <n v="13"/>
    <n v="4"/>
    <n v="1301.5287000000001"/>
    <x v="2"/>
    <x v="0"/>
    <s v="Returning"/>
  </r>
  <r>
    <n v="1395"/>
    <n v="56"/>
    <s v="Female"/>
    <x v="7"/>
    <s v="Formal Shoes"/>
    <n v="228.28"/>
    <x v="3"/>
    <s v="Card"/>
    <n v="4.0999999999999996"/>
    <n v="6"/>
    <n v="3"/>
    <n v="214.58319999999998"/>
    <x v="0"/>
    <x v="0"/>
    <s v="Returning"/>
  </r>
  <r>
    <n v="1396"/>
    <n v="40"/>
    <s v="Female"/>
    <x v="0"/>
    <s v="Sunglasses"/>
    <n v="119.97"/>
    <x v="3"/>
    <s v="Card"/>
    <n v="4"/>
    <n v="13"/>
    <n v="4"/>
    <n v="104.37389999999999"/>
    <x v="1"/>
    <x v="0"/>
    <s v="Returning"/>
  </r>
  <r>
    <n v="1397"/>
    <n v="23"/>
    <s v="Female"/>
    <x v="8"/>
    <s v="Jeans"/>
    <n v="123.01"/>
    <x v="1"/>
    <s v="Card"/>
    <n v="3.9"/>
    <n v="17"/>
    <n v="6"/>
    <n v="102.09829999999999"/>
    <x v="3"/>
    <x v="0"/>
    <s v="Returning"/>
  </r>
  <r>
    <n v="1398"/>
    <n v="43"/>
    <s v="Female"/>
    <x v="0"/>
    <s v="Handbag"/>
    <n v="162.25"/>
    <x v="1"/>
    <s v="Card"/>
    <n v="4.2"/>
    <n v="6"/>
    <n v="3"/>
    <n v="152.51499999999999"/>
    <x v="1"/>
    <x v="0"/>
    <s v="Returning"/>
  </r>
  <r>
    <n v="1399"/>
    <n v="54"/>
    <s v="Female"/>
    <x v="7"/>
    <s v="Sneakers"/>
    <n v="194.79"/>
    <x v="2"/>
    <s v="Card"/>
    <n v="2.2000000000000002"/>
    <n v="16"/>
    <n v="8"/>
    <n v="163.62359999999998"/>
    <x v="0"/>
    <x v="0"/>
    <s v="Returning"/>
  </r>
  <r>
    <n v="1400"/>
    <n v="50"/>
    <s v="Male"/>
    <x v="2"/>
    <s v="Dumbbells"/>
    <n v="126.38"/>
    <x v="0"/>
    <s v="Card"/>
    <n v="3.4"/>
    <n v="6"/>
    <n v="3"/>
    <n v="118.79719999999999"/>
    <x v="0"/>
    <x v="0"/>
    <s v="Returning"/>
  </r>
  <r>
    <n v="1401"/>
    <n v="67"/>
    <s v="Female"/>
    <x v="7"/>
    <s v="Sandals"/>
    <n v="246.6"/>
    <x v="1"/>
    <s v="Card"/>
    <n v="4.8"/>
    <n v="15"/>
    <n v="5"/>
    <n v="209.60999999999999"/>
    <x v="2"/>
    <x v="0"/>
    <s v="Returning"/>
  </r>
  <r>
    <n v="1402"/>
    <n v="59"/>
    <s v="Male"/>
    <x v="1"/>
    <s v="Shirt"/>
    <n v="116.03"/>
    <x v="1"/>
    <s v="Card"/>
    <n v="2.6"/>
    <n v="7"/>
    <n v="1"/>
    <n v="107.9079"/>
    <x v="0"/>
    <x v="0"/>
    <s v="Returning"/>
  </r>
  <r>
    <n v="1403"/>
    <n v="21"/>
    <s v="Female"/>
    <x v="0"/>
    <s v="Wallet"/>
    <n v="157.32"/>
    <x v="2"/>
    <s v="Card"/>
    <n v="3.1"/>
    <n v="18"/>
    <n v="4"/>
    <n v="129.00239999999999"/>
    <x v="3"/>
    <x v="0"/>
    <s v="Returning"/>
  </r>
  <r>
    <n v="1404"/>
    <n v="26"/>
    <s v="Female"/>
    <x v="6"/>
    <s v="Makeup Set"/>
    <n v="96.17"/>
    <x v="3"/>
    <s v="Cash on Delivery"/>
    <n v="3.5"/>
    <n v="15"/>
    <n v="5"/>
    <n v="81.744500000000002"/>
    <x v="4"/>
    <x v="0"/>
    <s v="Returning"/>
  </r>
  <r>
    <n v="1405"/>
    <n v="21"/>
    <s v="Female"/>
    <x v="7"/>
    <s v="Sneakers"/>
    <n v="103.99"/>
    <x v="1"/>
    <s v="Card"/>
    <n v="4.3"/>
    <n v="11"/>
    <n v="3"/>
    <n v="92.551099999999991"/>
    <x v="3"/>
    <x v="0"/>
    <s v="Returning"/>
  </r>
  <r>
    <n v="1406"/>
    <n v="57"/>
    <s v="Male"/>
    <x v="5"/>
    <s v="Smart Watch"/>
    <n v="629.5"/>
    <x v="1"/>
    <s v="Card"/>
    <n v="3.7"/>
    <n v="15"/>
    <n v="5"/>
    <n v="535.07499999999993"/>
    <x v="0"/>
    <x v="0"/>
    <s v="Returning"/>
  </r>
  <r>
    <n v="1407"/>
    <n v="23"/>
    <s v="Male"/>
    <x v="5"/>
    <s v="Smart Watch"/>
    <n v="1444.5"/>
    <x v="1"/>
    <s v="Card"/>
    <n v="3.2"/>
    <n v="14"/>
    <n v="2"/>
    <n v="1242.27"/>
    <x v="3"/>
    <x v="0"/>
    <s v="Returning"/>
  </r>
  <r>
    <n v="1408"/>
    <n v="57"/>
    <s v="Male"/>
    <x v="1"/>
    <s v="Jacket"/>
    <n v="36.46"/>
    <x v="3"/>
    <s v="Card"/>
    <n v="2.6"/>
    <n v="4"/>
    <n v="2"/>
    <n v="35.001599999999996"/>
    <x v="0"/>
    <x v="0"/>
    <s v="Returning"/>
  </r>
  <r>
    <n v="1409"/>
    <n v="31"/>
    <s v="Female"/>
    <x v="6"/>
    <s v="Perfume"/>
    <n v="80.36"/>
    <x v="3"/>
    <s v="Cash on Delivery"/>
    <n v="4.5"/>
    <n v="17"/>
    <n v="6"/>
    <n v="66.698799999999991"/>
    <x v="4"/>
    <x v="0"/>
    <s v="Returning"/>
  </r>
  <r>
    <n v="1410"/>
    <n v="57"/>
    <s v="Male"/>
    <x v="5"/>
    <s v="Headphones"/>
    <n v="2547.41"/>
    <x v="1"/>
    <s v="Card"/>
    <n v="3.7"/>
    <n v="16"/>
    <n v="3"/>
    <n v="2139.8244"/>
    <x v="0"/>
    <x v="0"/>
    <s v="Returning"/>
  </r>
  <r>
    <n v="1411"/>
    <n v="55"/>
    <s v="Female"/>
    <x v="7"/>
    <s v="Sneakers"/>
    <n v="75.06"/>
    <x v="3"/>
    <s v="Card"/>
    <n v="3.9"/>
    <n v="12"/>
    <n v="1"/>
    <n v="66.052800000000005"/>
    <x v="0"/>
    <x v="0"/>
    <s v="Returning"/>
  </r>
  <r>
    <n v="1412"/>
    <n v="47"/>
    <s v="Female"/>
    <x v="6"/>
    <s v="Skincare Kit"/>
    <n v="42.38"/>
    <x v="3"/>
    <s v="Cash on Delivery"/>
    <n v="3.4"/>
    <n v="17"/>
    <n v="6"/>
    <n v="35.175400000000003"/>
    <x v="0"/>
    <x v="0"/>
    <s v="Returning"/>
  </r>
  <r>
    <n v="1413"/>
    <n v="52"/>
    <s v="Female"/>
    <x v="6"/>
    <s v="Skincare Kit"/>
    <n v="134.53"/>
    <x v="0"/>
    <s v="Card"/>
    <n v="3.8"/>
    <n v="26"/>
    <n v="8"/>
    <n v="99.552199999999999"/>
    <x v="0"/>
    <x v="0"/>
    <s v="Returning"/>
  </r>
  <r>
    <n v="1414"/>
    <n v="23"/>
    <s v="Male"/>
    <x v="7"/>
    <s v="Formal Shoes"/>
    <n v="214.52"/>
    <x v="3"/>
    <s v="Card"/>
    <n v="2.6"/>
    <n v="4"/>
    <n v="2"/>
    <n v="205.9392"/>
    <x v="3"/>
    <x v="0"/>
    <s v="Returning"/>
  </r>
  <r>
    <n v="1415"/>
    <n v="24"/>
    <s v="Female"/>
    <x v="6"/>
    <s v="Skincare Kit"/>
    <n v="42.87"/>
    <x v="1"/>
    <s v="Card"/>
    <n v="3.6"/>
    <n v="15"/>
    <n v="5"/>
    <n v="36.439499999999995"/>
    <x v="3"/>
    <x v="0"/>
    <s v="Returning"/>
  </r>
  <r>
    <n v="1416"/>
    <n v="22"/>
    <s v="Male"/>
    <x v="2"/>
    <s v="Football"/>
    <n v="180.61"/>
    <x v="1"/>
    <s v="Card"/>
    <n v="3"/>
    <n v="15"/>
    <n v="5"/>
    <n v="153.51850000000002"/>
    <x v="3"/>
    <x v="0"/>
    <s v="Returning"/>
  </r>
  <r>
    <n v="1417"/>
    <n v="52"/>
    <s v="Male"/>
    <x v="7"/>
    <s v="Sandals"/>
    <n v="161.19999999999999"/>
    <x v="2"/>
    <s v="Card"/>
    <n v="3.1"/>
    <n v="4"/>
    <n v="2"/>
    <n v="154.75199999999998"/>
    <x v="0"/>
    <x v="0"/>
    <s v="Returning"/>
  </r>
  <r>
    <n v="1418"/>
    <n v="49"/>
    <s v="Female"/>
    <x v="2"/>
    <s v="Dumbbells"/>
    <n v="166.73"/>
    <x v="1"/>
    <s v="Card"/>
    <n v="2.2999999999999998"/>
    <n v="15"/>
    <n v="5"/>
    <n v="141.72049999999999"/>
    <x v="0"/>
    <x v="0"/>
    <s v="Returning"/>
  </r>
  <r>
    <n v="1419"/>
    <n v="29"/>
    <s v="Female"/>
    <x v="7"/>
    <s v="Sandals"/>
    <n v="102.67"/>
    <x v="1"/>
    <s v="Card"/>
    <n v="3"/>
    <n v="6"/>
    <n v="3"/>
    <n v="96.509799999999998"/>
    <x v="4"/>
    <x v="0"/>
    <s v="Returning"/>
  </r>
  <r>
    <n v="1420"/>
    <n v="54"/>
    <s v="Male"/>
    <x v="5"/>
    <s v="Laptop"/>
    <n v="999.76"/>
    <x v="2"/>
    <s v="Card"/>
    <n v="4"/>
    <n v="8"/>
    <n v="4"/>
    <n v="919.77920000000006"/>
    <x v="0"/>
    <x v="0"/>
    <s v="Returning"/>
  </r>
  <r>
    <n v="1421"/>
    <n v="31"/>
    <s v="Male"/>
    <x v="2"/>
    <s v="Football"/>
    <n v="112.39"/>
    <x v="1"/>
    <s v="Card"/>
    <n v="4.7"/>
    <n v="26"/>
    <n v="8"/>
    <n v="83.168599999999998"/>
    <x v="4"/>
    <x v="0"/>
    <s v="Returning"/>
  </r>
  <r>
    <n v="1422"/>
    <n v="54"/>
    <s v="Male"/>
    <x v="1"/>
    <s v="Jacket"/>
    <n v="161.28"/>
    <x v="2"/>
    <s v="Card"/>
    <n v="3.4"/>
    <n v="16"/>
    <n v="3"/>
    <n v="135.4752"/>
    <x v="0"/>
    <x v="0"/>
    <s v="Returning"/>
  </r>
  <r>
    <n v="1423"/>
    <n v="32"/>
    <s v="Male"/>
    <x v="4"/>
    <s v="Snacks"/>
    <n v="31.93"/>
    <x v="2"/>
    <s v="Cash on Delivery"/>
    <n v="4.3"/>
    <n v="9"/>
    <n v="2"/>
    <n v="29.0563"/>
    <x v="4"/>
    <x v="0"/>
    <s v="Returning"/>
  </r>
  <r>
    <n v="1424"/>
    <n v="26"/>
    <s v="Female"/>
    <x v="8"/>
    <s v="Top"/>
    <n v="53"/>
    <x v="1"/>
    <s v="Cash on Delivery"/>
    <n v="4.4000000000000004"/>
    <n v="12"/>
    <n v="6"/>
    <n v="46.64"/>
    <x v="4"/>
    <x v="0"/>
    <s v="Returning"/>
  </r>
  <r>
    <n v="1425"/>
    <n v="22"/>
    <s v="Female"/>
    <x v="8"/>
    <s v="Top"/>
    <n v="64.8"/>
    <x v="0"/>
    <s v="Cash on Delivery"/>
    <n v="2.7"/>
    <n v="19"/>
    <n v="7"/>
    <n v="52.488"/>
    <x v="3"/>
    <x v="0"/>
    <s v="Returning"/>
  </r>
  <r>
    <n v="1426"/>
    <n v="61"/>
    <s v="Female"/>
    <x v="3"/>
    <s v="Kitchen Set"/>
    <n v="74.16"/>
    <x v="3"/>
    <s v="Cash on Delivery"/>
    <n v="4.8"/>
    <n v="18"/>
    <n v="4"/>
    <n v="60.811199999999999"/>
    <x v="2"/>
    <x v="0"/>
    <s v="Returning"/>
  </r>
  <r>
    <n v="1427"/>
    <n v="67"/>
    <s v="Male"/>
    <x v="2"/>
    <s v="Dumbbells"/>
    <n v="238.74"/>
    <x v="2"/>
    <s v="Card"/>
    <n v="3.4"/>
    <n v="26"/>
    <n v="8"/>
    <n v="176.66759999999999"/>
    <x v="2"/>
    <x v="0"/>
    <s v="Returning"/>
  </r>
  <r>
    <n v="1428"/>
    <n v="28"/>
    <s v="Male"/>
    <x v="1"/>
    <s v="Jacket"/>
    <n v="30.21"/>
    <x v="2"/>
    <s v="Card"/>
    <n v="3.7"/>
    <n v="14"/>
    <n v="2"/>
    <n v="25.980599999999999"/>
    <x v="4"/>
    <x v="0"/>
    <s v="Returning"/>
  </r>
  <r>
    <n v="1429"/>
    <n v="20"/>
    <s v="Female"/>
    <x v="7"/>
    <s v="Formal Shoes"/>
    <n v="200.62"/>
    <x v="0"/>
    <s v="Card"/>
    <n v="4.5999999999999996"/>
    <n v="12"/>
    <n v="6"/>
    <n v="176.54560000000001"/>
    <x v="3"/>
    <x v="0"/>
    <s v="Returning"/>
  </r>
  <r>
    <n v="1430"/>
    <n v="25"/>
    <s v="Male"/>
    <x v="2"/>
    <s v="Dumbbells"/>
    <n v="238.55"/>
    <x v="1"/>
    <s v="Card"/>
    <n v="4"/>
    <n v="12"/>
    <n v="6"/>
    <n v="209.92400000000001"/>
    <x v="3"/>
    <x v="0"/>
    <s v="Returning"/>
  </r>
  <r>
    <n v="1431"/>
    <n v="28"/>
    <s v="Female"/>
    <x v="8"/>
    <s v="Dress"/>
    <n v="159.04"/>
    <x v="1"/>
    <s v="Card"/>
    <n v="4.8"/>
    <n v="26"/>
    <n v="8"/>
    <n v="117.6896"/>
    <x v="4"/>
    <x v="0"/>
    <s v="Returning"/>
  </r>
  <r>
    <n v="1432"/>
    <n v="21"/>
    <s v="Male"/>
    <x v="4"/>
    <s v="Rice Pack"/>
    <n v="63.05"/>
    <x v="0"/>
    <s v="Cash on Delivery"/>
    <n v="4.3"/>
    <n v="21"/>
    <n v="8"/>
    <n v="49.8095"/>
    <x v="3"/>
    <x v="0"/>
    <s v="Returning"/>
  </r>
  <r>
    <n v="1433"/>
    <n v="35"/>
    <s v="Male"/>
    <x v="5"/>
    <s v="Smart Watch"/>
    <n v="2360.5"/>
    <x v="3"/>
    <s v="Card"/>
    <n v="4.4000000000000004"/>
    <n v="12"/>
    <n v="6"/>
    <n v="2077.2400000000002"/>
    <x v="4"/>
    <x v="0"/>
    <s v="Returning"/>
  </r>
  <r>
    <n v="1434"/>
    <n v="23"/>
    <s v="Female"/>
    <x v="8"/>
    <s v="Top"/>
    <n v="104.09"/>
    <x v="1"/>
    <s v="Card"/>
    <n v="3.8"/>
    <n v="16"/>
    <n v="8"/>
    <n v="87.435599999999994"/>
    <x v="3"/>
    <x v="0"/>
    <s v="Returning"/>
  </r>
  <r>
    <n v="1435"/>
    <n v="52"/>
    <s v="Female"/>
    <x v="2"/>
    <s v="Football"/>
    <n v="245.46"/>
    <x v="1"/>
    <s v="Card"/>
    <n v="5"/>
    <n v="19"/>
    <n v="7"/>
    <n v="198.82260000000002"/>
    <x v="0"/>
    <x v="0"/>
    <s v="Returning"/>
  </r>
  <r>
    <n v="1436"/>
    <n v="68"/>
    <s v="Male"/>
    <x v="1"/>
    <s v="Jeans"/>
    <n v="175.43"/>
    <x v="3"/>
    <s v="Card"/>
    <n v="3.7"/>
    <n v="10"/>
    <n v="5"/>
    <n v="157.887"/>
    <x v="2"/>
    <x v="0"/>
    <s v="Returning"/>
  </r>
  <r>
    <n v="1437"/>
    <n v="55"/>
    <s v="Female"/>
    <x v="0"/>
    <s v="Sunglasses"/>
    <n v="169.49"/>
    <x v="2"/>
    <s v="Card"/>
    <n v="3.6"/>
    <n v="18"/>
    <n v="4"/>
    <n v="138.98180000000002"/>
    <x v="0"/>
    <x v="0"/>
    <s v="Returning"/>
  </r>
  <r>
    <n v="1438"/>
    <n v="59"/>
    <s v="Female"/>
    <x v="6"/>
    <s v="Skincare Kit"/>
    <n v="101.48"/>
    <x v="2"/>
    <s v="Card"/>
    <n v="4.3"/>
    <n v="4"/>
    <n v="2"/>
    <n v="97.4208"/>
    <x v="0"/>
    <x v="0"/>
    <s v="Returning"/>
  </r>
  <r>
    <n v="1439"/>
    <n v="22"/>
    <s v="Male"/>
    <x v="5"/>
    <s v="Laptop"/>
    <n v="2140.58"/>
    <x v="2"/>
    <s v="Card"/>
    <n v="3.5"/>
    <n v="18"/>
    <n v="4"/>
    <n v="1755.2756000000002"/>
    <x v="3"/>
    <x v="0"/>
    <s v="Returning"/>
  </r>
  <r>
    <n v="1440"/>
    <n v="47"/>
    <s v="Male"/>
    <x v="2"/>
    <s v="Football"/>
    <n v="203.57"/>
    <x v="0"/>
    <s v="Card"/>
    <n v="3.7"/>
    <n v="16"/>
    <n v="3"/>
    <n v="170.99879999999999"/>
    <x v="0"/>
    <x v="0"/>
    <s v="Returning"/>
  </r>
  <r>
    <n v="1441"/>
    <n v="40"/>
    <s v="Female"/>
    <x v="8"/>
    <s v="Top"/>
    <n v="139.26"/>
    <x v="1"/>
    <s v="Card"/>
    <n v="3.3"/>
    <n v="24"/>
    <n v="7"/>
    <n v="105.83759999999999"/>
    <x v="1"/>
    <x v="0"/>
    <s v="Returning"/>
  </r>
  <r>
    <n v="1442"/>
    <n v="67"/>
    <s v="Female"/>
    <x v="8"/>
    <s v="Top"/>
    <n v="67.400000000000006"/>
    <x v="1"/>
    <s v="Cash on Delivery"/>
    <n v="3.3"/>
    <n v="22"/>
    <n v="6"/>
    <n v="52.572000000000003"/>
    <x v="2"/>
    <x v="0"/>
    <s v="Returning"/>
  </r>
  <r>
    <n v="1443"/>
    <n v="34"/>
    <s v="Female"/>
    <x v="6"/>
    <s v="Makeup Set"/>
    <n v="116.44"/>
    <x v="3"/>
    <s v="Card"/>
    <n v="4"/>
    <n v="25"/>
    <n v="10"/>
    <n v="87.33"/>
    <x v="4"/>
    <x v="0"/>
    <s v="Returning"/>
  </r>
  <r>
    <n v="1444"/>
    <n v="50"/>
    <s v="Male"/>
    <x v="2"/>
    <s v="Yoga Mat"/>
    <n v="184.94"/>
    <x v="3"/>
    <s v="Card"/>
    <n v="2.5"/>
    <n v="8"/>
    <n v="4"/>
    <n v="170.1448"/>
    <x v="0"/>
    <x v="0"/>
    <s v="Returning"/>
  </r>
  <r>
    <n v="1445"/>
    <n v="70"/>
    <s v="Female"/>
    <x v="0"/>
    <s v="Wallet"/>
    <n v="103.96"/>
    <x v="2"/>
    <s v="Card"/>
    <n v="5"/>
    <n v="2"/>
    <n v="1"/>
    <n v="101.88079999999999"/>
    <x v="2"/>
    <x v="0"/>
    <s v="Returning"/>
  </r>
  <r>
    <n v="1446"/>
    <n v="49"/>
    <s v="Male"/>
    <x v="1"/>
    <s v="Shirt"/>
    <n v="181.17"/>
    <x v="1"/>
    <s v="Card"/>
    <n v="4.4000000000000004"/>
    <n v="18"/>
    <n v="4"/>
    <n v="148.55940000000001"/>
    <x v="0"/>
    <x v="0"/>
    <s v="Returning"/>
  </r>
  <r>
    <n v="1447"/>
    <n v="30"/>
    <s v="Female"/>
    <x v="6"/>
    <s v="Skincare Kit"/>
    <n v="68.95"/>
    <x v="3"/>
    <s v="Card"/>
    <n v="4.4000000000000004"/>
    <n v="22"/>
    <n v="6"/>
    <n v="53.781000000000006"/>
    <x v="4"/>
    <x v="0"/>
    <s v="Returning"/>
  </r>
  <r>
    <n v="1448"/>
    <n v="66"/>
    <s v="Male"/>
    <x v="7"/>
    <s v="Sneakers"/>
    <n v="111.46"/>
    <x v="0"/>
    <s v="Card"/>
    <n v="2.2999999999999998"/>
    <n v="10"/>
    <n v="0"/>
    <n v="100.31399999999999"/>
    <x v="2"/>
    <x v="0"/>
    <s v="New"/>
  </r>
  <r>
    <n v="1449"/>
    <n v="46"/>
    <s v="Female"/>
    <x v="8"/>
    <s v="Top"/>
    <n v="145.36000000000001"/>
    <x v="3"/>
    <s v="Card"/>
    <n v="4.3"/>
    <n v="22"/>
    <n v="6"/>
    <n v="113.38080000000001"/>
    <x v="0"/>
    <x v="0"/>
    <s v="Returning"/>
  </r>
  <r>
    <n v="1450"/>
    <n v="40"/>
    <s v="Female"/>
    <x v="6"/>
    <s v="Perfume"/>
    <n v="46.27"/>
    <x v="1"/>
    <s v="Card"/>
    <n v="4.5"/>
    <n v="18"/>
    <n v="4"/>
    <n v="37.941400000000009"/>
    <x v="1"/>
    <x v="0"/>
    <s v="Returning"/>
  </r>
  <r>
    <n v="1451"/>
    <n v="38"/>
    <s v="Male"/>
    <x v="1"/>
    <s v="Shirt"/>
    <n v="57.51"/>
    <x v="2"/>
    <s v="Cash on Delivery"/>
    <n v="3.9"/>
    <n v="9"/>
    <n v="2"/>
    <n v="52.334099999999999"/>
    <x v="1"/>
    <x v="0"/>
    <s v="Returning"/>
  </r>
  <r>
    <n v="1452"/>
    <n v="55"/>
    <s v="Female"/>
    <x v="8"/>
    <s v="Jeans"/>
    <n v="138.96"/>
    <x v="0"/>
    <s v="Card"/>
    <n v="4.7"/>
    <n v="25"/>
    <n v="10"/>
    <n v="104.22"/>
    <x v="0"/>
    <x v="0"/>
    <s v="Returning"/>
  </r>
  <r>
    <n v="1453"/>
    <n v="63"/>
    <s v="Male"/>
    <x v="1"/>
    <s v="T-Shirt"/>
    <n v="47.65"/>
    <x v="2"/>
    <s v="Card"/>
    <n v="4.4000000000000004"/>
    <n v="19"/>
    <n v="7"/>
    <n v="38.596499999999999"/>
    <x v="2"/>
    <x v="0"/>
    <s v="Returning"/>
  </r>
  <r>
    <n v="1454"/>
    <n v="44"/>
    <s v="Female"/>
    <x v="0"/>
    <s v="Handbag"/>
    <n v="154.97999999999999"/>
    <x v="1"/>
    <s v="Card"/>
    <n v="3.8"/>
    <n v="26"/>
    <n v="8"/>
    <n v="114.68519999999999"/>
    <x v="1"/>
    <x v="0"/>
    <s v="Returning"/>
  </r>
  <r>
    <n v="1455"/>
    <n v="58"/>
    <s v="Male"/>
    <x v="4"/>
    <s v="Snacks"/>
    <n v="60.75"/>
    <x v="0"/>
    <s v="Cash on Delivery"/>
    <n v="4.5"/>
    <n v="25"/>
    <n v="10"/>
    <n v="45.5625"/>
    <x v="0"/>
    <x v="0"/>
    <s v="Returning"/>
  </r>
  <r>
    <n v="1456"/>
    <n v="51"/>
    <s v="Female"/>
    <x v="8"/>
    <s v="Skirt"/>
    <n v="102.64"/>
    <x v="1"/>
    <s v="Card"/>
    <n v="3.9"/>
    <n v="10"/>
    <n v="5"/>
    <n v="92.376000000000005"/>
    <x v="0"/>
    <x v="0"/>
    <s v="Returning"/>
  </r>
  <r>
    <n v="1457"/>
    <n v="21"/>
    <s v="Female"/>
    <x v="0"/>
    <s v="Wallet"/>
    <n v="98.79"/>
    <x v="0"/>
    <s v="Card"/>
    <n v="3.3"/>
    <n v="4"/>
    <n v="2"/>
    <n v="94.838400000000007"/>
    <x v="3"/>
    <x v="0"/>
    <s v="Returning"/>
  </r>
  <r>
    <n v="1458"/>
    <n v="33"/>
    <s v="Male"/>
    <x v="5"/>
    <s v="Laptop"/>
    <n v="2572.06"/>
    <x v="0"/>
    <s v="Card"/>
    <n v="2.7"/>
    <n v="21"/>
    <n v="8"/>
    <n v="2031.9274"/>
    <x v="4"/>
    <x v="0"/>
    <s v="Returning"/>
  </r>
  <r>
    <n v="1459"/>
    <n v="26"/>
    <s v="Female"/>
    <x v="7"/>
    <s v="Sandals"/>
    <n v="240.32"/>
    <x v="0"/>
    <s v="Card"/>
    <n v="4.2"/>
    <n v="18"/>
    <n v="9"/>
    <n v="197.0624"/>
    <x v="4"/>
    <x v="0"/>
    <s v="Returning"/>
  </r>
  <r>
    <n v="1460"/>
    <n v="30"/>
    <s v="Female"/>
    <x v="2"/>
    <s v="Yoga Mat"/>
    <n v="238.27"/>
    <x v="3"/>
    <s v="Card"/>
    <n v="2.7"/>
    <n v="13"/>
    <n v="4"/>
    <n v="207.29490000000001"/>
    <x v="4"/>
    <x v="0"/>
    <s v="Returning"/>
  </r>
  <r>
    <n v="1461"/>
    <n v="23"/>
    <s v="Female"/>
    <x v="2"/>
    <s v="Yoga Mat"/>
    <n v="115.62"/>
    <x v="1"/>
    <s v="Card"/>
    <n v="5"/>
    <n v="13"/>
    <n v="4"/>
    <n v="100.5894"/>
    <x v="3"/>
    <x v="0"/>
    <s v="Returning"/>
  </r>
  <r>
    <n v="1462"/>
    <n v="26"/>
    <s v="Female"/>
    <x v="8"/>
    <s v="Top"/>
    <n v="73.14"/>
    <x v="1"/>
    <s v="Card"/>
    <n v="2.9"/>
    <n v="11"/>
    <n v="3"/>
    <n v="65.0946"/>
    <x v="4"/>
    <x v="0"/>
    <s v="Returning"/>
  </r>
  <r>
    <n v="1463"/>
    <n v="68"/>
    <s v="Male"/>
    <x v="7"/>
    <s v="Formal Shoes"/>
    <n v="161.34"/>
    <x v="1"/>
    <s v="Card"/>
    <n v="4.0999999999999996"/>
    <n v="10"/>
    <n v="5"/>
    <n v="145.20600000000002"/>
    <x v="2"/>
    <x v="0"/>
    <s v="Returning"/>
  </r>
  <r>
    <n v="1464"/>
    <n v="64"/>
    <s v="Male"/>
    <x v="1"/>
    <s v="Shirt"/>
    <n v="199.98"/>
    <x v="2"/>
    <s v="Card"/>
    <n v="3.6"/>
    <n v="26"/>
    <n v="8"/>
    <n v="147.98519999999999"/>
    <x v="2"/>
    <x v="0"/>
    <s v="Returning"/>
  </r>
  <r>
    <n v="1465"/>
    <n v="65"/>
    <s v="Female"/>
    <x v="0"/>
    <s v="Sunglasses"/>
    <n v="138.32"/>
    <x v="3"/>
    <s v="Card"/>
    <n v="4.9000000000000004"/>
    <n v="6"/>
    <n v="3"/>
    <n v="130.02079999999998"/>
    <x v="2"/>
    <x v="0"/>
    <s v="Returning"/>
  </r>
  <r>
    <n v="1466"/>
    <n v="68"/>
    <s v="Male"/>
    <x v="1"/>
    <s v="Jeans"/>
    <n v="173.95"/>
    <x v="0"/>
    <s v="Card"/>
    <n v="3.8"/>
    <n v="13"/>
    <n v="4"/>
    <n v="151.3365"/>
    <x v="2"/>
    <x v="0"/>
    <s v="Returning"/>
  </r>
  <r>
    <n v="1467"/>
    <n v="51"/>
    <s v="Male"/>
    <x v="2"/>
    <s v="Dumbbells"/>
    <n v="155.72999999999999"/>
    <x v="3"/>
    <s v="Card"/>
    <n v="4.5999999999999996"/>
    <n v="19"/>
    <n v="7"/>
    <n v="126.1413"/>
    <x v="0"/>
    <x v="0"/>
    <s v="Returning"/>
  </r>
  <r>
    <n v="1468"/>
    <n v="43"/>
    <s v="Male"/>
    <x v="5"/>
    <s v="Smart Watch"/>
    <n v="1286.3599999999999"/>
    <x v="0"/>
    <s v="Card"/>
    <n v="3.3"/>
    <n v="4"/>
    <n v="2"/>
    <n v="1234.9055999999998"/>
    <x v="1"/>
    <x v="0"/>
    <s v="Returning"/>
  </r>
  <r>
    <n v="1469"/>
    <n v="39"/>
    <s v="Male"/>
    <x v="7"/>
    <s v="Sandals"/>
    <n v="178.64"/>
    <x v="3"/>
    <s v="Card"/>
    <n v="3.8"/>
    <n v="20"/>
    <n v="5"/>
    <n v="142.91200000000001"/>
    <x v="1"/>
    <x v="0"/>
    <s v="Returning"/>
  </r>
  <r>
    <n v="1470"/>
    <n v="56"/>
    <s v="Female"/>
    <x v="6"/>
    <s v="Skincare Kit"/>
    <n v="48.87"/>
    <x v="2"/>
    <s v="Card"/>
    <n v="3.9"/>
    <n v="16"/>
    <n v="3"/>
    <n v="41.050799999999995"/>
    <x v="0"/>
    <x v="0"/>
    <s v="Returning"/>
  </r>
  <r>
    <n v="1471"/>
    <n v="53"/>
    <s v="Female"/>
    <x v="0"/>
    <s v="Wallet"/>
    <n v="56.39"/>
    <x v="0"/>
    <s v="Card"/>
    <n v="3.1"/>
    <n v="18"/>
    <n v="4"/>
    <n v="46.239800000000002"/>
    <x v="0"/>
    <x v="0"/>
    <s v="Returning"/>
  </r>
  <r>
    <n v="1472"/>
    <n v="46"/>
    <s v="Male"/>
    <x v="4"/>
    <s v="Cooking Oil"/>
    <n v="53.3"/>
    <x v="0"/>
    <s v="Card"/>
    <n v="2.9"/>
    <n v="13"/>
    <n v="4"/>
    <n v="46.370999999999995"/>
    <x v="0"/>
    <x v="0"/>
    <s v="Returning"/>
  </r>
  <r>
    <n v="1473"/>
    <n v="67"/>
    <s v="Male"/>
    <x v="1"/>
    <s v="T-Shirt"/>
    <n v="62.98"/>
    <x v="3"/>
    <s v="Cash on Delivery"/>
    <n v="4.2"/>
    <n v="6"/>
    <n v="3"/>
    <n v="59.201199999999993"/>
    <x v="2"/>
    <x v="0"/>
    <s v="Returning"/>
  </r>
  <r>
    <n v="1474"/>
    <n v="59"/>
    <s v="Male"/>
    <x v="2"/>
    <s v="Football"/>
    <n v="152.31"/>
    <x v="0"/>
    <s v="Card"/>
    <n v="3.9"/>
    <n v="16"/>
    <n v="3"/>
    <n v="127.9404"/>
    <x v="0"/>
    <x v="0"/>
    <s v="Returning"/>
  </r>
  <r>
    <n v="1475"/>
    <n v="51"/>
    <s v="Female"/>
    <x v="6"/>
    <s v="Skincare Kit"/>
    <n v="46.25"/>
    <x v="2"/>
    <s v="Card"/>
    <n v="3.9"/>
    <n v="18"/>
    <n v="4"/>
    <n v="37.925000000000004"/>
    <x v="0"/>
    <x v="0"/>
    <s v="Returning"/>
  </r>
  <r>
    <n v="1476"/>
    <n v="22"/>
    <s v="Female"/>
    <x v="7"/>
    <s v="Formal Shoes"/>
    <n v="217.07"/>
    <x v="2"/>
    <s v="Card"/>
    <n v="3.4"/>
    <n v="16"/>
    <n v="3"/>
    <n v="182.33879999999999"/>
    <x v="3"/>
    <x v="0"/>
    <s v="Returning"/>
  </r>
  <r>
    <n v="1477"/>
    <n v="53"/>
    <s v="Female"/>
    <x v="0"/>
    <s v="Sunglasses"/>
    <n v="46.68"/>
    <x v="0"/>
    <s v="Cash on Delivery"/>
    <n v="4.4000000000000004"/>
    <n v="12"/>
    <n v="6"/>
    <n v="41.078400000000002"/>
    <x v="0"/>
    <x v="0"/>
    <s v="Returning"/>
  </r>
  <r>
    <n v="1478"/>
    <n v="70"/>
    <s v="Female"/>
    <x v="8"/>
    <s v="Top"/>
    <n v="186.33"/>
    <x v="1"/>
    <s v="Card"/>
    <n v="4.5999999999999996"/>
    <n v="10"/>
    <n v="5"/>
    <n v="167.697"/>
    <x v="2"/>
    <x v="0"/>
    <s v="Returning"/>
  </r>
  <r>
    <n v="1479"/>
    <n v="44"/>
    <s v="Female"/>
    <x v="6"/>
    <s v="Perfume"/>
    <n v="34.06"/>
    <x v="0"/>
    <s v="Card"/>
    <n v="2.8"/>
    <n v="17"/>
    <n v="6"/>
    <n v="28.2698"/>
    <x v="1"/>
    <x v="0"/>
    <s v="Returning"/>
  </r>
  <r>
    <n v="1480"/>
    <n v="47"/>
    <s v="Male"/>
    <x v="7"/>
    <s v="Sandals"/>
    <n v="119.82"/>
    <x v="0"/>
    <s v="Card"/>
    <n v="3.5"/>
    <n v="13"/>
    <n v="4"/>
    <n v="104.24339999999999"/>
    <x v="0"/>
    <x v="0"/>
    <s v="Returning"/>
  </r>
  <r>
    <n v="1481"/>
    <n v="38"/>
    <s v="Female"/>
    <x v="3"/>
    <s v="Lamp"/>
    <n v="294.52"/>
    <x v="0"/>
    <s v="Card"/>
    <n v="3.8"/>
    <n v="16"/>
    <n v="8"/>
    <n v="247.39679999999998"/>
    <x v="1"/>
    <x v="0"/>
    <s v="Returning"/>
  </r>
  <r>
    <n v="1482"/>
    <n v="46"/>
    <s v="Male"/>
    <x v="4"/>
    <s v="Rice Pack"/>
    <n v="71.239999999999995"/>
    <x v="3"/>
    <s v="Card"/>
    <n v="4.3"/>
    <n v="15"/>
    <n v="5"/>
    <n v="60.553999999999995"/>
    <x v="0"/>
    <x v="0"/>
    <s v="Returning"/>
  </r>
  <r>
    <n v="1483"/>
    <n v="30"/>
    <s v="Female"/>
    <x v="8"/>
    <s v="Jeans"/>
    <n v="151.65"/>
    <x v="3"/>
    <s v="Card"/>
    <n v="3.5"/>
    <n v="18"/>
    <n v="4"/>
    <n v="124.35300000000001"/>
    <x v="4"/>
    <x v="0"/>
    <s v="Returning"/>
  </r>
  <r>
    <n v="1484"/>
    <n v="36"/>
    <s v="Male"/>
    <x v="2"/>
    <s v="Dumbbells"/>
    <n v="80.95"/>
    <x v="3"/>
    <s v="Card"/>
    <n v="4"/>
    <n v="17"/>
    <n v="6"/>
    <n v="67.188500000000005"/>
    <x v="1"/>
    <x v="0"/>
    <s v="Returning"/>
  </r>
  <r>
    <n v="1485"/>
    <n v="67"/>
    <s v="Male"/>
    <x v="2"/>
    <s v="Football"/>
    <n v="185.85"/>
    <x v="3"/>
    <s v="Card"/>
    <n v="5"/>
    <n v="20"/>
    <n v="10"/>
    <n v="148.68"/>
    <x v="2"/>
    <x v="0"/>
    <s v="Returning"/>
  </r>
  <r>
    <n v="1486"/>
    <n v="32"/>
    <s v="Male"/>
    <x v="7"/>
    <s v="Formal Shoes"/>
    <n v="77.209999999999994"/>
    <x v="0"/>
    <s v="Card"/>
    <n v="4.0999999999999996"/>
    <n v="16"/>
    <n v="3"/>
    <n v="64.856399999999994"/>
    <x v="4"/>
    <x v="0"/>
    <s v="Returning"/>
  </r>
  <r>
    <n v="1487"/>
    <n v="66"/>
    <s v="Female"/>
    <x v="8"/>
    <s v="Skirt"/>
    <n v="192.04"/>
    <x v="2"/>
    <s v="Card"/>
    <n v="3.9"/>
    <n v="15"/>
    <n v="5"/>
    <n v="163.23399999999998"/>
    <x v="2"/>
    <x v="0"/>
    <s v="Returning"/>
  </r>
  <r>
    <n v="1488"/>
    <n v="60"/>
    <s v="Female"/>
    <x v="7"/>
    <s v="Sneakers"/>
    <n v="73.34"/>
    <x v="3"/>
    <s v="Cash on Delivery"/>
    <n v="4.8"/>
    <n v="17"/>
    <n v="6"/>
    <n v="60.872199999999999"/>
    <x v="0"/>
    <x v="0"/>
    <s v="Returning"/>
  </r>
  <r>
    <n v="1489"/>
    <n v="35"/>
    <s v="Female"/>
    <x v="7"/>
    <s v="Formal Shoes"/>
    <n v="239.36"/>
    <x v="3"/>
    <s v="Card"/>
    <n v="4.3"/>
    <n v="20"/>
    <n v="5"/>
    <n v="191.48800000000003"/>
    <x v="4"/>
    <x v="0"/>
    <s v="Returning"/>
  </r>
  <r>
    <n v="1490"/>
    <n v="26"/>
    <s v="Female"/>
    <x v="8"/>
    <s v="Jeans"/>
    <n v="175.79"/>
    <x v="2"/>
    <s v="Card"/>
    <n v="3"/>
    <n v="15"/>
    <n v="5"/>
    <n v="149.42149999999998"/>
    <x v="4"/>
    <x v="0"/>
    <s v="Returning"/>
  </r>
  <r>
    <n v="1491"/>
    <n v="57"/>
    <s v="Female"/>
    <x v="6"/>
    <s v="Skincare Kit"/>
    <n v="24.93"/>
    <x v="2"/>
    <s v="Card"/>
    <n v="4.7"/>
    <n v="18"/>
    <n v="4"/>
    <n v="20.442600000000002"/>
    <x v="0"/>
    <x v="0"/>
    <s v="Returning"/>
  </r>
  <r>
    <n v="1492"/>
    <n v="47"/>
    <s v="Female"/>
    <x v="4"/>
    <s v="Beverages"/>
    <n v="34.74"/>
    <x v="1"/>
    <s v="Cash on Delivery"/>
    <n v="4.3"/>
    <n v="18"/>
    <n v="4"/>
    <n v="28.486800000000002"/>
    <x v="0"/>
    <x v="0"/>
    <s v="Returning"/>
  </r>
  <r>
    <n v="1493"/>
    <n v="46"/>
    <s v="Male"/>
    <x v="4"/>
    <s v="Rice Pack"/>
    <n v="36.61"/>
    <x v="3"/>
    <s v="Card"/>
    <n v="4"/>
    <n v="24"/>
    <n v="7"/>
    <n v="27.823599999999999"/>
    <x v="0"/>
    <x v="0"/>
    <s v="Returning"/>
  </r>
  <r>
    <n v="1494"/>
    <n v="29"/>
    <s v="Male"/>
    <x v="5"/>
    <s v="Mobile Phone"/>
    <n v="2302.21"/>
    <x v="2"/>
    <s v="Card"/>
    <n v="3.1"/>
    <n v="20"/>
    <n v="5"/>
    <n v="1841.768"/>
    <x v="4"/>
    <x v="0"/>
    <s v="Returning"/>
  </r>
  <r>
    <n v="1495"/>
    <n v="33"/>
    <s v="Female"/>
    <x v="6"/>
    <s v="Skincare Kit"/>
    <n v="48.6"/>
    <x v="3"/>
    <s v="Cash on Delivery"/>
    <n v="4.0999999999999996"/>
    <n v="11"/>
    <n v="3"/>
    <n v="43.254000000000005"/>
    <x v="4"/>
    <x v="0"/>
    <s v="Returning"/>
  </r>
  <r>
    <n v="1496"/>
    <n v="26"/>
    <s v="Male"/>
    <x v="5"/>
    <s v="Laptop"/>
    <n v="534.41"/>
    <x v="0"/>
    <s v="Card"/>
    <n v="3.6"/>
    <n v="6"/>
    <n v="3"/>
    <n v="502.34539999999993"/>
    <x v="4"/>
    <x v="0"/>
    <s v="Returning"/>
  </r>
  <r>
    <n v="1497"/>
    <n v="67"/>
    <s v="Female"/>
    <x v="0"/>
    <s v="Handbag"/>
    <n v="175.36"/>
    <x v="3"/>
    <s v="Card"/>
    <n v="4.0999999999999996"/>
    <n v="26"/>
    <n v="8"/>
    <n v="129.7664"/>
    <x v="2"/>
    <x v="0"/>
    <s v="Returning"/>
  </r>
  <r>
    <n v="1498"/>
    <n v="21"/>
    <s v="Female"/>
    <x v="0"/>
    <s v="Handbag"/>
    <n v="34.6"/>
    <x v="3"/>
    <s v="Cash on Delivery"/>
    <n v="3.1"/>
    <n v="22"/>
    <n v="6"/>
    <n v="26.988000000000003"/>
    <x v="3"/>
    <x v="0"/>
    <s v="Returning"/>
  </r>
  <r>
    <n v="1499"/>
    <n v="26"/>
    <s v="Male"/>
    <x v="2"/>
    <s v="Yoga Mat"/>
    <n v="118.37"/>
    <x v="3"/>
    <s v="Card"/>
    <n v="3.1"/>
    <n v="2"/>
    <n v="1"/>
    <n v="116.0026"/>
    <x v="4"/>
    <x v="0"/>
    <s v="Returning"/>
  </r>
  <r>
    <n v="1500"/>
    <n v="55"/>
    <s v="Male"/>
    <x v="7"/>
    <s v="Formal Shoes"/>
    <n v="203.25"/>
    <x v="1"/>
    <s v="Card"/>
    <n v="4.3"/>
    <n v="18"/>
    <n v="4"/>
    <n v="166.66500000000002"/>
    <x v="0"/>
    <x v="0"/>
    <s v="Returning"/>
  </r>
  <r>
    <n v="1501"/>
    <n v="23"/>
    <s v="Female"/>
    <x v="7"/>
    <s v="Formal Shoes"/>
    <n v="133.44"/>
    <x v="3"/>
    <s v="Card"/>
    <n v="4.7"/>
    <n v="12"/>
    <n v="6"/>
    <n v="117.4272"/>
    <x v="3"/>
    <x v="0"/>
    <s v="Returning"/>
  </r>
  <r>
    <n v="1502"/>
    <n v="21"/>
    <s v="Female"/>
    <x v="0"/>
    <s v="Handbag"/>
    <n v="100"/>
    <x v="1"/>
    <s v="Cash on Delivery"/>
    <n v="4.0999999999999996"/>
    <n v="15"/>
    <n v="5"/>
    <n v="85"/>
    <x v="3"/>
    <x v="0"/>
    <s v="Returning"/>
  </r>
  <r>
    <n v="1503"/>
    <n v="23"/>
    <s v="Female"/>
    <x v="3"/>
    <s v="Kitchen Set"/>
    <n v="55.34"/>
    <x v="2"/>
    <s v="Card"/>
    <n v="4.2"/>
    <n v="17"/>
    <n v="6"/>
    <n v="45.932200000000002"/>
    <x v="3"/>
    <x v="0"/>
    <s v="Returning"/>
  </r>
  <r>
    <n v="1504"/>
    <n v="36"/>
    <s v="Female"/>
    <x v="7"/>
    <s v="Formal Shoes"/>
    <n v="136.43"/>
    <x v="1"/>
    <s v="Card"/>
    <n v="4"/>
    <n v="12"/>
    <n v="6"/>
    <n v="120.05840000000001"/>
    <x v="1"/>
    <x v="0"/>
    <s v="Returning"/>
  </r>
  <r>
    <n v="1505"/>
    <n v="35"/>
    <s v="Female"/>
    <x v="8"/>
    <s v="Top"/>
    <n v="67.510000000000005"/>
    <x v="1"/>
    <s v="Card"/>
    <n v="4.0999999999999996"/>
    <n v="10"/>
    <n v="5"/>
    <n v="60.759000000000007"/>
    <x v="4"/>
    <x v="0"/>
    <s v="Returning"/>
  </r>
  <r>
    <n v="1506"/>
    <n v="29"/>
    <s v="Male"/>
    <x v="7"/>
    <s v="Sneakers"/>
    <n v="245.39"/>
    <x v="2"/>
    <s v="Card"/>
    <n v="4.5"/>
    <n v="15"/>
    <n v="5"/>
    <n v="208.58149999999998"/>
    <x v="4"/>
    <x v="0"/>
    <s v="Returning"/>
  </r>
  <r>
    <n v="1507"/>
    <n v="20"/>
    <s v="Male"/>
    <x v="7"/>
    <s v="Formal Shoes"/>
    <n v="113.11"/>
    <x v="3"/>
    <s v="Card"/>
    <n v="3.4"/>
    <n v="8"/>
    <n v="4"/>
    <n v="104.0612"/>
    <x v="3"/>
    <x v="0"/>
    <s v="Returning"/>
  </r>
  <r>
    <n v="1508"/>
    <n v="64"/>
    <s v="Female"/>
    <x v="7"/>
    <s v="Sandals"/>
    <n v="80.180000000000007"/>
    <x v="1"/>
    <s v="Card"/>
    <n v="4.4000000000000004"/>
    <n v="13"/>
    <n v="4"/>
    <n v="69.756600000000006"/>
    <x v="2"/>
    <x v="0"/>
    <s v="Returning"/>
  </r>
  <r>
    <n v="1509"/>
    <n v="67"/>
    <s v="Male"/>
    <x v="5"/>
    <s v="Mobile Phone"/>
    <n v="1105.76"/>
    <x v="2"/>
    <s v="Card"/>
    <n v="3.8"/>
    <n v="19"/>
    <n v="7"/>
    <n v="895.66560000000004"/>
    <x v="2"/>
    <x v="0"/>
    <s v="Returning"/>
  </r>
  <r>
    <n v="1510"/>
    <n v="26"/>
    <s v="Female"/>
    <x v="7"/>
    <s v="Formal Shoes"/>
    <n v="96.55"/>
    <x v="2"/>
    <s v="Cash on Delivery"/>
    <n v="4.5"/>
    <n v="10"/>
    <n v="5"/>
    <n v="86.894999999999996"/>
    <x v="4"/>
    <x v="0"/>
    <s v="Returning"/>
  </r>
  <r>
    <n v="1511"/>
    <n v="54"/>
    <s v="Male"/>
    <x v="2"/>
    <s v="Dumbbells"/>
    <n v="106.35"/>
    <x v="1"/>
    <s v="Card"/>
    <n v="4.8"/>
    <n v="16"/>
    <n v="8"/>
    <n v="89.333999999999989"/>
    <x v="0"/>
    <x v="0"/>
    <s v="Returning"/>
  </r>
  <r>
    <n v="1512"/>
    <n v="28"/>
    <s v="Female"/>
    <x v="4"/>
    <s v="Snacks"/>
    <n v="13.26"/>
    <x v="1"/>
    <s v="Cash on Delivery"/>
    <n v="4.4000000000000004"/>
    <n v="14"/>
    <n v="2"/>
    <n v="11.403599999999999"/>
    <x v="4"/>
    <x v="0"/>
    <s v="Returning"/>
  </r>
  <r>
    <n v="1513"/>
    <n v="64"/>
    <s v="Female"/>
    <x v="8"/>
    <s v="Top"/>
    <n v="180.55"/>
    <x v="1"/>
    <s v="Card"/>
    <n v="3.9"/>
    <n v="4"/>
    <n v="2"/>
    <n v="173.328"/>
    <x v="2"/>
    <x v="0"/>
    <s v="Returning"/>
  </r>
  <r>
    <n v="1514"/>
    <n v="32"/>
    <s v="Female"/>
    <x v="8"/>
    <s v="Skirt"/>
    <n v="156.68"/>
    <x v="0"/>
    <s v="Card"/>
    <n v="4.3"/>
    <n v="6"/>
    <n v="3"/>
    <n v="147.2792"/>
    <x v="4"/>
    <x v="0"/>
    <s v="Returning"/>
  </r>
  <r>
    <n v="1515"/>
    <n v="44"/>
    <s v="Male"/>
    <x v="2"/>
    <s v="Yoga Mat"/>
    <n v="187.98"/>
    <x v="2"/>
    <s v="Card"/>
    <n v="3.6"/>
    <n v="19"/>
    <n v="7"/>
    <n v="152.2638"/>
    <x v="1"/>
    <x v="0"/>
    <s v="Returning"/>
  </r>
  <r>
    <n v="1516"/>
    <n v="31"/>
    <s v="Female"/>
    <x v="6"/>
    <s v="Perfume"/>
    <n v="117.64"/>
    <x v="2"/>
    <s v="Card"/>
    <n v="3.8"/>
    <n v="21"/>
    <n v="8"/>
    <n v="92.935600000000008"/>
    <x v="4"/>
    <x v="0"/>
    <s v="Returning"/>
  </r>
  <r>
    <n v="1517"/>
    <n v="46"/>
    <s v="Male"/>
    <x v="2"/>
    <s v="Dumbbells"/>
    <n v="153.87"/>
    <x v="2"/>
    <s v="Card"/>
    <n v="4.3"/>
    <n v="12"/>
    <n v="6"/>
    <n v="135.40559999999999"/>
    <x v="0"/>
    <x v="0"/>
    <s v="Returning"/>
  </r>
  <r>
    <n v="1518"/>
    <n v="23"/>
    <s v="Female"/>
    <x v="2"/>
    <s v="Dumbbells"/>
    <n v="42.64"/>
    <x v="1"/>
    <s v="Card"/>
    <n v="3.4"/>
    <n v="4"/>
    <n v="2"/>
    <n v="40.934399999999997"/>
    <x v="3"/>
    <x v="0"/>
    <s v="Returning"/>
  </r>
  <r>
    <n v="1519"/>
    <n v="31"/>
    <s v="Male"/>
    <x v="5"/>
    <s v="Smart Watch"/>
    <n v="2438.54"/>
    <x v="3"/>
    <s v="Card"/>
    <n v="4.5"/>
    <n v="8"/>
    <n v="4"/>
    <n v="2243.4567999999999"/>
    <x v="4"/>
    <x v="0"/>
    <s v="Returning"/>
  </r>
  <r>
    <n v="1520"/>
    <n v="47"/>
    <s v="Male"/>
    <x v="7"/>
    <s v="Sandals"/>
    <n v="135.83000000000001"/>
    <x v="2"/>
    <s v="Card"/>
    <n v="4.5999999999999996"/>
    <n v="17"/>
    <n v="6"/>
    <n v="112.7389"/>
    <x v="0"/>
    <x v="0"/>
    <s v="Returning"/>
  </r>
  <r>
    <n v="1521"/>
    <n v="43"/>
    <s v="Male"/>
    <x v="7"/>
    <s v="Sandals"/>
    <n v="160.25"/>
    <x v="2"/>
    <s v="Card"/>
    <n v="4.8"/>
    <n v="28"/>
    <n v="9"/>
    <n v="115.38"/>
    <x v="1"/>
    <x v="0"/>
    <s v="Returning"/>
  </r>
  <r>
    <n v="1522"/>
    <n v="27"/>
    <s v="Female"/>
    <x v="6"/>
    <s v="Makeup Set"/>
    <n v="68.53"/>
    <x v="1"/>
    <s v="Card"/>
    <n v="3.7"/>
    <n v="17"/>
    <n v="6"/>
    <n v="56.879899999999999"/>
    <x v="4"/>
    <x v="0"/>
    <s v="Returning"/>
  </r>
  <r>
    <n v="1523"/>
    <n v="37"/>
    <s v="Female"/>
    <x v="8"/>
    <s v="Skirt"/>
    <n v="64.5"/>
    <x v="0"/>
    <s v="Cash on Delivery"/>
    <n v="4"/>
    <n v="6"/>
    <n v="3"/>
    <n v="60.629999999999995"/>
    <x v="1"/>
    <x v="0"/>
    <s v="Returning"/>
  </r>
  <r>
    <n v="1524"/>
    <n v="57"/>
    <s v="Female"/>
    <x v="2"/>
    <s v="Dumbbells"/>
    <n v="213.01"/>
    <x v="2"/>
    <s v="Card"/>
    <n v="4.3"/>
    <n v="9"/>
    <n v="2"/>
    <n v="193.8391"/>
    <x v="0"/>
    <x v="0"/>
    <s v="Returning"/>
  </r>
  <r>
    <n v="1525"/>
    <n v="44"/>
    <s v="Male"/>
    <x v="7"/>
    <s v="Sneakers"/>
    <n v="175.76"/>
    <x v="1"/>
    <s v="Card"/>
    <n v="4.7"/>
    <n v="21"/>
    <n v="8"/>
    <n v="138.85040000000001"/>
    <x v="1"/>
    <x v="0"/>
    <s v="Returning"/>
  </r>
  <r>
    <n v="1526"/>
    <n v="51"/>
    <s v="Male"/>
    <x v="7"/>
    <s v="Formal Shoes"/>
    <n v="136.07"/>
    <x v="1"/>
    <s v="Card"/>
    <n v="4.3"/>
    <n v="26"/>
    <n v="8"/>
    <n v="100.6918"/>
    <x v="0"/>
    <x v="0"/>
    <s v="Returning"/>
  </r>
  <r>
    <n v="1527"/>
    <n v="66"/>
    <s v="Male"/>
    <x v="5"/>
    <s v="Headphones"/>
    <n v="632.67999999999995"/>
    <x v="2"/>
    <s v="Card"/>
    <n v="5"/>
    <n v="24"/>
    <n v="7"/>
    <n v="480.83679999999998"/>
    <x v="2"/>
    <x v="0"/>
    <s v="Returning"/>
  </r>
  <r>
    <n v="1528"/>
    <n v="68"/>
    <s v="Male"/>
    <x v="2"/>
    <s v="Football"/>
    <n v="213.91"/>
    <x v="3"/>
    <s v="Card"/>
    <n v="3.3"/>
    <n v="4"/>
    <n v="2"/>
    <n v="205.3536"/>
    <x v="2"/>
    <x v="0"/>
    <s v="Returning"/>
  </r>
  <r>
    <n v="1529"/>
    <n v="52"/>
    <s v="Male"/>
    <x v="5"/>
    <s v="Mobile Phone"/>
    <n v="631.19000000000005"/>
    <x v="3"/>
    <s v="Card"/>
    <n v="4.7"/>
    <n v="17"/>
    <n v="6"/>
    <n v="523.8877"/>
    <x v="0"/>
    <x v="0"/>
    <s v="Returning"/>
  </r>
  <r>
    <n v="1530"/>
    <n v="30"/>
    <s v="Female"/>
    <x v="7"/>
    <s v="Sandals"/>
    <n v="122.86"/>
    <x v="2"/>
    <s v="Card"/>
    <n v="2.9"/>
    <n v="10"/>
    <n v="5"/>
    <n v="110.574"/>
    <x v="4"/>
    <x v="0"/>
    <s v="Returning"/>
  </r>
  <r>
    <n v="1531"/>
    <n v="50"/>
    <s v="Female"/>
    <x v="8"/>
    <s v="Skirt"/>
    <n v="146.57"/>
    <x v="0"/>
    <s v="Card"/>
    <n v="3.3"/>
    <n v="17"/>
    <n v="6"/>
    <n v="121.65309999999999"/>
    <x v="0"/>
    <x v="0"/>
    <s v="Returning"/>
  </r>
  <r>
    <n v="1532"/>
    <n v="58"/>
    <s v="Male"/>
    <x v="3"/>
    <s v="Lamp"/>
    <n v="171.7"/>
    <x v="2"/>
    <s v="Card"/>
    <n v="3.7"/>
    <n v="12"/>
    <n v="6"/>
    <n v="151.096"/>
    <x v="0"/>
    <x v="0"/>
    <s v="Returning"/>
  </r>
  <r>
    <n v="1533"/>
    <n v="36"/>
    <s v="Male"/>
    <x v="5"/>
    <s v="Smart Watch"/>
    <n v="1385.6"/>
    <x v="1"/>
    <s v="Card"/>
    <n v="3.4"/>
    <n v="8"/>
    <n v="4"/>
    <n v="1274.752"/>
    <x v="1"/>
    <x v="0"/>
    <s v="Returning"/>
  </r>
  <r>
    <n v="1534"/>
    <n v="38"/>
    <s v="Male"/>
    <x v="1"/>
    <s v="Jeans"/>
    <n v="91"/>
    <x v="1"/>
    <s v="Cash on Delivery"/>
    <n v="4.2"/>
    <n v="14"/>
    <n v="7"/>
    <n v="78.260000000000005"/>
    <x v="1"/>
    <x v="0"/>
    <s v="Returning"/>
  </r>
  <r>
    <n v="1535"/>
    <n v="23"/>
    <s v="Male"/>
    <x v="7"/>
    <s v="Sneakers"/>
    <n v="191.42"/>
    <x v="2"/>
    <s v="Card"/>
    <n v="3.9"/>
    <n v="18"/>
    <n v="4"/>
    <n v="156.96440000000001"/>
    <x v="3"/>
    <x v="0"/>
    <s v="Returning"/>
  </r>
  <r>
    <n v="1536"/>
    <n v="56"/>
    <s v="Female"/>
    <x v="0"/>
    <s v="Handbag"/>
    <n v="114.28"/>
    <x v="3"/>
    <s v="Card"/>
    <n v="4"/>
    <n v="20"/>
    <n v="5"/>
    <n v="91.424000000000007"/>
    <x v="0"/>
    <x v="0"/>
    <s v="Returning"/>
  </r>
  <r>
    <n v="1537"/>
    <n v="46"/>
    <s v="Male"/>
    <x v="4"/>
    <s v="Snacks"/>
    <n v="48.42"/>
    <x v="3"/>
    <s v="Card"/>
    <n v="3.7"/>
    <n v="19"/>
    <n v="7"/>
    <n v="39.220200000000006"/>
    <x v="0"/>
    <x v="0"/>
    <s v="Returning"/>
  </r>
  <r>
    <n v="1538"/>
    <n v="48"/>
    <s v="Male"/>
    <x v="7"/>
    <s v="Sneakers"/>
    <n v="84.31"/>
    <x v="1"/>
    <s v="Cash on Delivery"/>
    <n v="4.5"/>
    <n v="10"/>
    <n v="0"/>
    <n v="75.879000000000005"/>
    <x v="0"/>
    <x v="0"/>
    <s v="New"/>
  </r>
  <r>
    <n v="1539"/>
    <n v="40"/>
    <s v="Male"/>
    <x v="7"/>
    <s v="Sandals"/>
    <n v="73.92"/>
    <x v="1"/>
    <s v="Card"/>
    <n v="3.4"/>
    <n v="24"/>
    <n v="7"/>
    <n v="56.179200000000002"/>
    <x v="1"/>
    <x v="0"/>
    <s v="Returning"/>
  </r>
  <r>
    <n v="1540"/>
    <n v="47"/>
    <s v="Male"/>
    <x v="7"/>
    <s v="Sandals"/>
    <n v="67.400000000000006"/>
    <x v="3"/>
    <s v="Cash on Delivery"/>
    <n v="4.3"/>
    <n v="7"/>
    <n v="1"/>
    <n v="62.682000000000002"/>
    <x v="0"/>
    <x v="0"/>
    <s v="Returning"/>
  </r>
  <r>
    <n v="1541"/>
    <n v="67"/>
    <s v="Male"/>
    <x v="3"/>
    <s v="Kitchen Set"/>
    <n v="295.08999999999997"/>
    <x v="0"/>
    <s v="Card"/>
    <n v="3.6"/>
    <n v="4"/>
    <n v="2"/>
    <n v="283.28639999999996"/>
    <x v="2"/>
    <x v="0"/>
    <s v="Returning"/>
  </r>
  <r>
    <n v="1542"/>
    <n v="30"/>
    <s v="Female"/>
    <x v="7"/>
    <s v="Sneakers"/>
    <n v="121.3"/>
    <x v="1"/>
    <s v="Card"/>
    <n v="3.1"/>
    <n v="10"/>
    <n v="5"/>
    <n v="109.17"/>
    <x v="4"/>
    <x v="0"/>
    <s v="Returning"/>
  </r>
  <r>
    <n v="1543"/>
    <n v="46"/>
    <s v="Male"/>
    <x v="5"/>
    <s v="Headphones"/>
    <n v="2344.0300000000002"/>
    <x v="0"/>
    <s v="Card"/>
    <n v="4.8"/>
    <n v="17"/>
    <n v="6"/>
    <n v="1945.5449000000001"/>
    <x v="0"/>
    <x v="0"/>
    <s v="Returning"/>
  </r>
  <r>
    <n v="1544"/>
    <n v="64"/>
    <s v="Female"/>
    <x v="6"/>
    <s v="Makeup Set"/>
    <n v="87.85"/>
    <x v="1"/>
    <s v="Cash on Delivery"/>
    <n v="2.1"/>
    <n v="16"/>
    <n v="8"/>
    <n v="73.793999999999997"/>
    <x v="2"/>
    <x v="0"/>
    <s v="Returning"/>
  </r>
  <r>
    <n v="1545"/>
    <n v="50"/>
    <s v="Female"/>
    <x v="6"/>
    <s v="Makeup Set"/>
    <n v="31.22"/>
    <x v="1"/>
    <s v="Card"/>
    <n v="3.8"/>
    <n v="20"/>
    <n v="10"/>
    <n v="24.975999999999999"/>
    <x v="0"/>
    <x v="0"/>
    <s v="Returning"/>
  </r>
  <r>
    <n v="1546"/>
    <n v="60"/>
    <s v="Female"/>
    <x v="0"/>
    <s v="Wallet"/>
    <n v="74.33"/>
    <x v="2"/>
    <s v="Card"/>
    <n v="3.8"/>
    <n v="24"/>
    <n v="7"/>
    <n v="56.4908"/>
    <x v="0"/>
    <x v="0"/>
    <s v="Returning"/>
  </r>
  <r>
    <n v="1547"/>
    <n v="36"/>
    <s v="Female"/>
    <x v="2"/>
    <s v="Dumbbells"/>
    <n v="142.80000000000001"/>
    <x v="2"/>
    <s v="Card"/>
    <n v="5"/>
    <n v="18"/>
    <n v="4"/>
    <n v="117.09600000000002"/>
    <x v="1"/>
    <x v="0"/>
    <s v="Returning"/>
  </r>
  <r>
    <n v="1548"/>
    <n v="25"/>
    <s v="Male"/>
    <x v="2"/>
    <s v="Football"/>
    <n v="76.08"/>
    <x v="3"/>
    <s v="Card"/>
    <n v="3.7"/>
    <n v="16"/>
    <n v="3"/>
    <n v="63.907199999999996"/>
    <x v="3"/>
    <x v="0"/>
    <s v="Returning"/>
  </r>
  <r>
    <n v="1549"/>
    <n v="59"/>
    <s v="Male"/>
    <x v="1"/>
    <s v="Shirt"/>
    <n v="71.09"/>
    <x v="1"/>
    <s v="Cash on Delivery"/>
    <n v="3.8"/>
    <n v="10"/>
    <n v="5"/>
    <n v="63.981000000000002"/>
    <x v="0"/>
    <x v="0"/>
    <s v="Returning"/>
  </r>
  <r>
    <n v="1550"/>
    <n v="21"/>
    <s v="Male"/>
    <x v="7"/>
    <s v="Sneakers"/>
    <n v="210.67"/>
    <x v="2"/>
    <s v="Card"/>
    <n v="3.4"/>
    <n v="6"/>
    <n v="3"/>
    <n v="198.02979999999997"/>
    <x v="3"/>
    <x v="0"/>
    <s v="Returning"/>
  </r>
  <r>
    <n v="1551"/>
    <n v="21"/>
    <s v="Female"/>
    <x v="6"/>
    <s v="Perfume"/>
    <n v="131.55000000000001"/>
    <x v="3"/>
    <s v="Card"/>
    <n v="4.3"/>
    <n v="13"/>
    <n v="4"/>
    <n v="114.44850000000001"/>
    <x v="3"/>
    <x v="0"/>
    <s v="Returning"/>
  </r>
  <r>
    <n v="1552"/>
    <n v="28"/>
    <s v="Male"/>
    <x v="2"/>
    <s v="Dumbbells"/>
    <n v="123.55"/>
    <x v="3"/>
    <s v="Card"/>
    <n v="4.0999999999999996"/>
    <n v="21"/>
    <n v="8"/>
    <n v="97.604500000000002"/>
    <x v="4"/>
    <x v="0"/>
    <s v="Returning"/>
  </r>
  <r>
    <n v="1553"/>
    <n v="21"/>
    <s v="Female"/>
    <x v="0"/>
    <s v="Handbag"/>
    <n v="130.77000000000001"/>
    <x v="2"/>
    <s v="Card"/>
    <n v="4.8"/>
    <n v="4"/>
    <n v="2"/>
    <n v="125.53920000000001"/>
    <x v="3"/>
    <x v="0"/>
    <s v="Returning"/>
  </r>
  <r>
    <n v="1554"/>
    <n v="56"/>
    <s v="Male"/>
    <x v="1"/>
    <s v="Jacket"/>
    <n v="110.31"/>
    <x v="3"/>
    <s v="Card"/>
    <n v="3"/>
    <n v="2"/>
    <n v="1"/>
    <n v="108.10380000000001"/>
    <x v="0"/>
    <x v="0"/>
    <s v="Returning"/>
  </r>
  <r>
    <n v="1555"/>
    <n v="29"/>
    <s v="Male"/>
    <x v="2"/>
    <s v="Yoga Mat"/>
    <n v="238.27"/>
    <x v="2"/>
    <s v="Card"/>
    <n v="5"/>
    <n v="14"/>
    <n v="2"/>
    <n v="204.91220000000001"/>
    <x v="4"/>
    <x v="0"/>
    <s v="Returning"/>
  </r>
  <r>
    <n v="1556"/>
    <n v="20"/>
    <s v="Male"/>
    <x v="3"/>
    <s v="Kitchen Set"/>
    <n v="201.69"/>
    <x v="0"/>
    <s v="Card"/>
    <n v="2.9"/>
    <n v="23"/>
    <n v="9"/>
    <n v="155.3013"/>
    <x v="3"/>
    <x v="0"/>
    <s v="Returning"/>
  </r>
  <r>
    <n v="1557"/>
    <n v="49"/>
    <s v="Female"/>
    <x v="2"/>
    <s v="Dumbbells"/>
    <n v="199.72"/>
    <x v="0"/>
    <s v="Card"/>
    <n v="3.9"/>
    <n v="24"/>
    <n v="7"/>
    <n v="151.78720000000001"/>
    <x v="0"/>
    <x v="0"/>
    <s v="Returning"/>
  </r>
  <r>
    <n v="1558"/>
    <n v="48"/>
    <s v="Male"/>
    <x v="3"/>
    <s v="Lamp"/>
    <n v="113.79"/>
    <x v="2"/>
    <s v="Card"/>
    <n v="3.3"/>
    <n v="2"/>
    <n v="1"/>
    <n v="111.5142"/>
    <x v="0"/>
    <x v="0"/>
    <s v="Returning"/>
  </r>
  <r>
    <n v="1559"/>
    <n v="42"/>
    <s v="Male"/>
    <x v="2"/>
    <s v="Football"/>
    <n v="216.19"/>
    <x v="2"/>
    <s v="Card"/>
    <n v="4.5"/>
    <n v="13"/>
    <n v="4"/>
    <n v="188.08529999999999"/>
    <x v="1"/>
    <x v="0"/>
    <s v="Returning"/>
  </r>
  <r>
    <n v="1560"/>
    <n v="35"/>
    <s v="Female"/>
    <x v="0"/>
    <s v="Wallet"/>
    <n v="157.94999999999999"/>
    <x v="1"/>
    <s v="Card"/>
    <n v="3.8"/>
    <n v="14"/>
    <n v="2"/>
    <n v="135.83699999999999"/>
    <x v="4"/>
    <x v="0"/>
    <s v="Returning"/>
  </r>
  <r>
    <n v="1561"/>
    <n v="61"/>
    <s v="Female"/>
    <x v="8"/>
    <s v="Skirt"/>
    <n v="144.71"/>
    <x v="1"/>
    <s v="Card"/>
    <n v="5"/>
    <n v="16"/>
    <n v="8"/>
    <n v="121.5564"/>
    <x v="2"/>
    <x v="0"/>
    <s v="Returning"/>
  </r>
  <r>
    <n v="1562"/>
    <n v="27"/>
    <s v="Male"/>
    <x v="2"/>
    <s v="Yoga Mat"/>
    <n v="123.19"/>
    <x v="2"/>
    <s v="Card"/>
    <n v="5"/>
    <n v="12"/>
    <n v="6"/>
    <n v="108.4072"/>
    <x v="4"/>
    <x v="0"/>
    <s v="Returning"/>
  </r>
  <r>
    <n v="1563"/>
    <n v="56"/>
    <s v="Male"/>
    <x v="2"/>
    <s v="Dumbbells"/>
    <n v="174.68"/>
    <x v="0"/>
    <s v="Card"/>
    <n v="3.1"/>
    <n v="22"/>
    <n v="6"/>
    <n v="136.25040000000001"/>
    <x v="0"/>
    <x v="0"/>
    <s v="Returning"/>
  </r>
  <r>
    <n v="1564"/>
    <n v="54"/>
    <s v="Male"/>
    <x v="7"/>
    <s v="Sandals"/>
    <n v="80.349999999999994"/>
    <x v="0"/>
    <s v="Cash on Delivery"/>
    <n v="3.8"/>
    <n v="14"/>
    <n v="2"/>
    <n v="69.100999999999999"/>
    <x v="0"/>
    <x v="0"/>
    <s v="Returning"/>
  </r>
  <r>
    <n v="1565"/>
    <n v="46"/>
    <s v="Female"/>
    <x v="3"/>
    <s v="Curtains"/>
    <n v="196.05"/>
    <x v="0"/>
    <s v="Card"/>
    <n v="4.5999999999999996"/>
    <n v="12"/>
    <n v="1"/>
    <n v="172.524"/>
    <x v="0"/>
    <x v="0"/>
    <s v="Returning"/>
  </r>
  <r>
    <n v="1566"/>
    <n v="55"/>
    <s v="Female"/>
    <x v="6"/>
    <s v="Makeup Set"/>
    <n v="127.11"/>
    <x v="1"/>
    <s v="Card"/>
    <n v="4.0999999999999996"/>
    <n v="15"/>
    <n v="5"/>
    <n v="108.04349999999999"/>
    <x v="0"/>
    <x v="0"/>
    <s v="Returning"/>
  </r>
  <r>
    <n v="1567"/>
    <n v="30"/>
    <s v="Female"/>
    <x v="6"/>
    <s v="Perfume"/>
    <n v="69.8"/>
    <x v="2"/>
    <s v="Cash on Delivery"/>
    <n v="2.8"/>
    <n v="18"/>
    <n v="4"/>
    <n v="57.236000000000004"/>
    <x v="4"/>
    <x v="0"/>
    <s v="Returning"/>
  </r>
  <r>
    <n v="1568"/>
    <n v="27"/>
    <s v="Male"/>
    <x v="2"/>
    <s v="Yoga Mat"/>
    <n v="210.43"/>
    <x v="0"/>
    <s v="Card"/>
    <n v="3.9"/>
    <n v="16"/>
    <n v="3"/>
    <n v="176.7612"/>
    <x v="4"/>
    <x v="0"/>
    <s v="Returning"/>
  </r>
  <r>
    <n v="1569"/>
    <n v="56"/>
    <s v="Male"/>
    <x v="2"/>
    <s v="Yoga Mat"/>
    <n v="219.8"/>
    <x v="2"/>
    <s v="Card"/>
    <n v="3.9"/>
    <n v="6"/>
    <n v="3"/>
    <n v="206.61199999999999"/>
    <x v="0"/>
    <x v="0"/>
    <s v="Returning"/>
  </r>
  <r>
    <n v="1570"/>
    <n v="42"/>
    <s v="Female"/>
    <x v="7"/>
    <s v="Sandals"/>
    <n v="74.97"/>
    <x v="3"/>
    <s v="Cash on Delivery"/>
    <n v="2.2000000000000002"/>
    <n v="6"/>
    <n v="3"/>
    <n v="70.471800000000002"/>
    <x v="1"/>
    <x v="0"/>
    <s v="Returning"/>
  </r>
  <r>
    <n v="1571"/>
    <n v="34"/>
    <s v="Female"/>
    <x v="6"/>
    <s v="Makeup Set"/>
    <n v="103.19"/>
    <x v="3"/>
    <s v="Card"/>
    <n v="4"/>
    <n v="10"/>
    <n v="5"/>
    <n v="92.870999999999995"/>
    <x v="4"/>
    <x v="0"/>
    <s v="Returning"/>
  </r>
  <r>
    <n v="1572"/>
    <n v="21"/>
    <s v="Female"/>
    <x v="6"/>
    <s v="Skincare Kit"/>
    <n v="138.69"/>
    <x v="2"/>
    <s v="Card"/>
    <n v="4.5"/>
    <n v="16"/>
    <n v="3"/>
    <n v="116.49959999999999"/>
    <x v="3"/>
    <x v="0"/>
    <s v="Returning"/>
  </r>
  <r>
    <n v="1573"/>
    <n v="49"/>
    <s v="Male"/>
    <x v="2"/>
    <s v="Yoga Mat"/>
    <n v="164.76"/>
    <x v="3"/>
    <s v="Card"/>
    <n v="3.5"/>
    <n v="26"/>
    <n v="8"/>
    <n v="121.9224"/>
    <x v="0"/>
    <x v="0"/>
    <s v="Returning"/>
  </r>
  <r>
    <n v="1574"/>
    <n v="25"/>
    <s v="Male"/>
    <x v="2"/>
    <s v="Yoga Mat"/>
    <n v="182.09"/>
    <x v="2"/>
    <s v="Card"/>
    <n v="3.9"/>
    <n v="8"/>
    <n v="4"/>
    <n v="167.52280000000002"/>
    <x v="3"/>
    <x v="0"/>
    <s v="Returning"/>
  </r>
  <r>
    <n v="1575"/>
    <n v="50"/>
    <s v="Male"/>
    <x v="7"/>
    <s v="Sandals"/>
    <n v="180.26"/>
    <x v="1"/>
    <s v="Card"/>
    <n v="3.9"/>
    <n v="2"/>
    <n v="1"/>
    <n v="176.65479999999999"/>
    <x v="0"/>
    <x v="0"/>
    <s v="Returning"/>
  </r>
  <r>
    <n v="1576"/>
    <n v="45"/>
    <s v="Female"/>
    <x v="0"/>
    <s v="Sunglasses"/>
    <n v="159.72999999999999"/>
    <x v="1"/>
    <s v="Card"/>
    <n v="3.7"/>
    <n v="10"/>
    <n v="5"/>
    <n v="143.75700000000001"/>
    <x v="1"/>
    <x v="0"/>
    <s v="Returning"/>
  </r>
  <r>
    <n v="1577"/>
    <n v="36"/>
    <s v="Female"/>
    <x v="8"/>
    <s v="Top"/>
    <n v="178.61"/>
    <x v="1"/>
    <s v="Card"/>
    <n v="3.7"/>
    <n v="16"/>
    <n v="3"/>
    <n v="150.0324"/>
    <x v="1"/>
    <x v="0"/>
    <s v="Returning"/>
  </r>
  <r>
    <n v="1578"/>
    <n v="55"/>
    <s v="Female"/>
    <x v="8"/>
    <s v="Skirt"/>
    <n v="100.75"/>
    <x v="0"/>
    <s v="Card"/>
    <n v="4.2"/>
    <n v="26"/>
    <n v="8"/>
    <n v="74.554999999999993"/>
    <x v="0"/>
    <x v="0"/>
    <s v="Returning"/>
  </r>
  <r>
    <n v="1579"/>
    <n v="67"/>
    <s v="Female"/>
    <x v="2"/>
    <s v="Yoga Mat"/>
    <n v="65.25"/>
    <x v="2"/>
    <s v="Card"/>
    <n v="3.8"/>
    <n v="17"/>
    <n v="6"/>
    <n v="54.157499999999999"/>
    <x v="2"/>
    <x v="0"/>
    <s v="Returning"/>
  </r>
  <r>
    <n v="1580"/>
    <n v="31"/>
    <s v="Male"/>
    <x v="1"/>
    <s v="Shirt"/>
    <n v="191.96"/>
    <x v="3"/>
    <s v="Card"/>
    <n v="3.7"/>
    <n v="13"/>
    <n v="4"/>
    <n v="167.0052"/>
    <x v="4"/>
    <x v="0"/>
    <s v="Returning"/>
  </r>
  <r>
    <n v="1581"/>
    <n v="42"/>
    <s v="Female"/>
    <x v="8"/>
    <s v="Dress"/>
    <n v="152.61000000000001"/>
    <x v="3"/>
    <s v="Card"/>
    <n v="3.2"/>
    <n v="18"/>
    <n v="4"/>
    <n v="125.14020000000002"/>
    <x v="1"/>
    <x v="0"/>
    <s v="Returning"/>
  </r>
  <r>
    <n v="1582"/>
    <n v="37"/>
    <s v="Male"/>
    <x v="2"/>
    <s v="Yoga Mat"/>
    <n v="118.07"/>
    <x v="2"/>
    <s v="Card"/>
    <n v="2.8"/>
    <n v="22"/>
    <n v="6"/>
    <n v="92.0946"/>
    <x v="1"/>
    <x v="0"/>
    <s v="Returning"/>
  </r>
  <r>
    <n v="1583"/>
    <n v="39"/>
    <s v="Female"/>
    <x v="6"/>
    <s v="Makeup Set"/>
    <n v="100.38"/>
    <x v="0"/>
    <s v="Card"/>
    <n v="4.3"/>
    <n v="10"/>
    <n v="5"/>
    <n v="90.341999999999999"/>
    <x v="1"/>
    <x v="0"/>
    <s v="Returning"/>
  </r>
  <r>
    <n v="1584"/>
    <n v="53"/>
    <s v="Female"/>
    <x v="3"/>
    <s v="Kitchen Set"/>
    <n v="198.76"/>
    <x v="1"/>
    <s v="Card"/>
    <n v="3.8"/>
    <n v="15"/>
    <n v="5"/>
    <n v="168.946"/>
    <x v="0"/>
    <x v="0"/>
    <s v="Returning"/>
  </r>
  <r>
    <n v="1585"/>
    <n v="48"/>
    <s v="Male"/>
    <x v="2"/>
    <s v="Football"/>
    <n v="33.840000000000003"/>
    <x v="0"/>
    <s v="Card"/>
    <n v="4.0999999999999996"/>
    <n v="13"/>
    <n v="4"/>
    <n v="29.440800000000003"/>
    <x v="0"/>
    <x v="0"/>
    <s v="Returning"/>
  </r>
  <r>
    <n v="1586"/>
    <n v="30"/>
    <s v="Male"/>
    <x v="7"/>
    <s v="Formal Shoes"/>
    <n v="106.05"/>
    <x v="0"/>
    <s v="Card"/>
    <n v="4.4000000000000004"/>
    <n v="13"/>
    <n v="4"/>
    <n v="92.263499999999993"/>
    <x v="4"/>
    <x v="0"/>
    <s v="Returning"/>
  </r>
  <r>
    <n v="1587"/>
    <n v="40"/>
    <s v="Female"/>
    <x v="7"/>
    <s v="Formal Shoes"/>
    <n v="54.39"/>
    <x v="0"/>
    <s v="Card"/>
    <n v="3.9"/>
    <n v="8"/>
    <n v="4"/>
    <n v="50.038800000000002"/>
    <x v="1"/>
    <x v="0"/>
    <s v="Returning"/>
  </r>
  <r>
    <n v="1588"/>
    <n v="52"/>
    <s v="Female"/>
    <x v="4"/>
    <s v="Beverages"/>
    <n v="11.01"/>
    <x v="2"/>
    <s v="Cash on Delivery"/>
    <n v="4.0999999999999996"/>
    <n v="8"/>
    <n v="4"/>
    <n v="10.129200000000001"/>
    <x v="0"/>
    <x v="0"/>
    <s v="Returning"/>
  </r>
  <r>
    <n v="1589"/>
    <n v="67"/>
    <s v="Female"/>
    <x v="7"/>
    <s v="Formal Shoes"/>
    <n v="126.08"/>
    <x v="3"/>
    <s v="Card"/>
    <n v="3.8"/>
    <n v="22"/>
    <n v="6"/>
    <n v="98.342399999999998"/>
    <x v="2"/>
    <x v="0"/>
    <s v="Returning"/>
  </r>
  <r>
    <n v="1590"/>
    <n v="43"/>
    <s v="Male"/>
    <x v="1"/>
    <s v="T-Shirt"/>
    <n v="114.33"/>
    <x v="3"/>
    <s v="Card"/>
    <n v="3.9"/>
    <n v="13"/>
    <n v="4"/>
    <n v="99.467100000000002"/>
    <x v="1"/>
    <x v="0"/>
    <s v="Returning"/>
  </r>
  <r>
    <n v="1591"/>
    <n v="52"/>
    <s v="Male"/>
    <x v="1"/>
    <s v="Jeans"/>
    <n v="157.41"/>
    <x v="3"/>
    <s v="Card"/>
    <n v="4.7"/>
    <n v="16"/>
    <n v="3"/>
    <n v="132.2244"/>
    <x v="0"/>
    <x v="0"/>
    <s v="Returning"/>
  </r>
  <r>
    <n v="1592"/>
    <n v="70"/>
    <s v="Female"/>
    <x v="7"/>
    <s v="Formal Shoes"/>
    <n v="157.88999999999999"/>
    <x v="0"/>
    <s v="Card"/>
    <n v="4"/>
    <n v="16"/>
    <n v="3"/>
    <n v="132.62759999999997"/>
    <x v="2"/>
    <x v="0"/>
    <s v="Returning"/>
  </r>
  <r>
    <n v="1593"/>
    <n v="46"/>
    <s v="Female"/>
    <x v="8"/>
    <s v="Top"/>
    <n v="52.6"/>
    <x v="3"/>
    <s v="Card"/>
    <n v="4"/>
    <n v="7"/>
    <n v="1"/>
    <n v="48.917999999999999"/>
    <x v="0"/>
    <x v="0"/>
    <s v="Returning"/>
  </r>
  <r>
    <n v="1594"/>
    <n v="63"/>
    <s v="Male"/>
    <x v="2"/>
    <s v="Football"/>
    <n v="37.630000000000003"/>
    <x v="1"/>
    <s v="Cash on Delivery"/>
    <n v="3.6"/>
    <n v="13"/>
    <n v="4"/>
    <n v="32.738100000000003"/>
    <x v="2"/>
    <x v="0"/>
    <s v="Returning"/>
  </r>
  <r>
    <n v="1595"/>
    <n v="60"/>
    <s v="Male"/>
    <x v="5"/>
    <s v="Mobile Phone"/>
    <n v="1061.83"/>
    <x v="3"/>
    <s v="Card"/>
    <n v="4.9000000000000004"/>
    <n v="10"/>
    <n v="5"/>
    <n v="955.64699999999993"/>
    <x v="0"/>
    <x v="0"/>
    <s v="Returning"/>
  </r>
  <r>
    <n v="1596"/>
    <n v="53"/>
    <s v="Male"/>
    <x v="1"/>
    <s v="Shirt"/>
    <n v="44.56"/>
    <x v="3"/>
    <s v="Card"/>
    <n v="3.9"/>
    <n v="26"/>
    <n v="8"/>
    <n v="32.974400000000003"/>
    <x v="0"/>
    <x v="0"/>
    <s v="Returning"/>
  </r>
  <r>
    <n v="1597"/>
    <n v="43"/>
    <s v="Female"/>
    <x v="8"/>
    <s v="Jeans"/>
    <n v="57.06"/>
    <x v="1"/>
    <s v="Card"/>
    <n v="3.9"/>
    <n v="26"/>
    <n v="8"/>
    <n v="42.224400000000003"/>
    <x v="1"/>
    <x v="0"/>
    <s v="Returning"/>
  </r>
  <r>
    <n v="1598"/>
    <n v="44"/>
    <s v="Female"/>
    <x v="8"/>
    <s v="Dress"/>
    <n v="34.94"/>
    <x v="0"/>
    <s v="Cash on Delivery"/>
    <n v="1.6"/>
    <n v="22"/>
    <n v="11"/>
    <n v="27.2532"/>
    <x v="1"/>
    <x v="0"/>
    <s v="Returning"/>
  </r>
  <r>
    <n v="1599"/>
    <n v="32"/>
    <s v="Male"/>
    <x v="4"/>
    <s v="Rice Pack"/>
    <n v="12.13"/>
    <x v="2"/>
    <s v="Card"/>
    <n v="4.9000000000000004"/>
    <n v="16"/>
    <n v="3"/>
    <n v="10.1892"/>
    <x v="4"/>
    <x v="0"/>
    <s v="Returning"/>
  </r>
  <r>
    <n v="1600"/>
    <n v="53"/>
    <s v="Male"/>
    <x v="5"/>
    <s v="Mobile Phone"/>
    <n v="930.34"/>
    <x v="3"/>
    <s v="Card"/>
    <n v="4.5999999999999996"/>
    <n v="10"/>
    <n v="5"/>
    <n v="837.30600000000004"/>
    <x v="0"/>
    <x v="0"/>
    <s v="Returning"/>
  </r>
  <r>
    <n v="1601"/>
    <n v="24"/>
    <s v="Male"/>
    <x v="5"/>
    <s v="Mobile Phone"/>
    <n v="2059.52"/>
    <x v="2"/>
    <s v="Card"/>
    <n v="3.4"/>
    <n v="18"/>
    <n v="4"/>
    <n v="1688.8064000000002"/>
    <x v="3"/>
    <x v="0"/>
    <s v="Returning"/>
  </r>
  <r>
    <n v="1602"/>
    <n v="36"/>
    <s v="Male"/>
    <x v="7"/>
    <s v="Sneakers"/>
    <n v="160.32"/>
    <x v="0"/>
    <s v="Card"/>
    <n v="3.9"/>
    <n v="16"/>
    <n v="8"/>
    <n v="134.66879999999998"/>
    <x v="1"/>
    <x v="0"/>
    <s v="Returning"/>
  </r>
  <r>
    <n v="1603"/>
    <n v="57"/>
    <s v="Female"/>
    <x v="0"/>
    <s v="Handbag"/>
    <n v="28.73"/>
    <x v="2"/>
    <s v="Card"/>
    <n v="3.8"/>
    <n v="10"/>
    <n v="5"/>
    <n v="25.856999999999999"/>
    <x v="0"/>
    <x v="0"/>
    <s v="Returning"/>
  </r>
  <r>
    <n v="1604"/>
    <n v="67"/>
    <s v="Male"/>
    <x v="7"/>
    <s v="Formal Shoes"/>
    <n v="229.11"/>
    <x v="3"/>
    <s v="Card"/>
    <n v="4"/>
    <n v="13"/>
    <n v="4"/>
    <n v="199.32570000000001"/>
    <x v="2"/>
    <x v="0"/>
    <s v="Returning"/>
  </r>
  <r>
    <n v="1605"/>
    <n v="38"/>
    <s v="Male"/>
    <x v="2"/>
    <s v="Yoga Mat"/>
    <n v="163.57"/>
    <x v="1"/>
    <s v="Card"/>
    <n v="4"/>
    <n v="11"/>
    <n v="3"/>
    <n v="145.57730000000001"/>
    <x v="1"/>
    <x v="0"/>
    <s v="Returning"/>
  </r>
  <r>
    <n v="1606"/>
    <n v="48"/>
    <s v="Male"/>
    <x v="2"/>
    <s v="Football"/>
    <n v="149.97999999999999"/>
    <x v="2"/>
    <s v="Card"/>
    <n v="4.0999999999999996"/>
    <n v="9"/>
    <n v="2"/>
    <n v="136.48179999999999"/>
    <x v="0"/>
    <x v="0"/>
    <s v="Returning"/>
  </r>
  <r>
    <n v="1607"/>
    <n v="47"/>
    <s v="Male"/>
    <x v="1"/>
    <s v="Jeans"/>
    <n v="32.58"/>
    <x v="2"/>
    <s v="Card"/>
    <n v="4.5"/>
    <n v="14"/>
    <n v="7"/>
    <n v="28.018799999999999"/>
    <x v="0"/>
    <x v="0"/>
    <s v="Returning"/>
  </r>
  <r>
    <n v="1608"/>
    <n v="60"/>
    <s v="Male"/>
    <x v="2"/>
    <s v="Yoga Mat"/>
    <n v="61.48"/>
    <x v="1"/>
    <s v="Card"/>
    <n v="3.9"/>
    <n v="22"/>
    <n v="6"/>
    <n v="47.9544"/>
    <x v="0"/>
    <x v="0"/>
    <s v="Returning"/>
  </r>
  <r>
    <n v="1609"/>
    <n v="56"/>
    <s v="Female"/>
    <x v="7"/>
    <s v="Sandals"/>
    <n v="140.04"/>
    <x v="2"/>
    <s v="Card"/>
    <n v="3.2"/>
    <n v="11"/>
    <n v="3"/>
    <n v="124.6356"/>
    <x v="0"/>
    <x v="0"/>
    <s v="Returning"/>
  </r>
  <r>
    <n v="1610"/>
    <n v="60"/>
    <s v="Female"/>
    <x v="0"/>
    <s v="Sunglasses"/>
    <n v="47.05"/>
    <x v="2"/>
    <s v="Card"/>
    <n v="2.2999999999999998"/>
    <n v="15"/>
    <n v="5"/>
    <n v="39.9925"/>
    <x v="0"/>
    <x v="0"/>
    <s v="Returning"/>
  </r>
  <r>
    <n v="1611"/>
    <n v="58"/>
    <s v="Female"/>
    <x v="2"/>
    <s v="Dumbbells"/>
    <n v="187.21"/>
    <x v="2"/>
    <s v="Card"/>
    <n v="3.7"/>
    <n v="19"/>
    <n v="7"/>
    <n v="151.64010000000002"/>
    <x v="0"/>
    <x v="0"/>
    <s v="Returning"/>
  </r>
  <r>
    <n v="1612"/>
    <n v="67"/>
    <s v="Female"/>
    <x v="7"/>
    <s v="Sneakers"/>
    <n v="211.09"/>
    <x v="1"/>
    <s v="Card"/>
    <n v="3.8"/>
    <n v="9"/>
    <n v="2"/>
    <n v="192.09190000000001"/>
    <x v="2"/>
    <x v="0"/>
    <s v="Returning"/>
  </r>
  <r>
    <n v="1613"/>
    <n v="56"/>
    <s v="Female"/>
    <x v="7"/>
    <s v="Sneakers"/>
    <n v="181.83"/>
    <x v="1"/>
    <s v="Card"/>
    <n v="4"/>
    <n v="2"/>
    <n v="1"/>
    <n v="178.1934"/>
    <x v="0"/>
    <x v="0"/>
    <s v="Returning"/>
  </r>
  <r>
    <n v="1614"/>
    <n v="39"/>
    <s v="Female"/>
    <x v="6"/>
    <s v="Perfume"/>
    <n v="96.55"/>
    <x v="2"/>
    <s v="Cash on Delivery"/>
    <n v="3.5"/>
    <n v="21"/>
    <n v="8"/>
    <n v="76.274500000000003"/>
    <x v="1"/>
    <x v="0"/>
    <s v="Returning"/>
  </r>
  <r>
    <n v="1615"/>
    <n v="53"/>
    <s v="Female"/>
    <x v="6"/>
    <s v="Skincare Kit"/>
    <n v="105.07"/>
    <x v="1"/>
    <s v="Card"/>
    <n v="3.2"/>
    <n v="24"/>
    <n v="7"/>
    <n v="79.853200000000001"/>
    <x v="0"/>
    <x v="0"/>
    <s v="Returning"/>
  </r>
  <r>
    <n v="1616"/>
    <n v="50"/>
    <s v="Female"/>
    <x v="6"/>
    <s v="Skincare Kit"/>
    <n v="140.66"/>
    <x v="2"/>
    <s v="Card"/>
    <n v="4.5"/>
    <n v="22"/>
    <n v="6"/>
    <n v="109.7148"/>
    <x v="0"/>
    <x v="0"/>
    <s v="Returning"/>
  </r>
  <r>
    <n v="1617"/>
    <n v="38"/>
    <s v="Female"/>
    <x v="6"/>
    <s v="Perfume"/>
    <n v="48.99"/>
    <x v="3"/>
    <s v="Cash on Delivery"/>
    <n v="4.5999999999999996"/>
    <n v="20"/>
    <n v="5"/>
    <n v="39.192000000000007"/>
    <x v="1"/>
    <x v="0"/>
    <s v="Returning"/>
  </r>
  <r>
    <n v="1618"/>
    <n v="20"/>
    <s v="Female"/>
    <x v="7"/>
    <s v="Sneakers"/>
    <n v="43.11"/>
    <x v="0"/>
    <s v="Cash on Delivery"/>
    <n v="2.7"/>
    <n v="11"/>
    <n v="3"/>
    <n v="38.367899999999999"/>
    <x v="3"/>
    <x v="0"/>
    <s v="Returning"/>
  </r>
  <r>
    <n v="1619"/>
    <n v="55"/>
    <s v="Male"/>
    <x v="1"/>
    <s v="Jacket"/>
    <n v="168.41"/>
    <x v="2"/>
    <s v="Card"/>
    <n v="3.4"/>
    <n v="8"/>
    <n v="4"/>
    <n v="154.93719999999999"/>
    <x v="0"/>
    <x v="0"/>
    <s v="Returning"/>
  </r>
  <r>
    <n v="1620"/>
    <n v="33"/>
    <s v="Male"/>
    <x v="2"/>
    <s v="Dumbbells"/>
    <n v="174.82"/>
    <x v="3"/>
    <s v="Card"/>
    <n v="3.2"/>
    <n v="11"/>
    <n v="3"/>
    <n v="155.5898"/>
    <x v="4"/>
    <x v="0"/>
    <s v="Returning"/>
  </r>
  <r>
    <n v="1621"/>
    <n v="68"/>
    <s v="Female"/>
    <x v="6"/>
    <s v="Skincare Kit"/>
    <n v="76.84"/>
    <x v="0"/>
    <s v="Cash on Delivery"/>
    <n v="3.2"/>
    <n v="15"/>
    <n v="5"/>
    <n v="65.314000000000007"/>
    <x v="2"/>
    <x v="0"/>
    <s v="Returning"/>
  </r>
  <r>
    <n v="1622"/>
    <n v="41"/>
    <s v="Female"/>
    <x v="6"/>
    <s v="Skincare Kit"/>
    <n v="106.37"/>
    <x v="2"/>
    <s v="Card"/>
    <n v="2.2999999999999998"/>
    <n v="20"/>
    <n v="5"/>
    <n v="85.096000000000004"/>
    <x v="1"/>
    <x v="0"/>
    <s v="Returning"/>
  </r>
  <r>
    <n v="1623"/>
    <n v="54"/>
    <s v="Male"/>
    <x v="5"/>
    <s v="Mobile Phone"/>
    <n v="2164.64"/>
    <x v="1"/>
    <s v="Card"/>
    <n v="3.9"/>
    <n v="10"/>
    <n v="5"/>
    <n v="1948.1759999999999"/>
    <x v="0"/>
    <x v="0"/>
    <s v="Returning"/>
  </r>
  <r>
    <n v="1624"/>
    <n v="31"/>
    <s v="Female"/>
    <x v="6"/>
    <s v="Skincare Kit"/>
    <n v="61.15"/>
    <x v="3"/>
    <s v="Card"/>
    <n v="3.4"/>
    <n v="17"/>
    <n v="6"/>
    <n v="50.754499999999993"/>
    <x v="4"/>
    <x v="0"/>
    <s v="Returning"/>
  </r>
  <r>
    <n v="1625"/>
    <n v="31"/>
    <s v="Male"/>
    <x v="5"/>
    <s v="Headphones"/>
    <n v="1128.3"/>
    <x v="3"/>
    <s v="Card"/>
    <n v="3.2"/>
    <n v="10"/>
    <n v="5"/>
    <n v="1015.47"/>
    <x v="4"/>
    <x v="0"/>
    <s v="Returning"/>
  </r>
  <r>
    <n v="1626"/>
    <n v="47"/>
    <s v="Male"/>
    <x v="5"/>
    <s v="Mobile Phone"/>
    <n v="696.28"/>
    <x v="0"/>
    <s v="Card"/>
    <n v="3.7"/>
    <n v="15"/>
    <n v="5"/>
    <n v="591.83799999999997"/>
    <x v="0"/>
    <x v="0"/>
    <s v="Returning"/>
  </r>
  <r>
    <n v="1627"/>
    <n v="55"/>
    <s v="Male"/>
    <x v="7"/>
    <s v="Formal Shoes"/>
    <n v="212.95"/>
    <x v="2"/>
    <s v="Card"/>
    <n v="3.4"/>
    <n v="12"/>
    <n v="6"/>
    <n v="187.39599999999999"/>
    <x v="0"/>
    <x v="0"/>
    <s v="Returning"/>
  </r>
  <r>
    <n v="1628"/>
    <n v="56"/>
    <s v="Female"/>
    <x v="7"/>
    <s v="Sneakers"/>
    <n v="213.37"/>
    <x v="2"/>
    <s v="Card"/>
    <n v="2.9"/>
    <n v="4"/>
    <n v="2"/>
    <n v="204.83519999999999"/>
    <x v="0"/>
    <x v="0"/>
    <s v="Returning"/>
  </r>
  <r>
    <n v="1629"/>
    <n v="57"/>
    <s v="Female"/>
    <x v="4"/>
    <s v="Rice Pack"/>
    <n v="30.58"/>
    <x v="3"/>
    <s v="Card"/>
    <n v="4.4000000000000004"/>
    <n v="14"/>
    <n v="7"/>
    <n v="26.298799999999996"/>
    <x v="0"/>
    <x v="0"/>
    <s v="Returning"/>
  </r>
  <r>
    <n v="1630"/>
    <n v="54"/>
    <s v="Female"/>
    <x v="7"/>
    <s v="Formal Shoes"/>
    <n v="146.74"/>
    <x v="3"/>
    <s v="Card"/>
    <n v="3.7"/>
    <n v="28"/>
    <n v="9"/>
    <n v="105.6528"/>
    <x v="0"/>
    <x v="0"/>
    <s v="Returning"/>
  </r>
  <r>
    <n v="1631"/>
    <n v="44"/>
    <s v="Female"/>
    <x v="4"/>
    <s v="Snacks"/>
    <n v="14.22"/>
    <x v="1"/>
    <s v="Cash on Delivery"/>
    <n v="2.5"/>
    <n v="14"/>
    <n v="7"/>
    <n v="12.229200000000001"/>
    <x v="1"/>
    <x v="0"/>
    <s v="Returning"/>
  </r>
  <r>
    <n v="1632"/>
    <n v="44"/>
    <s v="Male"/>
    <x v="2"/>
    <s v="Football"/>
    <n v="87.41"/>
    <x v="0"/>
    <s v="Cash on Delivery"/>
    <n v="3.4"/>
    <n v="4"/>
    <n v="2"/>
    <n v="83.913599999999988"/>
    <x v="1"/>
    <x v="0"/>
    <s v="Returning"/>
  </r>
  <r>
    <n v="1633"/>
    <n v="23"/>
    <s v="Female"/>
    <x v="4"/>
    <s v="Rice Pack"/>
    <n v="78.14"/>
    <x v="2"/>
    <s v="Card"/>
    <n v="3.7"/>
    <n v="14"/>
    <n v="7"/>
    <n v="67.200400000000002"/>
    <x v="3"/>
    <x v="0"/>
    <s v="Returning"/>
  </r>
  <r>
    <n v="1634"/>
    <n v="64"/>
    <s v="Female"/>
    <x v="4"/>
    <s v="Cooking Oil"/>
    <n v="40.22"/>
    <x v="1"/>
    <s v="Cash on Delivery"/>
    <n v="4.5"/>
    <n v="11"/>
    <n v="3"/>
    <n v="35.7958"/>
    <x v="2"/>
    <x v="0"/>
    <s v="Returning"/>
  </r>
  <r>
    <n v="1635"/>
    <n v="39"/>
    <s v="Male"/>
    <x v="3"/>
    <s v="Curtains"/>
    <n v="199.12"/>
    <x v="3"/>
    <s v="Card"/>
    <n v="3.7"/>
    <n v="19"/>
    <n v="7"/>
    <n v="161.28720000000001"/>
    <x v="1"/>
    <x v="0"/>
    <s v="Returning"/>
  </r>
  <r>
    <n v="1636"/>
    <n v="40"/>
    <s v="Female"/>
    <x v="2"/>
    <s v="Dumbbells"/>
    <n v="204.66"/>
    <x v="2"/>
    <s v="Card"/>
    <n v="3"/>
    <n v="16"/>
    <n v="3"/>
    <n v="171.9144"/>
    <x v="1"/>
    <x v="0"/>
    <s v="Returning"/>
  </r>
  <r>
    <n v="1637"/>
    <n v="21"/>
    <s v="Female"/>
    <x v="7"/>
    <s v="Sandals"/>
    <n v="121.27"/>
    <x v="3"/>
    <s v="Card"/>
    <n v="5"/>
    <n v="22"/>
    <n v="6"/>
    <n v="94.590599999999995"/>
    <x v="3"/>
    <x v="0"/>
    <s v="Returning"/>
  </r>
  <r>
    <n v="1638"/>
    <n v="28"/>
    <s v="Female"/>
    <x v="0"/>
    <s v="Sunglasses"/>
    <n v="63.38"/>
    <x v="3"/>
    <s v="Cash on Delivery"/>
    <n v="4.9000000000000004"/>
    <n v="23"/>
    <n v="9"/>
    <n v="48.802600000000005"/>
    <x v="4"/>
    <x v="0"/>
    <s v="Returning"/>
  </r>
  <r>
    <n v="1639"/>
    <n v="34"/>
    <s v="Male"/>
    <x v="5"/>
    <s v="Headphones"/>
    <n v="1458.59"/>
    <x v="1"/>
    <s v="Card"/>
    <n v="3.8"/>
    <n v="15"/>
    <n v="5"/>
    <n v="1239.8014999999998"/>
    <x v="4"/>
    <x v="0"/>
    <s v="Returning"/>
  </r>
  <r>
    <n v="1640"/>
    <n v="47"/>
    <s v="Female"/>
    <x v="8"/>
    <s v="Jeans"/>
    <n v="115.9"/>
    <x v="2"/>
    <s v="Card"/>
    <n v="4"/>
    <n v="24"/>
    <n v="12"/>
    <n v="88.084000000000003"/>
    <x v="0"/>
    <x v="0"/>
    <s v="Returning"/>
  </r>
  <r>
    <n v="1641"/>
    <n v="30"/>
    <s v="Female"/>
    <x v="0"/>
    <s v="Sunglasses"/>
    <n v="45.95"/>
    <x v="2"/>
    <s v="Cash on Delivery"/>
    <n v="3.8"/>
    <n v="14"/>
    <n v="2"/>
    <n v="39.517000000000003"/>
    <x v="4"/>
    <x v="0"/>
    <s v="Returning"/>
  </r>
  <r>
    <n v="1642"/>
    <n v="53"/>
    <s v="Male"/>
    <x v="5"/>
    <s v="Headphones"/>
    <n v="2248.9899999999998"/>
    <x v="1"/>
    <s v="Card"/>
    <n v="3.6"/>
    <n v="14"/>
    <n v="2"/>
    <n v="1934.1313999999998"/>
    <x v="0"/>
    <x v="0"/>
    <s v="Returning"/>
  </r>
  <r>
    <n v="1643"/>
    <n v="33"/>
    <s v="Female"/>
    <x v="7"/>
    <s v="Sandals"/>
    <n v="168.21"/>
    <x v="2"/>
    <s v="Card"/>
    <n v="3.1"/>
    <n v="18"/>
    <n v="9"/>
    <n v="137.93220000000002"/>
    <x v="4"/>
    <x v="0"/>
    <s v="Returning"/>
  </r>
  <r>
    <n v="1644"/>
    <n v="28"/>
    <s v="Male"/>
    <x v="2"/>
    <s v="Dumbbells"/>
    <n v="38.31"/>
    <x v="1"/>
    <s v="Card"/>
    <n v="3.7"/>
    <n v="17"/>
    <n v="6"/>
    <n v="31.7973"/>
    <x v="4"/>
    <x v="0"/>
    <s v="Returning"/>
  </r>
  <r>
    <n v="1645"/>
    <n v="58"/>
    <s v="Male"/>
    <x v="2"/>
    <s v="Dumbbells"/>
    <n v="137.26"/>
    <x v="2"/>
    <s v="Card"/>
    <n v="4.4000000000000004"/>
    <n v="13"/>
    <n v="4"/>
    <n v="119.41619999999999"/>
    <x v="0"/>
    <x v="0"/>
    <s v="Returning"/>
  </r>
  <r>
    <n v="1646"/>
    <n v="59"/>
    <s v="Male"/>
    <x v="7"/>
    <s v="Sneakers"/>
    <n v="115.57"/>
    <x v="2"/>
    <s v="Card"/>
    <n v="2.5"/>
    <n v="13"/>
    <n v="4"/>
    <n v="100.54589999999999"/>
    <x v="0"/>
    <x v="0"/>
    <s v="Returning"/>
  </r>
  <r>
    <n v="1647"/>
    <n v="54"/>
    <s v="Male"/>
    <x v="7"/>
    <s v="Sneakers"/>
    <n v="189.63"/>
    <x v="3"/>
    <s v="Card"/>
    <n v="4.4000000000000004"/>
    <n v="14"/>
    <n v="7"/>
    <n v="163.08179999999999"/>
    <x v="0"/>
    <x v="0"/>
    <s v="Returning"/>
  </r>
  <r>
    <n v="1648"/>
    <n v="67"/>
    <s v="Female"/>
    <x v="6"/>
    <s v="Perfume"/>
    <n v="58.44"/>
    <x v="2"/>
    <s v="Card"/>
    <n v="3.4"/>
    <n v="18"/>
    <n v="4"/>
    <n v="47.9208"/>
    <x v="2"/>
    <x v="0"/>
    <s v="Returning"/>
  </r>
  <r>
    <n v="1649"/>
    <n v="32"/>
    <s v="Male"/>
    <x v="5"/>
    <s v="Smart Watch"/>
    <n v="1800.7"/>
    <x v="3"/>
    <s v="Card"/>
    <n v="3.6"/>
    <n v="10"/>
    <n v="5"/>
    <n v="1620.63"/>
    <x v="4"/>
    <x v="0"/>
    <s v="Returning"/>
  </r>
  <r>
    <n v="1650"/>
    <n v="23"/>
    <s v="Male"/>
    <x v="4"/>
    <s v="Beverages"/>
    <n v="8.34"/>
    <x v="0"/>
    <s v="Card"/>
    <n v="4.0999999999999996"/>
    <n v="25"/>
    <n v="10"/>
    <n v="6.2549999999999999"/>
    <x v="3"/>
    <x v="0"/>
    <s v="Returning"/>
  </r>
  <r>
    <n v="1651"/>
    <n v="56"/>
    <s v="Female"/>
    <x v="0"/>
    <s v="Sunglasses"/>
    <n v="83.07"/>
    <x v="3"/>
    <s v="Card"/>
    <n v="3.8"/>
    <n v="13"/>
    <n v="4"/>
    <n v="72.270899999999997"/>
    <x v="0"/>
    <x v="0"/>
    <s v="Returning"/>
  </r>
  <r>
    <n v="1652"/>
    <n v="65"/>
    <s v="Male"/>
    <x v="3"/>
    <s v="Kitchen Set"/>
    <n v="173.82"/>
    <x v="0"/>
    <s v="Card"/>
    <n v="5"/>
    <n v="22"/>
    <n v="6"/>
    <n v="135.5796"/>
    <x v="2"/>
    <x v="0"/>
    <s v="Returning"/>
  </r>
  <r>
    <n v="1653"/>
    <n v="47"/>
    <s v="Female"/>
    <x v="8"/>
    <s v="Jeans"/>
    <n v="145.85"/>
    <x v="1"/>
    <s v="Card"/>
    <n v="3"/>
    <n v="8"/>
    <n v="4"/>
    <n v="134.18199999999999"/>
    <x v="0"/>
    <x v="0"/>
    <s v="Returning"/>
  </r>
  <r>
    <n v="1654"/>
    <n v="22"/>
    <s v="Female"/>
    <x v="8"/>
    <s v="Jeans"/>
    <n v="79.34"/>
    <x v="2"/>
    <s v="Cash on Delivery"/>
    <n v="3.5"/>
    <n v="24"/>
    <n v="7"/>
    <n v="60.298400000000001"/>
    <x v="3"/>
    <x v="0"/>
    <s v="Returning"/>
  </r>
  <r>
    <n v="1655"/>
    <n v="38"/>
    <s v="Female"/>
    <x v="8"/>
    <s v="Dress"/>
    <n v="140"/>
    <x v="2"/>
    <s v="Card"/>
    <n v="3.8"/>
    <n v="11"/>
    <n v="3"/>
    <n v="124.60000000000001"/>
    <x v="1"/>
    <x v="0"/>
    <s v="Returning"/>
  </r>
  <r>
    <n v="1656"/>
    <n v="48"/>
    <s v="Male"/>
    <x v="5"/>
    <s v="Mobile Phone"/>
    <n v="532.67999999999995"/>
    <x v="3"/>
    <s v="Card"/>
    <n v="3"/>
    <n v="6"/>
    <n v="3"/>
    <n v="500.71919999999994"/>
    <x v="0"/>
    <x v="0"/>
    <s v="Returning"/>
  </r>
  <r>
    <n v="1657"/>
    <n v="26"/>
    <s v="Male"/>
    <x v="2"/>
    <s v="Dumbbells"/>
    <n v="168.47"/>
    <x v="2"/>
    <s v="Card"/>
    <n v="3.7"/>
    <n v="22"/>
    <n v="11"/>
    <n v="131.4066"/>
    <x v="4"/>
    <x v="0"/>
    <s v="Returning"/>
  </r>
  <r>
    <n v="1658"/>
    <n v="65"/>
    <s v="Female"/>
    <x v="8"/>
    <s v="Dress"/>
    <n v="93.8"/>
    <x v="2"/>
    <s v="Cash on Delivery"/>
    <n v="4.3"/>
    <n v="16"/>
    <n v="3"/>
    <n v="78.792000000000002"/>
    <x v="2"/>
    <x v="0"/>
    <s v="Returning"/>
  </r>
  <r>
    <n v="1659"/>
    <n v="68"/>
    <s v="Male"/>
    <x v="1"/>
    <s v="Shirt"/>
    <n v="162.35"/>
    <x v="3"/>
    <s v="Card"/>
    <n v="4.4000000000000004"/>
    <n v="17"/>
    <n v="6"/>
    <n v="134.75049999999999"/>
    <x v="2"/>
    <x v="0"/>
    <s v="Returning"/>
  </r>
  <r>
    <n v="1660"/>
    <n v="58"/>
    <s v="Male"/>
    <x v="1"/>
    <s v="T-Shirt"/>
    <n v="62.32"/>
    <x v="1"/>
    <s v="Card"/>
    <n v="3.9"/>
    <n v="13"/>
    <n v="4"/>
    <n v="54.218400000000003"/>
    <x v="0"/>
    <x v="0"/>
    <s v="Returning"/>
  </r>
  <r>
    <n v="1661"/>
    <n v="48"/>
    <s v="Female"/>
    <x v="6"/>
    <s v="Makeup Set"/>
    <n v="134.47999999999999"/>
    <x v="2"/>
    <s v="Card"/>
    <n v="3.9"/>
    <n v="18"/>
    <n v="4"/>
    <n v="110.2736"/>
    <x v="0"/>
    <x v="0"/>
    <s v="Returning"/>
  </r>
  <r>
    <n v="1662"/>
    <n v="37"/>
    <s v="Male"/>
    <x v="7"/>
    <s v="Sneakers"/>
    <n v="200.91"/>
    <x v="1"/>
    <s v="Card"/>
    <n v="2.8"/>
    <n v="16"/>
    <n v="3"/>
    <n v="168.76439999999999"/>
    <x v="1"/>
    <x v="0"/>
    <s v="Returning"/>
  </r>
  <r>
    <n v="1663"/>
    <n v="31"/>
    <s v="Female"/>
    <x v="6"/>
    <s v="Skincare Kit"/>
    <n v="137.99"/>
    <x v="2"/>
    <s v="Card"/>
    <n v="3.8"/>
    <n v="10"/>
    <n v="5"/>
    <n v="124.19100000000002"/>
    <x v="4"/>
    <x v="0"/>
    <s v="Returning"/>
  </r>
  <r>
    <n v="1664"/>
    <n v="62"/>
    <s v="Female"/>
    <x v="7"/>
    <s v="Formal Shoes"/>
    <n v="51.08"/>
    <x v="2"/>
    <s v="Cash on Delivery"/>
    <n v="3.1"/>
    <n v="21"/>
    <n v="8"/>
    <n v="40.353200000000001"/>
    <x v="2"/>
    <x v="0"/>
    <s v="Returning"/>
  </r>
  <r>
    <n v="1665"/>
    <n v="56"/>
    <s v="Male"/>
    <x v="2"/>
    <s v="Football"/>
    <n v="211"/>
    <x v="0"/>
    <s v="Card"/>
    <n v="1.3"/>
    <n v="5"/>
    <n v="0"/>
    <n v="200.45"/>
    <x v="0"/>
    <x v="0"/>
    <s v="New"/>
  </r>
  <r>
    <n v="1666"/>
    <n v="28"/>
    <s v="Female"/>
    <x v="8"/>
    <s v="Dress"/>
    <n v="40.1"/>
    <x v="0"/>
    <s v="Card"/>
    <n v="3.5"/>
    <n v="20"/>
    <n v="5"/>
    <n v="32.080000000000005"/>
    <x v="4"/>
    <x v="0"/>
    <s v="Returning"/>
  </r>
  <r>
    <n v="1667"/>
    <n v="27"/>
    <s v="Male"/>
    <x v="4"/>
    <s v="Cooking Oil"/>
    <n v="19.89"/>
    <x v="3"/>
    <s v="Card"/>
    <n v="4.0999999999999996"/>
    <n v="9"/>
    <n v="2"/>
    <n v="18.099900000000002"/>
    <x v="4"/>
    <x v="0"/>
    <s v="Returning"/>
  </r>
  <r>
    <n v="1668"/>
    <n v="61"/>
    <s v="Male"/>
    <x v="2"/>
    <s v="Yoga Mat"/>
    <n v="135.32"/>
    <x v="0"/>
    <s v="Card"/>
    <n v="3"/>
    <n v="14"/>
    <n v="7"/>
    <n v="116.37519999999999"/>
    <x v="2"/>
    <x v="0"/>
    <s v="Returning"/>
  </r>
  <r>
    <n v="1669"/>
    <n v="23"/>
    <s v="Female"/>
    <x v="0"/>
    <s v="Wallet"/>
    <n v="101.21"/>
    <x v="2"/>
    <s v="Card"/>
    <n v="3.6"/>
    <n v="28"/>
    <n v="9"/>
    <n v="72.871199999999988"/>
    <x v="3"/>
    <x v="0"/>
    <s v="Returning"/>
  </r>
  <r>
    <n v="1670"/>
    <n v="60"/>
    <s v="Female"/>
    <x v="2"/>
    <s v="Yoga Mat"/>
    <n v="163.92"/>
    <x v="1"/>
    <s v="Card"/>
    <n v="3.1"/>
    <n v="15"/>
    <n v="5"/>
    <n v="139.33199999999999"/>
    <x v="0"/>
    <x v="0"/>
    <s v="Returning"/>
  </r>
  <r>
    <n v="1671"/>
    <n v="54"/>
    <s v="Male"/>
    <x v="7"/>
    <s v="Sneakers"/>
    <n v="138.78"/>
    <x v="3"/>
    <s v="Card"/>
    <n v="3.7"/>
    <n v="15"/>
    <n v="5"/>
    <n v="117.96299999999999"/>
    <x v="0"/>
    <x v="0"/>
    <s v="Returning"/>
  </r>
  <r>
    <n v="1672"/>
    <n v="37"/>
    <s v="Male"/>
    <x v="1"/>
    <s v="T-Shirt"/>
    <n v="168.61"/>
    <x v="0"/>
    <s v="Card"/>
    <n v="4.5999999999999996"/>
    <n v="15"/>
    <n v="5"/>
    <n v="143.3185"/>
    <x v="1"/>
    <x v="0"/>
    <s v="Returning"/>
  </r>
  <r>
    <n v="1673"/>
    <n v="60"/>
    <s v="Female"/>
    <x v="8"/>
    <s v="Skirt"/>
    <n v="177.44"/>
    <x v="0"/>
    <s v="Card"/>
    <n v="3.8"/>
    <n v="9"/>
    <n v="2"/>
    <n v="161.47040000000001"/>
    <x v="0"/>
    <x v="0"/>
    <s v="Returning"/>
  </r>
  <r>
    <n v="1674"/>
    <n v="42"/>
    <s v="Male"/>
    <x v="7"/>
    <s v="Sneakers"/>
    <n v="58.43"/>
    <x v="3"/>
    <s v="Card"/>
    <n v="3.9"/>
    <n v="13"/>
    <n v="4"/>
    <n v="50.834099999999999"/>
    <x v="1"/>
    <x v="0"/>
    <s v="Returning"/>
  </r>
  <r>
    <n v="1675"/>
    <n v="27"/>
    <s v="Male"/>
    <x v="3"/>
    <s v="Lamp"/>
    <n v="184.18"/>
    <x v="2"/>
    <s v="Card"/>
    <n v="4.2"/>
    <n v="23"/>
    <n v="9"/>
    <n v="141.8186"/>
    <x v="4"/>
    <x v="0"/>
    <s v="Returning"/>
  </r>
  <r>
    <n v="1676"/>
    <n v="54"/>
    <s v="Female"/>
    <x v="7"/>
    <s v="Formal Shoes"/>
    <n v="180.54"/>
    <x v="0"/>
    <s v="Card"/>
    <n v="3.9"/>
    <n v="15"/>
    <n v="5"/>
    <n v="153.459"/>
    <x v="0"/>
    <x v="0"/>
    <s v="Returning"/>
  </r>
  <r>
    <n v="1677"/>
    <n v="56"/>
    <s v="Male"/>
    <x v="1"/>
    <s v="Jeans"/>
    <n v="135.91"/>
    <x v="2"/>
    <s v="Card"/>
    <n v="3.6"/>
    <n v="22"/>
    <n v="6"/>
    <n v="106.0098"/>
    <x v="0"/>
    <x v="0"/>
    <s v="Returning"/>
  </r>
  <r>
    <n v="1678"/>
    <n v="44"/>
    <s v="Female"/>
    <x v="8"/>
    <s v="Dress"/>
    <n v="183.99"/>
    <x v="0"/>
    <s v="Card"/>
    <n v="3.1"/>
    <n v="16"/>
    <n v="8"/>
    <n v="154.55160000000001"/>
    <x v="1"/>
    <x v="0"/>
    <s v="Returning"/>
  </r>
  <r>
    <n v="1679"/>
    <n v="32"/>
    <s v="Female"/>
    <x v="7"/>
    <s v="Sneakers"/>
    <n v="188.12"/>
    <x v="2"/>
    <s v="Card"/>
    <n v="2.7"/>
    <n v="6"/>
    <n v="3"/>
    <n v="176.83279999999999"/>
    <x v="4"/>
    <x v="0"/>
    <s v="Returning"/>
  </r>
  <r>
    <n v="1680"/>
    <n v="60"/>
    <s v="Female"/>
    <x v="7"/>
    <s v="Sneakers"/>
    <n v="81.88"/>
    <x v="2"/>
    <s v="Cash on Delivery"/>
    <n v="4.5"/>
    <n v="14"/>
    <n v="7"/>
    <n v="70.416799999999995"/>
    <x v="0"/>
    <x v="0"/>
    <s v="Returning"/>
  </r>
  <r>
    <n v="1681"/>
    <n v="55"/>
    <s v="Female"/>
    <x v="7"/>
    <s v="Sneakers"/>
    <n v="134.88"/>
    <x v="2"/>
    <s v="Card"/>
    <n v="4.0999999999999996"/>
    <n v="11"/>
    <n v="3"/>
    <n v="120.0432"/>
    <x v="0"/>
    <x v="0"/>
    <s v="Returning"/>
  </r>
  <r>
    <n v="1682"/>
    <n v="60"/>
    <s v="Female"/>
    <x v="7"/>
    <s v="Sneakers"/>
    <n v="76.8"/>
    <x v="2"/>
    <s v="Card"/>
    <n v="3.3"/>
    <n v="17"/>
    <n v="6"/>
    <n v="63.743999999999993"/>
    <x v="0"/>
    <x v="0"/>
    <s v="Returning"/>
  </r>
  <r>
    <n v="1683"/>
    <n v="54"/>
    <s v="Female"/>
    <x v="6"/>
    <s v="Perfume"/>
    <n v="54.63"/>
    <x v="2"/>
    <s v="Cash on Delivery"/>
    <n v="4.5"/>
    <n v="10"/>
    <n v="5"/>
    <n v="49.167000000000002"/>
    <x v="0"/>
    <x v="0"/>
    <s v="Returning"/>
  </r>
  <r>
    <n v="1684"/>
    <n v="39"/>
    <s v="Male"/>
    <x v="1"/>
    <s v="Jeans"/>
    <n v="47.56"/>
    <x v="1"/>
    <s v="Cash on Delivery"/>
    <n v="2.1"/>
    <n v="6"/>
    <n v="3"/>
    <n v="44.706400000000002"/>
    <x v="1"/>
    <x v="0"/>
    <s v="Returning"/>
  </r>
  <r>
    <n v="1685"/>
    <n v="20"/>
    <s v="Male"/>
    <x v="7"/>
    <s v="Sneakers"/>
    <n v="53.28"/>
    <x v="3"/>
    <s v="Card"/>
    <n v="3"/>
    <n v="23"/>
    <n v="9"/>
    <n v="41.025600000000004"/>
    <x v="3"/>
    <x v="0"/>
    <s v="Returning"/>
  </r>
  <r>
    <n v="1686"/>
    <n v="31"/>
    <s v="Female"/>
    <x v="4"/>
    <s v="Rice Pack"/>
    <n v="78.790000000000006"/>
    <x v="2"/>
    <s v="Cash on Delivery"/>
    <n v="4.8"/>
    <n v="14"/>
    <n v="2"/>
    <n v="67.759399999999999"/>
    <x v="4"/>
    <x v="0"/>
    <s v="Returning"/>
  </r>
  <r>
    <n v="1687"/>
    <n v="45"/>
    <s v="Female"/>
    <x v="6"/>
    <s v="Perfume"/>
    <n v="52.81"/>
    <x v="2"/>
    <s v="Card"/>
    <n v="4.5999999999999996"/>
    <n v="24"/>
    <n v="7"/>
    <n v="40.135600000000004"/>
    <x v="1"/>
    <x v="0"/>
    <s v="Returning"/>
  </r>
  <r>
    <n v="1688"/>
    <n v="38"/>
    <s v="Male"/>
    <x v="5"/>
    <s v="Smart Watch"/>
    <n v="2403.13"/>
    <x v="3"/>
    <s v="Card"/>
    <n v="4.9000000000000004"/>
    <n v="8"/>
    <n v="4"/>
    <n v="2210.8796000000002"/>
    <x v="1"/>
    <x v="0"/>
    <s v="Returning"/>
  </r>
  <r>
    <n v="1689"/>
    <n v="61"/>
    <s v="Female"/>
    <x v="0"/>
    <s v="Sunglasses"/>
    <n v="117"/>
    <x v="3"/>
    <s v="Card"/>
    <n v="3.4"/>
    <n v="15"/>
    <n v="5"/>
    <n v="99.45"/>
    <x v="2"/>
    <x v="0"/>
    <s v="Returning"/>
  </r>
  <r>
    <n v="1690"/>
    <n v="51"/>
    <s v="Male"/>
    <x v="7"/>
    <s v="Sneakers"/>
    <n v="94.71"/>
    <x v="3"/>
    <s v="Card"/>
    <n v="3.6"/>
    <n v="13"/>
    <n v="4"/>
    <n v="82.3977"/>
    <x v="0"/>
    <x v="0"/>
    <s v="Returning"/>
  </r>
  <r>
    <n v="1691"/>
    <n v="54"/>
    <s v="Female"/>
    <x v="7"/>
    <s v="Sandals"/>
    <n v="121.85"/>
    <x v="0"/>
    <s v="Card"/>
    <n v="4.0999999999999996"/>
    <n v="24"/>
    <n v="7"/>
    <n v="92.605999999999995"/>
    <x v="0"/>
    <x v="0"/>
    <s v="Returning"/>
  </r>
  <r>
    <n v="1692"/>
    <n v="49"/>
    <s v="Male"/>
    <x v="4"/>
    <s v="Beverages"/>
    <n v="72.209999999999994"/>
    <x v="0"/>
    <s v="Cash on Delivery"/>
    <n v="3.8"/>
    <n v="16"/>
    <n v="3"/>
    <n v="60.656399999999991"/>
    <x v="0"/>
    <x v="0"/>
    <s v="Returning"/>
  </r>
  <r>
    <n v="1693"/>
    <n v="69"/>
    <s v="Female"/>
    <x v="0"/>
    <s v="Wallet"/>
    <n v="166.88"/>
    <x v="3"/>
    <s v="Card"/>
    <n v="4.0999999999999996"/>
    <n v="8"/>
    <n v="4"/>
    <n v="153.52960000000002"/>
    <x v="2"/>
    <x v="0"/>
    <s v="Returning"/>
  </r>
  <r>
    <n v="1694"/>
    <n v="46"/>
    <s v="Female"/>
    <x v="6"/>
    <s v="Skincare Kit"/>
    <n v="75.22"/>
    <x v="0"/>
    <s v="Cash on Delivery"/>
    <n v="4.0999999999999996"/>
    <n v="10"/>
    <n v="5"/>
    <n v="67.698000000000008"/>
    <x v="0"/>
    <x v="0"/>
    <s v="Returning"/>
  </r>
  <r>
    <n v="1695"/>
    <n v="48"/>
    <s v="Male"/>
    <x v="7"/>
    <s v="Sneakers"/>
    <n v="77.91"/>
    <x v="1"/>
    <s v="Card"/>
    <n v="3.9"/>
    <n v="17"/>
    <n v="6"/>
    <n v="64.665299999999988"/>
    <x v="0"/>
    <x v="0"/>
    <s v="Returning"/>
  </r>
  <r>
    <n v="1696"/>
    <n v="58"/>
    <s v="Male"/>
    <x v="2"/>
    <s v="Yoga Mat"/>
    <n v="65.28"/>
    <x v="2"/>
    <s v="Card"/>
    <n v="4.5999999999999996"/>
    <n v="12"/>
    <n v="6"/>
    <n v="57.446400000000004"/>
    <x v="0"/>
    <x v="0"/>
    <s v="Returning"/>
  </r>
  <r>
    <n v="1697"/>
    <n v="47"/>
    <s v="Female"/>
    <x v="7"/>
    <s v="Sandals"/>
    <n v="132.81"/>
    <x v="1"/>
    <s v="Card"/>
    <n v="4.0999999999999996"/>
    <n v="6"/>
    <n v="3"/>
    <n v="124.84139999999999"/>
    <x v="0"/>
    <x v="0"/>
    <s v="Returning"/>
  </r>
  <r>
    <n v="1698"/>
    <n v="33"/>
    <s v="Male"/>
    <x v="5"/>
    <s v="Smart Watch"/>
    <n v="2290.9699999999998"/>
    <x v="3"/>
    <s v="Card"/>
    <n v="4.2"/>
    <n v="12"/>
    <n v="1"/>
    <n v="2016.0535999999997"/>
    <x v="4"/>
    <x v="0"/>
    <s v="Returning"/>
  </r>
  <r>
    <n v="1699"/>
    <n v="34"/>
    <s v="Female"/>
    <x v="6"/>
    <s v="Skincare Kit"/>
    <n v="31.61"/>
    <x v="0"/>
    <s v="Card"/>
    <n v="5"/>
    <n v="19"/>
    <n v="7"/>
    <n v="25.604100000000003"/>
    <x v="4"/>
    <x v="0"/>
    <s v="Returning"/>
  </r>
  <r>
    <n v="1700"/>
    <n v="43"/>
    <s v="Male"/>
    <x v="1"/>
    <s v="Shirt"/>
    <n v="184.32"/>
    <x v="1"/>
    <s v="Card"/>
    <n v="4.5999999999999996"/>
    <n v="22"/>
    <n v="6"/>
    <n v="143.7696"/>
    <x v="1"/>
    <x v="0"/>
    <s v="Returning"/>
  </r>
  <r>
    <n v="1701"/>
    <n v="58"/>
    <s v="Male"/>
    <x v="7"/>
    <s v="Formal Shoes"/>
    <n v="135.47"/>
    <x v="1"/>
    <s v="Card"/>
    <n v="4.9000000000000004"/>
    <n v="30"/>
    <n v="10"/>
    <n v="94.828999999999994"/>
    <x v="0"/>
    <x v="0"/>
    <s v="Returning"/>
  </r>
  <r>
    <n v="1702"/>
    <n v="58"/>
    <s v="Female"/>
    <x v="7"/>
    <s v="Sneakers"/>
    <n v="101.31"/>
    <x v="0"/>
    <s v="Card"/>
    <n v="3.9"/>
    <n v="26"/>
    <n v="8"/>
    <n v="74.969400000000007"/>
    <x v="0"/>
    <x v="0"/>
    <s v="Returning"/>
  </r>
  <r>
    <n v="1703"/>
    <n v="41"/>
    <s v="Female"/>
    <x v="8"/>
    <s v="Dress"/>
    <n v="162.41"/>
    <x v="2"/>
    <s v="Card"/>
    <n v="4"/>
    <n v="4"/>
    <n v="2"/>
    <n v="155.9136"/>
    <x v="1"/>
    <x v="0"/>
    <s v="Returning"/>
  </r>
  <r>
    <n v="1704"/>
    <n v="70"/>
    <s v="Female"/>
    <x v="7"/>
    <s v="Sneakers"/>
    <n v="207.96"/>
    <x v="1"/>
    <s v="Card"/>
    <n v="4.0999999999999996"/>
    <n v="13"/>
    <n v="4"/>
    <n v="180.92520000000002"/>
    <x v="2"/>
    <x v="0"/>
    <s v="Returning"/>
  </r>
  <r>
    <n v="1705"/>
    <n v="35"/>
    <s v="Female"/>
    <x v="0"/>
    <s v="Sunglasses"/>
    <n v="63.49"/>
    <x v="2"/>
    <s v="Card"/>
    <n v="2.2000000000000002"/>
    <n v="10"/>
    <n v="5"/>
    <n v="57.141000000000005"/>
    <x v="4"/>
    <x v="0"/>
    <s v="Returning"/>
  </r>
  <r>
    <n v="1706"/>
    <n v="63"/>
    <s v="Female"/>
    <x v="7"/>
    <s v="Sneakers"/>
    <n v="139.55000000000001"/>
    <x v="1"/>
    <s v="Card"/>
    <n v="4.3"/>
    <n v="12"/>
    <n v="6"/>
    <n v="122.80400000000002"/>
    <x v="2"/>
    <x v="0"/>
    <s v="Returning"/>
  </r>
  <r>
    <n v="1707"/>
    <n v="38"/>
    <s v="Male"/>
    <x v="5"/>
    <s v="Laptop"/>
    <n v="2428.09"/>
    <x v="2"/>
    <s v="Card"/>
    <n v="4.4000000000000004"/>
    <n v="22"/>
    <n v="6"/>
    <n v="1893.9102000000003"/>
    <x v="1"/>
    <x v="0"/>
    <s v="Returning"/>
  </r>
  <r>
    <n v="1708"/>
    <n v="44"/>
    <s v="Female"/>
    <x v="6"/>
    <s v="Skincare Kit"/>
    <n v="96.31"/>
    <x v="2"/>
    <s v="Card"/>
    <n v="3.3"/>
    <n v="20"/>
    <n v="5"/>
    <n v="77.048000000000002"/>
    <x v="1"/>
    <x v="0"/>
    <s v="Returning"/>
  </r>
  <r>
    <n v="1709"/>
    <n v="67"/>
    <s v="Female"/>
    <x v="7"/>
    <s v="Formal Shoes"/>
    <n v="161.62"/>
    <x v="0"/>
    <s v="Card"/>
    <n v="3.6"/>
    <n v="18"/>
    <n v="4"/>
    <n v="132.5284"/>
    <x v="2"/>
    <x v="0"/>
    <s v="Returning"/>
  </r>
  <r>
    <n v="1710"/>
    <n v="55"/>
    <s v="Male"/>
    <x v="1"/>
    <s v="T-Shirt"/>
    <n v="71.430000000000007"/>
    <x v="3"/>
    <s v="Cash on Delivery"/>
    <n v="4.7"/>
    <n v="26"/>
    <n v="8"/>
    <n v="52.858200000000004"/>
    <x v="0"/>
    <x v="0"/>
    <s v="Returning"/>
  </r>
  <r>
    <n v="1711"/>
    <n v="29"/>
    <s v="Male"/>
    <x v="7"/>
    <s v="Sneakers"/>
    <n v="208.05"/>
    <x v="0"/>
    <s v="Card"/>
    <n v="3.3"/>
    <n v="13"/>
    <n v="4"/>
    <n v="181.0035"/>
    <x v="4"/>
    <x v="0"/>
    <s v="Returning"/>
  </r>
  <r>
    <n v="1712"/>
    <n v="43"/>
    <s v="Male"/>
    <x v="1"/>
    <s v="T-Shirt"/>
    <n v="133.51"/>
    <x v="1"/>
    <s v="Card"/>
    <n v="3.6"/>
    <n v="12"/>
    <n v="6"/>
    <n v="117.4888"/>
    <x v="1"/>
    <x v="0"/>
    <s v="Returning"/>
  </r>
  <r>
    <n v="1713"/>
    <n v="68"/>
    <s v="Female"/>
    <x v="8"/>
    <s v="Dress"/>
    <n v="64.66"/>
    <x v="2"/>
    <s v="Cash on Delivery"/>
    <n v="3.6"/>
    <n v="4"/>
    <n v="2"/>
    <n v="62.073599999999992"/>
    <x v="2"/>
    <x v="0"/>
    <s v="Returning"/>
  </r>
  <r>
    <n v="1714"/>
    <n v="42"/>
    <s v="Female"/>
    <x v="4"/>
    <s v="Cooking Oil"/>
    <n v="33.18"/>
    <x v="0"/>
    <s v="Cash on Delivery"/>
    <n v="4.2"/>
    <n v="16"/>
    <n v="3"/>
    <n v="27.871199999999998"/>
    <x v="1"/>
    <x v="0"/>
    <s v="Returning"/>
  </r>
  <r>
    <n v="1715"/>
    <n v="66"/>
    <s v="Male"/>
    <x v="2"/>
    <s v="Yoga Mat"/>
    <n v="53.42"/>
    <x v="2"/>
    <s v="Card"/>
    <n v="5"/>
    <n v="13"/>
    <n v="4"/>
    <n v="46.4754"/>
    <x v="2"/>
    <x v="0"/>
    <s v="Returning"/>
  </r>
  <r>
    <n v="1716"/>
    <n v="40"/>
    <s v="Male"/>
    <x v="4"/>
    <s v="Beverages"/>
    <n v="34.409999999999997"/>
    <x v="1"/>
    <s v="Card"/>
    <n v="3.3"/>
    <n v="17"/>
    <n v="6"/>
    <n v="28.560299999999994"/>
    <x v="1"/>
    <x v="0"/>
    <s v="Returning"/>
  </r>
  <r>
    <n v="1717"/>
    <n v="46"/>
    <s v="Male"/>
    <x v="5"/>
    <s v="Laptop"/>
    <n v="887.32"/>
    <x v="0"/>
    <s v="Card"/>
    <n v="3.8"/>
    <n v="18"/>
    <n v="4"/>
    <n v="727.6024000000001"/>
    <x v="0"/>
    <x v="0"/>
    <s v="Returning"/>
  </r>
  <r>
    <n v="1718"/>
    <n v="40"/>
    <s v="Male"/>
    <x v="2"/>
    <s v="Football"/>
    <n v="225.57"/>
    <x v="2"/>
    <s v="Card"/>
    <n v="5"/>
    <n v="17"/>
    <n v="6"/>
    <n v="187.22309999999999"/>
    <x v="1"/>
    <x v="0"/>
    <s v="Returning"/>
  </r>
  <r>
    <n v="1719"/>
    <n v="63"/>
    <s v="Male"/>
    <x v="4"/>
    <s v="Snacks"/>
    <n v="24.77"/>
    <x v="2"/>
    <s v="Cash on Delivery"/>
    <n v="4"/>
    <n v="13"/>
    <n v="4"/>
    <n v="21.549900000000001"/>
    <x v="2"/>
    <x v="0"/>
    <s v="Returning"/>
  </r>
  <r>
    <n v="1720"/>
    <n v="43"/>
    <s v="Female"/>
    <x v="6"/>
    <s v="Makeup Set"/>
    <n v="74.94"/>
    <x v="2"/>
    <s v="Card"/>
    <n v="4.5"/>
    <n v="14"/>
    <n v="7"/>
    <n v="64.448399999999992"/>
    <x v="1"/>
    <x v="0"/>
    <s v="Returning"/>
  </r>
  <r>
    <n v="1721"/>
    <n v="60"/>
    <s v="Female"/>
    <x v="2"/>
    <s v="Yoga Mat"/>
    <n v="154.94999999999999"/>
    <x v="3"/>
    <s v="Card"/>
    <n v="2.8"/>
    <n v="15"/>
    <n v="5"/>
    <n v="131.70749999999998"/>
    <x v="0"/>
    <x v="0"/>
    <s v="Returning"/>
  </r>
  <r>
    <n v="1722"/>
    <n v="66"/>
    <s v="Female"/>
    <x v="8"/>
    <s v="Skirt"/>
    <n v="182.06"/>
    <x v="1"/>
    <s v="Card"/>
    <n v="3.5"/>
    <n v="14"/>
    <n v="7"/>
    <n v="156.57159999999999"/>
    <x v="2"/>
    <x v="0"/>
    <s v="Returning"/>
  </r>
  <r>
    <n v="1723"/>
    <n v="28"/>
    <s v="Female"/>
    <x v="6"/>
    <s v="Perfume"/>
    <n v="102.87"/>
    <x v="0"/>
    <s v="Card"/>
    <n v="3.6"/>
    <n v="22"/>
    <n v="6"/>
    <n v="80.238600000000005"/>
    <x v="4"/>
    <x v="0"/>
    <s v="Returning"/>
  </r>
  <r>
    <n v="1724"/>
    <n v="68"/>
    <s v="Female"/>
    <x v="7"/>
    <s v="Sandals"/>
    <n v="246.27"/>
    <x v="2"/>
    <s v="Card"/>
    <n v="4.7"/>
    <n v="17"/>
    <n v="6"/>
    <n v="204.4041"/>
    <x v="2"/>
    <x v="0"/>
    <s v="Returning"/>
  </r>
  <r>
    <n v="1725"/>
    <n v="48"/>
    <s v="Male"/>
    <x v="1"/>
    <s v="Shirt"/>
    <n v="91.82"/>
    <x v="0"/>
    <s v="Cash on Delivery"/>
    <n v="4.2"/>
    <n v="21"/>
    <n v="8"/>
    <n v="72.537800000000004"/>
    <x v="0"/>
    <x v="0"/>
    <s v="Returning"/>
  </r>
  <r>
    <n v="1726"/>
    <n v="21"/>
    <s v="Female"/>
    <x v="6"/>
    <s v="Makeup Set"/>
    <n v="34.909999999999997"/>
    <x v="0"/>
    <s v="Card"/>
    <n v="4.0999999999999996"/>
    <n v="16"/>
    <n v="3"/>
    <n v="29.324399999999997"/>
    <x v="3"/>
    <x v="0"/>
    <s v="Returning"/>
  </r>
  <r>
    <n v="1727"/>
    <n v="22"/>
    <s v="Male"/>
    <x v="5"/>
    <s v="Laptop"/>
    <n v="2921.73"/>
    <x v="1"/>
    <s v="Card"/>
    <n v="4.4000000000000004"/>
    <n v="11"/>
    <n v="3"/>
    <n v="2600.3397"/>
    <x v="3"/>
    <x v="0"/>
    <s v="Returning"/>
  </r>
  <r>
    <n v="1728"/>
    <n v="20"/>
    <s v="Female"/>
    <x v="0"/>
    <s v="Handbag"/>
    <n v="141.9"/>
    <x v="2"/>
    <s v="Card"/>
    <n v="3.4"/>
    <n v="11"/>
    <n v="3"/>
    <n v="126.29100000000001"/>
    <x v="3"/>
    <x v="0"/>
    <s v="Returning"/>
  </r>
  <r>
    <n v="1729"/>
    <n v="64"/>
    <s v="Female"/>
    <x v="0"/>
    <s v="Wallet"/>
    <n v="95.27"/>
    <x v="1"/>
    <s v="Card"/>
    <n v="4.5999999999999996"/>
    <n v="24"/>
    <n v="7"/>
    <n v="72.405199999999994"/>
    <x v="2"/>
    <x v="0"/>
    <s v="Returning"/>
  </r>
  <r>
    <n v="1730"/>
    <n v="43"/>
    <s v="Female"/>
    <x v="0"/>
    <s v="Wallet"/>
    <n v="26.57"/>
    <x v="3"/>
    <s v="Cash on Delivery"/>
    <n v="3.8"/>
    <n v="22"/>
    <n v="6"/>
    <n v="20.724600000000002"/>
    <x v="1"/>
    <x v="0"/>
    <s v="Returning"/>
  </r>
  <r>
    <n v="1731"/>
    <n v="41"/>
    <s v="Female"/>
    <x v="7"/>
    <s v="Sneakers"/>
    <n v="232.67"/>
    <x v="2"/>
    <s v="Card"/>
    <n v="4.3"/>
    <n v="20"/>
    <n v="5"/>
    <n v="186.136"/>
    <x v="1"/>
    <x v="0"/>
    <s v="Returning"/>
  </r>
  <r>
    <n v="1732"/>
    <n v="37"/>
    <s v="Male"/>
    <x v="1"/>
    <s v="Jacket"/>
    <n v="144.66999999999999"/>
    <x v="2"/>
    <s v="Card"/>
    <n v="5"/>
    <n v="10"/>
    <n v="5"/>
    <n v="130.203"/>
    <x v="1"/>
    <x v="0"/>
    <s v="Returning"/>
  </r>
  <r>
    <n v="1733"/>
    <n v="37"/>
    <s v="Male"/>
    <x v="2"/>
    <s v="Football"/>
    <n v="38.82"/>
    <x v="3"/>
    <s v="Cash on Delivery"/>
    <n v="3.8"/>
    <n v="22"/>
    <n v="6"/>
    <n v="30.279600000000002"/>
    <x v="1"/>
    <x v="0"/>
    <s v="Returning"/>
  </r>
  <r>
    <n v="1734"/>
    <n v="52"/>
    <s v="Male"/>
    <x v="1"/>
    <s v="Jacket"/>
    <n v="165.6"/>
    <x v="1"/>
    <s v="Card"/>
    <n v="4.2"/>
    <n v="8"/>
    <n v="4"/>
    <n v="152.352"/>
    <x v="0"/>
    <x v="0"/>
    <s v="Returning"/>
  </r>
  <r>
    <n v="1735"/>
    <n v="29"/>
    <s v="Male"/>
    <x v="2"/>
    <s v="Yoga Mat"/>
    <n v="89.4"/>
    <x v="1"/>
    <s v="Card"/>
    <n v="4.8"/>
    <n v="15"/>
    <n v="5"/>
    <n v="75.990000000000009"/>
    <x v="4"/>
    <x v="0"/>
    <s v="Returning"/>
  </r>
  <r>
    <n v="1736"/>
    <n v="61"/>
    <s v="Female"/>
    <x v="8"/>
    <s v="Skirt"/>
    <n v="55.18"/>
    <x v="2"/>
    <s v="Cash on Delivery"/>
    <n v="3.9"/>
    <n v="13"/>
    <n v="4"/>
    <n v="48.006599999999999"/>
    <x v="2"/>
    <x v="0"/>
    <s v="Returning"/>
  </r>
  <r>
    <n v="1737"/>
    <n v="27"/>
    <s v="Male"/>
    <x v="5"/>
    <s v="Laptop"/>
    <n v="2194.8200000000002"/>
    <x v="0"/>
    <s v="Card"/>
    <n v="4.2"/>
    <n v="24"/>
    <n v="7"/>
    <n v="1668.0632000000001"/>
    <x v="4"/>
    <x v="0"/>
    <s v="Returning"/>
  </r>
  <r>
    <n v="1738"/>
    <n v="69"/>
    <s v="Female"/>
    <x v="8"/>
    <s v="Top"/>
    <n v="149.44"/>
    <x v="0"/>
    <s v="Card"/>
    <n v="4.0999999999999996"/>
    <n v="10"/>
    <n v="5"/>
    <n v="134.49600000000001"/>
    <x v="2"/>
    <x v="0"/>
    <s v="Returning"/>
  </r>
  <r>
    <n v="1739"/>
    <n v="53"/>
    <s v="Male"/>
    <x v="1"/>
    <s v="Jacket"/>
    <n v="181.37"/>
    <x v="0"/>
    <s v="Card"/>
    <n v="4"/>
    <n v="20"/>
    <n v="5"/>
    <n v="145.096"/>
    <x v="0"/>
    <x v="0"/>
    <s v="Returning"/>
  </r>
  <r>
    <n v="1740"/>
    <n v="42"/>
    <s v="Male"/>
    <x v="2"/>
    <s v="Yoga Mat"/>
    <n v="65.55"/>
    <x v="3"/>
    <s v="Cash on Delivery"/>
    <n v="4"/>
    <n v="8"/>
    <n v="4"/>
    <n v="60.305999999999997"/>
    <x v="1"/>
    <x v="0"/>
    <s v="Returning"/>
  </r>
  <r>
    <n v="1741"/>
    <n v="40"/>
    <s v="Female"/>
    <x v="6"/>
    <s v="Perfume"/>
    <n v="60.6"/>
    <x v="2"/>
    <s v="Card"/>
    <n v="4.5"/>
    <n v="15"/>
    <n v="5"/>
    <n v="51.51"/>
    <x v="1"/>
    <x v="0"/>
    <s v="Returning"/>
  </r>
  <r>
    <n v="1742"/>
    <n v="45"/>
    <s v="Female"/>
    <x v="8"/>
    <s v="Top"/>
    <n v="87.8"/>
    <x v="0"/>
    <s v="Cash on Delivery"/>
    <n v="4.7"/>
    <n v="21"/>
    <n v="8"/>
    <n v="69.361999999999995"/>
    <x v="1"/>
    <x v="0"/>
    <s v="Returning"/>
  </r>
  <r>
    <n v="1743"/>
    <n v="37"/>
    <s v="Male"/>
    <x v="2"/>
    <s v="Yoga Mat"/>
    <n v="223.54"/>
    <x v="0"/>
    <s v="Card"/>
    <n v="3.7"/>
    <n v="15"/>
    <n v="5"/>
    <n v="190.00899999999999"/>
    <x v="1"/>
    <x v="0"/>
    <s v="Returning"/>
  </r>
  <r>
    <n v="1744"/>
    <n v="27"/>
    <s v="Female"/>
    <x v="0"/>
    <s v="Sunglasses"/>
    <n v="113.9"/>
    <x v="1"/>
    <s v="Card"/>
    <n v="4.5"/>
    <n v="8"/>
    <n v="4"/>
    <n v="104.78800000000001"/>
    <x v="4"/>
    <x v="0"/>
    <s v="Returning"/>
  </r>
  <r>
    <n v="1745"/>
    <n v="51"/>
    <s v="Male"/>
    <x v="4"/>
    <s v="Rice Pack"/>
    <n v="47.16"/>
    <x v="2"/>
    <s v="Card"/>
    <n v="5"/>
    <n v="32"/>
    <n v="11"/>
    <n v="32.068799999999996"/>
    <x v="0"/>
    <x v="0"/>
    <s v="Returning"/>
  </r>
  <r>
    <n v="1746"/>
    <n v="60"/>
    <s v="Male"/>
    <x v="5"/>
    <s v="Smart Watch"/>
    <n v="2140.91"/>
    <x v="1"/>
    <s v="Card"/>
    <n v="3.7"/>
    <n v="14"/>
    <n v="7"/>
    <n v="1841.1825999999999"/>
    <x v="0"/>
    <x v="0"/>
    <s v="Returning"/>
  </r>
  <r>
    <n v="1747"/>
    <n v="39"/>
    <s v="Female"/>
    <x v="6"/>
    <s v="Makeup Set"/>
    <n v="114.5"/>
    <x v="0"/>
    <s v="Card"/>
    <n v="2.6"/>
    <n v="7"/>
    <n v="1"/>
    <n v="106.485"/>
    <x v="1"/>
    <x v="0"/>
    <s v="Returning"/>
  </r>
  <r>
    <n v="1748"/>
    <n v="38"/>
    <s v="Male"/>
    <x v="5"/>
    <s v="Smart Watch"/>
    <n v="1304.49"/>
    <x v="2"/>
    <s v="Card"/>
    <n v="3.5"/>
    <n v="12"/>
    <n v="6"/>
    <n v="1147.9512"/>
    <x v="1"/>
    <x v="0"/>
    <s v="Returning"/>
  </r>
  <r>
    <n v="1749"/>
    <n v="58"/>
    <s v="Male"/>
    <x v="1"/>
    <s v="Jacket"/>
    <n v="99.6"/>
    <x v="1"/>
    <s v="Cash on Delivery"/>
    <n v="4.2"/>
    <n v="12"/>
    <n v="6"/>
    <n v="87.647999999999996"/>
    <x v="0"/>
    <x v="0"/>
    <s v="Returning"/>
  </r>
  <r>
    <n v="1750"/>
    <n v="24"/>
    <s v="Male"/>
    <x v="5"/>
    <s v="Headphones"/>
    <n v="1953.51"/>
    <x v="0"/>
    <s v="Card"/>
    <n v="4.9000000000000004"/>
    <n v="16"/>
    <n v="8"/>
    <n v="1640.9484"/>
    <x v="3"/>
    <x v="0"/>
    <s v="Returning"/>
  </r>
  <r>
    <n v="1751"/>
    <n v="22"/>
    <s v="Male"/>
    <x v="1"/>
    <s v="T-Shirt"/>
    <n v="143.30000000000001"/>
    <x v="2"/>
    <s v="Card"/>
    <n v="3.8"/>
    <n v="13"/>
    <n v="4"/>
    <n v="124.67100000000001"/>
    <x v="3"/>
    <x v="0"/>
    <s v="Returning"/>
  </r>
  <r>
    <n v="1752"/>
    <n v="56"/>
    <s v="Female"/>
    <x v="0"/>
    <s v="Sunglasses"/>
    <n v="48.36"/>
    <x v="0"/>
    <s v="Card"/>
    <n v="3.4"/>
    <n v="17"/>
    <n v="6"/>
    <n v="40.138799999999996"/>
    <x v="0"/>
    <x v="0"/>
    <s v="Returning"/>
  </r>
  <r>
    <n v="1753"/>
    <n v="68"/>
    <s v="Male"/>
    <x v="5"/>
    <s v="Laptop"/>
    <n v="566.58000000000004"/>
    <x v="3"/>
    <s v="Card"/>
    <n v="3.2"/>
    <n v="11"/>
    <n v="3"/>
    <n v="504.25620000000004"/>
    <x v="2"/>
    <x v="0"/>
    <s v="Returning"/>
  </r>
  <r>
    <n v="1754"/>
    <n v="70"/>
    <s v="Female"/>
    <x v="4"/>
    <s v="Cooking Oil"/>
    <n v="39.270000000000003"/>
    <x v="1"/>
    <s v="Card"/>
    <n v="3.1"/>
    <n v="26"/>
    <n v="8"/>
    <n v="29.059800000000003"/>
    <x v="2"/>
    <x v="0"/>
    <s v="Returning"/>
  </r>
  <r>
    <n v="1755"/>
    <n v="22"/>
    <s v="Male"/>
    <x v="1"/>
    <s v="Shirt"/>
    <n v="98.74"/>
    <x v="3"/>
    <s v="Card"/>
    <n v="4"/>
    <n v="12"/>
    <n v="6"/>
    <n v="86.891199999999998"/>
    <x v="3"/>
    <x v="0"/>
    <s v="Returning"/>
  </r>
  <r>
    <n v="1756"/>
    <n v="69"/>
    <s v="Female"/>
    <x v="6"/>
    <s v="Makeup Set"/>
    <n v="108.96"/>
    <x v="3"/>
    <s v="Card"/>
    <n v="4.4000000000000004"/>
    <n v="24"/>
    <n v="7"/>
    <n v="82.809600000000003"/>
    <x v="2"/>
    <x v="0"/>
    <s v="Returning"/>
  </r>
  <r>
    <n v="1757"/>
    <n v="66"/>
    <s v="Male"/>
    <x v="4"/>
    <s v="Beverages"/>
    <n v="55.46"/>
    <x v="1"/>
    <s v="Card"/>
    <n v="3.7"/>
    <n v="10"/>
    <n v="5"/>
    <n v="49.914000000000001"/>
    <x v="2"/>
    <x v="0"/>
    <s v="Returning"/>
  </r>
  <r>
    <n v="1758"/>
    <n v="43"/>
    <s v="Female"/>
    <x v="2"/>
    <s v="Football"/>
    <n v="80.150000000000006"/>
    <x v="0"/>
    <s v="Card"/>
    <n v="4.7"/>
    <n v="11"/>
    <n v="3"/>
    <n v="71.333500000000001"/>
    <x v="1"/>
    <x v="0"/>
    <s v="Returning"/>
  </r>
  <r>
    <n v="1759"/>
    <n v="63"/>
    <s v="Male"/>
    <x v="2"/>
    <s v="Yoga Mat"/>
    <n v="202.07"/>
    <x v="3"/>
    <s v="Card"/>
    <n v="3.7"/>
    <n v="16"/>
    <n v="3"/>
    <n v="169.7388"/>
    <x v="2"/>
    <x v="0"/>
    <s v="Returning"/>
  </r>
  <r>
    <n v="1760"/>
    <n v="23"/>
    <s v="Male"/>
    <x v="1"/>
    <s v="Shirt"/>
    <n v="117.84"/>
    <x v="2"/>
    <s v="Card"/>
    <n v="3.1"/>
    <n v="24"/>
    <n v="7"/>
    <n v="89.558400000000006"/>
    <x v="3"/>
    <x v="0"/>
    <s v="Returning"/>
  </r>
  <r>
    <n v="1761"/>
    <n v="44"/>
    <s v="Male"/>
    <x v="1"/>
    <s v="Shirt"/>
    <n v="194.65"/>
    <x v="1"/>
    <s v="Card"/>
    <n v="4.2"/>
    <n v="22"/>
    <n v="6"/>
    <n v="151.827"/>
    <x v="1"/>
    <x v="0"/>
    <s v="Returning"/>
  </r>
  <r>
    <n v="1762"/>
    <n v="68"/>
    <s v="Female"/>
    <x v="6"/>
    <s v="Makeup Set"/>
    <n v="107.91"/>
    <x v="1"/>
    <s v="Card"/>
    <n v="4"/>
    <n v="17"/>
    <n v="6"/>
    <n v="89.565299999999993"/>
    <x v="2"/>
    <x v="0"/>
    <s v="Returning"/>
  </r>
  <r>
    <n v="1763"/>
    <n v="34"/>
    <s v="Male"/>
    <x v="2"/>
    <s v="Dumbbells"/>
    <n v="184.29"/>
    <x v="0"/>
    <s v="Card"/>
    <n v="5"/>
    <n v="11"/>
    <n v="3"/>
    <n v="164.0181"/>
    <x v="4"/>
    <x v="0"/>
    <s v="Returning"/>
  </r>
  <r>
    <n v="1764"/>
    <n v="35"/>
    <s v="Female"/>
    <x v="6"/>
    <s v="Makeup Set"/>
    <n v="121.94"/>
    <x v="1"/>
    <s v="Card"/>
    <n v="3.4"/>
    <n v="22"/>
    <n v="6"/>
    <n v="95.113200000000006"/>
    <x v="4"/>
    <x v="0"/>
    <s v="Returning"/>
  </r>
  <r>
    <n v="1765"/>
    <n v="51"/>
    <s v="Male"/>
    <x v="2"/>
    <s v="Football"/>
    <n v="218.04"/>
    <x v="3"/>
    <s v="Card"/>
    <n v="3"/>
    <n v="20"/>
    <n v="5"/>
    <n v="174.43200000000002"/>
    <x v="0"/>
    <x v="0"/>
    <s v="Returning"/>
  </r>
  <r>
    <n v="1766"/>
    <n v="62"/>
    <s v="Female"/>
    <x v="0"/>
    <s v="Handbag"/>
    <n v="90.96"/>
    <x v="2"/>
    <s v="Card"/>
    <n v="3.6"/>
    <n v="11"/>
    <n v="3"/>
    <n v="80.954399999999993"/>
    <x v="2"/>
    <x v="0"/>
    <s v="Returning"/>
  </r>
  <r>
    <n v="1767"/>
    <n v="44"/>
    <s v="Male"/>
    <x v="5"/>
    <s v="Laptop"/>
    <n v="2617.6799999999998"/>
    <x v="0"/>
    <s v="Card"/>
    <n v="3.7"/>
    <n v="12"/>
    <n v="6"/>
    <n v="2303.5583999999999"/>
    <x v="1"/>
    <x v="0"/>
    <s v="Returning"/>
  </r>
  <r>
    <n v="1768"/>
    <n v="29"/>
    <s v="Male"/>
    <x v="2"/>
    <s v="Football"/>
    <n v="165.92"/>
    <x v="1"/>
    <s v="Card"/>
    <n v="3.2"/>
    <n v="19"/>
    <n v="7"/>
    <n v="134.39519999999999"/>
    <x v="4"/>
    <x v="0"/>
    <s v="Returning"/>
  </r>
  <r>
    <n v="1769"/>
    <n v="67"/>
    <s v="Female"/>
    <x v="6"/>
    <s v="Skincare Kit"/>
    <n v="120.75"/>
    <x v="0"/>
    <s v="Card"/>
    <n v="3.4"/>
    <n v="13"/>
    <n v="4"/>
    <n v="105.05249999999999"/>
    <x v="2"/>
    <x v="0"/>
    <s v="Returning"/>
  </r>
  <r>
    <n v="1770"/>
    <n v="55"/>
    <s v="Female"/>
    <x v="7"/>
    <s v="Formal Shoes"/>
    <n v="213.52"/>
    <x v="2"/>
    <s v="Card"/>
    <n v="3.1"/>
    <n v="14"/>
    <n v="7"/>
    <n v="183.62720000000002"/>
    <x v="0"/>
    <x v="0"/>
    <s v="Returning"/>
  </r>
  <r>
    <n v="1771"/>
    <n v="55"/>
    <s v="Male"/>
    <x v="5"/>
    <s v="Mobile Phone"/>
    <n v="2217.08"/>
    <x v="2"/>
    <s v="Card"/>
    <n v="4.2"/>
    <n v="21"/>
    <n v="8"/>
    <n v="1751.4932000000001"/>
    <x v="0"/>
    <x v="0"/>
    <s v="Returning"/>
  </r>
  <r>
    <n v="1772"/>
    <n v="45"/>
    <s v="Female"/>
    <x v="7"/>
    <s v="Sandals"/>
    <n v="101.95"/>
    <x v="2"/>
    <s v="Card"/>
    <n v="3.5"/>
    <n v="12"/>
    <n v="1"/>
    <n v="89.716000000000008"/>
    <x v="1"/>
    <x v="0"/>
    <s v="Returning"/>
  </r>
  <r>
    <n v="1773"/>
    <n v="58"/>
    <s v="Female"/>
    <x v="7"/>
    <s v="Sandals"/>
    <n v="89.54"/>
    <x v="2"/>
    <s v="Cash on Delivery"/>
    <n v="4.3"/>
    <n v="15"/>
    <n v="5"/>
    <n v="76.109000000000009"/>
    <x v="0"/>
    <x v="0"/>
    <s v="Returning"/>
  </r>
  <r>
    <n v="1774"/>
    <n v="25"/>
    <s v="Female"/>
    <x v="6"/>
    <s v="Makeup Set"/>
    <n v="53.08"/>
    <x v="3"/>
    <s v="Card"/>
    <n v="2.9"/>
    <n v="8"/>
    <n v="4"/>
    <n v="48.833599999999997"/>
    <x v="3"/>
    <x v="0"/>
    <s v="Returning"/>
  </r>
  <r>
    <n v="1775"/>
    <n v="31"/>
    <s v="Female"/>
    <x v="4"/>
    <s v="Rice Pack"/>
    <n v="54.74"/>
    <x v="0"/>
    <s v="Cash on Delivery"/>
    <n v="3.8"/>
    <n v="24"/>
    <n v="7"/>
    <n v="41.602400000000003"/>
    <x v="4"/>
    <x v="0"/>
    <s v="Returning"/>
  </r>
  <r>
    <n v="1776"/>
    <n v="43"/>
    <s v="Female"/>
    <x v="7"/>
    <s v="Sneakers"/>
    <n v="117.15"/>
    <x v="3"/>
    <s v="Card"/>
    <n v="3.1"/>
    <n v="14"/>
    <n v="7"/>
    <n v="100.74900000000001"/>
    <x v="1"/>
    <x v="0"/>
    <s v="Returning"/>
  </r>
  <r>
    <n v="1777"/>
    <n v="63"/>
    <s v="Male"/>
    <x v="7"/>
    <s v="Sneakers"/>
    <n v="92.46"/>
    <x v="1"/>
    <s v="Cash on Delivery"/>
    <n v="4.3"/>
    <n v="13"/>
    <n v="4"/>
    <n v="80.44019999999999"/>
    <x v="2"/>
    <x v="0"/>
    <s v="Returning"/>
  </r>
  <r>
    <n v="1778"/>
    <n v="40"/>
    <s v="Female"/>
    <x v="4"/>
    <s v="Cooking Oil"/>
    <n v="25.19"/>
    <x v="3"/>
    <s v="Card"/>
    <n v="3.4"/>
    <n v="17"/>
    <n v="6"/>
    <n v="20.907699999999998"/>
    <x v="1"/>
    <x v="0"/>
    <s v="Returning"/>
  </r>
  <r>
    <n v="1779"/>
    <n v="25"/>
    <s v="Male"/>
    <x v="2"/>
    <s v="Dumbbells"/>
    <n v="204.19"/>
    <x v="3"/>
    <s v="Card"/>
    <n v="3.9"/>
    <n v="4"/>
    <n v="2"/>
    <n v="196.0224"/>
    <x v="3"/>
    <x v="0"/>
    <s v="Returning"/>
  </r>
  <r>
    <n v="1780"/>
    <n v="24"/>
    <s v="Female"/>
    <x v="4"/>
    <s v="Rice Pack"/>
    <n v="68.44"/>
    <x v="0"/>
    <s v="Card"/>
    <n v="3.7"/>
    <n v="15"/>
    <n v="5"/>
    <n v="58.173999999999999"/>
    <x v="3"/>
    <x v="0"/>
    <s v="Returning"/>
  </r>
  <r>
    <n v="1781"/>
    <n v="57"/>
    <s v="Female"/>
    <x v="7"/>
    <s v="Formal Shoes"/>
    <n v="65.540000000000006"/>
    <x v="3"/>
    <s v="Cash on Delivery"/>
    <n v="4.2"/>
    <n v="16"/>
    <n v="8"/>
    <n v="55.053600000000003"/>
    <x v="0"/>
    <x v="0"/>
    <s v="Returning"/>
  </r>
  <r>
    <n v="1782"/>
    <n v="57"/>
    <s v="Male"/>
    <x v="7"/>
    <s v="Formal Shoes"/>
    <n v="90.98"/>
    <x v="0"/>
    <s v="Card"/>
    <n v="3"/>
    <n v="16"/>
    <n v="8"/>
    <n v="76.423199999999994"/>
    <x v="0"/>
    <x v="0"/>
    <s v="Returning"/>
  </r>
  <r>
    <n v="1783"/>
    <n v="23"/>
    <s v="Male"/>
    <x v="5"/>
    <s v="Headphones"/>
    <n v="2369.0100000000002"/>
    <x v="3"/>
    <s v="Card"/>
    <n v="4.0999999999999996"/>
    <n v="0"/>
    <n v="0"/>
    <n v="2369.0100000000002"/>
    <x v="3"/>
    <x v="1"/>
    <s v="New"/>
  </r>
  <r>
    <n v="1784"/>
    <n v="63"/>
    <s v="Female"/>
    <x v="6"/>
    <s v="Skincare Kit"/>
    <n v="131.24"/>
    <x v="0"/>
    <s v="Card"/>
    <n v="4.0999999999999996"/>
    <n v="11"/>
    <n v="3"/>
    <n v="116.8036"/>
    <x v="2"/>
    <x v="0"/>
    <s v="Returning"/>
  </r>
  <r>
    <n v="1785"/>
    <n v="34"/>
    <s v="Male"/>
    <x v="2"/>
    <s v="Dumbbells"/>
    <n v="152.61000000000001"/>
    <x v="3"/>
    <s v="Card"/>
    <n v="3.7"/>
    <n v="8"/>
    <n v="4"/>
    <n v="140.40120000000002"/>
    <x v="4"/>
    <x v="0"/>
    <s v="Returning"/>
  </r>
  <r>
    <n v="1786"/>
    <n v="64"/>
    <s v="Female"/>
    <x v="2"/>
    <s v="Dumbbells"/>
    <n v="224.38"/>
    <x v="1"/>
    <s v="Card"/>
    <n v="3.4"/>
    <n v="11"/>
    <n v="3"/>
    <n v="199.69819999999999"/>
    <x v="2"/>
    <x v="0"/>
    <s v="Returning"/>
  </r>
  <r>
    <n v="1787"/>
    <n v="52"/>
    <s v="Male"/>
    <x v="1"/>
    <s v="T-Shirt"/>
    <n v="31.54"/>
    <x v="1"/>
    <s v="Cash on Delivery"/>
    <n v="3.7"/>
    <n v="18"/>
    <n v="4"/>
    <n v="25.8628"/>
    <x v="0"/>
    <x v="0"/>
    <s v="Returning"/>
  </r>
  <r>
    <n v="1788"/>
    <n v="31"/>
    <s v="Female"/>
    <x v="6"/>
    <s v="Makeup Set"/>
    <n v="122.72"/>
    <x v="3"/>
    <s v="Card"/>
    <n v="3.2"/>
    <n v="9"/>
    <n v="2"/>
    <n v="111.6752"/>
    <x v="4"/>
    <x v="0"/>
    <s v="Returning"/>
  </r>
  <r>
    <n v="1789"/>
    <n v="56"/>
    <s v="Female"/>
    <x v="0"/>
    <s v="Sunglasses"/>
    <n v="60.7"/>
    <x v="3"/>
    <s v="Card"/>
    <n v="4.0999999999999996"/>
    <n v="14"/>
    <n v="7"/>
    <n v="52.201999999999998"/>
    <x v="0"/>
    <x v="0"/>
    <s v="Returning"/>
  </r>
  <r>
    <n v="1790"/>
    <n v="64"/>
    <s v="Male"/>
    <x v="4"/>
    <s v="Cooking Oil"/>
    <n v="40.94"/>
    <x v="0"/>
    <s v="Card"/>
    <n v="3.5"/>
    <n v="13"/>
    <n v="4"/>
    <n v="35.617799999999995"/>
    <x v="2"/>
    <x v="0"/>
    <s v="Returning"/>
  </r>
  <r>
    <n v="1791"/>
    <n v="67"/>
    <s v="Male"/>
    <x v="2"/>
    <s v="Football"/>
    <n v="226.26"/>
    <x v="0"/>
    <s v="Card"/>
    <n v="3"/>
    <n v="16"/>
    <n v="3"/>
    <n v="190.05839999999998"/>
    <x v="2"/>
    <x v="0"/>
    <s v="Returning"/>
  </r>
  <r>
    <n v="1792"/>
    <n v="48"/>
    <s v="Male"/>
    <x v="7"/>
    <s v="Formal Shoes"/>
    <n v="94.74"/>
    <x v="2"/>
    <s v="Cash on Delivery"/>
    <n v="3.4"/>
    <n v="26"/>
    <n v="8"/>
    <n v="70.107599999999991"/>
    <x v="0"/>
    <x v="0"/>
    <s v="Returning"/>
  </r>
  <r>
    <n v="1793"/>
    <n v="41"/>
    <s v="Female"/>
    <x v="6"/>
    <s v="Makeup Set"/>
    <n v="130.69"/>
    <x v="0"/>
    <s v="Card"/>
    <n v="4.3"/>
    <n v="10"/>
    <n v="5"/>
    <n v="117.621"/>
    <x v="1"/>
    <x v="0"/>
    <s v="Returning"/>
  </r>
  <r>
    <n v="1794"/>
    <n v="62"/>
    <s v="Male"/>
    <x v="2"/>
    <s v="Yoga Mat"/>
    <n v="176.42"/>
    <x v="2"/>
    <s v="Card"/>
    <n v="4.0999999999999996"/>
    <n v="4"/>
    <n v="2"/>
    <n v="169.36319999999998"/>
    <x v="2"/>
    <x v="0"/>
    <s v="Returning"/>
  </r>
  <r>
    <n v="1795"/>
    <n v="24"/>
    <s v="Male"/>
    <x v="7"/>
    <s v="Formal Shoes"/>
    <n v="103.89"/>
    <x v="2"/>
    <s v="Card"/>
    <n v="4.8"/>
    <n v="15"/>
    <n v="5"/>
    <n v="88.3065"/>
    <x v="3"/>
    <x v="0"/>
    <s v="Returning"/>
  </r>
  <r>
    <n v="1796"/>
    <n v="22"/>
    <s v="Male"/>
    <x v="1"/>
    <s v="Shirt"/>
    <n v="48.19"/>
    <x v="1"/>
    <s v="Card"/>
    <n v="3.8"/>
    <n v="17"/>
    <n v="6"/>
    <n v="39.997699999999995"/>
    <x v="3"/>
    <x v="0"/>
    <s v="Returning"/>
  </r>
  <r>
    <n v="1797"/>
    <n v="68"/>
    <s v="Male"/>
    <x v="2"/>
    <s v="Yoga Mat"/>
    <n v="57.02"/>
    <x v="1"/>
    <s v="Card"/>
    <n v="3.7"/>
    <n v="0"/>
    <n v="0"/>
    <n v="57.02"/>
    <x v="2"/>
    <x v="1"/>
    <s v="New"/>
  </r>
  <r>
    <n v="1798"/>
    <n v="70"/>
    <s v="Male"/>
    <x v="2"/>
    <s v="Football"/>
    <n v="54.5"/>
    <x v="2"/>
    <s v="Card"/>
    <n v="3.5"/>
    <n v="6"/>
    <n v="3"/>
    <n v="51.23"/>
    <x v="2"/>
    <x v="0"/>
    <s v="Returning"/>
  </r>
  <r>
    <n v="1799"/>
    <n v="22"/>
    <s v="Male"/>
    <x v="1"/>
    <s v="T-Shirt"/>
    <n v="67.459999999999994"/>
    <x v="1"/>
    <s v="Cash on Delivery"/>
    <n v="3.7"/>
    <n v="6"/>
    <n v="3"/>
    <n v="63.412399999999991"/>
    <x v="3"/>
    <x v="0"/>
    <s v="Returning"/>
  </r>
  <r>
    <n v="1800"/>
    <n v="52"/>
    <s v="Male"/>
    <x v="7"/>
    <s v="Sneakers"/>
    <n v="241.87"/>
    <x v="1"/>
    <s v="Card"/>
    <n v="3.4"/>
    <n v="22"/>
    <n v="6"/>
    <n v="188.65860000000001"/>
    <x v="0"/>
    <x v="0"/>
    <s v="Returning"/>
  </r>
  <r>
    <n v="1801"/>
    <n v="28"/>
    <s v="Female"/>
    <x v="3"/>
    <s v="Kitchen Set"/>
    <n v="117.11"/>
    <x v="1"/>
    <s v="Card"/>
    <n v="3.2"/>
    <n v="13"/>
    <n v="4"/>
    <n v="101.8857"/>
    <x v="4"/>
    <x v="0"/>
    <s v="Returning"/>
  </r>
  <r>
    <n v="1802"/>
    <n v="33"/>
    <s v="Male"/>
    <x v="3"/>
    <s v="Curtains"/>
    <n v="154.72"/>
    <x v="0"/>
    <s v="Card"/>
    <n v="3.5"/>
    <n v="18"/>
    <n v="9"/>
    <n v="126.8704"/>
    <x v="4"/>
    <x v="0"/>
    <s v="Returning"/>
  </r>
  <r>
    <n v="1803"/>
    <n v="23"/>
    <s v="Male"/>
    <x v="7"/>
    <s v="Sneakers"/>
    <n v="168.45"/>
    <x v="3"/>
    <s v="Card"/>
    <n v="3.8"/>
    <n v="20"/>
    <n v="5"/>
    <n v="134.76"/>
    <x v="3"/>
    <x v="0"/>
    <s v="Returning"/>
  </r>
  <r>
    <n v="1804"/>
    <n v="60"/>
    <s v="Male"/>
    <x v="2"/>
    <s v="Dumbbells"/>
    <n v="202.79"/>
    <x v="3"/>
    <s v="Card"/>
    <n v="3"/>
    <n v="12"/>
    <n v="1"/>
    <n v="178.45519999999999"/>
    <x v="0"/>
    <x v="0"/>
    <s v="Returning"/>
  </r>
  <r>
    <n v="1805"/>
    <n v="66"/>
    <s v="Female"/>
    <x v="3"/>
    <s v="Curtains"/>
    <n v="194.2"/>
    <x v="1"/>
    <s v="Card"/>
    <n v="4.7"/>
    <n v="23"/>
    <n v="9"/>
    <n v="149.53399999999999"/>
    <x v="2"/>
    <x v="0"/>
    <s v="Returning"/>
  </r>
  <r>
    <n v="1806"/>
    <n v="59"/>
    <s v="Female"/>
    <x v="6"/>
    <s v="Perfume"/>
    <n v="90.63"/>
    <x v="0"/>
    <s v="Card"/>
    <n v="4.7"/>
    <n v="12"/>
    <n v="6"/>
    <n v="79.75439999999999"/>
    <x v="0"/>
    <x v="0"/>
    <s v="Returning"/>
  </r>
  <r>
    <n v="1807"/>
    <n v="53"/>
    <s v="Female"/>
    <x v="7"/>
    <s v="Formal Shoes"/>
    <n v="243.55"/>
    <x v="2"/>
    <s v="Card"/>
    <n v="5"/>
    <n v="20"/>
    <n v="5"/>
    <n v="194.84000000000003"/>
    <x v="0"/>
    <x v="0"/>
    <s v="Returning"/>
  </r>
  <r>
    <n v="1808"/>
    <n v="30"/>
    <s v="Male"/>
    <x v="4"/>
    <s v="Rice Pack"/>
    <n v="38.880000000000003"/>
    <x v="0"/>
    <s v="Cash on Delivery"/>
    <n v="4.0999999999999996"/>
    <n v="13"/>
    <n v="4"/>
    <n v="33.825600000000001"/>
    <x v="4"/>
    <x v="0"/>
    <s v="Returning"/>
  </r>
  <r>
    <n v="1809"/>
    <n v="32"/>
    <s v="Female"/>
    <x v="6"/>
    <s v="Skincare Kit"/>
    <n v="105.29"/>
    <x v="1"/>
    <s v="Card"/>
    <n v="4"/>
    <n v="22"/>
    <n v="6"/>
    <n v="82.126200000000011"/>
    <x v="4"/>
    <x v="0"/>
    <s v="Returning"/>
  </r>
  <r>
    <n v="1810"/>
    <n v="38"/>
    <s v="Male"/>
    <x v="2"/>
    <s v="Football"/>
    <n v="140.26"/>
    <x v="2"/>
    <s v="Card"/>
    <n v="3.7"/>
    <n v="18"/>
    <n v="4"/>
    <n v="115.0132"/>
    <x v="1"/>
    <x v="0"/>
    <s v="Returning"/>
  </r>
  <r>
    <n v="1811"/>
    <n v="45"/>
    <s v="Female"/>
    <x v="8"/>
    <s v="Jeans"/>
    <n v="50.56"/>
    <x v="0"/>
    <s v="Cash on Delivery"/>
    <n v="5"/>
    <n v="16"/>
    <n v="8"/>
    <n v="42.470399999999998"/>
    <x v="1"/>
    <x v="0"/>
    <s v="Returning"/>
  </r>
  <r>
    <n v="1812"/>
    <n v="53"/>
    <s v="Female"/>
    <x v="4"/>
    <s v="Cooking Oil"/>
    <n v="40.869999999999997"/>
    <x v="0"/>
    <s v="Card"/>
    <n v="3.9"/>
    <n v="12"/>
    <n v="1"/>
    <n v="35.965599999999995"/>
    <x v="0"/>
    <x v="0"/>
    <s v="Returning"/>
  </r>
  <r>
    <n v="1813"/>
    <n v="62"/>
    <s v="Male"/>
    <x v="1"/>
    <s v="Shirt"/>
    <n v="88.13"/>
    <x v="3"/>
    <s v="Card"/>
    <n v="3.1"/>
    <n v="28"/>
    <n v="9"/>
    <n v="63.453599999999994"/>
    <x v="2"/>
    <x v="0"/>
    <s v="Returning"/>
  </r>
  <r>
    <n v="1814"/>
    <n v="26"/>
    <s v="Male"/>
    <x v="1"/>
    <s v="Shirt"/>
    <n v="149.41999999999999"/>
    <x v="2"/>
    <s v="Card"/>
    <n v="3.9"/>
    <n v="25"/>
    <n v="10"/>
    <n v="112.065"/>
    <x v="4"/>
    <x v="0"/>
    <s v="Returning"/>
  </r>
  <r>
    <n v="1815"/>
    <n v="28"/>
    <s v="Male"/>
    <x v="7"/>
    <s v="Sandals"/>
    <n v="161.21"/>
    <x v="1"/>
    <s v="Card"/>
    <n v="3.2"/>
    <n v="18"/>
    <n v="4"/>
    <n v="132.19220000000001"/>
    <x v="4"/>
    <x v="0"/>
    <s v="Returning"/>
  </r>
  <r>
    <n v="1816"/>
    <n v="49"/>
    <s v="Female"/>
    <x v="6"/>
    <s v="Makeup Set"/>
    <n v="37.520000000000003"/>
    <x v="3"/>
    <s v="Cash on Delivery"/>
    <n v="4.5"/>
    <n v="6"/>
    <n v="3"/>
    <n v="35.268799999999999"/>
    <x v="0"/>
    <x v="0"/>
    <s v="Returning"/>
  </r>
  <r>
    <n v="1817"/>
    <n v="60"/>
    <s v="Male"/>
    <x v="2"/>
    <s v="Yoga Mat"/>
    <n v="126.98"/>
    <x v="0"/>
    <s v="Card"/>
    <n v="5"/>
    <n v="22"/>
    <n v="6"/>
    <n v="99.04440000000001"/>
    <x v="0"/>
    <x v="0"/>
    <s v="Returning"/>
  </r>
  <r>
    <n v="1818"/>
    <n v="36"/>
    <s v="Male"/>
    <x v="7"/>
    <s v="Sandals"/>
    <n v="229.83"/>
    <x v="3"/>
    <s v="Card"/>
    <n v="4.8"/>
    <n v="8"/>
    <n v="4"/>
    <n v="211.44360000000003"/>
    <x v="1"/>
    <x v="0"/>
    <s v="Returning"/>
  </r>
  <r>
    <n v="1819"/>
    <n v="57"/>
    <s v="Female"/>
    <x v="0"/>
    <s v="Wallet"/>
    <n v="179.83"/>
    <x v="3"/>
    <s v="Card"/>
    <n v="2.4"/>
    <n v="13"/>
    <n v="4"/>
    <n v="156.4521"/>
    <x v="0"/>
    <x v="0"/>
    <s v="Returning"/>
  </r>
  <r>
    <n v="1820"/>
    <n v="21"/>
    <s v="Male"/>
    <x v="7"/>
    <s v="Sneakers"/>
    <n v="231.92"/>
    <x v="2"/>
    <s v="Card"/>
    <n v="4.7"/>
    <n v="26"/>
    <n v="8"/>
    <n v="171.6208"/>
    <x v="3"/>
    <x v="0"/>
    <s v="Returning"/>
  </r>
  <r>
    <n v="1821"/>
    <n v="55"/>
    <s v="Female"/>
    <x v="7"/>
    <s v="Formal Shoes"/>
    <n v="108.55"/>
    <x v="3"/>
    <s v="Card"/>
    <n v="4"/>
    <n v="12"/>
    <n v="1"/>
    <n v="95.524000000000001"/>
    <x v="0"/>
    <x v="0"/>
    <s v="Returning"/>
  </r>
  <r>
    <n v="1822"/>
    <n v="39"/>
    <s v="Male"/>
    <x v="7"/>
    <s v="Sandals"/>
    <n v="40.97"/>
    <x v="0"/>
    <s v="Card"/>
    <n v="3.9"/>
    <n v="24"/>
    <n v="12"/>
    <n v="31.1372"/>
    <x v="1"/>
    <x v="0"/>
    <s v="Returning"/>
  </r>
  <r>
    <n v="1823"/>
    <n v="35"/>
    <s v="Female"/>
    <x v="6"/>
    <s v="Makeup Set"/>
    <n v="72.38"/>
    <x v="0"/>
    <s v="Card"/>
    <n v="4.2"/>
    <n v="18"/>
    <n v="9"/>
    <n v="59.351599999999998"/>
    <x v="4"/>
    <x v="0"/>
    <s v="Returning"/>
  </r>
  <r>
    <n v="1824"/>
    <n v="54"/>
    <s v="Male"/>
    <x v="1"/>
    <s v="Jeans"/>
    <n v="77.650000000000006"/>
    <x v="1"/>
    <s v="Card"/>
    <n v="2.7"/>
    <n v="15"/>
    <n v="5"/>
    <n v="66.002499999999998"/>
    <x v="0"/>
    <x v="0"/>
    <s v="Returning"/>
  </r>
  <r>
    <n v="1825"/>
    <n v="34"/>
    <s v="Female"/>
    <x v="6"/>
    <s v="Perfume"/>
    <n v="63.86"/>
    <x v="1"/>
    <s v="Cash on Delivery"/>
    <n v="2.5"/>
    <n v="13"/>
    <n v="4"/>
    <n v="55.558199999999999"/>
    <x v="4"/>
    <x v="0"/>
    <s v="Returning"/>
  </r>
  <r>
    <n v="1826"/>
    <n v="61"/>
    <s v="Male"/>
    <x v="4"/>
    <s v="Beverages"/>
    <n v="75.86"/>
    <x v="0"/>
    <s v="Card"/>
    <n v="4"/>
    <n v="10"/>
    <n v="5"/>
    <n v="68.274000000000001"/>
    <x v="2"/>
    <x v="0"/>
    <s v="Returning"/>
  </r>
  <r>
    <n v="1827"/>
    <n v="42"/>
    <s v="Female"/>
    <x v="0"/>
    <s v="Sunglasses"/>
    <n v="37.67"/>
    <x v="0"/>
    <s v="Card"/>
    <n v="3.2"/>
    <n v="26"/>
    <n v="8"/>
    <n v="27.875800000000002"/>
    <x v="1"/>
    <x v="0"/>
    <s v="Returning"/>
  </r>
  <r>
    <n v="1828"/>
    <n v="28"/>
    <s v="Female"/>
    <x v="0"/>
    <s v="Handbag"/>
    <n v="120.28"/>
    <x v="2"/>
    <s v="Card"/>
    <n v="3.5"/>
    <n v="13"/>
    <n v="4"/>
    <n v="104.64360000000001"/>
    <x v="4"/>
    <x v="0"/>
    <s v="Returning"/>
  </r>
  <r>
    <n v="1829"/>
    <n v="30"/>
    <s v="Male"/>
    <x v="4"/>
    <s v="Snacks"/>
    <n v="38.97"/>
    <x v="1"/>
    <s v="Card"/>
    <n v="3.6"/>
    <n v="6"/>
    <n v="3"/>
    <n v="36.631799999999998"/>
    <x v="4"/>
    <x v="0"/>
    <s v="Returning"/>
  </r>
  <r>
    <n v="1830"/>
    <n v="32"/>
    <s v="Female"/>
    <x v="2"/>
    <s v="Dumbbells"/>
    <n v="140.66"/>
    <x v="2"/>
    <s v="Card"/>
    <n v="3"/>
    <n v="12"/>
    <n v="6"/>
    <n v="123.7808"/>
    <x v="4"/>
    <x v="0"/>
    <s v="Returning"/>
  </r>
  <r>
    <n v="1831"/>
    <n v="63"/>
    <s v="Female"/>
    <x v="2"/>
    <s v="Dumbbells"/>
    <n v="229.74"/>
    <x v="0"/>
    <s v="Card"/>
    <n v="4.4000000000000004"/>
    <n v="17"/>
    <n v="6"/>
    <n v="190.6842"/>
    <x v="2"/>
    <x v="0"/>
    <s v="Returning"/>
  </r>
  <r>
    <n v="1832"/>
    <n v="27"/>
    <s v="Female"/>
    <x v="3"/>
    <s v="Lamp"/>
    <n v="191.41"/>
    <x v="1"/>
    <s v="Card"/>
    <n v="4.5"/>
    <n v="6"/>
    <n v="3"/>
    <n v="179.9254"/>
    <x v="4"/>
    <x v="0"/>
    <s v="Returning"/>
  </r>
  <r>
    <n v="1833"/>
    <n v="37"/>
    <s v="Male"/>
    <x v="2"/>
    <s v="Football"/>
    <n v="165.73"/>
    <x v="0"/>
    <s v="Card"/>
    <n v="3.5"/>
    <n v="6"/>
    <n v="3"/>
    <n v="155.78619999999998"/>
    <x v="1"/>
    <x v="0"/>
    <s v="Returning"/>
  </r>
  <r>
    <n v="1834"/>
    <n v="54"/>
    <s v="Male"/>
    <x v="5"/>
    <s v="Mobile Phone"/>
    <n v="2817.12"/>
    <x v="2"/>
    <s v="Card"/>
    <n v="4"/>
    <n v="18"/>
    <n v="4"/>
    <n v="2310.0383999999999"/>
    <x v="0"/>
    <x v="0"/>
    <s v="Returning"/>
  </r>
  <r>
    <n v="1835"/>
    <n v="34"/>
    <s v="Male"/>
    <x v="7"/>
    <s v="Formal Shoes"/>
    <n v="243.34"/>
    <x v="2"/>
    <s v="Card"/>
    <n v="3.5"/>
    <n v="11"/>
    <n v="3"/>
    <n v="216.57259999999999"/>
    <x v="4"/>
    <x v="0"/>
    <s v="Returning"/>
  </r>
  <r>
    <n v="1836"/>
    <n v="56"/>
    <s v="Male"/>
    <x v="5"/>
    <s v="Smart Watch"/>
    <n v="1574.28"/>
    <x v="1"/>
    <s v="Card"/>
    <n v="3.3"/>
    <n v="13"/>
    <n v="4"/>
    <n v="1369.6235999999999"/>
    <x v="0"/>
    <x v="0"/>
    <s v="Returning"/>
  </r>
  <r>
    <n v="1837"/>
    <n v="28"/>
    <s v="Female"/>
    <x v="0"/>
    <s v="Handbag"/>
    <n v="142.54"/>
    <x v="3"/>
    <s v="Card"/>
    <n v="4.7"/>
    <n v="20"/>
    <n v="10"/>
    <n v="114.032"/>
    <x v="4"/>
    <x v="0"/>
    <s v="Returning"/>
  </r>
  <r>
    <n v="1838"/>
    <n v="26"/>
    <s v="Male"/>
    <x v="2"/>
    <s v="Football"/>
    <n v="138.28"/>
    <x v="0"/>
    <s v="Card"/>
    <n v="4"/>
    <n v="15"/>
    <n v="5"/>
    <n v="117.538"/>
    <x v="4"/>
    <x v="0"/>
    <s v="Returning"/>
  </r>
  <r>
    <n v="1839"/>
    <n v="64"/>
    <s v="Female"/>
    <x v="8"/>
    <s v="Top"/>
    <n v="82.07"/>
    <x v="2"/>
    <s v="Card"/>
    <n v="4.4000000000000004"/>
    <n v="9"/>
    <n v="2"/>
    <n v="74.683700000000002"/>
    <x v="2"/>
    <x v="0"/>
    <s v="Returning"/>
  </r>
  <r>
    <n v="1840"/>
    <n v="64"/>
    <s v="Female"/>
    <x v="0"/>
    <s v="Wallet"/>
    <n v="137.63999999999999"/>
    <x v="2"/>
    <s v="Card"/>
    <n v="2.9"/>
    <n v="24"/>
    <n v="7"/>
    <n v="104.60639999999999"/>
    <x v="2"/>
    <x v="0"/>
    <s v="Returning"/>
  </r>
  <r>
    <n v="1841"/>
    <n v="64"/>
    <s v="Female"/>
    <x v="0"/>
    <s v="Sunglasses"/>
    <n v="69.56"/>
    <x v="2"/>
    <s v="Cash on Delivery"/>
    <n v="3.2"/>
    <n v="23"/>
    <n v="9"/>
    <n v="53.561199999999999"/>
    <x v="2"/>
    <x v="0"/>
    <s v="Returning"/>
  </r>
  <r>
    <n v="1842"/>
    <n v="40"/>
    <s v="Male"/>
    <x v="1"/>
    <s v="Jacket"/>
    <n v="119.18"/>
    <x v="3"/>
    <s v="Card"/>
    <n v="4"/>
    <n v="24"/>
    <n v="7"/>
    <n v="90.576800000000006"/>
    <x v="1"/>
    <x v="0"/>
    <s v="Returning"/>
  </r>
  <r>
    <n v="1843"/>
    <n v="28"/>
    <s v="Male"/>
    <x v="2"/>
    <s v="Dumbbells"/>
    <n v="197.53"/>
    <x v="2"/>
    <s v="Card"/>
    <n v="4.0999999999999996"/>
    <n v="22"/>
    <n v="6"/>
    <n v="154.07339999999999"/>
    <x v="4"/>
    <x v="0"/>
    <s v="Returning"/>
  </r>
  <r>
    <n v="1844"/>
    <n v="63"/>
    <s v="Female"/>
    <x v="7"/>
    <s v="Sandals"/>
    <n v="183.93"/>
    <x v="0"/>
    <s v="Card"/>
    <n v="4.7"/>
    <n v="22"/>
    <n v="6"/>
    <n v="143.46540000000002"/>
    <x v="2"/>
    <x v="0"/>
    <s v="Returning"/>
  </r>
  <r>
    <n v="1845"/>
    <n v="54"/>
    <s v="Male"/>
    <x v="5"/>
    <s v="Mobile Phone"/>
    <n v="1324.31"/>
    <x v="3"/>
    <s v="Card"/>
    <n v="3.5"/>
    <n v="18"/>
    <n v="4"/>
    <n v="1085.9342000000001"/>
    <x v="0"/>
    <x v="0"/>
    <s v="Returning"/>
  </r>
  <r>
    <n v="1846"/>
    <n v="57"/>
    <s v="Male"/>
    <x v="7"/>
    <s v="Sandals"/>
    <n v="192.19"/>
    <x v="0"/>
    <s v="Card"/>
    <n v="3.8"/>
    <n v="8"/>
    <n v="4"/>
    <n v="176.81480000000002"/>
    <x v="0"/>
    <x v="0"/>
    <s v="Returning"/>
  </r>
  <r>
    <n v="1847"/>
    <n v="34"/>
    <s v="Male"/>
    <x v="2"/>
    <s v="Dumbbells"/>
    <n v="111.77"/>
    <x v="1"/>
    <s v="Card"/>
    <n v="4.5999999999999996"/>
    <n v="12"/>
    <n v="1"/>
    <n v="98.357599999999991"/>
    <x v="4"/>
    <x v="0"/>
    <s v="Returning"/>
  </r>
  <r>
    <n v="1848"/>
    <n v="52"/>
    <s v="Male"/>
    <x v="2"/>
    <s v="Football"/>
    <n v="105.58"/>
    <x v="3"/>
    <s v="Card"/>
    <n v="3.2"/>
    <n v="17"/>
    <n v="6"/>
    <n v="87.631399999999999"/>
    <x v="0"/>
    <x v="0"/>
    <s v="Returning"/>
  </r>
  <r>
    <n v="1849"/>
    <n v="44"/>
    <s v="Female"/>
    <x v="6"/>
    <s v="Perfume"/>
    <n v="57.25"/>
    <x v="3"/>
    <s v="Cash on Delivery"/>
    <n v="3.3"/>
    <n v="10"/>
    <n v="5"/>
    <n v="51.524999999999999"/>
    <x v="1"/>
    <x v="0"/>
    <s v="Returning"/>
  </r>
  <r>
    <n v="1850"/>
    <n v="43"/>
    <s v="Female"/>
    <x v="6"/>
    <s v="Makeup Set"/>
    <n v="146.27000000000001"/>
    <x v="2"/>
    <s v="Card"/>
    <n v="3.1"/>
    <n v="18"/>
    <n v="4"/>
    <n v="119.94140000000002"/>
    <x v="1"/>
    <x v="0"/>
    <s v="Returning"/>
  </r>
  <r>
    <n v="1851"/>
    <n v="63"/>
    <s v="Female"/>
    <x v="0"/>
    <s v="Wallet"/>
    <n v="137.27000000000001"/>
    <x v="2"/>
    <s v="Card"/>
    <n v="4.4000000000000004"/>
    <n v="6"/>
    <n v="3"/>
    <n v="129.03380000000001"/>
    <x v="2"/>
    <x v="0"/>
    <s v="Returning"/>
  </r>
  <r>
    <n v="1852"/>
    <n v="37"/>
    <s v="Male"/>
    <x v="1"/>
    <s v="Jeans"/>
    <n v="79.69"/>
    <x v="0"/>
    <s v="Cash on Delivery"/>
    <n v="4.3"/>
    <n v="4"/>
    <n v="2"/>
    <n v="76.502399999999994"/>
    <x v="1"/>
    <x v="0"/>
    <s v="Returning"/>
  </r>
  <r>
    <n v="1853"/>
    <n v="48"/>
    <s v="Female"/>
    <x v="6"/>
    <s v="Makeup Set"/>
    <n v="29.31"/>
    <x v="2"/>
    <s v="Card"/>
    <n v="4.9000000000000004"/>
    <n v="18"/>
    <n v="4"/>
    <n v="24.034200000000002"/>
    <x v="0"/>
    <x v="0"/>
    <s v="Returning"/>
  </r>
  <r>
    <n v="1854"/>
    <n v="47"/>
    <s v="Male"/>
    <x v="1"/>
    <s v="Jacket"/>
    <n v="110.78"/>
    <x v="1"/>
    <s v="Card"/>
    <n v="3.9"/>
    <n v="10"/>
    <n v="5"/>
    <n v="99.701999999999998"/>
    <x v="0"/>
    <x v="0"/>
    <s v="Returning"/>
  </r>
  <r>
    <n v="1855"/>
    <n v="60"/>
    <s v="Female"/>
    <x v="0"/>
    <s v="Sunglasses"/>
    <n v="88.27"/>
    <x v="0"/>
    <s v="Card"/>
    <n v="2.9"/>
    <n v="14"/>
    <n v="7"/>
    <n v="75.912199999999999"/>
    <x v="0"/>
    <x v="0"/>
    <s v="Returning"/>
  </r>
  <r>
    <n v="1856"/>
    <n v="25"/>
    <s v="Female"/>
    <x v="0"/>
    <s v="Wallet"/>
    <n v="155.11000000000001"/>
    <x v="0"/>
    <s v="Card"/>
    <n v="4.4000000000000004"/>
    <n v="13"/>
    <n v="4"/>
    <n v="134.94570000000002"/>
    <x v="3"/>
    <x v="0"/>
    <s v="Returning"/>
  </r>
  <r>
    <n v="1857"/>
    <n v="20"/>
    <s v="Male"/>
    <x v="7"/>
    <s v="Sneakers"/>
    <n v="125.9"/>
    <x v="0"/>
    <s v="Card"/>
    <n v="4.0999999999999996"/>
    <n v="20"/>
    <n v="5"/>
    <n v="100.72000000000001"/>
    <x v="3"/>
    <x v="0"/>
    <s v="Returning"/>
  </r>
  <r>
    <n v="1858"/>
    <n v="29"/>
    <s v="Female"/>
    <x v="4"/>
    <s v="Rice Pack"/>
    <n v="78.52"/>
    <x v="0"/>
    <s v="Cash on Delivery"/>
    <n v="3.5"/>
    <n v="18"/>
    <n v="4"/>
    <n v="64.386399999999995"/>
    <x v="4"/>
    <x v="0"/>
    <s v="Returning"/>
  </r>
  <r>
    <n v="1859"/>
    <n v="49"/>
    <s v="Female"/>
    <x v="4"/>
    <s v="Snacks"/>
    <n v="21.32"/>
    <x v="0"/>
    <s v="Cash on Delivery"/>
    <n v="4.5999999999999996"/>
    <n v="13"/>
    <n v="4"/>
    <n v="18.548400000000001"/>
    <x v="0"/>
    <x v="0"/>
    <s v="Returning"/>
  </r>
  <r>
    <n v="1860"/>
    <n v="70"/>
    <s v="Female"/>
    <x v="7"/>
    <s v="Sneakers"/>
    <n v="180.88"/>
    <x v="2"/>
    <s v="Card"/>
    <n v="3.1"/>
    <n v="14"/>
    <n v="2"/>
    <n v="155.55679999999998"/>
    <x v="2"/>
    <x v="0"/>
    <s v="Returning"/>
  </r>
  <r>
    <n v="1861"/>
    <n v="23"/>
    <s v="Female"/>
    <x v="2"/>
    <s v="Yoga Mat"/>
    <n v="240.21"/>
    <x v="2"/>
    <s v="Card"/>
    <n v="2.2999999999999998"/>
    <n v="18"/>
    <n v="4"/>
    <n v="196.97220000000002"/>
    <x v="3"/>
    <x v="0"/>
    <s v="Returning"/>
  </r>
  <r>
    <n v="1862"/>
    <n v="34"/>
    <s v="Male"/>
    <x v="1"/>
    <s v="Jeans"/>
    <n v="76.040000000000006"/>
    <x v="3"/>
    <s v="Cash on Delivery"/>
    <n v="4"/>
    <n v="6"/>
    <n v="3"/>
    <n v="71.477599999999995"/>
    <x v="4"/>
    <x v="0"/>
    <s v="Returning"/>
  </r>
  <r>
    <n v="1863"/>
    <n v="68"/>
    <s v="Male"/>
    <x v="7"/>
    <s v="Sandals"/>
    <n v="52.98"/>
    <x v="1"/>
    <s v="Card"/>
    <n v="3.8"/>
    <n v="22"/>
    <n v="6"/>
    <n v="41.324399999999997"/>
    <x v="2"/>
    <x v="0"/>
    <s v="Returning"/>
  </r>
  <r>
    <n v="1864"/>
    <n v="51"/>
    <s v="Female"/>
    <x v="6"/>
    <s v="Skincare Kit"/>
    <n v="101.93"/>
    <x v="1"/>
    <s v="Card"/>
    <n v="3.7"/>
    <n v="9"/>
    <n v="2"/>
    <n v="92.75630000000001"/>
    <x v="0"/>
    <x v="0"/>
    <s v="Returning"/>
  </r>
  <r>
    <n v="1865"/>
    <n v="49"/>
    <s v="Male"/>
    <x v="7"/>
    <s v="Sandals"/>
    <n v="122.96"/>
    <x v="2"/>
    <s v="Card"/>
    <n v="4.2"/>
    <n v="13"/>
    <n v="4"/>
    <n v="106.9752"/>
    <x v="0"/>
    <x v="0"/>
    <s v="Returning"/>
  </r>
  <r>
    <n v="1866"/>
    <n v="46"/>
    <s v="Male"/>
    <x v="5"/>
    <s v="Laptop"/>
    <n v="2820.93"/>
    <x v="3"/>
    <s v="Card"/>
    <n v="4.5999999999999996"/>
    <n v="13"/>
    <n v="4"/>
    <n v="2454.2091"/>
    <x v="0"/>
    <x v="0"/>
    <s v="Returning"/>
  </r>
  <r>
    <n v="1867"/>
    <n v="46"/>
    <s v="Male"/>
    <x v="1"/>
    <s v="Jacket"/>
    <n v="123.87"/>
    <x v="3"/>
    <s v="Card"/>
    <n v="3.8"/>
    <n v="5"/>
    <n v="0"/>
    <n v="117.6765"/>
    <x v="0"/>
    <x v="0"/>
    <s v="New"/>
  </r>
  <r>
    <n v="1868"/>
    <n v="49"/>
    <s v="Male"/>
    <x v="1"/>
    <s v="Jacket"/>
    <n v="67.94"/>
    <x v="3"/>
    <s v="Cash on Delivery"/>
    <n v="3.9"/>
    <n v="24"/>
    <n v="7"/>
    <n v="51.634399999999999"/>
    <x v="0"/>
    <x v="0"/>
    <s v="Returning"/>
  </r>
  <r>
    <n v="1869"/>
    <n v="56"/>
    <s v="Male"/>
    <x v="1"/>
    <s v="Jacket"/>
    <n v="50.4"/>
    <x v="1"/>
    <s v="Card"/>
    <n v="4.2"/>
    <n v="18"/>
    <n v="4"/>
    <n v="41.328000000000003"/>
    <x v="0"/>
    <x v="0"/>
    <s v="Returning"/>
  </r>
  <r>
    <n v="1870"/>
    <n v="65"/>
    <s v="Male"/>
    <x v="1"/>
    <s v="T-Shirt"/>
    <n v="174.89"/>
    <x v="2"/>
    <s v="Card"/>
    <n v="2.4"/>
    <n v="2"/>
    <n v="1"/>
    <n v="171.39219999999997"/>
    <x v="2"/>
    <x v="0"/>
    <s v="Returning"/>
  </r>
  <r>
    <n v="1871"/>
    <n v="44"/>
    <s v="Female"/>
    <x v="8"/>
    <s v="Top"/>
    <n v="119.31"/>
    <x v="1"/>
    <s v="Card"/>
    <n v="3.8"/>
    <n v="15"/>
    <n v="5"/>
    <n v="101.4135"/>
    <x v="1"/>
    <x v="0"/>
    <s v="Returning"/>
  </r>
  <r>
    <n v="1872"/>
    <n v="43"/>
    <s v="Male"/>
    <x v="2"/>
    <s v="Football"/>
    <n v="188.28"/>
    <x v="1"/>
    <s v="Card"/>
    <n v="3.7"/>
    <n v="22"/>
    <n v="6"/>
    <n v="146.85840000000002"/>
    <x v="1"/>
    <x v="0"/>
    <s v="Returning"/>
  </r>
  <r>
    <n v="1873"/>
    <n v="58"/>
    <s v="Male"/>
    <x v="7"/>
    <s v="Sneakers"/>
    <n v="75.03"/>
    <x v="1"/>
    <s v="Card"/>
    <n v="4.3"/>
    <n v="10"/>
    <n v="5"/>
    <n v="67.527000000000001"/>
    <x v="0"/>
    <x v="0"/>
    <s v="Returning"/>
  </r>
  <r>
    <n v="1874"/>
    <n v="27"/>
    <s v="Female"/>
    <x v="2"/>
    <s v="Football"/>
    <n v="122.27"/>
    <x v="0"/>
    <s v="Card"/>
    <n v="5"/>
    <n v="15"/>
    <n v="5"/>
    <n v="103.92949999999999"/>
    <x v="4"/>
    <x v="0"/>
    <s v="Returning"/>
  </r>
  <r>
    <n v="1875"/>
    <n v="67"/>
    <s v="Female"/>
    <x v="8"/>
    <s v="Jeans"/>
    <n v="48.15"/>
    <x v="3"/>
    <s v="Cash on Delivery"/>
    <n v="3.5"/>
    <n v="12"/>
    <n v="6"/>
    <n v="42.372"/>
    <x v="2"/>
    <x v="0"/>
    <s v="Returning"/>
  </r>
  <r>
    <n v="1876"/>
    <n v="57"/>
    <s v="Female"/>
    <x v="4"/>
    <s v="Beverages"/>
    <n v="75.56"/>
    <x v="3"/>
    <s v="Cash on Delivery"/>
    <n v="3.8"/>
    <n v="22"/>
    <n v="6"/>
    <n v="58.936800000000005"/>
    <x v="0"/>
    <x v="0"/>
    <s v="Returning"/>
  </r>
  <r>
    <n v="1877"/>
    <n v="37"/>
    <s v="Male"/>
    <x v="3"/>
    <s v="Kitchen Set"/>
    <n v="289.68"/>
    <x v="1"/>
    <s v="Card"/>
    <n v="5"/>
    <n v="24"/>
    <n v="7"/>
    <n v="220.1568"/>
    <x v="1"/>
    <x v="0"/>
    <s v="Returning"/>
  </r>
  <r>
    <n v="1878"/>
    <n v="59"/>
    <s v="Male"/>
    <x v="2"/>
    <s v="Dumbbells"/>
    <n v="241.42"/>
    <x v="3"/>
    <s v="Card"/>
    <n v="5"/>
    <n v="19"/>
    <n v="7"/>
    <n v="195.55019999999999"/>
    <x v="0"/>
    <x v="0"/>
    <s v="Returning"/>
  </r>
  <r>
    <n v="1879"/>
    <n v="51"/>
    <s v="Female"/>
    <x v="6"/>
    <s v="Perfume"/>
    <n v="138.15"/>
    <x v="2"/>
    <s v="Card"/>
    <n v="3.5"/>
    <n v="15"/>
    <n v="5"/>
    <n v="117.42749999999999"/>
    <x v="0"/>
    <x v="0"/>
    <s v="Returning"/>
  </r>
  <r>
    <n v="1880"/>
    <n v="30"/>
    <s v="Female"/>
    <x v="0"/>
    <s v="Sunglasses"/>
    <n v="46.15"/>
    <x v="0"/>
    <s v="Cash on Delivery"/>
    <n v="3.7"/>
    <n v="14"/>
    <n v="2"/>
    <n v="39.689"/>
    <x v="4"/>
    <x v="0"/>
    <s v="Returning"/>
  </r>
  <r>
    <n v="1881"/>
    <n v="61"/>
    <s v="Male"/>
    <x v="4"/>
    <s v="Rice Pack"/>
    <n v="62.19"/>
    <x v="3"/>
    <s v="Card"/>
    <n v="2.9"/>
    <n v="12"/>
    <n v="6"/>
    <n v="54.727199999999996"/>
    <x v="2"/>
    <x v="0"/>
    <s v="Returning"/>
  </r>
  <r>
    <n v="1882"/>
    <n v="24"/>
    <s v="Male"/>
    <x v="7"/>
    <s v="Formal Shoes"/>
    <n v="223.63"/>
    <x v="1"/>
    <s v="Card"/>
    <n v="5"/>
    <n v="5"/>
    <n v="0"/>
    <n v="212.4485"/>
    <x v="3"/>
    <x v="0"/>
    <s v="New"/>
  </r>
  <r>
    <n v="1883"/>
    <n v="46"/>
    <s v="Female"/>
    <x v="4"/>
    <s v="Beverages"/>
    <n v="61.01"/>
    <x v="1"/>
    <s v="Cash on Delivery"/>
    <n v="3.2"/>
    <n v="15"/>
    <n v="5"/>
    <n v="51.858499999999999"/>
    <x v="0"/>
    <x v="0"/>
    <s v="Returning"/>
  </r>
  <r>
    <n v="1884"/>
    <n v="24"/>
    <s v="Male"/>
    <x v="1"/>
    <s v="Shirt"/>
    <n v="55.92"/>
    <x v="1"/>
    <s v="Card"/>
    <n v="4"/>
    <n v="12"/>
    <n v="6"/>
    <n v="49.209600000000002"/>
    <x v="3"/>
    <x v="0"/>
    <s v="Returning"/>
  </r>
  <r>
    <n v="1885"/>
    <n v="23"/>
    <s v="Male"/>
    <x v="5"/>
    <s v="Smart Watch"/>
    <n v="590.1"/>
    <x v="1"/>
    <s v="Card"/>
    <n v="4.3"/>
    <n v="6"/>
    <n v="3"/>
    <n v="554.69399999999996"/>
    <x v="3"/>
    <x v="0"/>
    <s v="Returning"/>
  </r>
  <r>
    <n v="1886"/>
    <n v="23"/>
    <s v="Female"/>
    <x v="2"/>
    <s v="Yoga Mat"/>
    <n v="193.08"/>
    <x v="0"/>
    <s v="Card"/>
    <n v="3.3"/>
    <n v="17"/>
    <n v="6"/>
    <n v="160.25640000000001"/>
    <x v="3"/>
    <x v="0"/>
    <s v="Returning"/>
  </r>
  <r>
    <n v="1887"/>
    <n v="24"/>
    <s v="Female"/>
    <x v="8"/>
    <s v="Top"/>
    <n v="165.24"/>
    <x v="2"/>
    <s v="Card"/>
    <n v="3.9"/>
    <n v="15"/>
    <n v="5"/>
    <n v="140.45400000000001"/>
    <x v="3"/>
    <x v="0"/>
    <s v="Returning"/>
  </r>
  <r>
    <n v="1888"/>
    <n v="38"/>
    <s v="Male"/>
    <x v="1"/>
    <s v="Shirt"/>
    <n v="80.67"/>
    <x v="3"/>
    <s v="Card"/>
    <n v="3.6"/>
    <n v="19"/>
    <n v="7"/>
    <n v="65.342700000000008"/>
    <x v="1"/>
    <x v="0"/>
    <s v="Returning"/>
  </r>
  <r>
    <n v="1889"/>
    <n v="26"/>
    <s v="Female"/>
    <x v="6"/>
    <s v="Perfume"/>
    <n v="121.33"/>
    <x v="1"/>
    <s v="Card"/>
    <n v="5"/>
    <n v="16"/>
    <n v="8"/>
    <n v="101.91719999999999"/>
    <x v="4"/>
    <x v="0"/>
    <s v="Returning"/>
  </r>
  <r>
    <n v="1890"/>
    <n v="42"/>
    <s v="Male"/>
    <x v="2"/>
    <s v="Yoga Mat"/>
    <n v="41.11"/>
    <x v="1"/>
    <s v="Card"/>
    <n v="3.1"/>
    <n v="28"/>
    <n v="9"/>
    <n v="29.5992"/>
    <x v="1"/>
    <x v="0"/>
    <s v="Returning"/>
  </r>
  <r>
    <n v="1891"/>
    <n v="50"/>
    <s v="Male"/>
    <x v="3"/>
    <s v="Lamp"/>
    <n v="45"/>
    <x v="1"/>
    <s v="Cash on Delivery"/>
    <n v="4.0999999999999996"/>
    <n v="9"/>
    <n v="2"/>
    <n v="40.950000000000003"/>
    <x v="0"/>
    <x v="0"/>
    <s v="Returning"/>
  </r>
  <r>
    <n v="1892"/>
    <n v="42"/>
    <s v="Female"/>
    <x v="0"/>
    <s v="Handbag"/>
    <n v="50.74"/>
    <x v="0"/>
    <s v="Card"/>
    <n v="4.2"/>
    <n v="4"/>
    <n v="2"/>
    <n v="48.7104"/>
    <x v="1"/>
    <x v="0"/>
    <s v="Returning"/>
  </r>
  <r>
    <n v="1893"/>
    <n v="22"/>
    <s v="Female"/>
    <x v="8"/>
    <s v="Top"/>
    <n v="109.38"/>
    <x v="1"/>
    <s v="Card"/>
    <n v="4.3"/>
    <n v="16"/>
    <n v="3"/>
    <n v="91.879199999999997"/>
    <x v="3"/>
    <x v="0"/>
    <s v="Returning"/>
  </r>
  <r>
    <n v="1894"/>
    <n v="40"/>
    <s v="Female"/>
    <x v="8"/>
    <s v="Top"/>
    <n v="55"/>
    <x v="2"/>
    <s v="Cash on Delivery"/>
    <n v="4"/>
    <n v="18"/>
    <n v="4"/>
    <n v="45.1"/>
    <x v="1"/>
    <x v="0"/>
    <s v="Returning"/>
  </r>
  <r>
    <n v="1895"/>
    <n v="52"/>
    <s v="Male"/>
    <x v="7"/>
    <s v="Sandals"/>
    <n v="181.52"/>
    <x v="2"/>
    <s v="Card"/>
    <n v="4.3"/>
    <n v="24"/>
    <n v="7"/>
    <n v="137.95520000000002"/>
    <x v="0"/>
    <x v="0"/>
    <s v="Returning"/>
  </r>
  <r>
    <n v="1896"/>
    <n v="55"/>
    <s v="Female"/>
    <x v="0"/>
    <s v="Handbag"/>
    <n v="89.11"/>
    <x v="2"/>
    <s v="Cash on Delivery"/>
    <n v="2.6"/>
    <n v="12"/>
    <n v="1"/>
    <n v="78.416799999999995"/>
    <x v="0"/>
    <x v="0"/>
    <s v="Returning"/>
  </r>
  <r>
    <n v="1897"/>
    <n v="34"/>
    <s v="Female"/>
    <x v="0"/>
    <s v="Sunglasses"/>
    <n v="179.27"/>
    <x v="2"/>
    <s v="Card"/>
    <n v="4.2"/>
    <n v="13"/>
    <n v="4"/>
    <n v="155.9649"/>
    <x v="4"/>
    <x v="0"/>
    <s v="Returning"/>
  </r>
  <r>
    <n v="1898"/>
    <n v="28"/>
    <s v="Male"/>
    <x v="1"/>
    <s v="T-Shirt"/>
    <n v="147.68"/>
    <x v="0"/>
    <s v="Card"/>
    <n v="3.5"/>
    <n v="24"/>
    <n v="7"/>
    <n v="112.2368"/>
    <x v="4"/>
    <x v="0"/>
    <s v="Returning"/>
  </r>
  <r>
    <n v="1899"/>
    <n v="63"/>
    <s v="Female"/>
    <x v="8"/>
    <s v="Jeans"/>
    <n v="90.28"/>
    <x v="3"/>
    <s v="Card"/>
    <n v="4"/>
    <n v="19"/>
    <n v="7"/>
    <n v="73.126800000000003"/>
    <x v="2"/>
    <x v="0"/>
    <s v="Returning"/>
  </r>
  <r>
    <n v="1900"/>
    <n v="43"/>
    <s v="Female"/>
    <x v="3"/>
    <s v="Kitchen Set"/>
    <n v="261.98"/>
    <x v="2"/>
    <s v="Card"/>
    <n v="4.2"/>
    <n v="24"/>
    <n v="7"/>
    <n v="199.10480000000001"/>
    <x v="1"/>
    <x v="0"/>
    <s v="Returning"/>
  </r>
  <r>
    <n v="1901"/>
    <n v="35"/>
    <s v="Male"/>
    <x v="5"/>
    <s v="Smart Watch"/>
    <n v="2479.4"/>
    <x v="3"/>
    <s v="Card"/>
    <n v="3.9"/>
    <n v="24"/>
    <n v="7"/>
    <n v="1884.3440000000001"/>
    <x v="4"/>
    <x v="0"/>
    <s v="Returning"/>
  </r>
  <r>
    <n v="1902"/>
    <n v="36"/>
    <s v="Male"/>
    <x v="2"/>
    <s v="Dumbbells"/>
    <n v="159.18"/>
    <x v="1"/>
    <s v="Card"/>
    <n v="2.4"/>
    <n v="12"/>
    <n v="6"/>
    <n v="140.07840000000002"/>
    <x v="1"/>
    <x v="0"/>
    <s v="Returning"/>
  </r>
  <r>
    <n v="1903"/>
    <n v="48"/>
    <s v="Male"/>
    <x v="2"/>
    <s v="Football"/>
    <n v="144.53"/>
    <x v="2"/>
    <s v="Card"/>
    <n v="3.7"/>
    <n v="12"/>
    <n v="6"/>
    <n v="127.18640000000001"/>
    <x v="0"/>
    <x v="0"/>
    <s v="Returning"/>
  </r>
  <r>
    <n v="1904"/>
    <n v="34"/>
    <s v="Male"/>
    <x v="5"/>
    <s v="Headphones"/>
    <n v="1675.77"/>
    <x v="0"/>
    <s v="Card"/>
    <n v="3.6"/>
    <n v="24"/>
    <n v="7"/>
    <n v="1273.5852"/>
    <x v="4"/>
    <x v="0"/>
    <s v="Returning"/>
  </r>
  <r>
    <n v="1905"/>
    <n v="47"/>
    <s v="Female"/>
    <x v="7"/>
    <s v="Sandals"/>
    <n v="64.760000000000005"/>
    <x v="3"/>
    <s v="Cash on Delivery"/>
    <n v="4.3"/>
    <n v="4"/>
    <n v="2"/>
    <n v="62.169600000000003"/>
    <x v="0"/>
    <x v="0"/>
    <s v="Returning"/>
  </r>
  <r>
    <n v="1906"/>
    <n v="48"/>
    <s v="Female"/>
    <x v="8"/>
    <s v="Top"/>
    <n v="118.33"/>
    <x v="1"/>
    <s v="Card"/>
    <n v="4"/>
    <n v="24"/>
    <n v="7"/>
    <n v="89.930800000000005"/>
    <x v="0"/>
    <x v="0"/>
    <s v="Returning"/>
  </r>
  <r>
    <n v="1907"/>
    <n v="50"/>
    <s v="Female"/>
    <x v="0"/>
    <s v="Wallet"/>
    <n v="150.38999999999999"/>
    <x v="3"/>
    <s v="Card"/>
    <n v="4.2"/>
    <n v="11"/>
    <n v="3"/>
    <n v="133.84709999999998"/>
    <x v="0"/>
    <x v="0"/>
    <s v="Returning"/>
  </r>
  <r>
    <n v="1908"/>
    <n v="25"/>
    <s v="Male"/>
    <x v="7"/>
    <s v="Sneakers"/>
    <n v="120.73"/>
    <x v="2"/>
    <s v="Card"/>
    <n v="4"/>
    <n v="11"/>
    <n v="3"/>
    <n v="107.44970000000001"/>
    <x v="3"/>
    <x v="0"/>
    <s v="Returning"/>
  </r>
  <r>
    <n v="1909"/>
    <n v="67"/>
    <s v="Male"/>
    <x v="4"/>
    <s v="Rice Pack"/>
    <n v="25.65"/>
    <x v="2"/>
    <s v="Cash on Delivery"/>
    <n v="3.5"/>
    <n v="17"/>
    <n v="6"/>
    <n v="21.289499999999997"/>
    <x v="2"/>
    <x v="0"/>
    <s v="Returning"/>
  </r>
  <r>
    <n v="1910"/>
    <n v="65"/>
    <s v="Female"/>
    <x v="4"/>
    <s v="Rice Pack"/>
    <n v="25.3"/>
    <x v="0"/>
    <s v="Cash on Delivery"/>
    <n v="3.4"/>
    <n v="21"/>
    <n v="8"/>
    <n v="19.987000000000002"/>
    <x v="2"/>
    <x v="0"/>
    <s v="Returning"/>
  </r>
  <r>
    <n v="1911"/>
    <n v="33"/>
    <s v="Female"/>
    <x v="2"/>
    <s v="Football"/>
    <n v="54.43"/>
    <x v="0"/>
    <s v="Cash on Delivery"/>
    <n v="3.6"/>
    <n v="20"/>
    <n v="10"/>
    <n v="43.544000000000004"/>
    <x v="4"/>
    <x v="0"/>
    <s v="Returning"/>
  </r>
  <r>
    <n v="1912"/>
    <n v="37"/>
    <s v="Male"/>
    <x v="7"/>
    <s v="Sneakers"/>
    <n v="164.63"/>
    <x v="2"/>
    <s v="Card"/>
    <n v="2.5"/>
    <n v="16"/>
    <n v="3"/>
    <n v="138.28919999999999"/>
    <x v="1"/>
    <x v="0"/>
    <s v="Returning"/>
  </r>
  <r>
    <n v="1913"/>
    <n v="24"/>
    <s v="Male"/>
    <x v="1"/>
    <s v="Jeans"/>
    <n v="109.21"/>
    <x v="3"/>
    <s v="Card"/>
    <n v="3.9"/>
    <n v="22"/>
    <n v="11"/>
    <n v="85.183800000000005"/>
    <x v="3"/>
    <x v="0"/>
    <s v="Returning"/>
  </r>
  <r>
    <n v="1914"/>
    <n v="40"/>
    <s v="Female"/>
    <x v="8"/>
    <s v="Dress"/>
    <n v="96.67"/>
    <x v="1"/>
    <s v="Cash on Delivery"/>
    <n v="3.5"/>
    <n v="17"/>
    <n v="6"/>
    <n v="80.236099999999993"/>
    <x v="1"/>
    <x v="0"/>
    <s v="Returning"/>
  </r>
  <r>
    <n v="1915"/>
    <n v="69"/>
    <s v="Female"/>
    <x v="2"/>
    <s v="Dumbbells"/>
    <n v="243.62"/>
    <x v="0"/>
    <s v="Card"/>
    <n v="4"/>
    <n v="16"/>
    <n v="3"/>
    <n v="204.64079999999998"/>
    <x v="2"/>
    <x v="0"/>
    <s v="Returning"/>
  </r>
  <r>
    <n v="1916"/>
    <n v="68"/>
    <s v="Male"/>
    <x v="2"/>
    <s v="Yoga Mat"/>
    <n v="241.87"/>
    <x v="3"/>
    <s v="Card"/>
    <n v="3.7"/>
    <n v="10"/>
    <n v="5"/>
    <n v="217.68300000000002"/>
    <x v="2"/>
    <x v="0"/>
    <s v="Returning"/>
  </r>
  <r>
    <n v="1917"/>
    <n v="38"/>
    <s v="Female"/>
    <x v="2"/>
    <s v="Football"/>
    <n v="77.44"/>
    <x v="0"/>
    <s v="Card"/>
    <n v="4.3"/>
    <n v="10"/>
    <n v="5"/>
    <n v="69.695999999999998"/>
    <x v="1"/>
    <x v="0"/>
    <s v="Returning"/>
  </r>
  <r>
    <n v="1918"/>
    <n v="49"/>
    <s v="Female"/>
    <x v="6"/>
    <s v="Makeup Set"/>
    <n v="107.16"/>
    <x v="2"/>
    <s v="Card"/>
    <n v="3.1"/>
    <n v="16"/>
    <n v="8"/>
    <n v="90.014399999999995"/>
    <x v="0"/>
    <x v="0"/>
    <s v="Returning"/>
  </r>
  <r>
    <n v="1919"/>
    <n v="50"/>
    <s v="Male"/>
    <x v="1"/>
    <s v="Shirt"/>
    <n v="109.18"/>
    <x v="1"/>
    <s v="Card"/>
    <n v="4.3"/>
    <n v="12"/>
    <n v="6"/>
    <n v="96.078400000000002"/>
    <x v="0"/>
    <x v="0"/>
    <s v="Returning"/>
  </r>
  <r>
    <n v="1920"/>
    <n v="62"/>
    <s v="Female"/>
    <x v="8"/>
    <s v="Skirt"/>
    <n v="135.93"/>
    <x v="3"/>
    <s v="Card"/>
    <n v="4.0999999999999996"/>
    <n v="15"/>
    <n v="5"/>
    <n v="115.54050000000001"/>
    <x v="2"/>
    <x v="0"/>
    <s v="Returning"/>
  </r>
  <r>
    <n v="1921"/>
    <n v="34"/>
    <s v="Female"/>
    <x v="7"/>
    <s v="Sneakers"/>
    <n v="219.3"/>
    <x v="0"/>
    <s v="Card"/>
    <n v="2.8"/>
    <n v="20"/>
    <n v="5"/>
    <n v="175.44000000000003"/>
    <x v="4"/>
    <x v="0"/>
    <s v="Returning"/>
  </r>
  <r>
    <n v="1922"/>
    <n v="24"/>
    <s v="Male"/>
    <x v="3"/>
    <s v="Curtains"/>
    <n v="265"/>
    <x v="2"/>
    <s v="Card"/>
    <n v="2.4"/>
    <n v="24"/>
    <n v="7"/>
    <n v="201.4"/>
    <x v="3"/>
    <x v="0"/>
    <s v="Returning"/>
  </r>
  <r>
    <n v="1923"/>
    <n v="68"/>
    <s v="Female"/>
    <x v="6"/>
    <s v="Makeup Set"/>
    <n v="65.91"/>
    <x v="0"/>
    <s v="Cash on Delivery"/>
    <n v="5"/>
    <n v="9"/>
    <n v="2"/>
    <n v="59.978099999999998"/>
    <x v="2"/>
    <x v="0"/>
    <s v="Returning"/>
  </r>
  <r>
    <n v="1924"/>
    <n v="28"/>
    <s v="Male"/>
    <x v="2"/>
    <s v="Dumbbells"/>
    <n v="167.74"/>
    <x v="0"/>
    <s v="Card"/>
    <n v="4.4000000000000004"/>
    <n v="13"/>
    <n v="4"/>
    <n v="145.93380000000002"/>
    <x v="4"/>
    <x v="0"/>
    <s v="Returning"/>
  </r>
  <r>
    <n v="1925"/>
    <n v="25"/>
    <s v="Female"/>
    <x v="8"/>
    <s v="Dress"/>
    <n v="197.6"/>
    <x v="3"/>
    <s v="Card"/>
    <n v="5"/>
    <n v="13"/>
    <n v="4"/>
    <n v="171.91200000000001"/>
    <x v="3"/>
    <x v="0"/>
    <s v="Returning"/>
  </r>
  <r>
    <n v="1926"/>
    <n v="66"/>
    <s v="Male"/>
    <x v="2"/>
    <s v="Football"/>
    <n v="69.37"/>
    <x v="0"/>
    <s v="Card"/>
    <n v="3.8"/>
    <n v="6"/>
    <n v="3"/>
    <n v="65.207800000000006"/>
    <x v="2"/>
    <x v="0"/>
    <s v="Returning"/>
  </r>
  <r>
    <n v="1927"/>
    <n v="63"/>
    <s v="Female"/>
    <x v="7"/>
    <s v="Sandals"/>
    <n v="176.79"/>
    <x v="2"/>
    <s v="Card"/>
    <n v="2.5"/>
    <n v="16"/>
    <n v="3"/>
    <n v="148.50359999999998"/>
    <x v="2"/>
    <x v="0"/>
    <s v="Returning"/>
  </r>
  <r>
    <n v="1928"/>
    <n v="57"/>
    <s v="Female"/>
    <x v="6"/>
    <s v="Makeup Set"/>
    <n v="30.64"/>
    <x v="1"/>
    <s v="Card"/>
    <n v="3.2"/>
    <n v="22"/>
    <n v="6"/>
    <n v="23.8992"/>
    <x v="0"/>
    <x v="0"/>
    <s v="Returning"/>
  </r>
  <r>
    <n v="1929"/>
    <n v="62"/>
    <s v="Male"/>
    <x v="2"/>
    <s v="Dumbbells"/>
    <n v="55.13"/>
    <x v="2"/>
    <s v="Card"/>
    <n v="4.2"/>
    <n v="13"/>
    <n v="4"/>
    <n v="47.963100000000004"/>
    <x v="2"/>
    <x v="0"/>
    <s v="Returning"/>
  </r>
  <r>
    <n v="1930"/>
    <n v="59"/>
    <s v="Female"/>
    <x v="2"/>
    <s v="Football"/>
    <n v="150.71"/>
    <x v="1"/>
    <s v="Card"/>
    <n v="3.5"/>
    <n v="15"/>
    <n v="5"/>
    <n v="128.1035"/>
    <x v="0"/>
    <x v="0"/>
    <s v="Returning"/>
  </r>
  <r>
    <n v="1931"/>
    <n v="59"/>
    <s v="Female"/>
    <x v="8"/>
    <s v="Skirt"/>
    <n v="42.51"/>
    <x v="0"/>
    <s v="Card"/>
    <n v="3.5"/>
    <n v="18"/>
    <n v="4"/>
    <n v="34.858200000000004"/>
    <x v="0"/>
    <x v="0"/>
    <s v="Returning"/>
  </r>
  <r>
    <n v="1932"/>
    <n v="64"/>
    <s v="Female"/>
    <x v="6"/>
    <s v="Perfume"/>
    <n v="83.82"/>
    <x v="3"/>
    <s v="Card"/>
    <n v="2.9"/>
    <n v="12"/>
    <n v="6"/>
    <n v="73.761600000000001"/>
    <x v="2"/>
    <x v="0"/>
    <s v="Returning"/>
  </r>
  <r>
    <n v="1933"/>
    <n v="56"/>
    <s v="Female"/>
    <x v="6"/>
    <s v="Perfume"/>
    <n v="53.72"/>
    <x v="1"/>
    <s v="Cash on Delivery"/>
    <n v="2.4"/>
    <n v="16"/>
    <n v="3"/>
    <n v="45.1248"/>
    <x v="0"/>
    <x v="0"/>
    <s v="Returning"/>
  </r>
  <r>
    <n v="1934"/>
    <n v="42"/>
    <s v="Male"/>
    <x v="7"/>
    <s v="Sneakers"/>
    <n v="158.32"/>
    <x v="0"/>
    <s v="Card"/>
    <n v="4.4000000000000004"/>
    <n v="10"/>
    <n v="5"/>
    <n v="142.488"/>
    <x v="1"/>
    <x v="0"/>
    <s v="Returning"/>
  </r>
  <r>
    <n v="1935"/>
    <n v="61"/>
    <s v="Female"/>
    <x v="7"/>
    <s v="Sneakers"/>
    <n v="232.32"/>
    <x v="1"/>
    <s v="Card"/>
    <n v="2.7"/>
    <n v="4"/>
    <n v="2"/>
    <n v="223.02719999999999"/>
    <x v="2"/>
    <x v="0"/>
    <s v="Returning"/>
  </r>
  <r>
    <n v="1936"/>
    <n v="36"/>
    <s v="Male"/>
    <x v="2"/>
    <s v="Dumbbells"/>
    <n v="228.65"/>
    <x v="3"/>
    <s v="Card"/>
    <n v="4.0999999999999996"/>
    <n v="13"/>
    <n v="4"/>
    <n v="198.9255"/>
    <x v="1"/>
    <x v="0"/>
    <s v="Returning"/>
  </r>
  <r>
    <n v="1937"/>
    <n v="69"/>
    <s v="Male"/>
    <x v="2"/>
    <s v="Football"/>
    <n v="56.11"/>
    <x v="3"/>
    <s v="Cash on Delivery"/>
    <n v="2.7"/>
    <n v="22"/>
    <n v="6"/>
    <n v="43.765799999999999"/>
    <x v="2"/>
    <x v="0"/>
    <s v="Returning"/>
  </r>
  <r>
    <n v="1938"/>
    <n v="32"/>
    <s v="Female"/>
    <x v="3"/>
    <s v="Curtains"/>
    <n v="175.14"/>
    <x v="1"/>
    <s v="Card"/>
    <n v="3.6"/>
    <n v="20"/>
    <n v="10"/>
    <n v="140.11199999999999"/>
    <x v="4"/>
    <x v="0"/>
    <s v="Returning"/>
  </r>
  <r>
    <n v="1939"/>
    <n v="58"/>
    <s v="Female"/>
    <x v="2"/>
    <s v="Yoga Mat"/>
    <n v="195.03"/>
    <x v="2"/>
    <s v="Card"/>
    <n v="3.1"/>
    <n v="13"/>
    <n v="4"/>
    <n v="169.67609999999999"/>
    <x v="0"/>
    <x v="0"/>
    <s v="Returning"/>
  </r>
  <r>
    <n v="1940"/>
    <n v="52"/>
    <s v="Female"/>
    <x v="3"/>
    <s v="Curtains"/>
    <n v="181.83"/>
    <x v="1"/>
    <s v="Card"/>
    <n v="3.8"/>
    <n v="12"/>
    <n v="6"/>
    <n v="160.0104"/>
    <x v="0"/>
    <x v="0"/>
    <s v="Returning"/>
  </r>
  <r>
    <n v="1941"/>
    <n v="64"/>
    <s v="Female"/>
    <x v="7"/>
    <s v="Sneakers"/>
    <n v="107.22"/>
    <x v="2"/>
    <s v="Card"/>
    <n v="4.4000000000000004"/>
    <n v="11"/>
    <n v="3"/>
    <n v="95.425799999999995"/>
    <x v="2"/>
    <x v="0"/>
    <s v="Returning"/>
  </r>
  <r>
    <n v="1942"/>
    <n v="42"/>
    <s v="Female"/>
    <x v="0"/>
    <s v="Wallet"/>
    <n v="49.81"/>
    <x v="0"/>
    <s v="Card"/>
    <n v="4.3"/>
    <n v="11"/>
    <n v="3"/>
    <n v="44.3309"/>
    <x v="1"/>
    <x v="0"/>
    <s v="Returning"/>
  </r>
  <r>
    <n v="1943"/>
    <n v="65"/>
    <s v="Male"/>
    <x v="2"/>
    <s v="Football"/>
    <n v="54.39"/>
    <x v="2"/>
    <s v="Cash on Delivery"/>
    <n v="3.8"/>
    <n v="9"/>
    <n v="2"/>
    <n v="49.494900000000001"/>
    <x v="2"/>
    <x v="0"/>
    <s v="Returning"/>
  </r>
  <r>
    <n v="1944"/>
    <n v="48"/>
    <s v="Male"/>
    <x v="7"/>
    <s v="Sneakers"/>
    <n v="63.06"/>
    <x v="0"/>
    <s v="Card"/>
    <n v="4.2"/>
    <n v="22"/>
    <n v="6"/>
    <n v="49.186800000000005"/>
    <x v="0"/>
    <x v="0"/>
    <s v="Returning"/>
  </r>
  <r>
    <n v="1945"/>
    <n v="66"/>
    <s v="Male"/>
    <x v="5"/>
    <s v="Laptop"/>
    <n v="1918.19"/>
    <x v="0"/>
    <s v="Card"/>
    <n v="3.3"/>
    <n v="8"/>
    <n v="4"/>
    <n v="1764.7348000000002"/>
    <x v="2"/>
    <x v="0"/>
    <s v="Returning"/>
  </r>
  <r>
    <n v="1946"/>
    <n v="50"/>
    <s v="Male"/>
    <x v="1"/>
    <s v="Shirt"/>
    <n v="132.11000000000001"/>
    <x v="1"/>
    <s v="Card"/>
    <n v="3.7"/>
    <n v="18"/>
    <n v="4"/>
    <n v="108.33020000000002"/>
    <x v="0"/>
    <x v="0"/>
    <s v="Returning"/>
  </r>
  <r>
    <n v="1947"/>
    <n v="35"/>
    <s v="Female"/>
    <x v="8"/>
    <s v="Top"/>
    <n v="84.23"/>
    <x v="3"/>
    <s v="Cash on Delivery"/>
    <n v="5"/>
    <n v="8"/>
    <n v="4"/>
    <n v="77.491600000000005"/>
    <x v="4"/>
    <x v="0"/>
    <s v="Returning"/>
  </r>
  <r>
    <n v="1948"/>
    <n v="42"/>
    <s v="Female"/>
    <x v="6"/>
    <s v="Skincare Kit"/>
    <n v="114.27"/>
    <x v="1"/>
    <s v="Card"/>
    <n v="5"/>
    <n v="12"/>
    <n v="6"/>
    <n v="100.55759999999999"/>
    <x v="1"/>
    <x v="0"/>
    <s v="Returning"/>
  </r>
  <r>
    <n v="1949"/>
    <n v="30"/>
    <s v="Female"/>
    <x v="3"/>
    <s v="Kitchen Set"/>
    <n v="39.24"/>
    <x v="1"/>
    <s v="Cash on Delivery"/>
    <n v="3.3"/>
    <n v="22"/>
    <n v="6"/>
    <n v="30.607200000000002"/>
    <x v="4"/>
    <x v="0"/>
    <s v="Returning"/>
  </r>
  <r>
    <n v="1950"/>
    <n v="42"/>
    <s v="Female"/>
    <x v="7"/>
    <s v="Sandals"/>
    <n v="121.16"/>
    <x v="1"/>
    <s v="Card"/>
    <n v="2.8"/>
    <n v="16"/>
    <n v="8"/>
    <n v="101.7744"/>
    <x v="1"/>
    <x v="0"/>
    <s v="Returning"/>
  </r>
  <r>
    <n v="1951"/>
    <n v="51"/>
    <s v="Female"/>
    <x v="4"/>
    <s v="Snacks"/>
    <n v="45.86"/>
    <x v="0"/>
    <s v="Card"/>
    <n v="3.6"/>
    <n v="8"/>
    <n v="4"/>
    <n v="42.191200000000002"/>
    <x v="0"/>
    <x v="0"/>
    <s v="Returning"/>
  </r>
  <r>
    <n v="1952"/>
    <n v="38"/>
    <s v="Male"/>
    <x v="1"/>
    <s v="Jeans"/>
    <n v="38.47"/>
    <x v="1"/>
    <s v="Card"/>
    <n v="3.6"/>
    <n v="17"/>
    <n v="6"/>
    <n v="31.930099999999996"/>
    <x v="1"/>
    <x v="0"/>
    <s v="Returning"/>
  </r>
  <r>
    <n v="1953"/>
    <n v="46"/>
    <s v="Male"/>
    <x v="2"/>
    <s v="Yoga Mat"/>
    <n v="98.54"/>
    <x v="2"/>
    <s v="Card"/>
    <n v="4.7"/>
    <n v="8"/>
    <n v="4"/>
    <n v="90.656800000000004"/>
    <x v="0"/>
    <x v="0"/>
    <s v="Returning"/>
  </r>
  <r>
    <n v="1954"/>
    <n v="55"/>
    <s v="Male"/>
    <x v="7"/>
    <s v="Formal Shoes"/>
    <n v="194.32"/>
    <x v="1"/>
    <s v="Card"/>
    <n v="3.5"/>
    <n v="8"/>
    <n v="4"/>
    <n v="178.77440000000001"/>
    <x v="0"/>
    <x v="0"/>
    <s v="Returning"/>
  </r>
  <r>
    <n v="1955"/>
    <n v="61"/>
    <s v="Female"/>
    <x v="6"/>
    <s v="Skincare Kit"/>
    <n v="71.83"/>
    <x v="2"/>
    <s v="Cash on Delivery"/>
    <n v="4"/>
    <n v="18"/>
    <n v="4"/>
    <n v="58.900600000000004"/>
    <x v="2"/>
    <x v="0"/>
    <s v="Returning"/>
  </r>
  <r>
    <n v="1956"/>
    <n v="65"/>
    <s v="Female"/>
    <x v="7"/>
    <s v="Sneakers"/>
    <n v="119.74"/>
    <x v="2"/>
    <s v="Card"/>
    <n v="3.5"/>
    <n v="6"/>
    <n v="3"/>
    <n v="112.55559999999998"/>
    <x v="2"/>
    <x v="0"/>
    <s v="Returning"/>
  </r>
  <r>
    <n v="1957"/>
    <n v="66"/>
    <s v="Female"/>
    <x v="7"/>
    <s v="Sneakers"/>
    <n v="242.56"/>
    <x v="3"/>
    <s v="Card"/>
    <n v="5"/>
    <n v="14"/>
    <n v="7"/>
    <n v="208.60159999999999"/>
    <x v="2"/>
    <x v="0"/>
    <s v="Returning"/>
  </r>
  <r>
    <n v="1958"/>
    <n v="51"/>
    <s v="Female"/>
    <x v="8"/>
    <s v="Dress"/>
    <n v="78.03"/>
    <x v="0"/>
    <s v="Cash on Delivery"/>
    <n v="4.0999999999999996"/>
    <n v="13"/>
    <n v="4"/>
    <n v="67.886099999999999"/>
    <x v="0"/>
    <x v="0"/>
    <s v="Returning"/>
  </r>
  <r>
    <n v="1959"/>
    <n v="52"/>
    <s v="Male"/>
    <x v="2"/>
    <s v="Football"/>
    <n v="82.92"/>
    <x v="3"/>
    <s v="Card"/>
    <n v="4.2"/>
    <n v="24"/>
    <n v="7"/>
    <n v="63.019200000000005"/>
    <x v="0"/>
    <x v="0"/>
    <s v="Returning"/>
  </r>
  <r>
    <n v="1960"/>
    <n v="56"/>
    <s v="Female"/>
    <x v="3"/>
    <s v="Curtains"/>
    <n v="220.57"/>
    <x v="1"/>
    <s v="Card"/>
    <n v="3.1"/>
    <n v="18"/>
    <n v="4"/>
    <n v="180.8674"/>
    <x v="0"/>
    <x v="0"/>
    <s v="Returning"/>
  </r>
  <r>
    <n v="1961"/>
    <n v="61"/>
    <s v="Male"/>
    <x v="2"/>
    <s v="Football"/>
    <n v="93.71"/>
    <x v="2"/>
    <s v="Cash on Delivery"/>
    <n v="3.6"/>
    <n v="2"/>
    <n v="1"/>
    <n v="91.835799999999992"/>
    <x v="2"/>
    <x v="0"/>
    <s v="Returning"/>
  </r>
  <r>
    <n v="1962"/>
    <n v="55"/>
    <s v="Male"/>
    <x v="7"/>
    <s v="Sneakers"/>
    <n v="237.85"/>
    <x v="1"/>
    <s v="Card"/>
    <n v="3.4"/>
    <n v="24"/>
    <n v="7"/>
    <n v="180.76599999999999"/>
    <x v="0"/>
    <x v="0"/>
    <s v="Returning"/>
  </r>
  <r>
    <n v="1963"/>
    <n v="43"/>
    <s v="Female"/>
    <x v="3"/>
    <s v="Lamp"/>
    <n v="209.95"/>
    <x v="1"/>
    <s v="Card"/>
    <n v="2.5"/>
    <n v="16"/>
    <n v="3"/>
    <n v="176.35799999999998"/>
    <x v="1"/>
    <x v="0"/>
    <s v="Returning"/>
  </r>
  <r>
    <n v="1964"/>
    <n v="67"/>
    <s v="Male"/>
    <x v="7"/>
    <s v="Sandals"/>
    <n v="208.53"/>
    <x v="2"/>
    <s v="Card"/>
    <n v="4.4000000000000004"/>
    <n v="25"/>
    <n v="10"/>
    <n v="156.39750000000001"/>
    <x v="2"/>
    <x v="0"/>
    <s v="Returning"/>
  </r>
  <r>
    <n v="1965"/>
    <n v="23"/>
    <s v="Male"/>
    <x v="7"/>
    <s v="Sandals"/>
    <n v="79.069999999999993"/>
    <x v="3"/>
    <s v="Cash on Delivery"/>
    <n v="5"/>
    <n v="11"/>
    <n v="3"/>
    <n v="70.372299999999996"/>
    <x v="3"/>
    <x v="0"/>
    <s v="Returning"/>
  </r>
  <r>
    <n v="1966"/>
    <n v="54"/>
    <s v="Female"/>
    <x v="8"/>
    <s v="Skirt"/>
    <n v="86"/>
    <x v="1"/>
    <s v="Cash on Delivery"/>
    <n v="3.2"/>
    <n v="18"/>
    <n v="9"/>
    <n v="70.52000000000001"/>
    <x v="0"/>
    <x v="0"/>
    <s v="Returning"/>
  </r>
  <r>
    <n v="1967"/>
    <n v="37"/>
    <s v="Female"/>
    <x v="8"/>
    <s v="Dress"/>
    <n v="118.51"/>
    <x v="3"/>
    <s v="Card"/>
    <n v="4.5999999999999996"/>
    <n v="9"/>
    <n v="2"/>
    <n v="107.84410000000001"/>
    <x v="1"/>
    <x v="0"/>
    <s v="Returning"/>
  </r>
  <r>
    <n v="1968"/>
    <n v="44"/>
    <s v="Male"/>
    <x v="5"/>
    <s v="Laptop"/>
    <n v="1102.43"/>
    <x v="1"/>
    <s v="Card"/>
    <n v="3.9"/>
    <n v="30"/>
    <n v="10"/>
    <n v="771.70100000000002"/>
    <x v="1"/>
    <x v="0"/>
    <s v="Returning"/>
  </r>
  <r>
    <n v="1969"/>
    <n v="54"/>
    <s v="Female"/>
    <x v="8"/>
    <s v="Jeans"/>
    <n v="130.37"/>
    <x v="1"/>
    <s v="Card"/>
    <n v="2.8"/>
    <n v="17"/>
    <n v="6"/>
    <n v="108.2071"/>
    <x v="0"/>
    <x v="0"/>
    <s v="Returning"/>
  </r>
  <r>
    <n v="1970"/>
    <n v="39"/>
    <s v="Male"/>
    <x v="2"/>
    <s v="Dumbbells"/>
    <n v="26.25"/>
    <x v="0"/>
    <s v="Cash on Delivery"/>
    <n v="3"/>
    <n v="22"/>
    <n v="6"/>
    <n v="20.475000000000001"/>
    <x v="1"/>
    <x v="0"/>
    <s v="Returning"/>
  </r>
  <r>
    <n v="1971"/>
    <n v="41"/>
    <s v="Male"/>
    <x v="2"/>
    <s v="Football"/>
    <n v="229.64"/>
    <x v="3"/>
    <s v="Card"/>
    <n v="4.2"/>
    <n v="10"/>
    <n v="5"/>
    <n v="206.67599999999999"/>
    <x v="1"/>
    <x v="0"/>
    <s v="Returning"/>
  </r>
  <r>
    <n v="1972"/>
    <n v="48"/>
    <s v="Female"/>
    <x v="8"/>
    <s v="Jeans"/>
    <n v="144.76"/>
    <x v="3"/>
    <s v="Card"/>
    <n v="4.2"/>
    <n v="10"/>
    <n v="5"/>
    <n v="130.28399999999999"/>
    <x v="0"/>
    <x v="0"/>
    <s v="Returning"/>
  </r>
  <r>
    <n v="1973"/>
    <n v="39"/>
    <s v="Female"/>
    <x v="8"/>
    <s v="Dress"/>
    <n v="188.91"/>
    <x v="2"/>
    <s v="Card"/>
    <n v="3.4"/>
    <n v="20"/>
    <n v="5"/>
    <n v="151.12800000000001"/>
    <x v="1"/>
    <x v="0"/>
    <s v="Returning"/>
  </r>
  <r>
    <n v="1974"/>
    <n v="44"/>
    <s v="Male"/>
    <x v="7"/>
    <s v="Sandals"/>
    <n v="108.13"/>
    <x v="2"/>
    <s v="Card"/>
    <n v="3.5"/>
    <n v="4"/>
    <n v="2"/>
    <n v="103.80479999999999"/>
    <x v="1"/>
    <x v="0"/>
    <s v="Returning"/>
  </r>
  <r>
    <n v="1975"/>
    <n v="60"/>
    <s v="Female"/>
    <x v="7"/>
    <s v="Sandals"/>
    <n v="49.64"/>
    <x v="1"/>
    <s v="Cash on Delivery"/>
    <n v="3.2"/>
    <n v="12"/>
    <n v="6"/>
    <n v="43.683199999999999"/>
    <x v="0"/>
    <x v="0"/>
    <s v="Returning"/>
  </r>
  <r>
    <n v="1976"/>
    <n v="57"/>
    <s v="Female"/>
    <x v="8"/>
    <s v="Dress"/>
    <n v="33.5"/>
    <x v="3"/>
    <s v="Card"/>
    <n v="1.7"/>
    <n v="11"/>
    <n v="3"/>
    <n v="29.815000000000001"/>
    <x v="0"/>
    <x v="0"/>
    <s v="Returning"/>
  </r>
  <r>
    <n v="1977"/>
    <n v="48"/>
    <s v="Male"/>
    <x v="1"/>
    <s v="Jacket"/>
    <n v="176.4"/>
    <x v="0"/>
    <s v="Card"/>
    <n v="4.3"/>
    <n v="2"/>
    <n v="1"/>
    <n v="172.87200000000001"/>
    <x v="0"/>
    <x v="0"/>
    <s v="Returning"/>
  </r>
  <r>
    <n v="1978"/>
    <n v="38"/>
    <s v="Female"/>
    <x v="7"/>
    <s v="Sandals"/>
    <n v="177.52"/>
    <x v="2"/>
    <s v="Card"/>
    <n v="4.7"/>
    <n v="11"/>
    <n v="3"/>
    <n v="157.99280000000002"/>
    <x v="1"/>
    <x v="0"/>
    <s v="Returning"/>
  </r>
  <r>
    <n v="1979"/>
    <n v="66"/>
    <s v="Female"/>
    <x v="8"/>
    <s v="Jeans"/>
    <n v="48.85"/>
    <x v="1"/>
    <s v="Card"/>
    <n v="4.3"/>
    <n v="24"/>
    <n v="7"/>
    <n v="37.126000000000005"/>
    <x v="2"/>
    <x v="0"/>
    <s v="Returning"/>
  </r>
  <r>
    <n v="1980"/>
    <n v="70"/>
    <s v="Female"/>
    <x v="8"/>
    <s v="Dress"/>
    <n v="139.16999999999999"/>
    <x v="3"/>
    <s v="Card"/>
    <n v="4.3"/>
    <n v="19"/>
    <n v="7"/>
    <n v="112.7277"/>
    <x v="2"/>
    <x v="0"/>
    <s v="Returning"/>
  </r>
  <r>
    <n v="1981"/>
    <n v="24"/>
    <s v="Male"/>
    <x v="1"/>
    <s v="T-Shirt"/>
    <n v="196.55"/>
    <x v="3"/>
    <s v="Card"/>
    <n v="3.2"/>
    <n v="8"/>
    <n v="4"/>
    <n v="180.82600000000002"/>
    <x v="3"/>
    <x v="0"/>
    <s v="Returning"/>
  </r>
  <r>
    <n v="1982"/>
    <n v="41"/>
    <s v="Female"/>
    <x v="6"/>
    <s v="Perfume"/>
    <n v="26.86"/>
    <x v="2"/>
    <s v="Card"/>
    <n v="3.5"/>
    <n v="9"/>
    <n v="2"/>
    <n v="24.442599999999999"/>
    <x v="1"/>
    <x v="0"/>
    <s v="Returning"/>
  </r>
  <r>
    <n v="1983"/>
    <n v="63"/>
    <s v="Male"/>
    <x v="2"/>
    <s v="Yoga Mat"/>
    <n v="161.59"/>
    <x v="1"/>
    <s v="Card"/>
    <n v="5"/>
    <n v="21"/>
    <n v="8"/>
    <n v="127.65610000000001"/>
    <x v="2"/>
    <x v="0"/>
    <s v="Returning"/>
  </r>
  <r>
    <n v="1984"/>
    <n v="40"/>
    <s v="Female"/>
    <x v="8"/>
    <s v="Top"/>
    <n v="171.74"/>
    <x v="0"/>
    <s v="Card"/>
    <n v="2.9"/>
    <n v="18"/>
    <n v="4"/>
    <n v="140.82680000000002"/>
    <x v="1"/>
    <x v="0"/>
    <s v="Returning"/>
  </r>
  <r>
    <n v="1985"/>
    <n v="52"/>
    <s v="Male"/>
    <x v="2"/>
    <s v="Dumbbells"/>
    <n v="46.83"/>
    <x v="2"/>
    <s v="Card"/>
    <n v="3.7"/>
    <n v="22"/>
    <n v="6"/>
    <n v="36.5274"/>
    <x v="0"/>
    <x v="0"/>
    <s v="Returning"/>
  </r>
  <r>
    <n v="1986"/>
    <n v="38"/>
    <s v="Male"/>
    <x v="2"/>
    <s v="Football"/>
    <n v="61.79"/>
    <x v="0"/>
    <s v="Card"/>
    <n v="2.9"/>
    <n v="28"/>
    <n v="9"/>
    <n v="44.488799999999998"/>
    <x v="1"/>
    <x v="0"/>
    <s v="Returning"/>
  </r>
  <r>
    <n v="1987"/>
    <n v="25"/>
    <s v="Male"/>
    <x v="1"/>
    <s v="Jacket"/>
    <n v="111.92"/>
    <x v="0"/>
    <s v="Card"/>
    <n v="4.3"/>
    <n v="21"/>
    <n v="8"/>
    <n v="88.416800000000009"/>
    <x v="3"/>
    <x v="0"/>
    <s v="Returning"/>
  </r>
  <r>
    <n v="1988"/>
    <n v="56"/>
    <s v="Male"/>
    <x v="5"/>
    <s v="Laptop"/>
    <n v="1616.64"/>
    <x v="3"/>
    <s v="Card"/>
    <n v="4.2"/>
    <n v="16"/>
    <n v="3"/>
    <n v="1357.9775999999999"/>
    <x v="0"/>
    <x v="0"/>
    <s v="Returning"/>
  </r>
  <r>
    <n v="1989"/>
    <n v="48"/>
    <s v="Male"/>
    <x v="2"/>
    <s v="Yoga Mat"/>
    <n v="217.52"/>
    <x v="3"/>
    <s v="Card"/>
    <n v="4.5"/>
    <n v="22"/>
    <n v="6"/>
    <n v="169.66560000000001"/>
    <x v="0"/>
    <x v="0"/>
    <s v="Returning"/>
  </r>
  <r>
    <n v="1990"/>
    <n v="64"/>
    <s v="Male"/>
    <x v="2"/>
    <s v="Yoga Mat"/>
    <n v="162.80000000000001"/>
    <x v="1"/>
    <s v="Card"/>
    <n v="4.9000000000000004"/>
    <n v="18"/>
    <n v="4"/>
    <n v="133.49600000000001"/>
    <x v="2"/>
    <x v="0"/>
    <s v="Returning"/>
  </r>
  <r>
    <n v="1991"/>
    <n v="22"/>
    <s v="Male"/>
    <x v="1"/>
    <s v="Jacket"/>
    <n v="65.02"/>
    <x v="3"/>
    <s v="Card"/>
    <n v="3.9"/>
    <n v="16"/>
    <n v="3"/>
    <n v="54.616799999999998"/>
    <x v="3"/>
    <x v="0"/>
    <s v="Returning"/>
  </r>
  <r>
    <n v="1992"/>
    <n v="36"/>
    <s v="Male"/>
    <x v="7"/>
    <s v="Formal Shoes"/>
    <n v="138.44999999999999"/>
    <x v="3"/>
    <s v="Card"/>
    <n v="3.2"/>
    <n v="20"/>
    <n v="5"/>
    <n v="110.75999999999999"/>
    <x v="1"/>
    <x v="0"/>
    <s v="Returning"/>
  </r>
  <r>
    <n v="1993"/>
    <n v="45"/>
    <s v="Female"/>
    <x v="2"/>
    <s v="Football"/>
    <n v="184.55"/>
    <x v="1"/>
    <s v="Card"/>
    <n v="4.2"/>
    <n v="8"/>
    <n v="4"/>
    <n v="169.78600000000003"/>
    <x v="1"/>
    <x v="0"/>
    <s v="Returning"/>
  </r>
  <r>
    <n v="1994"/>
    <n v="33"/>
    <s v="Female"/>
    <x v="8"/>
    <s v="Top"/>
    <n v="109.48"/>
    <x v="1"/>
    <s v="Card"/>
    <n v="3.8"/>
    <n v="12"/>
    <n v="6"/>
    <n v="96.342399999999998"/>
    <x v="4"/>
    <x v="0"/>
    <s v="Returning"/>
  </r>
  <r>
    <n v="1995"/>
    <n v="59"/>
    <s v="Female"/>
    <x v="8"/>
    <s v="Jeans"/>
    <n v="147.63"/>
    <x v="2"/>
    <s v="Card"/>
    <n v="5"/>
    <n v="17"/>
    <n v="6"/>
    <n v="122.53289999999998"/>
    <x v="0"/>
    <x v="0"/>
    <s v="Returning"/>
  </r>
  <r>
    <n v="1996"/>
    <n v="49"/>
    <s v="Male"/>
    <x v="1"/>
    <s v="Shirt"/>
    <n v="176.47"/>
    <x v="3"/>
    <s v="Card"/>
    <n v="3.2"/>
    <n v="18"/>
    <n v="4"/>
    <n v="144.7054"/>
    <x v="0"/>
    <x v="0"/>
    <s v="Returning"/>
  </r>
  <r>
    <n v="1997"/>
    <n v="36"/>
    <s v="Male"/>
    <x v="5"/>
    <s v="Mobile Phone"/>
    <n v="1270.98"/>
    <x v="1"/>
    <s v="Card"/>
    <n v="5"/>
    <n v="12"/>
    <n v="6"/>
    <n v="1118.4624000000001"/>
    <x v="1"/>
    <x v="0"/>
    <s v="Returning"/>
  </r>
  <r>
    <n v="1998"/>
    <n v="59"/>
    <s v="Male"/>
    <x v="2"/>
    <s v="Football"/>
    <n v="158.36000000000001"/>
    <x v="3"/>
    <s v="Card"/>
    <n v="4.0999999999999996"/>
    <n v="21"/>
    <n v="8"/>
    <n v="125.10440000000001"/>
    <x v="0"/>
    <x v="0"/>
    <s v="Returning"/>
  </r>
  <r>
    <n v="1999"/>
    <n v="47"/>
    <s v="Male"/>
    <x v="2"/>
    <s v="Football"/>
    <n v="25.96"/>
    <x v="2"/>
    <s v="Cash on Delivery"/>
    <n v="3.5"/>
    <n v="24"/>
    <n v="7"/>
    <n v="19.729600000000001"/>
    <x v="0"/>
    <x v="0"/>
    <s v="Returning"/>
  </r>
  <r>
    <n v="2000"/>
    <n v="45"/>
    <s v="Female"/>
    <x v="7"/>
    <s v="Formal Shoes"/>
    <n v="219.08"/>
    <x v="1"/>
    <s v="Card"/>
    <n v="3.9"/>
    <n v="25"/>
    <n v="10"/>
    <n v="164.31"/>
    <x v="1"/>
    <x v="0"/>
    <s v="Returning"/>
  </r>
  <r>
    <n v="2001"/>
    <n v="44"/>
    <s v="Male"/>
    <x v="2"/>
    <s v="Yoga Mat"/>
    <n v="216.53"/>
    <x v="1"/>
    <s v="Card"/>
    <n v="3.4"/>
    <n v="2"/>
    <n v="1"/>
    <n v="212.1994"/>
    <x v="1"/>
    <x v="0"/>
    <s v="Returning"/>
  </r>
  <r>
    <n v="2002"/>
    <n v="58"/>
    <s v="Male"/>
    <x v="2"/>
    <s v="Yoga Mat"/>
    <n v="155.38999999999999"/>
    <x v="2"/>
    <s v="Card"/>
    <n v="3.5"/>
    <n v="21"/>
    <n v="8"/>
    <n v="122.7581"/>
    <x v="0"/>
    <x v="0"/>
    <s v="Returning"/>
  </r>
  <r>
    <n v="2003"/>
    <n v="65"/>
    <s v="Male"/>
    <x v="7"/>
    <s v="Sandals"/>
    <n v="178.96"/>
    <x v="2"/>
    <s v="Card"/>
    <n v="3.1"/>
    <n v="16"/>
    <n v="3"/>
    <n v="150.32640000000001"/>
    <x v="2"/>
    <x v="0"/>
    <s v="Returning"/>
  </r>
  <r>
    <n v="2004"/>
    <n v="50"/>
    <s v="Male"/>
    <x v="1"/>
    <s v="T-Shirt"/>
    <n v="156.35"/>
    <x v="2"/>
    <s v="Card"/>
    <n v="3.1"/>
    <n v="9"/>
    <n v="2"/>
    <n v="142.27850000000001"/>
    <x v="0"/>
    <x v="0"/>
    <s v="Returning"/>
  </r>
  <r>
    <n v="2005"/>
    <n v="32"/>
    <s v="Female"/>
    <x v="4"/>
    <s v="Cooking Oil"/>
    <n v="30.91"/>
    <x v="1"/>
    <s v="Card"/>
    <n v="3.4"/>
    <n v="14"/>
    <n v="2"/>
    <n v="26.582599999999999"/>
    <x v="4"/>
    <x v="0"/>
    <s v="Returning"/>
  </r>
  <r>
    <n v="2006"/>
    <n v="33"/>
    <s v="Female"/>
    <x v="4"/>
    <s v="Beverages"/>
    <n v="33.28"/>
    <x v="0"/>
    <s v="Card"/>
    <n v="4.2"/>
    <n v="8"/>
    <n v="4"/>
    <n v="30.617600000000003"/>
    <x v="4"/>
    <x v="0"/>
    <s v="Returning"/>
  </r>
  <r>
    <n v="2007"/>
    <n v="41"/>
    <s v="Female"/>
    <x v="4"/>
    <s v="Snacks"/>
    <n v="14.36"/>
    <x v="2"/>
    <s v="Cash on Delivery"/>
    <n v="3.6"/>
    <n v="15"/>
    <n v="5"/>
    <n v="12.206"/>
    <x v="1"/>
    <x v="0"/>
    <s v="Returning"/>
  </r>
  <r>
    <n v="2008"/>
    <n v="60"/>
    <s v="Male"/>
    <x v="2"/>
    <s v="Football"/>
    <n v="164.7"/>
    <x v="3"/>
    <s v="Card"/>
    <n v="4.8"/>
    <n v="26"/>
    <n v="8"/>
    <n v="121.87799999999999"/>
    <x v="0"/>
    <x v="0"/>
    <s v="Returning"/>
  </r>
  <r>
    <n v="2009"/>
    <n v="54"/>
    <s v="Male"/>
    <x v="2"/>
    <s v="Dumbbells"/>
    <n v="156.24"/>
    <x v="3"/>
    <s v="Card"/>
    <n v="4.5999999999999996"/>
    <n v="16"/>
    <n v="3"/>
    <n v="131.24160000000001"/>
    <x v="0"/>
    <x v="0"/>
    <s v="Returning"/>
  </r>
  <r>
    <n v="2010"/>
    <n v="34"/>
    <s v="Female"/>
    <x v="8"/>
    <s v="Skirt"/>
    <n v="153.01"/>
    <x v="3"/>
    <s v="Card"/>
    <n v="3.8"/>
    <n v="13"/>
    <n v="4"/>
    <n v="133.11869999999999"/>
    <x v="4"/>
    <x v="0"/>
    <s v="Returning"/>
  </r>
  <r>
    <n v="2011"/>
    <n v="46"/>
    <s v="Female"/>
    <x v="7"/>
    <s v="Sandals"/>
    <n v="120.06"/>
    <x v="0"/>
    <s v="Card"/>
    <n v="4.0999999999999996"/>
    <n v="6"/>
    <n v="3"/>
    <n v="112.85639999999999"/>
    <x v="0"/>
    <x v="0"/>
    <s v="Returning"/>
  </r>
  <r>
    <n v="2012"/>
    <n v="38"/>
    <s v="Female"/>
    <x v="8"/>
    <s v="Top"/>
    <n v="162.6"/>
    <x v="3"/>
    <s v="Card"/>
    <n v="4.4000000000000004"/>
    <n v="26"/>
    <n v="8"/>
    <n v="120.324"/>
    <x v="1"/>
    <x v="0"/>
    <s v="Returning"/>
  </r>
  <r>
    <n v="2013"/>
    <n v="51"/>
    <s v="Female"/>
    <x v="6"/>
    <s v="Perfume"/>
    <n v="89.47"/>
    <x v="1"/>
    <s v="Card"/>
    <n v="3.6"/>
    <n v="10"/>
    <n v="5"/>
    <n v="80.522999999999996"/>
    <x v="0"/>
    <x v="0"/>
    <s v="Returning"/>
  </r>
  <r>
    <n v="2014"/>
    <n v="20"/>
    <s v="Female"/>
    <x v="7"/>
    <s v="Sneakers"/>
    <n v="88.2"/>
    <x v="2"/>
    <s v="Cash on Delivery"/>
    <n v="3.4"/>
    <n v="17"/>
    <n v="6"/>
    <n v="73.206000000000003"/>
    <x v="3"/>
    <x v="0"/>
    <s v="Returning"/>
  </r>
  <r>
    <n v="2015"/>
    <n v="35"/>
    <s v="Male"/>
    <x v="7"/>
    <s v="Sandals"/>
    <n v="199.05"/>
    <x v="2"/>
    <s v="Card"/>
    <n v="3.4"/>
    <n v="10"/>
    <n v="5"/>
    <n v="179.14500000000001"/>
    <x v="4"/>
    <x v="0"/>
    <s v="Returning"/>
  </r>
  <r>
    <n v="2016"/>
    <n v="57"/>
    <s v="Male"/>
    <x v="3"/>
    <s v="Curtains"/>
    <n v="97.73"/>
    <x v="2"/>
    <s v="Cash on Delivery"/>
    <n v="4.0999999999999996"/>
    <n v="12"/>
    <n v="6"/>
    <n v="86.002400000000009"/>
    <x v="0"/>
    <x v="0"/>
    <s v="Returning"/>
  </r>
  <r>
    <n v="2017"/>
    <n v="35"/>
    <s v="Male"/>
    <x v="4"/>
    <s v="Cooking Oil"/>
    <n v="21.46"/>
    <x v="3"/>
    <s v="Cash on Delivery"/>
    <n v="3.7"/>
    <n v="8"/>
    <n v="4"/>
    <n v="19.743200000000002"/>
    <x v="4"/>
    <x v="0"/>
    <s v="Returning"/>
  </r>
  <r>
    <n v="2018"/>
    <n v="51"/>
    <s v="Female"/>
    <x v="8"/>
    <s v="Top"/>
    <n v="196.16"/>
    <x v="0"/>
    <s v="Card"/>
    <n v="3.4"/>
    <n v="20"/>
    <n v="5"/>
    <n v="156.928"/>
    <x v="0"/>
    <x v="0"/>
    <s v="Returning"/>
  </r>
  <r>
    <n v="2019"/>
    <n v="45"/>
    <s v="Female"/>
    <x v="6"/>
    <s v="Skincare Kit"/>
    <n v="89.54"/>
    <x v="1"/>
    <s v="Cash on Delivery"/>
    <n v="4.5999999999999996"/>
    <n v="20"/>
    <n v="5"/>
    <n v="71.632000000000005"/>
    <x v="1"/>
    <x v="0"/>
    <s v="Returning"/>
  </r>
  <r>
    <n v="2020"/>
    <n v="48"/>
    <s v="Male"/>
    <x v="7"/>
    <s v="Sneakers"/>
    <n v="65.63"/>
    <x v="0"/>
    <s v="Card"/>
    <n v="3.4"/>
    <n v="20"/>
    <n v="5"/>
    <n v="52.503999999999998"/>
    <x v="0"/>
    <x v="0"/>
    <s v="Returning"/>
  </r>
  <r>
    <n v="2021"/>
    <n v="29"/>
    <s v="Male"/>
    <x v="4"/>
    <s v="Cooking Oil"/>
    <n v="50.38"/>
    <x v="0"/>
    <s v="Cash on Delivery"/>
    <n v="4.5"/>
    <n v="12"/>
    <n v="6"/>
    <n v="44.334400000000002"/>
    <x v="4"/>
    <x v="0"/>
    <s v="Returning"/>
  </r>
  <r>
    <n v="2022"/>
    <n v="58"/>
    <s v="Male"/>
    <x v="4"/>
    <s v="Snacks"/>
    <n v="10.55"/>
    <x v="0"/>
    <s v="Card"/>
    <n v="4.2"/>
    <n v="16"/>
    <n v="3"/>
    <n v="8.8620000000000001"/>
    <x v="0"/>
    <x v="0"/>
    <s v="Returning"/>
  </r>
  <r>
    <n v="2023"/>
    <n v="22"/>
    <s v="Female"/>
    <x v="4"/>
    <s v="Rice Pack"/>
    <n v="9.68"/>
    <x v="3"/>
    <s v="Cash on Delivery"/>
    <n v="4.4000000000000004"/>
    <n v="18"/>
    <n v="4"/>
    <n v="7.9376000000000007"/>
    <x v="3"/>
    <x v="0"/>
    <s v="Returning"/>
  </r>
  <r>
    <n v="2024"/>
    <n v="69"/>
    <s v="Female"/>
    <x v="3"/>
    <s v="Kitchen Set"/>
    <n v="58.08"/>
    <x v="0"/>
    <s v="Cash on Delivery"/>
    <n v="3.3"/>
    <n v="20"/>
    <n v="5"/>
    <n v="46.463999999999999"/>
    <x v="2"/>
    <x v="0"/>
    <s v="Returning"/>
  </r>
  <r>
    <n v="2025"/>
    <n v="50"/>
    <s v="Male"/>
    <x v="7"/>
    <s v="Sneakers"/>
    <n v="87.66"/>
    <x v="2"/>
    <s v="Card"/>
    <n v="3"/>
    <n v="16"/>
    <n v="3"/>
    <n v="73.634399999999999"/>
    <x v="0"/>
    <x v="0"/>
    <s v="Returning"/>
  </r>
  <r>
    <n v="2026"/>
    <n v="58"/>
    <s v="Male"/>
    <x v="5"/>
    <s v="Laptop"/>
    <n v="715.45"/>
    <x v="0"/>
    <s v="Card"/>
    <n v="3.3"/>
    <n v="20"/>
    <n v="5"/>
    <n v="572.36"/>
    <x v="0"/>
    <x v="0"/>
    <s v="Returning"/>
  </r>
  <r>
    <n v="2027"/>
    <n v="30"/>
    <s v="Female"/>
    <x v="0"/>
    <s v="Wallet"/>
    <n v="96.49"/>
    <x v="2"/>
    <s v="Cash on Delivery"/>
    <n v="4.7"/>
    <n v="29"/>
    <n v="12"/>
    <n v="68.507899999999992"/>
    <x v="4"/>
    <x v="0"/>
    <s v="Returning"/>
  </r>
  <r>
    <n v="2028"/>
    <n v="25"/>
    <s v="Female"/>
    <x v="0"/>
    <s v="Wallet"/>
    <n v="152.71"/>
    <x v="2"/>
    <s v="Card"/>
    <n v="3.8"/>
    <n v="18"/>
    <n v="4"/>
    <n v="125.22220000000002"/>
    <x v="3"/>
    <x v="0"/>
    <s v="Returning"/>
  </r>
  <r>
    <n v="2029"/>
    <n v="51"/>
    <s v="Female"/>
    <x v="0"/>
    <s v="Handbag"/>
    <n v="72.38"/>
    <x v="1"/>
    <s v="Cash on Delivery"/>
    <n v="5"/>
    <n v="11"/>
    <n v="3"/>
    <n v="64.418199999999999"/>
    <x v="0"/>
    <x v="0"/>
    <s v="Returning"/>
  </r>
  <r>
    <n v="2030"/>
    <n v="46"/>
    <s v="Female"/>
    <x v="0"/>
    <s v="Wallet"/>
    <n v="67.510000000000005"/>
    <x v="2"/>
    <s v="Cash on Delivery"/>
    <n v="3.8"/>
    <n v="13"/>
    <n v="4"/>
    <n v="58.733700000000006"/>
    <x v="0"/>
    <x v="0"/>
    <s v="Returning"/>
  </r>
  <r>
    <n v="2031"/>
    <n v="54"/>
    <s v="Female"/>
    <x v="3"/>
    <s v="Lamp"/>
    <n v="174.89"/>
    <x v="3"/>
    <s v="Card"/>
    <n v="4.2"/>
    <n v="11"/>
    <n v="3"/>
    <n v="155.65209999999999"/>
    <x v="0"/>
    <x v="0"/>
    <s v="Returning"/>
  </r>
  <r>
    <n v="2032"/>
    <n v="27"/>
    <s v="Male"/>
    <x v="2"/>
    <s v="Yoga Mat"/>
    <n v="96.73"/>
    <x v="2"/>
    <s v="Card"/>
    <n v="2.6"/>
    <n v="9"/>
    <n v="2"/>
    <n v="88.024300000000011"/>
    <x v="4"/>
    <x v="0"/>
    <s v="Returning"/>
  </r>
  <r>
    <n v="2033"/>
    <n v="63"/>
    <s v="Male"/>
    <x v="1"/>
    <s v="Shirt"/>
    <n v="68.14"/>
    <x v="3"/>
    <s v="Card"/>
    <n v="5"/>
    <n v="19"/>
    <n v="7"/>
    <n v="55.193400000000004"/>
    <x v="2"/>
    <x v="0"/>
    <s v="Returning"/>
  </r>
  <r>
    <n v="2034"/>
    <n v="66"/>
    <s v="Female"/>
    <x v="7"/>
    <s v="Sandals"/>
    <n v="54.49"/>
    <x v="0"/>
    <s v="Card"/>
    <n v="4.8"/>
    <n v="4"/>
    <n v="2"/>
    <n v="52.310400000000001"/>
    <x v="2"/>
    <x v="0"/>
    <s v="Returning"/>
  </r>
  <r>
    <n v="2035"/>
    <n v="70"/>
    <s v="Male"/>
    <x v="5"/>
    <s v="Laptop"/>
    <n v="896.45"/>
    <x v="3"/>
    <s v="Card"/>
    <n v="4.4000000000000004"/>
    <n v="15"/>
    <n v="5"/>
    <n v="761.98250000000007"/>
    <x v="2"/>
    <x v="0"/>
    <s v="Returning"/>
  </r>
  <r>
    <n v="2036"/>
    <n v="60"/>
    <s v="Female"/>
    <x v="0"/>
    <s v="Wallet"/>
    <n v="129.05000000000001"/>
    <x v="3"/>
    <s v="Card"/>
    <n v="2.5"/>
    <n v="12"/>
    <n v="6"/>
    <n v="113.56400000000001"/>
    <x v="0"/>
    <x v="0"/>
    <s v="Returning"/>
  </r>
  <r>
    <n v="2037"/>
    <n v="57"/>
    <s v="Male"/>
    <x v="4"/>
    <s v="Cooking Oil"/>
    <n v="74.010000000000005"/>
    <x v="1"/>
    <s v="Card"/>
    <n v="2.7"/>
    <n v="20"/>
    <n v="5"/>
    <n v="59.208000000000006"/>
    <x v="0"/>
    <x v="0"/>
    <s v="Returning"/>
  </r>
  <r>
    <n v="2038"/>
    <n v="47"/>
    <s v="Female"/>
    <x v="4"/>
    <s v="Cooking Oil"/>
    <n v="28.94"/>
    <x v="2"/>
    <s v="Card"/>
    <n v="4.2"/>
    <n v="10"/>
    <n v="5"/>
    <n v="26.046000000000003"/>
    <x v="0"/>
    <x v="0"/>
    <s v="Returning"/>
  </r>
  <r>
    <n v="2039"/>
    <n v="60"/>
    <s v="Male"/>
    <x v="1"/>
    <s v="Jeans"/>
    <n v="97.47"/>
    <x v="2"/>
    <s v="Cash on Delivery"/>
    <n v="4.4000000000000004"/>
    <n v="9"/>
    <n v="2"/>
    <n v="88.697699999999998"/>
    <x v="0"/>
    <x v="0"/>
    <s v="Returning"/>
  </r>
  <r>
    <n v="2040"/>
    <n v="59"/>
    <s v="Female"/>
    <x v="7"/>
    <s v="Sneakers"/>
    <n v="145.79"/>
    <x v="3"/>
    <s v="Card"/>
    <n v="4"/>
    <n v="17"/>
    <n v="6"/>
    <n v="121.00569999999999"/>
    <x v="0"/>
    <x v="0"/>
    <s v="Returning"/>
  </r>
  <r>
    <n v="2041"/>
    <n v="54"/>
    <s v="Female"/>
    <x v="3"/>
    <s v="Lamp"/>
    <n v="39.020000000000003"/>
    <x v="0"/>
    <s v="Card"/>
    <n v="3.5"/>
    <n v="17"/>
    <n v="6"/>
    <n v="32.386600000000001"/>
    <x v="0"/>
    <x v="0"/>
    <s v="Returning"/>
  </r>
  <r>
    <n v="2042"/>
    <n v="49"/>
    <s v="Male"/>
    <x v="2"/>
    <s v="Yoga Mat"/>
    <n v="186.01"/>
    <x v="2"/>
    <s v="Card"/>
    <n v="4.3"/>
    <n v="18"/>
    <n v="4"/>
    <n v="152.5282"/>
    <x v="0"/>
    <x v="0"/>
    <s v="Returning"/>
  </r>
  <r>
    <n v="2043"/>
    <n v="67"/>
    <s v="Male"/>
    <x v="7"/>
    <s v="Sneakers"/>
    <n v="58.17"/>
    <x v="3"/>
    <s v="Card"/>
    <n v="4.9000000000000004"/>
    <n v="15"/>
    <n v="5"/>
    <n v="49.444499999999998"/>
    <x v="2"/>
    <x v="0"/>
    <s v="Returning"/>
  </r>
  <r>
    <n v="2044"/>
    <n v="69"/>
    <s v="Male"/>
    <x v="7"/>
    <s v="Sneakers"/>
    <n v="173.95"/>
    <x v="3"/>
    <s v="Card"/>
    <n v="3.6"/>
    <n v="21"/>
    <n v="8"/>
    <n v="137.4205"/>
    <x v="2"/>
    <x v="0"/>
    <s v="Returning"/>
  </r>
  <r>
    <n v="2045"/>
    <n v="48"/>
    <s v="Male"/>
    <x v="7"/>
    <s v="Sandals"/>
    <n v="249.92"/>
    <x v="0"/>
    <s v="Card"/>
    <n v="4.5"/>
    <n v="9"/>
    <n v="2"/>
    <n v="227.4272"/>
    <x v="0"/>
    <x v="0"/>
    <s v="Returning"/>
  </r>
  <r>
    <n v="2046"/>
    <n v="21"/>
    <s v="Male"/>
    <x v="7"/>
    <s v="Sneakers"/>
    <n v="96.58"/>
    <x v="0"/>
    <s v="Card"/>
    <n v="2.2000000000000002"/>
    <n v="6"/>
    <n v="3"/>
    <n v="90.785199999999989"/>
    <x v="3"/>
    <x v="0"/>
    <s v="Returning"/>
  </r>
  <r>
    <n v="2047"/>
    <n v="33"/>
    <s v="Male"/>
    <x v="2"/>
    <s v="Football"/>
    <n v="80.86"/>
    <x v="2"/>
    <s v="Card"/>
    <n v="4.5"/>
    <n v="8"/>
    <n v="4"/>
    <n v="74.391199999999998"/>
    <x v="4"/>
    <x v="0"/>
    <s v="Returning"/>
  </r>
  <r>
    <n v="2048"/>
    <n v="37"/>
    <s v="Male"/>
    <x v="1"/>
    <s v="Shirt"/>
    <n v="50.27"/>
    <x v="3"/>
    <s v="Card"/>
    <n v="3"/>
    <n v="10"/>
    <n v="5"/>
    <n v="45.243000000000002"/>
    <x v="1"/>
    <x v="0"/>
    <s v="Returning"/>
  </r>
  <r>
    <n v="2049"/>
    <n v="24"/>
    <s v="Female"/>
    <x v="6"/>
    <s v="Makeup Set"/>
    <n v="34.42"/>
    <x v="0"/>
    <s v="Cash on Delivery"/>
    <n v="4.5"/>
    <n v="17"/>
    <n v="6"/>
    <n v="28.5686"/>
    <x v="3"/>
    <x v="0"/>
    <s v="Returning"/>
  </r>
  <r>
    <n v="2050"/>
    <n v="34"/>
    <s v="Female"/>
    <x v="6"/>
    <s v="Makeup Set"/>
    <n v="49.63"/>
    <x v="3"/>
    <s v="Card"/>
    <n v="3.7"/>
    <n v="19"/>
    <n v="7"/>
    <n v="40.200300000000006"/>
    <x v="4"/>
    <x v="0"/>
    <s v="Returning"/>
  </r>
  <r>
    <n v="2051"/>
    <n v="25"/>
    <s v="Female"/>
    <x v="3"/>
    <s v="Curtains"/>
    <n v="219.43"/>
    <x v="1"/>
    <s v="Card"/>
    <n v="2.9"/>
    <n v="20"/>
    <n v="5"/>
    <n v="175.54400000000001"/>
    <x v="3"/>
    <x v="0"/>
    <s v="Returning"/>
  </r>
  <r>
    <n v="2052"/>
    <n v="69"/>
    <s v="Male"/>
    <x v="7"/>
    <s v="Sneakers"/>
    <n v="145.47999999999999"/>
    <x v="0"/>
    <s v="Card"/>
    <n v="3.7"/>
    <n v="13"/>
    <n v="4"/>
    <n v="126.56759999999998"/>
    <x v="2"/>
    <x v="0"/>
    <s v="Returning"/>
  </r>
  <r>
    <n v="2053"/>
    <n v="64"/>
    <s v="Female"/>
    <x v="7"/>
    <s v="Sandals"/>
    <n v="194.52"/>
    <x v="3"/>
    <s v="Card"/>
    <n v="4.0999999999999996"/>
    <n v="8"/>
    <n v="4"/>
    <n v="178.95840000000001"/>
    <x v="2"/>
    <x v="0"/>
    <s v="Returning"/>
  </r>
  <r>
    <n v="2054"/>
    <n v="65"/>
    <s v="Male"/>
    <x v="7"/>
    <s v="Sneakers"/>
    <n v="230.37"/>
    <x v="1"/>
    <s v="Card"/>
    <n v="2.6"/>
    <n v="9"/>
    <n v="2"/>
    <n v="209.63670000000002"/>
    <x v="2"/>
    <x v="0"/>
    <s v="Returning"/>
  </r>
  <r>
    <n v="2055"/>
    <n v="45"/>
    <s v="Male"/>
    <x v="7"/>
    <s v="Sandals"/>
    <n v="60.13"/>
    <x v="1"/>
    <s v="Card"/>
    <n v="2.8"/>
    <n v="19"/>
    <n v="7"/>
    <n v="48.705300000000008"/>
    <x v="1"/>
    <x v="0"/>
    <s v="Returning"/>
  </r>
  <r>
    <n v="2056"/>
    <n v="64"/>
    <s v="Male"/>
    <x v="2"/>
    <s v="Dumbbells"/>
    <n v="34.24"/>
    <x v="2"/>
    <s v="Card"/>
    <n v="4"/>
    <n v="16"/>
    <n v="8"/>
    <n v="28.761600000000001"/>
    <x v="2"/>
    <x v="0"/>
    <s v="Returning"/>
  </r>
  <r>
    <n v="2057"/>
    <n v="60"/>
    <s v="Male"/>
    <x v="1"/>
    <s v="Jacket"/>
    <n v="167.44"/>
    <x v="2"/>
    <s v="Card"/>
    <n v="3.9"/>
    <n v="18"/>
    <n v="4"/>
    <n v="137.30080000000001"/>
    <x v="0"/>
    <x v="0"/>
    <s v="Returning"/>
  </r>
  <r>
    <n v="2058"/>
    <n v="24"/>
    <s v="Female"/>
    <x v="6"/>
    <s v="Makeup Set"/>
    <n v="115.74"/>
    <x v="1"/>
    <s v="Card"/>
    <n v="3.2"/>
    <n v="14"/>
    <n v="2"/>
    <n v="99.5364"/>
    <x v="3"/>
    <x v="0"/>
    <s v="Returning"/>
  </r>
  <r>
    <n v="2059"/>
    <n v="54"/>
    <s v="Female"/>
    <x v="7"/>
    <s v="Sandals"/>
    <n v="62.32"/>
    <x v="3"/>
    <s v="Cash on Delivery"/>
    <n v="3.2"/>
    <n v="18"/>
    <n v="4"/>
    <n v="51.102400000000003"/>
    <x v="0"/>
    <x v="0"/>
    <s v="Returning"/>
  </r>
  <r>
    <n v="2060"/>
    <n v="22"/>
    <s v="Female"/>
    <x v="4"/>
    <s v="Cooking Oil"/>
    <n v="63.29"/>
    <x v="1"/>
    <s v="Card"/>
    <n v="4.3"/>
    <n v="13"/>
    <n v="4"/>
    <n v="55.0623"/>
    <x v="3"/>
    <x v="0"/>
    <s v="Returning"/>
  </r>
  <r>
    <n v="2061"/>
    <n v="34"/>
    <s v="Female"/>
    <x v="0"/>
    <s v="Wallet"/>
    <n v="32.61"/>
    <x v="3"/>
    <s v="Cash on Delivery"/>
    <n v="3.4"/>
    <n v="22"/>
    <n v="6"/>
    <n v="25.4358"/>
    <x v="4"/>
    <x v="0"/>
    <s v="Returning"/>
  </r>
  <r>
    <n v="2062"/>
    <n v="51"/>
    <s v="Female"/>
    <x v="3"/>
    <s v="Lamp"/>
    <n v="108.64"/>
    <x v="1"/>
    <s v="Card"/>
    <n v="2.8"/>
    <n v="12"/>
    <n v="6"/>
    <n v="95.603200000000001"/>
    <x v="0"/>
    <x v="0"/>
    <s v="Returning"/>
  </r>
  <r>
    <n v="2063"/>
    <n v="36"/>
    <s v="Male"/>
    <x v="1"/>
    <s v="T-Shirt"/>
    <n v="193.29"/>
    <x v="3"/>
    <s v="Card"/>
    <n v="3.3"/>
    <n v="20"/>
    <n v="5"/>
    <n v="154.63200000000001"/>
    <x v="1"/>
    <x v="0"/>
    <s v="Returning"/>
  </r>
  <r>
    <n v="2064"/>
    <n v="45"/>
    <s v="Male"/>
    <x v="1"/>
    <s v="Jacket"/>
    <n v="58.73"/>
    <x v="3"/>
    <s v="Cash on Delivery"/>
    <n v="3.9"/>
    <n v="14"/>
    <n v="7"/>
    <n v="50.507799999999996"/>
    <x v="1"/>
    <x v="0"/>
    <s v="Returning"/>
  </r>
  <r>
    <n v="2065"/>
    <n v="55"/>
    <s v="Female"/>
    <x v="7"/>
    <s v="Formal Shoes"/>
    <n v="178.52"/>
    <x v="0"/>
    <s v="Card"/>
    <n v="3.8"/>
    <n v="11"/>
    <n v="3"/>
    <n v="158.8828"/>
    <x v="0"/>
    <x v="0"/>
    <s v="Returning"/>
  </r>
  <r>
    <n v="2066"/>
    <n v="29"/>
    <s v="Male"/>
    <x v="5"/>
    <s v="Smart Watch"/>
    <n v="636.49"/>
    <x v="3"/>
    <s v="Card"/>
    <n v="3.7"/>
    <n v="12"/>
    <n v="6"/>
    <n v="560.11120000000005"/>
    <x v="4"/>
    <x v="0"/>
    <s v="Returning"/>
  </r>
  <r>
    <n v="2067"/>
    <n v="46"/>
    <s v="Female"/>
    <x v="6"/>
    <s v="Skincare Kit"/>
    <n v="86.93"/>
    <x v="1"/>
    <s v="Cash on Delivery"/>
    <n v="2.6"/>
    <n v="13"/>
    <n v="4"/>
    <n v="75.629100000000008"/>
    <x v="0"/>
    <x v="0"/>
    <s v="Returning"/>
  </r>
  <r>
    <n v="2068"/>
    <n v="63"/>
    <s v="Male"/>
    <x v="1"/>
    <s v="Jeans"/>
    <n v="101.13"/>
    <x v="2"/>
    <s v="Card"/>
    <n v="3.7"/>
    <n v="24"/>
    <n v="7"/>
    <n v="76.858800000000002"/>
    <x v="2"/>
    <x v="0"/>
    <s v="Returning"/>
  </r>
  <r>
    <n v="2069"/>
    <n v="42"/>
    <s v="Male"/>
    <x v="3"/>
    <s v="Kitchen Set"/>
    <n v="143.76"/>
    <x v="3"/>
    <s v="Card"/>
    <n v="3.8"/>
    <n v="14"/>
    <n v="7"/>
    <n v="123.63359999999999"/>
    <x v="1"/>
    <x v="0"/>
    <s v="Returning"/>
  </r>
  <r>
    <n v="2070"/>
    <n v="42"/>
    <s v="Male"/>
    <x v="3"/>
    <s v="Kitchen Set"/>
    <n v="204.7"/>
    <x v="1"/>
    <s v="Card"/>
    <n v="4.2"/>
    <n v="20"/>
    <n v="5"/>
    <n v="163.76"/>
    <x v="1"/>
    <x v="0"/>
    <s v="Returning"/>
  </r>
  <r>
    <n v="2071"/>
    <n v="54"/>
    <s v="Female"/>
    <x v="6"/>
    <s v="Skincare Kit"/>
    <n v="78.61"/>
    <x v="1"/>
    <s v="Card"/>
    <n v="4.5999999999999996"/>
    <n v="13"/>
    <n v="4"/>
    <n v="68.390699999999995"/>
    <x v="0"/>
    <x v="0"/>
    <s v="Returning"/>
  </r>
  <r>
    <n v="2072"/>
    <n v="43"/>
    <s v="Male"/>
    <x v="5"/>
    <s v="Mobile Phone"/>
    <n v="2249.9499999999998"/>
    <x v="1"/>
    <s v="Card"/>
    <n v="3.8"/>
    <n v="14"/>
    <n v="2"/>
    <n v="1934.9569999999999"/>
    <x v="1"/>
    <x v="0"/>
    <s v="Returning"/>
  </r>
  <r>
    <n v="2073"/>
    <n v="47"/>
    <s v="Male"/>
    <x v="3"/>
    <s v="Lamp"/>
    <n v="129.09"/>
    <x v="3"/>
    <s v="Card"/>
    <n v="4"/>
    <n v="19"/>
    <n v="7"/>
    <n v="104.56290000000001"/>
    <x v="0"/>
    <x v="0"/>
    <s v="Returning"/>
  </r>
  <r>
    <n v="2074"/>
    <n v="36"/>
    <s v="Male"/>
    <x v="5"/>
    <s v="Headphones"/>
    <n v="2297.54"/>
    <x v="0"/>
    <s v="Card"/>
    <n v="3.2"/>
    <n v="4"/>
    <n v="2"/>
    <n v="2205.6383999999998"/>
    <x v="1"/>
    <x v="0"/>
    <s v="Returning"/>
  </r>
  <r>
    <n v="2075"/>
    <n v="23"/>
    <s v="Female"/>
    <x v="3"/>
    <s v="Curtains"/>
    <n v="219.81"/>
    <x v="1"/>
    <s v="Card"/>
    <n v="3.7"/>
    <n v="11"/>
    <n v="3"/>
    <n v="195.6309"/>
    <x v="3"/>
    <x v="0"/>
    <s v="Returning"/>
  </r>
  <r>
    <n v="2076"/>
    <n v="40"/>
    <s v="Female"/>
    <x v="2"/>
    <s v="Dumbbells"/>
    <n v="211.71"/>
    <x v="1"/>
    <s v="Card"/>
    <n v="2.5"/>
    <n v="17"/>
    <n v="6"/>
    <n v="175.7193"/>
    <x v="1"/>
    <x v="0"/>
    <s v="Returning"/>
  </r>
  <r>
    <n v="2077"/>
    <n v="62"/>
    <s v="Female"/>
    <x v="4"/>
    <s v="Snacks"/>
    <n v="65.47"/>
    <x v="2"/>
    <s v="Card"/>
    <n v="4.8"/>
    <n v="14"/>
    <n v="2"/>
    <n v="56.304200000000002"/>
    <x v="2"/>
    <x v="0"/>
    <s v="Returning"/>
  </r>
  <r>
    <n v="2078"/>
    <n v="21"/>
    <s v="Male"/>
    <x v="5"/>
    <s v="Mobile Phone"/>
    <n v="854.78"/>
    <x v="2"/>
    <s v="Card"/>
    <n v="2.2999999999999998"/>
    <n v="13"/>
    <n v="4"/>
    <n v="743.65859999999998"/>
    <x v="3"/>
    <x v="0"/>
    <s v="Returning"/>
  </r>
  <r>
    <n v="2079"/>
    <n v="60"/>
    <s v="Female"/>
    <x v="0"/>
    <s v="Handbag"/>
    <n v="177.57"/>
    <x v="1"/>
    <s v="Card"/>
    <n v="5"/>
    <n v="32"/>
    <n v="11"/>
    <n v="120.74759999999999"/>
    <x v="0"/>
    <x v="0"/>
    <s v="Returning"/>
  </r>
  <r>
    <n v="2080"/>
    <n v="45"/>
    <s v="Female"/>
    <x v="0"/>
    <s v="Wallet"/>
    <n v="145.21"/>
    <x v="0"/>
    <s v="Card"/>
    <n v="3.1"/>
    <n v="17"/>
    <n v="6"/>
    <n v="120.5243"/>
    <x v="1"/>
    <x v="0"/>
    <s v="Returning"/>
  </r>
  <r>
    <n v="2081"/>
    <n v="30"/>
    <s v="Male"/>
    <x v="7"/>
    <s v="Formal Shoes"/>
    <n v="162.9"/>
    <x v="1"/>
    <s v="Card"/>
    <n v="3.7"/>
    <n v="10"/>
    <n v="5"/>
    <n v="146.61000000000001"/>
    <x v="4"/>
    <x v="0"/>
    <s v="Returning"/>
  </r>
  <r>
    <n v="2082"/>
    <n v="31"/>
    <s v="Male"/>
    <x v="7"/>
    <s v="Sandals"/>
    <n v="89.34"/>
    <x v="1"/>
    <s v="Cash on Delivery"/>
    <n v="3"/>
    <n v="6"/>
    <n v="3"/>
    <n v="83.979600000000005"/>
    <x v="4"/>
    <x v="0"/>
    <s v="Returning"/>
  </r>
  <r>
    <n v="2083"/>
    <n v="37"/>
    <s v="Female"/>
    <x v="6"/>
    <s v="Skincare Kit"/>
    <n v="138.25"/>
    <x v="2"/>
    <s v="Card"/>
    <n v="4.5999999999999996"/>
    <n v="6"/>
    <n v="3"/>
    <n v="129.95499999999998"/>
    <x v="1"/>
    <x v="0"/>
    <s v="Returning"/>
  </r>
  <r>
    <n v="2084"/>
    <n v="62"/>
    <s v="Male"/>
    <x v="2"/>
    <s v="Yoga Mat"/>
    <n v="99.57"/>
    <x v="1"/>
    <s v="Card"/>
    <n v="4.8"/>
    <n v="27"/>
    <n v="11"/>
    <n v="72.686099999999996"/>
    <x v="2"/>
    <x v="0"/>
    <s v="Returning"/>
  </r>
  <r>
    <n v="2085"/>
    <n v="56"/>
    <s v="Female"/>
    <x v="0"/>
    <s v="Sunglasses"/>
    <n v="63.46"/>
    <x v="3"/>
    <s v="Cash on Delivery"/>
    <n v="3.5"/>
    <n v="13"/>
    <n v="4"/>
    <n v="55.2102"/>
    <x v="0"/>
    <x v="0"/>
    <s v="Returning"/>
  </r>
  <r>
    <n v="2086"/>
    <n v="21"/>
    <s v="Male"/>
    <x v="2"/>
    <s v="Football"/>
    <n v="245.31"/>
    <x v="0"/>
    <s v="Card"/>
    <n v="4.7"/>
    <n v="15"/>
    <n v="5"/>
    <n v="208.51349999999999"/>
    <x v="3"/>
    <x v="0"/>
    <s v="Returning"/>
  </r>
  <r>
    <n v="2087"/>
    <n v="39"/>
    <s v="Female"/>
    <x v="3"/>
    <s v="Kitchen Set"/>
    <n v="214"/>
    <x v="1"/>
    <s v="Card"/>
    <n v="4"/>
    <n v="24"/>
    <n v="7"/>
    <n v="162.64000000000001"/>
    <x v="1"/>
    <x v="0"/>
    <s v="Returning"/>
  </r>
  <r>
    <n v="2088"/>
    <n v="39"/>
    <s v="Female"/>
    <x v="4"/>
    <s v="Rice Pack"/>
    <n v="16.440000000000001"/>
    <x v="0"/>
    <s v="Card"/>
    <n v="4.7"/>
    <n v="14"/>
    <n v="7"/>
    <n v="14.138400000000001"/>
    <x v="1"/>
    <x v="0"/>
    <s v="Returning"/>
  </r>
  <r>
    <n v="2089"/>
    <n v="37"/>
    <s v="Female"/>
    <x v="8"/>
    <s v="Top"/>
    <n v="141.18"/>
    <x v="1"/>
    <s v="Card"/>
    <n v="3.9"/>
    <n v="20"/>
    <n v="5"/>
    <n v="112.94400000000002"/>
    <x v="1"/>
    <x v="0"/>
    <s v="Returning"/>
  </r>
  <r>
    <n v="2090"/>
    <n v="45"/>
    <s v="Male"/>
    <x v="7"/>
    <s v="Sneakers"/>
    <n v="178.77"/>
    <x v="3"/>
    <s v="Card"/>
    <n v="4.2"/>
    <n v="12"/>
    <n v="1"/>
    <n v="157.3176"/>
    <x v="1"/>
    <x v="0"/>
    <s v="Returning"/>
  </r>
  <r>
    <n v="2091"/>
    <n v="30"/>
    <s v="Male"/>
    <x v="7"/>
    <s v="Sandals"/>
    <n v="109.01"/>
    <x v="3"/>
    <s v="Card"/>
    <n v="2.5"/>
    <n v="20"/>
    <n v="5"/>
    <n v="87.208000000000013"/>
    <x v="4"/>
    <x v="0"/>
    <s v="Returning"/>
  </r>
  <r>
    <n v="2092"/>
    <n v="28"/>
    <s v="Female"/>
    <x v="0"/>
    <s v="Wallet"/>
    <n v="167.86"/>
    <x v="1"/>
    <s v="Card"/>
    <n v="4.0999999999999996"/>
    <n v="12"/>
    <n v="6"/>
    <n v="147.71680000000001"/>
    <x v="4"/>
    <x v="0"/>
    <s v="Returning"/>
  </r>
  <r>
    <n v="2093"/>
    <n v="49"/>
    <s v="Female"/>
    <x v="6"/>
    <s v="Skincare Kit"/>
    <n v="115.21"/>
    <x v="0"/>
    <s v="Card"/>
    <n v="3.4"/>
    <n v="9"/>
    <n v="2"/>
    <n v="104.8411"/>
    <x v="0"/>
    <x v="0"/>
    <s v="Returning"/>
  </r>
  <r>
    <n v="2094"/>
    <n v="61"/>
    <s v="Female"/>
    <x v="7"/>
    <s v="Sandals"/>
    <n v="54"/>
    <x v="3"/>
    <s v="Card"/>
    <n v="2"/>
    <n v="13"/>
    <n v="4"/>
    <n v="46.98"/>
    <x v="2"/>
    <x v="0"/>
    <s v="Returning"/>
  </r>
  <r>
    <n v="2095"/>
    <n v="46"/>
    <s v="Male"/>
    <x v="5"/>
    <s v="Laptop"/>
    <n v="2492.66"/>
    <x v="3"/>
    <s v="Card"/>
    <n v="3.3"/>
    <n v="12"/>
    <n v="6"/>
    <n v="2193.5407999999998"/>
    <x v="0"/>
    <x v="0"/>
    <s v="Returning"/>
  </r>
  <r>
    <n v="2096"/>
    <n v="64"/>
    <s v="Female"/>
    <x v="6"/>
    <s v="Skincare Kit"/>
    <n v="124.33"/>
    <x v="1"/>
    <s v="Card"/>
    <n v="4"/>
    <n v="18"/>
    <n v="4"/>
    <n v="101.95060000000001"/>
    <x v="2"/>
    <x v="0"/>
    <s v="Returning"/>
  </r>
  <r>
    <n v="2097"/>
    <n v="69"/>
    <s v="Female"/>
    <x v="2"/>
    <s v="Dumbbells"/>
    <n v="238.61"/>
    <x v="3"/>
    <s v="Card"/>
    <n v="5"/>
    <n v="18"/>
    <n v="4"/>
    <n v="195.66020000000003"/>
    <x v="2"/>
    <x v="0"/>
    <s v="Returning"/>
  </r>
  <r>
    <n v="2098"/>
    <n v="64"/>
    <s v="Male"/>
    <x v="7"/>
    <s v="Sandals"/>
    <n v="93.33"/>
    <x v="0"/>
    <s v="Cash on Delivery"/>
    <n v="3.7"/>
    <n v="14"/>
    <n v="2"/>
    <n v="80.263800000000003"/>
    <x v="2"/>
    <x v="0"/>
    <s v="Returning"/>
  </r>
  <r>
    <n v="2099"/>
    <n v="54"/>
    <s v="Male"/>
    <x v="4"/>
    <s v="Rice Pack"/>
    <n v="63.11"/>
    <x v="0"/>
    <s v="Cash on Delivery"/>
    <n v="5"/>
    <n v="24"/>
    <n v="7"/>
    <n v="47.9636"/>
    <x v="0"/>
    <x v="0"/>
    <s v="Returning"/>
  </r>
  <r>
    <n v="2100"/>
    <n v="35"/>
    <s v="Male"/>
    <x v="1"/>
    <s v="Shirt"/>
    <n v="187.27"/>
    <x v="3"/>
    <s v="Card"/>
    <n v="4.4000000000000004"/>
    <n v="20"/>
    <n v="5"/>
    <n v="149.816"/>
    <x v="4"/>
    <x v="0"/>
    <s v="Returning"/>
  </r>
  <r>
    <n v="2101"/>
    <n v="62"/>
    <s v="Female"/>
    <x v="7"/>
    <s v="Sandals"/>
    <n v="106.67"/>
    <x v="1"/>
    <s v="Card"/>
    <n v="3.3"/>
    <n v="16"/>
    <n v="8"/>
    <n v="89.602800000000002"/>
    <x v="2"/>
    <x v="0"/>
    <s v="Returning"/>
  </r>
  <r>
    <n v="2102"/>
    <n v="63"/>
    <s v="Male"/>
    <x v="1"/>
    <s v="T-Shirt"/>
    <n v="52.94"/>
    <x v="1"/>
    <s v="Card"/>
    <n v="4.3"/>
    <n v="15"/>
    <n v="5"/>
    <n v="44.998999999999995"/>
    <x v="2"/>
    <x v="0"/>
    <s v="Returning"/>
  </r>
  <r>
    <n v="2103"/>
    <n v="56"/>
    <s v="Male"/>
    <x v="1"/>
    <s v="T-Shirt"/>
    <n v="124.47"/>
    <x v="0"/>
    <s v="Card"/>
    <n v="3.6"/>
    <n v="12"/>
    <n v="6"/>
    <n v="109.53359999999999"/>
    <x v="0"/>
    <x v="0"/>
    <s v="Returning"/>
  </r>
  <r>
    <n v="2104"/>
    <n v="36"/>
    <s v="Female"/>
    <x v="8"/>
    <s v="Dress"/>
    <n v="165.8"/>
    <x v="1"/>
    <s v="Card"/>
    <n v="3.5"/>
    <n v="22"/>
    <n v="6"/>
    <n v="129.32400000000001"/>
    <x v="1"/>
    <x v="0"/>
    <s v="Returning"/>
  </r>
  <r>
    <n v="2105"/>
    <n v="30"/>
    <s v="Female"/>
    <x v="0"/>
    <s v="Handbag"/>
    <n v="103.79"/>
    <x v="0"/>
    <s v="Card"/>
    <n v="3.3"/>
    <n v="14"/>
    <n v="7"/>
    <n v="89.259399999999999"/>
    <x v="4"/>
    <x v="0"/>
    <s v="Returning"/>
  </r>
  <r>
    <n v="2106"/>
    <n v="20"/>
    <s v="Male"/>
    <x v="5"/>
    <s v="Laptop"/>
    <n v="647.02"/>
    <x v="1"/>
    <s v="Card"/>
    <n v="3.5"/>
    <n v="10"/>
    <n v="5"/>
    <n v="582.31799999999998"/>
    <x v="3"/>
    <x v="0"/>
    <s v="Returning"/>
  </r>
  <r>
    <n v="2107"/>
    <n v="57"/>
    <s v="Male"/>
    <x v="2"/>
    <s v="Dumbbells"/>
    <n v="70.3"/>
    <x v="1"/>
    <s v="Cash on Delivery"/>
    <n v="3.9"/>
    <n v="17"/>
    <n v="6"/>
    <n v="58.348999999999997"/>
    <x v="0"/>
    <x v="0"/>
    <s v="Returning"/>
  </r>
  <r>
    <n v="2108"/>
    <n v="38"/>
    <s v="Male"/>
    <x v="5"/>
    <s v="Laptop"/>
    <n v="1795.05"/>
    <x v="2"/>
    <s v="Card"/>
    <n v="3.6"/>
    <n v="18"/>
    <n v="4"/>
    <n v="1471.941"/>
    <x v="1"/>
    <x v="0"/>
    <s v="Returning"/>
  </r>
  <r>
    <n v="2109"/>
    <n v="64"/>
    <s v="Female"/>
    <x v="7"/>
    <s v="Formal Shoes"/>
    <n v="247.74"/>
    <x v="1"/>
    <s v="Card"/>
    <n v="3.6"/>
    <n v="19"/>
    <n v="7"/>
    <n v="200.66940000000002"/>
    <x v="2"/>
    <x v="0"/>
    <s v="Returning"/>
  </r>
  <r>
    <n v="2110"/>
    <n v="54"/>
    <s v="Female"/>
    <x v="0"/>
    <s v="Wallet"/>
    <n v="161.25"/>
    <x v="3"/>
    <s v="Card"/>
    <n v="3.8"/>
    <n v="15"/>
    <n v="5"/>
    <n v="137.0625"/>
    <x v="0"/>
    <x v="0"/>
    <s v="Returning"/>
  </r>
  <r>
    <n v="2111"/>
    <n v="70"/>
    <s v="Female"/>
    <x v="6"/>
    <s v="Skincare Kit"/>
    <n v="75.11"/>
    <x v="3"/>
    <s v="Cash on Delivery"/>
    <n v="4.2"/>
    <n v="16"/>
    <n v="3"/>
    <n v="63.092399999999998"/>
    <x v="2"/>
    <x v="0"/>
    <s v="Returning"/>
  </r>
  <r>
    <n v="2112"/>
    <n v="28"/>
    <s v="Male"/>
    <x v="1"/>
    <s v="Shirt"/>
    <n v="47.83"/>
    <x v="2"/>
    <s v="Card"/>
    <n v="2.2000000000000002"/>
    <n v="16"/>
    <n v="3"/>
    <n v="40.177199999999999"/>
    <x v="4"/>
    <x v="0"/>
    <s v="Returning"/>
  </r>
  <r>
    <n v="2113"/>
    <n v="65"/>
    <s v="Male"/>
    <x v="3"/>
    <s v="Kitchen Set"/>
    <n v="214.25"/>
    <x v="0"/>
    <s v="Card"/>
    <n v="3.1"/>
    <n v="9"/>
    <n v="2"/>
    <n v="194.9675"/>
    <x v="2"/>
    <x v="0"/>
    <s v="Returning"/>
  </r>
  <r>
    <n v="2114"/>
    <n v="42"/>
    <s v="Male"/>
    <x v="7"/>
    <s v="Formal Shoes"/>
    <n v="246.94"/>
    <x v="0"/>
    <s v="Card"/>
    <n v="2.5"/>
    <n v="9"/>
    <n v="2"/>
    <n v="224.71540000000002"/>
    <x v="1"/>
    <x v="0"/>
    <s v="Returning"/>
  </r>
  <r>
    <n v="2115"/>
    <n v="65"/>
    <s v="Female"/>
    <x v="8"/>
    <s v="Dress"/>
    <n v="32.9"/>
    <x v="2"/>
    <s v="Card"/>
    <n v="4.5999999999999996"/>
    <n v="16"/>
    <n v="3"/>
    <n v="27.635999999999999"/>
    <x v="2"/>
    <x v="0"/>
    <s v="Returning"/>
  </r>
  <r>
    <n v="2116"/>
    <n v="20"/>
    <s v="Male"/>
    <x v="4"/>
    <s v="Snacks"/>
    <n v="53.05"/>
    <x v="1"/>
    <s v="Card"/>
    <n v="4.8"/>
    <n v="28"/>
    <n v="9"/>
    <n v="38.195999999999998"/>
    <x v="3"/>
    <x v="0"/>
    <s v="Returning"/>
  </r>
  <r>
    <n v="2117"/>
    <n v="68"/>
    <s v="Male"/>
    <x v="1"/>
    <s v="Jacket"/>
    <n v="68.39"/>
    <x v="0"/>
    <s v="Cash on Delivery"/>
    <n v="4.0999999999999996"/>
    <n v="26"/>
    <n v="8"/>
    <n v="50.608600000000003"/>
    <x v="2"/>
    <x v="0"/>
    <s v="Returning"/>
  </r>
  <r>
    <n v="2118"/>
    <n v="49"/>
    <s v="Male"/>
    <x v="1"/>
    <s v="Shirt"/>
    <n v="153.15"/>
    <x v="2"/>
    <s v="Card"/>
    <n v="3.1"/>
    <n v="8"/>
    <n v="4"/>
    <n v="140.89800000000002"/>
    <x v="0"/>
    <x v="0"/>
    <s v="Returning"/>
  </r>
  <r>
    <n v="2119"/>
    <n v="63"/>
    <s v="Female"/>
    <x v="0"/>
    <s v="Handbag"/>
    <n v="50.16"/>
    <x v="2"/>
    <s v="Card"/>
    <n v="4.3"/>
    <n v="12"/>
    <n v="6"/>
    <n v="44.140799999999999"/>
    <x v="2"/>
    <x v="0"/>
    <s v="Returning"/>
  </r>
  <r>
    <n v="2120"/>
    <n v="30"/>
    <s v="Male"/>
    <x v="7"/>
    <s v="Sandals"/>
    <n v="103.58"/>
    <x v="1"/>
    <s v="Card"/>
    <n v="4.5"/>
    <n v="15"/>
    <n v="5"/>
    <n v="88.042999999999992"/>
    <x v="4"/>
    <x v="0"/>
    <s v="Returning"/>
  </r>
  <r>
    <n v="2121"/>
    <n v="65"/>
    <s v="Female"/>
    <x v="8"/>
    <s v="Top"/>
    <n v="159.66999999999999"/>
    <x v="0"/>
    <s v="Card"/>
    <n v="3.8"/>
    <n v="10"/>
    <n v="5"/>
    <n v="143.703"/>
    <x v="2"/>
    <x v="0"/>
    <s v="Returning"/>
  </r>
  <r>
    <n v="2122"/>
    <n v="22"/>
    <s v="Female"/>
    <x v="6"/>
    <s v="Skincare Kit"/>
    <n v="100.76"/>
    <x v="0"/>
    <s v="Card"/>
    <n v="5"/>
    <n v="19"/>
    <n v="7"/>
    <n v="81.615600000000015"/>
    <x v="3"/>
    <x v="0"/>
    <s v="Returning"/>
  </r>
  <r>
    <n v="2123"/>
    <n v="64"/>
    <s v="Male"/>
    <x v="2"/>
    <s v="Football"/>
    <n v="229.26"/>
    <x v="0"/>
    <s v="Card"/>
    <n v="4"/>
    <n v="22"/>
    <n v="6"/>
    <n v="178.8228"/>
    <x v="2"/>
    <x v="0"/>
    <s v="Returning"/>
  </r>
  <r>
    <n v="2124"/>
    <n v="20"/>
    <s v="Male"/>
    <x v="1"/>
    <s v="T-Shirt"/>
    <n v="121.19"/>
    <x v="1"/>
    <s v="Card"/>
    <n v="3.6"/>
    <n v="20"/>
    <n v="5"/>
    <n v="96.951999999999998"/>
    <x v="3"/>
    <x v="0"/>
    <s v="Returning"/>
  </r>
  <r>
    <n v="2125"/>
    <n v="36"/>
    <s v="Male"/>
    <x v="1"/>
    <s v="Jeans"/>
    <n v="172.85"/>
    <x v="2"/>
    <s v="Card"/>
    <n v="3.6"/>
    <n v="13"/>
    <n v="4"/>
    <n v="150.37950000000001"/>
    <x v="1"/>
    <x v="0"/>
    <s v="Returning"/>
  </r>
  <r>
    <n v="2126"/>
    <n v="37"/>
    <s v="Male"/>
    <x v="5"/>
    <s v="Smart Watch"/>
    <n v="2994.75"/>
    <x v="2"/>
    <s v="Card"/>
    <n v="3.4"/>
    <n v="12"/>
    <n v="6"/>
    <n v="2635.38"/>
    <x v="1"/>
    <x v="0"/>
    <s v="Returning"/>
  </r>
  <r>
    <n v="2127"/>
    <n v="24"/>
    <s v="Female"/>
    <x v="7"/>
    <s v="Sandals"/>
    <n v="169.29"/>
    <x v="1"/>
    <s v="Card"/>
    <n v="3.5"/>
    <n v="22"/>
    <n v="6"/>
    <n v="132.0462"/>
    <x v="3"/>
    <x v="0"/>
    <s v="Returning"/>
  </r>
  <r>
    <n v="2128"/>
    <n v="45"/>
    <s v="Female"/>
    <x v="0"/>
    <s v="Sunglasses"/>
    <n v="48"/>
    <x v="1"/>
    <s v="Card"/>
    <n v="3.6"/>
    <n v="16"/>
    <n v="8"/>
    <n v="40.32"/>
    <x v="1"/>
    <x v="0"/>
    <s v="Returning"/>
  </r>
  <r>
    <n v="2129"/>
    <n v="28"/>
    <s v="Male"/>
    <x v="2"/>
    <s v="Football"/>
    <n v="73.95"/>
    <x v="3"/>
    <s v="Card"/>
    <n v="3.8"/>
    <n v="7"/>
    <n v="1"/>
    <n v="68.773499999999999"/>
    <x v="4"/>
    <x v="0"/>
    <s v="Returning"/>
  </r>
  <r>
    <n v="2130"/>
    <n v="38"/>
    <s v="Male"/>
    <x v="4"/>
    <s v="Beverages"/>
    <n v="44.44"/>
    <x v="1"/>
    <s v="Cash on Delivery"/>
    <n v="4.9000000000000004"/>
    <n v="20"/>
    <n v="5"/>
    <n v="35.552"/>
    <x v="1"/>
    <x v="0"/>
    <s v="Returning"/>
  </r>
  <r>
    <n v="2131"/>
    <n v="42"/>
    <s v="Female"/>
    <x v="0"/>
    <s v="Wallet"/>
    <n v="162.6"/>
    <x v="1"/>
    <s v="Card"/>
    <n v="4.7"/>
    <n v="12"/>
    <n v="1"/>
    <n v="143.08799999999999"/>
    <x v="1"/>
    <x v="0"/>
    <s v="Returning"/>
  </r>
  <r>
    <n v="2132"/>
    <n v="36"/>
    <s v="Male"/>
    <x v="5"/>
    <s v="Headphones"/>
    <n v="1381.61"/>
    <x v="1"/>
    <s v="Card"/>
    <n v="4.8"/>
    <n v="13"/>
    <n v="4"/>
    <n v="1202.0006999999998"/>
    <x v="1"/>
    <x v="0"/>
    <s v="Returning"/>
  </r>
  <r>
    <n v="2133"/>
    <n v="37"/>
    <s v="Male"/>
    <x v="5"/>
    <s v="Headphones"/>
    <n v="2720.99"/>
    <x v="1"/>
    <s v="Card"/>
    <n v="3.1"/>
    <n v="20"/>
    <n v="5"/>
    <n v="2176.7919999999999"/>
    <x v="1"/>
    <x v="0"/>
    <s v="Returning"/>
  </r>
  <r>
    <n v="2134"/>
    <n v="24"/>
    <s v="Male"/>
    <x v="7"/>
    <s v="Sandals"/>
    <n v="53.39"/>
    <x v="1"/>
    <s v="Cash on Delivery"/>
    <n v="3.3"/>
    <n v="10"/>
    <n v="5"/>
    <n v="48.051000000000002"/>
    <x v="3"/>
    <x v="0"/>
    <s v="Returning"/>
  </r>
  <r>
    <n v="2135"/>
    <n v="42"/>
    <s v="Male"/>
    <x v="7"/>
    <s v="Sneakers"/>
    <n v="156.01"/>
    <x v="3"/>
    <s v="Card"/>
    <n v="3.9"/>
    <n v="8"/>
    <n v="4"/>
    <n v="143.5292"/>
    <x v="1"/>
    <x v="0"/>
    <s v="Returning"/>
  </r>
  <r>
    <n v="2136"/>
    <n v="23"/>
    <s v="Female"/>
    <x v="6"/>
    <s v="Perfume"/>
    <n v="107.23"/>
    <x v="2"/>
    <s v="Card"/>
    <n v="3.3"/>
    <n v="9"/>
    <n v="2"/>
    <n v="97.579300000000003"/>
    <x v="3"/>
    <x v="0"/>
    <s v="Returning"/>
  </r>
  <r>
    <n v="2137"/>
    <n v="31"/>
    <s v="Female"/>
    <x v="6"/>
    <s v="Perfume"/>
    <n v="72.150000000000006"/>
    <x v="0"/>
    <s v="Cash on Delivery"/>
    <n v="4.0999999999999996"/>
    <n v="16"/>
    <n v="3"/>
    <n v="60.606000000000002"/>
    <x v="4"/>
    <x v="0"/>
    <s v="Returning"/>
  </r>
  <r>
    <n v="2138"/>
    <n v="28"/>
    <s v="Female"/>
    <x v="7"/>
    <s v="Sneakers"/>
    <n v="235.98"/>
    <x v="2"/>
    <s v="Card"/>
    <n v="2.6"/>
    <n v="26"/>
    <n v="8"/>
    <n v="174.62519999999998"/>
    <x v="4"/>
    <x v="0"/>
    <s v="Returning"/>
  </r>
  <r>
    <n v="2139"/>
    <n v="65"/>
    <s v="Female"/>
    <x v="7"/>
    <s v="Sneakers"/>
    <n v="216.73"/>
    <x v="3"/>
    <s v="Card"/>
    <n v="5"/>
    <n v="16"/>
    <n v="3"/>
    <n v="182.05319999999998"/>
    <x v="2"/>
    <x v="0"/>
    <s v="Returning"/>
  </r>
  <r>
    <n v="2140"/>
    <n v="57"/>
    <s v="Male"/>
    <x v="1"/>
    <s v="Jacket"/>
    <n v="76.98"/>
    <x v="3"/>
    <s v="Card"/>
    <n v="3.9"/>
    <n v="24"/>
    <n v="7"/>
    <n v="58.504800000000003"/>
    <x v="0"/>
    <x v="0"/>
    <s v="Returning"/>
  </r>
  <r>
    <n v="2141"/>
    <n v="66"/>
    <s v="Female"/>
    <x v="8"/>
    <s v="Dress"/>
    <n v="104.42"/>
    <x v="1"/>
    <s v="Card"/>
    <n v="3.6"/>
    <n v="10"/>
    <n v="5"/>
    <n v="93.978000000000009"/>
    <x v="2"/>
    <x v="0"/>
    <s v="Returning"/>
  </r>
  <r>
    <n v="2142"/>
    <n v="30"/>
    <s v="Female"/>
    <x v="8"/>
    <s v="Jeans"/>
    <n v="190.44"/>
    <x v="2"/>
    <s v="Card"/>
    <n v="4"/>
    <n v="8"/>
    <n v="4"/>
    <n v="175.20480000000001"/>
    <x v="4"/>
    <x v="0"/>
    <s v="Returning"/>
  </r>
  <r>
    <n v="2143"/>
    <n v="52"/>
    <s v="Male"/>
    <x v="7"/>
    <s v="Sandals"/>
    <n v="140.52000000000001"/>
    <x v="1"/>
    <s v="Card"/>
    <n v="3.5"/>
    <n v="15"/>
    <n v="5"/>
    <n v="119.44200000000001"/>
    <x v="0"/>
    <x v="0"/>
    <s v="Returning"/>
  </r>
  <r>
    <n v="2144"/>
    <n v="59"/>
    <s v="Male"/>
    <x v="7"/>
    <s v="Sandals"/>
    <n v="109.11"/>
    <x v="2"/>
    <s v="Card"/>
    <n v="4.3"/>
    <n v="8"/>
    <n v="4"/>
    <n v="100.38120000000001"/>
    <x v="0"/>
    <x v="0"/>
    <s v="Returning"/>
  </r>
  <r>
    <n v="2145"/>
    <n v="46"/>
    <s v="Male"/>
    <x v="2"/>
    <s v="Football"/>
    <n v="179.23"/>
    <x v="1"/>
    <s v="Card"/>
    <n v="3.8"/>
    <n v="12"/>
    <n v="6"/>
    <n v="157.72239999999999"/>
    <x v="0"/>
    <x v="0"/>
    <s v="Returning"/>
  </r>
  <r>
    <n v="2146"/>
    <n v="40"/>
    <s v="Male"/>
    <x v="4"/>
    <s v="Cooking Oil"/>
    <n v="23.38"/>
    <x v="0"/>
    <s v="Cash on Delivery"/>
    <n v="2.9"/>
    <n v="12"/>
    <n v="6"/>
    <n v="20.574400000000001"/>
    <x v="1"/>
    <x v="0"/>
    <s v="Returning"/>
  </r>
  <r>
    <n v="2147"/>
    <n v="60"/>
    <s v="Female"/>
    <x v="2"/>
    <s v="Yoga Mat"/>
    <n v="243.83"/>
    <x v="0"/>
    <s v="Card"/>
    <n v="4"/>
    <n v="20"/>
    <n v="5"/>
    <n v="195.06400000000002"/>
    <x v="0"/>
    <x v="0"/>
    <s v="Returning"/>
  </r>
  <r>
    <n v="2148"/>
    <n v="57"/>
    <s v="Male"/>
    <x v="2"/>
    <s v="Yoga Mat"/>
    <n v="111.73"/>
    <x v="1"/>
    <s v="Card"/>
    <n v="5"/>
    <n v="26"/>
    <n v="8"/>
    <n v="82.680199999999999"/>
    <x v="0"/>
    <x v="0"/>
    <s v="Returning"/>
  </r>
  <r>
    <n v="2149"/>
    <n v="46"/>
    <s v="Male"/>
    <x v="1"/>
    <s v="T-Shirt"/>
    <n v="86.78"/>
    <x v="2"/>
    <s v="Card"/>
    <n v="4.4000000000000004"/>
    <n v="12"/>
    <n v="6"/>
    <n v="76.366399999999999"/>
    <x v="0"/>
    <x v="0"/>
    <s v="Returning"/>
  </r>
  <r>
    <n v="2150"/>
    <n v="66"/>
    <s v="Male"/>
    <x v="7"/>
    <s v="Formal Shoes"/>
    <n v="115.51"/>
    <x v="0"/>
    <s v="Card"/>
    <n v="3.8"/>
    <n v="8"/>
    <n v="4"/>
    <n v="106.26920000000001"/>
    <x v="2"/>
    <x v="0"/>
    <s v="Returning"/>
  </r>
  <r>
    <n v="2151"/>
    <n v="25"/>
    <s v="Male"/>
    <x v="5"/>
    <s v="Smart Watch"/>
    <n v="2459.81"/>
    <x v="2"/>
    <s v="Card"/>
    <n v="4.0999999999999996"/>
    <n v="6"/>
    <n v="3"/>
    <n v="2312.2213999999999"/>
    <x v="3"/>
    <x v="0"/>
    <s v="Returning"/>
  </r>
  <r>
    <n v="2152"/>
    <n v="43"/>
    <s v="Female"/>
    <x v="8"/>
    <s v="Skirt"/>
    <n v="89.23"/>
    <x v="3"/>
    <s v="Card"/>
    <n v="3.2"/>
    <n v="10"/>
    <n v="5"/>
    <n v="80.307000000000002"/>
    <x v="1"/>
    <x v="0"/>
    <s v="Returning"/>
  </r>
  <r>
    <n v="2153"/>
    <n v="48"/>
    <s v="Female"/>
    <x v="6"/>
    <s v="Makeup Set"/>
    <n v="108.66"/>
    <x v="1"/>
    <s v="Card"/>
    <n v="3.7"/>
    <n v="12"/>
    <n v="6"/>
    <n v="95.620800000000003"/>
    <x v="0"/>
    <x v="0"/>
    <s v="Returning"/>
  </r>
  <r>
    <n v="2154"/>
    <n v="32"/>
    <s v="Female"/>
    <x v="2"/>
    <s v="Dumbbells"/>
    <n v="156.96"/>
    <x v="0"/>
    <s v="Card"/>
    <n v="3.4"/>
    <n v="22"/>
    <n v="6"/>
    <n v="122.42880000000001"/>
    <x v="4"/>
    <x v="0"/>
    <s v="Returning"/>
  </r>
  <r>
    <n v="2155"/>
    <n v="51"/>
    <s v="Female"/>
    <x v="8"/>
    <s v="Top"/>
    <n v="162.77000000000001"/>
    <x v="2"/>
    <s v="Card"/>
    <n v="3.3"/>
    <n v="20"/>
    <n v="5"/>
    <n v="130.21600000000001"/>
    <x v="0"/>
    <x v="0"/>
    <s v="Returning"/>
  </r>
  <r>
    <n v="2156"/>
    <n v="24"/>
    <s v="Female"/>
    <x v="8"/>
    <s v="Dress"/>
    <n v="134.74"/>
    <x v="3"/>
    <s v="Card"/>
    <n v="4.4000000000000004"/>
    <n v="12"/>
    <n v="6"/>
    <n v="118.5712"/>
    <x v="3"/>
    <x v="0"/>
    <s v="Returning"/>
  </r>
  <r>
    <n v="2157"/>
    <n v="25"/>
    <s v="Female"/>
    <x v="8"/>
    <s v="Skirt"/>
    <n v="62.82"/>
    <x v="3"/>
    <s v="Card"/>
    <n v="3.4"/>
    <n v="15"/>
    <n v="5"/>
    <n v="53.396999999999998"/>
    <x v="3"/>
    <x v="0"/>
    <s v="Returning"/>
  </r>
  <r>
    <n v="2158"/>
    <n v="21"/>
    <s v="Male"/>
    <x v="1"/>
    <s v="Jacket"/>
    <n v="185.24"/>
    <x v="3"/>
    <s v="Card"/>
    <n v="3.7"/>
    <n v="20"/>
    <n v="5"/>
    <n v="148.19200000000001"/>
    <x v="3"/>
    <x v="0"/>
    <s v="Returning"/>
  </r>
  <r>
    <n v="2159"/>
    <n v="21"/>
    <s v="Female"/>
    <x v="6"/>
    <s v="Perfume"/>
    <n v="52.12"/>
    <x v="3"/>
    <s v="Card"/>
    <n v="2.2000000000000002"/>
    <n v="14"/>
    <n v="7"/>
    <n v="44.8232"/>
    <x v="3"/>
    <x v="0"/>
    <s v="Returning"/>
  </r>
  <r>
    <n v="2160"/>
    <n v="26"/>
    <s v="Male"/>
    <x v="1"/>
    <s v="Jeans"/>
    <n v="117.39"/>
    <x v="2"/>
    <s v="Card"/>
    <n v="4.0999999999999996"/>
    <n v="17"/>
    <n v="6"/>
    <n v="97.433700000000002"/>
    <x v="4"/>
    <x v="0"/>
    <s v="Returning"/>
  </r>
  <r>
    <n v="2161"/>
    <n v="64"/>
    <s v="Male"/>
    <x v="5"/>
    <s v="Headphones"/>
    <n v="1748.62"/>
    <x v="1"/>
    <s v="Card"/>
    <n v="4.5999999999999996"/>
    <n v="13"/>
    <n v="4"/>
    <n v="1521.2993999999999"/>
    <x v="2"/>
    <x v="0"/>
    <s v="Returning"/>
  </r>
  <r>
    <n v="2162"/>
    <n v="47"/>
    <s v="Female"/>
    <x v="8"/>
    <s v="Top"/>
    <n v="156.93"/>
    <x v="0"/>
    <s v="Card"/>
    <n v="3.4"/>
    <n v="11"/>
    <n v="3"/>
    <n v="139.6677"/>
    <x v="0"/>
    <x v="0"/>
    <s v="Returning"/>
  </r>
  <r>
    <n v="2163"/>
    <n v="58"/>
    <s v="Female"/>
    <x v="4"/>
    <s v="Cooking Oil"/>
    <n v="10.97"/>
    <x v="0"/>
    <s v="Card"/>
    <n v="3.3"/>
    <n v="10"/>
    <n v="5"/>
    <n v="9.8730000000000011"/>
    <x v="0"/>
    <x v="0"/>
    <s v="Returning"/>
  </r>
  <r>
    <n v="2164"/>
    <n v="38"/>
    <s v="Male"/>
    <x v="1"/>
    <s v="Jacket"/>
    <n v="196.58"/>
    <x v="3"/>
    <s v="Card"/>
    <n v="4.0999999999999996"/>
    <n v="15"/>
    <n v="5"/>
    <n v="167.09300000000002"/>
    <x v="1"/>
    <x v="0"/>
    <s v="Returning"/>
  </r>
  <r>
    <n v="2165"/>
    <n v="33"/>
    <s v="Female"/>
    <x v="6"/>
    <s v="Skincare Kit"/>
    <n v="124.79"/>
    <x v="1"/>
    <s v="Card"/>
    <n v="3.2"/>
    <n v="13"/>
    <n v="4"/>
    <n v="108.5673"/>
    <x v="4"/>
    <x v="0"/>
    <s v="Returning"/>
  </r>
  <r>
    <n v="2166"/>
    <n v="58"/>
    <s v="Male"/>
    <x v="1"/>
    <s v="Shirt"/>
    <n v="126.22"/>
    <x v="0"/>
    <s v="Card"/>
    <n v="4.9000000000000004"/>
    <n v="16"/>
    <n v="3"/>
    <n v="106.0248"/>
    <x v="0"/>
    <x v="0"/>
    <s v="Returning"/>
  </r>
  <r>
    <n v="2167"/>
    <n v="43"/>
    <s v="Female"/>
    <x v="6"/>
    <s v="Skincare Kit"/>
    <n v="55.3"/>
    <x v="2"/>
    <s v="Cash on Delivery"/>
    <n v="2.7"/>
    <n v="8"/>
    <n v="4"/>
    <n v="50.875999999999998"/>
    <x v="1"/>
    <x v="0"/>
    <s v="Returning"/>
  </r>
  <r>
    <n v="2168"/>
    <n v="49"/>
    <s v="Female"/>
    <x v="8"/>
    <s v="Jeans"/>
    <n v="153.03"/>
    <x v="1"/>
    <s v="Card"/>
    <n v="3.9"/>
    <n v="23"/>
    <n v="9"/>
    <n v="117.8331"/>
    <x v="0"/>
    <x v="0"/>
    <s v="Returning"/>
  </r>
  <r>
    <n v="2169"/>
    <n v="36"/>
    <s v="Male"/>
    <x v="5"/>
    <s v="Mobile Phone"/>
    <n v="2044.39"/>
    <x v="2"/>
    <s v="Card"/>
    <n v="3.5"/>
    <n v="28"/>
    <n v="9"/>
    <n v="1471.9608000000001"/>
    <x v="1"/>
    <x v="0"/>
    <s v="Returning"/>
  </r>
  <r>
    <n v="2170"/>
    <n v="69"/>
    <s v="Female"/>
    <x v="2"/>
    <s v="Football"/>
    <n v="125.7"/>
    <x v="2"/>
    <s v="Card"/>
    <n v="4.4000000000000004"/>
    <n v="15"/>
    <n v="5"/>
    <n v="106.845"/>
    <x v="2"/>
    <x v="0"/>
    <s v="Returning"/>
  </r>
  <r>
    <n v="2171"/>
    <n v="50"/>
    <s v="Male"/>
    <x v="2"/>
    <s v="Football"/>
    <n v="57.74"/>
    <x v="3"/>
    <s v="Cash on Delivery"/>
    <n v="3"/>
    <n v="16"/>
    <n v="8"/>
    <n v="48.501600000000003"/>
    <x v="0"/>
    <x v="0"/>
    <s v="Returning"/>
  </r>
  <r>
    <n v="2172"/>
    <n v="35"/>
    <s v="Female"/>
    <x v="7"/>
    <s v="Formal Shoes"/>
    <n v="42.14"/>
    <x v="3"/>
    <s v="Card"/>
    <n v="2.9"/>
    <n v="17"/>
    <n v="6"/>
    <n v="34.976199999999999"/>
    <x v="4"/>
    <x v="0"/>
    <s v="Returning"/>
  </r>
  <r>
    <n v="2173"/>
    <n v="29"/>
    <s v="Female"/>
    <x v="0"/>
    <s v="Wallet"/>
    <n v="65.650000000000006"/>
    <x v="3"/>
    <s v="Cash on Delivery"/>
    <n v="3.6"/>
    <n v="11"/>
    <n v="3"/>
    <n v="58.428500000000007"/>
    <x v="4"/>
    <x v="0"/>
    <s v="Returning"/>
  </r>
  <r>
    <n v="2174"/>
    <n v="23"/>
    <s v="Male"/>
    <x v="5"/>
    <s v="Smart Watch"/>
    <n v="899.3"/>
    <x v="1"/>
    <s v="Card"/>
    <n v="3.8"/>
    <n v="14"/>
    <n v="2"/>
    <n v="773.39799999999991"/>
    <x v="3"/>
    <x v="0"/>
    <s v="Returning"/>
  </r>
  <r>
    <n v="2175"/>
    <n v="70"/>
    <s v="Male"/>
    <x v="3"/>
    <s v="Lamp"/>
    <n v="189.01"/>
    <x v="1"/>
    <s v="Card"/>
    <n v="4.8"/>
    <n v="24"/>
    <n v="7"/>
    <n v="143.64759999999998"/>
    <x v="2"/>
    <x v="0"/>
    <s v="Returning"/>
  </r>
  <r>
    <n v="2176"/>
    <n v="55"/>
    <s v="Female"/>
    <x v="0"/>
    <s v="Sunglasses"/>
    <n v="155.94999999999999"/>
    <x v="1"/>
    <s v="Card"/>
    <n v="3.1"/>
    <n v="15"/>
    <n v="5"/>
    <n v="132.55749999999998"/>
    <x v="0"/>
    <x v="0"/>
    <s v="Returning"/>
  </r>
  <r>
    <n v="2177"/>
    <n v="28"/>
    <s v="Female"/>
    <x v="6"/>
    <s v="Makeup Set"/>
    <n v="90.72"/>
    <x v="2"/>
    <s v="Cash on Delivery"/>
    <n v="1.4"/>
    <n v="8"/>
    <n v="4"/>
    <n v="83.462400000000002"/>
    <x v="4"/>
    <x v="0"/>
    <s v="Returning"/>
  </r>
  <r>
    <n v="2178"/>
    <n v="24"/>
    <s v="Female"/>
    <x v="6"/>
    <s v="Makeup Set"/>
    <n v="58.6"/>
    <x v="2"/>
    <s v="Card"/>
    <n v="3.1"/>
    <n v="17"/>
    <n v="6"/>
    <n v="48.637999999999998"/>
    <x v="3"/>
    <x v="0"/>
    <s v="Returning"/>
  </r>
  <r>
    <n v="2179"/>
    <n v="69"/>
    <s v="Female"/>
    <x v="8"/>
    <s v="Top"/>
    <n v="58.78"/>
    <x v="3"/>
    <s v="Card"/>
    <n v="3.7"/>
    <n v="18"/>
    <n v="4"/>
    <n v="48.199600000000004"/>
    <x v="2"/>
    <x v="0"/>
    <s v="Returning"/>
  </r>
  <r>
    <n v="2180"/>
    <n v="54"/>
    <s v="Female"/>
    <x v="7"/>
    <s v="Sneakers"/>
    <n v="249.37"/>
    <x v="3"/>
    <s v="Card"/>
    <n v="3.8"/>
    <n v="8"/>
    <n v="4"/>
    <n v="229.4204"/>
    <x v="0"/>
    <x v="0"/>
    <s v="Returning"/>
  </r>
  <r>
    <n v="2181"/>
    <n v="39"/>
    <s v="Male"/>
    <x v="2"/>
    <s v="Dumbbells"/>
    <n v="66.75"/>
    <x v="3"/>
    <s v="Card"/>
    <n v="3.3"/>
    <n v="8"/>
    <n v="4"/>
    <n v="61.410000000000004"/>
    <x v="1"/>
    <x v="0"/>
    <s v="Returning"/>
  </r>
  <r>
    <n v="2182"/>
    <n v="21"/>
    <s v="Male"/>
    <x v="2"/>
    <s v="Dumbbells"/>
    <n v="232.78"/>
    <x v="1"/>
    <s v="Card"/>
    <n v="4.0999999999999996"/>
    <n v="16"/>
    <n v="3"/>
    <n v="195.5352"/>
    <x v="3"/>
    <x v="0"/>
    <s v="Returning"/>
  </r>
  <r>
    <n v="2183"/>
    <n v="55"/>
    <s v="Male"/>
    <x v="3"/>
    <s v="Lamp"/>
    <n v="271.73"/>
    <x v="0"/>
    <s v="Card"/>
    <n v="2.8"/>
    <n v="4"/>
    <n v="2"/>
    <n v="260.86079999999998"/>
    <x v="0"/>
    <x v="0"/>
    <s v="Returning"/>
  </r>
  <r>
    <n v="2184"/>
    <n v="32"/>
    <s v="Female"/>
    <x v="2"/>
    <s v="Yoga Mat"/>
    <n v="117.69"/>
    <x v="0"/>
    <s v="Card"/>
    <n v="3.4"/>
    <n v="22"/>
    <n v="6"/>
    <n v="91.798200000000008"/>
    <x v="4"/>
    <x v="0"/>
    <s v="Returning"/>
  </r>
  <r>
    <n v="2185"/>
    <n v="21"/>
    <s v="Female"/>
    <x v="2"/>
    <s v="Yoga Mat"/>
    <n v="248.21"/>
    <x v="1"/>
    <s v="Card"/>
    <n v="4"/>
    <n v="8"/>
    <n v="4"/>
    <n v="228.35320000000002"/>
    <x v="3"/>
    <x v="0"/>
    <s v="Returning"/>
  </r>
  <r>
    <n v="2186"/>
    <n v="20"/>
    <s v="Female"/>
    <x v="2"/>
    <s v="Football"/>
    <n v="83.38"/>
    <x v="2"/>
    <s v="Cash on Delivery"/>
    <n v="3.5"/>
    <n v="4"/>
    <n v="2"/>
    <n v="80.044799999999995"/>
    <x v="3"/>
    <x v="0"/>
    <s v="Returning"/>
  </r>
  <r>
    <n v="2187"/>
    <n v="39"/>
    <s v="Female"/>
    <x v="3"/>
    <s v="Curtains"/>
    <n v="113.79"/>
    <x v="0"/>
    <s v="Card"/>
    <n v="5"/>
    <n v="14"/>
    <n v="2"/>
    <n v="97.859400000000008"/>
    <x v="1"/>
    <x v="0"/>
    <s v="Returning"/>
  </r>
  <r>
    <n v="2188"/>
    <n v="44"/>
    <s v="Female"/>
    <x v="3"/>
    <s v="Kitchen Set"/>
    <n v="278.16000000000003"/>
    <x v="1"/>
    <s v="Card"/>
    <n v="2.7"/>
    <n v="7"/>
    <n v="1"/>
    <n v="258.68880000000001"/>
    <x v="1"/>
    <x v="0"/>
    <s v="Returning"/>
  </r>
  <r>
    <n v="2189"/>
    <n v="45"/>
    <s v="Female"/>
    <x v="7"/>
    <s v="Sneakers"/>
    <n v="136.82"/>
    <x v="0"/>
    <s v="Card"/>
    <n v="3.7"/>
    <n v="13"/>
    <n v="4"/>
    <n v="119.0334"/>
    <x v="1"/>
    <x v="0"/>
    <s v="Returning"/>
  </r>
  <r>
    <n v="2190"/>
    <n v="22"/>
    <s v="Female"/>
    <x v="8"/>
    <s v="Top"/>
    <n v="198.84"/>
    <x v="2"/>
    <s v="Card"/>
    <n v="3.5"/>
    <n v="15"/>
    <n v="5"/>
    <n v="169.01400000000001"/>
    <x v="3"/>
    <x v="0"/>
    <s v="Returning"/>
  </r>
  <r>
    <n v="2191"/>
    <n v="55"/>
    <s v="Female"/>
    <x v="7"/>
    <s v="Sneakers"/>
    <n v="228.85"/>
    <x v="3"/>
    <s v="Card"/>
    <n v="4.3"/>
    <n v="18"/>
    <n v="4"/>
    <n v="187.65700000000001"/>
    <x v="0"/>
    <x v="0"/>
    <s v="Returning"/>
  </r>
  <r>
    <n v="2192"/>
    <n v="59"/>
    <s v="Male"/>
    <x v="2"/>
    <s v="Football"/>
    <n v="46.03"/>
    <x v="3"/>
    <s v="Cash on Delivery"/>
    <n v="3.2"/>
    <n v="12"/>
    <n v="6"/>
    <n v="40.506399999999999"/>
    <x v="0"/>
    <x v="0"/>
    <s v="Returning"/>
  </r>
  <r>
    <n v="2193"/>
    <n v="42"/>
    <s v="Female"/>
    <x v="8"/>
    <s v="Dress"/>
    <n v="66.91"/>
    <x v="1"/>
    <s v="Cash on Delivery"/>
    <n v="4.5"/>
    <n v="20"/>
    <n v="5"/>
    <n v="53.527999999999999"/>
    <x v="1"/>
    <x v="0"/>
    <s v="Returning"/>
  </r>
  <r>
    <n v="2194"/>
    <n v="63"/>
    <s v="Female"/>
    <x v="8"/>
    <s v="Jeans"/>
    <n v="70.959999999999994"/>
    <x v="2"/>
    <s v="Cash on Delivery"/>
    <n v="2.5"/>
    <n v="6"/>
    <n v="3"/>
    <n v="66.702399999999997"/>
    <x v="2"/>
    <x v="0"/>
    <s v="Returning"/>
  </r>
  <r>
    <n v="2195"/>
    <n v="24"/>
    <s v="Female"/>
    <x v="6"/>
    <s v="Skincare Kit"/>
    <n v="33.03"/>
    <x v="1"/>
    <s v="Cash on Delivery"/>
    <n v="4.7"/>
    <n v="12"/>
    <n v="6"/>
    <n v="29.066400000000002"/>
    <x v="3"/>
    <x v="0"/>
    <s v="Returning"/>
  </r>
  <r>
    <n v="2196"/>
    <n v="27"/>
    <s v="Female"/>
    <x v="7"/>
    <s v="Formal Shoes"/>
    <n v="167.37"/>
    <x v="2"/>
    <s v="Card"/>
    <n v="3.4"/>
    <n v="19"/>
    <n v="7"/>
    <n v="135.56970000000001"/>
    <x v="4"/>
    <x v="0"/>
    <s v="Returning"/>
  </r>
  <r>
    <n v="2197"/>
    <n v="46"/>
    <s v="Male"/>
    <x v="5"/>
    <s v="Mobile Phone"/>
    <n v="1442.61"/>
    <x v="0"/>
    <s v="Card"/>
    <n v="2.9"/>
    <n v="17"/>
    <n v="6"/>
    <n v="1197.3662999999999"/>
    <x v="0"/>
    <x v="0"/>
    <s v="Returning"/>
  </r>
  <r>
    <n v="2198"/>
    <n v="67"/>
    <s v="Male"/>
    <x v="2"/>
    <s v="Football"/>
    <n v="246"/>
    <x v="0"/>
    <s v="Card"/>
    <n v="5"/>
    <n v="18"/>
    <n v="4"/>
    <n v="201.72000000000003"/>
    <x v="2"/>
    <x v="0"/>
    <s v="Returning"/>
  </r>
  <r>
    <n v="2199"/>
    <n v="46"/>
    <s v="Male"/>
    <x v="2"/>
    <s v="Dumbbells"/>
    <n v="68.17"/>
    <x v="2"/>
    <s v="Cash on Delivery"/>
    <n v="3.4"/>
    <n v="17"/>
    <n v="6"/>
    <n v="56.581099999999999"/>
    <x v="0"/>
    <x v="0"/>
    <s v="Returning"/>
  </r>
  <r>
    <n v="2200"/>
    <n v="41"/>
    <s v="Male"/>
    <x v="7"/>
    <s v="Sneakers"/>
    <n v="74.88"/>
    <x v="3"/>
    <s v="Card"/>
    <n v="4.7"/>
    <n v="16"/>
    <n v="3"/>
    <n v="62.899199999999993"/>
    <x v="1"/>
    <x v="0"/>
    <s v="Returning"/>
  </r>
  <r>
    <n v="2201"/>
    <n v="36"/>
    <s v="Male"/>
    <x v="2"/>
    <s v="Yoga Mat"/>
    <n v="105.09"/>
    <x v="1"/>
    <s v="Card"/>
    <n v="3.6"/>
    <n v="22"/>
    <n v="6"/>
    <n v="81.970200000000006"/>
    <x v="1"/>
    <x v="0"/>
    <s v="Returning"/>
  </r>
  <r>
    <n v="2202"/>
    <n v="23"/>
    <s v="Male"/>
    <x v="2"/>
    <s v="Football"/>
    <n v="109.86"/>
    <x v="0"/>
    <s v="Card"/>
    <n v="5"/>
    <n v="7"/>
    <n v="1"/>
    <n v="102.1698"/>
    <x v="3"/>
    <x v="0"/>
    <s v="Returning"/>
  </r>
  <r>
    <n v="2203"/>
    <n v="32"/>
    <s v="Female"/>
    <x v="7"/>
    <s v="Formal Shoes"/>
    <n v="232.22"/>
    <x v="1"/>
    <s v="Card"/>
    <n v="3.5"/>
    <n v="11"/>
    <n v="3"/>
    <n v="206.67580000000001"/>
    <x v="4"/>
    <x v="0"/>
    <s v="Returning"/>
  </r>
  <r>
    <n v="2204"/>
    <n v="60"/>
    <s v="Male"/>
    <x v="1"/>
    <s v="T-Shirt"/>
    <n v="170.41"/>
    <x v="3"/>
    <s v="Card"/>
    <n v="2.6"/>
    <n v="17"/>
    <n v="6"/>
    <n v="141.44029999999998"/>
    <x v="0"/>
    <x v="0"/>
    <s v="Returning"/>
  </r>
  <r>
    <n v="2205"/>
    <n v="43"/>
    <s v="Male"/>
    <x v="1"/>
    <s v="Jeans"/>
    <n v="122.14"/>
    <x v="1"/>
    <s v="Card"/>
    <n v="4"/>
    <n v="10"/>
    <n v="5"/>
    <n v="109.926"/>
    <x v="1"/>
    <x v="0"/>
    <s v="Returning"/>
  </r>
  <r>
    <n v="2206"/>
    <n v="58"/>
    <s v="Female"/>
    <x v="0"/>
    <s v="Handbag"/>
    <n v="98.65"/>
    <x v="1"/>
    <s v="Cash on Delivery"/>
    <n v="3.9"/>
    <n v="8"/>
    <n v="4"/>
    <n v="90.75800000000001"/>
    <x v="0"/>
    <x v="0"/>
    <s v="Returning"/>
  </r>
  <r>
    <n v="2207"/>
    <n v="70"/>
    <s v="Male"/>
    <x v="2"/>
    <s v="Football"/>
    <n v="43.95"/>
    <x v="0"/>
    <s v="Cash on Delivery"/>
    <n v="3.4"/>
    <n v="15"/>
    <n v="5"/>
    <n v="37.357500000000002"/>
    <x v="2"/>
    <x v="0"/>
    <s v="Returning"/>
  </r>
  <r>
    <n v="2208"/>
    <n v="43"/>
    <s v="Male"/>
    <x v="2"/>
    <s v="Football"/>
    <n v="127.93"/>
    <x v="2"/>
    <s v="Card"/>
    <n v="2.9"/>
    <n v="13"/>
    <n v="4"/>
    <n v="111.29910000000001"/>
    <x v="1"/>
    <x v="0"/>
    <s v="Returning"/>
  </r>
  <r>
    <n v="2209"/>
    <n v="55"/>
    <s v="Male"/>
    <x v="4"/>
    <s v="Snacks"/>
    <n v="62.57"/>
    <x v="0"/>
    <s v="Cash on Delivery"/>
    <n v="3.6"/>
    <n v="12"/>
    <n v="6"/>
    <n v="55.061599999999999"/>
    <x v="0"/>
    <x v="0"/>
    <s v="Returning"/>
  </r>
  <r>
    <n v="2210"/>
    <n v="24"/>
    <s v="Female"/>
    <x v="8"/>
    <s v="Jeans"/>
    <n v="106.76"/>
    <x v="0"/>
    <s v="Card"/>
    <n v="3.2"/>
    <n v="8"/>
    <n v="4"/>
    <n v="98.219200000000015"/>
    <x v="3"/>
    <x v="0"/>
    <s v="Returning"/>
  </r>
  <r>
    <n v="2211"/>
    <n v="41"/>
    <s v="Female"/>
    <x v="3"/>
    <s v="Kitchen Set"/>
    <n v="245.42"/>
    <x v="3"/>
    <s v="Card"/>
    <n v="3.6"/>
    <n v="20"/>
    <n v="5"/>
    <n v="196.33600000000001"/>
    <x v="1"/>
    <x v="0"/>
    <s v="Returning"/>
  </r>
  <r>
    <n v="2212"/>
    <n v="33"/>
    <s v="Male"/>
    <x v="2"/>
    <s v="Yoga Mat"/>
    <n v="184.79"/>
    <x v="2"/>
    <s v="Card"/>
    <n v="2.8"/>
    <n v="11"/>
    <n v="3"/>
    <n v="164.4631"/>
    <x v="4"/>
    <x v="0"/>
    <s v="Returning"/>
  </r>
  <r>
    <n v="2213"/>
    <n v="64"/>
    <s v="Female"/>
    <x v="0"/>
    <s v="Wallet"/>
    <n v="176.59"/>
    <x v="0"/>
    <s v="Card"/>
    <n v="3.9"/>
    <n v="20"/>
    <n v="5"/>
    <n v="141.27200000000002"/>
    <x v="2"/>
    <x v="0"/>
    <s v="Returning"/>
  </r>
  <r>
    <n v="2214"/>
    <n v="26"/>
    <s v="Female"/>
    <x v="8"/>
    <s v="Top"/>
    <n v="58.44"/>
    <x v="2"/>
    <s v="Cash on Delivery"/>
    <n v="2.1"/>
    <n v="19"/>
    <n v="7"/>
    <n v="47.336400000000005"/>
    <x v="4"/>
    <x v="0"/>
    <s v="Returning"/>
  </r>
  <r>
    <n v="2215"/>
    <n v="53"/>
    <s v="Female"/>
    <x v="4"/>
    <s v="Beverages"/>
    <n v="9.7200000000000006"/>
    <x v="2"/>
    <s v="Card"/>
    <n v="3.9"/>
    <n v="24"/>
    <n v="7"/>
    <n v="7.3872000000000009"/>
    <x v="0"/>
    <x v="0"/>
    <s v="Returning"/>
  </r>
  <r>
    <n v="2216"/>
    <n v="34"/>
    <s v="Female"/>
    <x v="7"/>
    <s v="Sneakers"/>
    <n v="97.08"/>
    <x v="3"/>
    <s v="Card"/>
    <n v="2.7"/>
    <n v="12"/>
    <n v="1"/>
    <n v="85.430400000000006"/>
    <x v="4"/>
    <x v="0"/>
    <s v="Returning"/>
  </r>
  <r>
    <n v="2217"/>
    <n v="35"/>
    <s v="Female"/>
    <x v="0"/>
    <s v="Handbag"/>
    <n v="150.88"/>
    <x v="2"/>
    <s v="Card"/>
    <n v="4.3"/>
    <n v="16"/>
    <n v="8"/>
    <n v="126.7392"/>
    <x v="4"/>
    <x v="0"/>
    <s v="Returning"/>
  </r>
  <r>
    <n v="2218"/>
    <n v="24"/>
    <s v="Female"/>
    <x v="7"/>
    <s v="Sandals"/>
    <n v="173.83"/>
    <x v="0"/>
    <s v="Card"/>
    <n v="2.7"/>
    <n v="6"/>
    <n v="3"/>
    <n v="163.40020000000001"/>
    <x v="3"/>
    <x v="0"/>
    <s v="Returning"/>
  </r>
  <r>
    <n v="2219"/>
    <n v="57"/>
    <s v="Male"/>
    <x v="5"/>
    <s v="Mobile Phone"/>
    <n v="1857.16"/>
    <x v="0"/>
    <s v="Card"/>
    <n v="4"/>
    <n v="13"/>
    <n v="4"/>
    <n v="1615.7292"/>
    <x v="0"/>
    <x v="0"/>
    <s v="Returning"/>
  </r>
  <r>
    <n v="2220"/>
    <n v="31"/>
    <s v="Male"/>
    <x v="2"/>
    <s v="Yoga Mat"/>
    <n v="227.4"/>
    <x v="2"/>
    <s v="Card"/>
    <n v="3.5"/>
    <n v="11"/>
    <n v="3"/>
    <n v="202.386"/>
    <x v="4"/>
    <x v="0"/>
    <s v="Returning"/>
  </r>
  <r>
    <n v="2221"/>
    <n v="52"/>
    <s v="Female"/>
    <x v="0"/>
    <s v="Handbag"/>
    <n v="119.11"/>
    <x v="3"/>
    <s v="Card"/>
    <n v="4.8"/>
    <n v="25"/>
    <n v="10"/>
    <n v="89.332499999999996"/>
    <x v="0"/>
    <x v="0"/>
    <s v="Returning"/>
  </r>
  <r>
    <n v="2222"/>
    <n v="30"/>
    <s v="Male"/>
    <x v="5"/>
    <s v="Headphones"/>
    <n v="1425.84"/>
    <x v="1"/>
    <s v="Card"/>
    <n v="3.6"/>
    <n v="14"/>
    <n v="2"/>
    <n v="1226.2223999999999"/>
    <x v="4"/>
    <x v="0"/>
    <s v="Returning"/>
  </r>
  <r>
    <n v="2223"/>
    <n v="32"/>
    <s v="Male"/>
    <x v="7"/>
    <s v="Formal Shoes"/>
    <n v="170.66"/>
    <x v="1"/>
    <s v="Card"/>
    <n v="4.2"/>
    <n v="17"/>
    <n v="6"/>
    <n v="141.64779999999999"/>
    <x v="4"/>
    <x v="0"/>
    <s v="Returning"/>
  </r>
  <r>
    <n v="2224"/>
    <n v="21"/>
    <s v="Male"/>
    <x v="2"/>
    <s v="Dumbbells"/>
    <n v="246.8"/>
    <x v="0"/>
    <s v="Card"/>
    <n v="3.2"/>
    <n v="13"/>
    <n v="4"/>
    <n v="214.71600000000001"/>
    <x v="3"/>
    <x v="0"/>
    <s v="Returning"/>
  </r>
  <r>
    <n v="2225"/>
    <n v="63"/>
    <s v="Female"/>
    <x v="6"/>
    <s v="Skincare Kit"/>
    <n v="40.06"/>
    <x v="3"/>
    <s v="Cash on Delivery"/>
    <n v="4"/>
    <n v="20"/>
    <n v="5"/>
    <n v="32.048000000000002"/>
    <x v="2"/>
    <x v="0"/>
    <s v="Returning"/>
  </r>
  <r>
    <n v="2226"/>
    <n v="38"/>
    <s v="Female"/>
    <x v="7"/>
    <s v="Formal Shoes"/>
    <n v="47"/>
    <x v="3"/>
    <s v="Card"/>
    <n v="3.4"/>
    <n v="18"/>
    <n v="9"/>
    <n v="38.540000000000006"/>
    <x v="1"/>
    <x v="0"/>
    <s v="Returning"/>
  </r>
  <r>
    <n v="2227"/>
    <n v="46"/>
    <s v="Female"/>
    <x v="8"/>
    <s v="Top"/>
    <n v="149.94999999999999"/>
    <x v="3"/>
    <s v="Card"/>
    <n v="4.2"/>
    <n v="9"/>
    <n v="2"/>
    <n v="136.4545"/>
    <x v="0"/>
    <x v="0"/>
    <s v="Returning"/>
  </r>
  <r>
    <n v="2228"/>
    <n v="68"/>
    <s v="Male"/>
    <x v="5"/>
    <s v="Smart Watch"/>
    <n v="1383.02"/>
    <x v="1"/>
    <s v="Card"/>
    <n v="4.5999999999999996"/>
    <n v="16"/>
    <n v="3"/>
    <n v="1161.7367999999999"/>
    <x v="2"/>
    <x v="0"/>
    <s v="Returning"/>
  </r>
  <r>
    <n v="2229"/>
    <n v="30"/>
    <s v="Female"/>
    <x v="8"/>
    <s v="Top"/>
    <n v="170.78"/>
    <x v="2"/>
    <s v="Card"/>
    <n v="5"/>
    <n v="22"/>
    <n v="6"/>
    <n v="133.20840000000001"/>
    <x v="4"/>
    <x v="0"/>
    <s v="Returning"/>
  </r>
  <r>
    <n v="2230"/>
    <n v="26"/>
    <s v="Male"/>
    <x v="1"/>
    <s v="T-Shirt"/>
    <n v="119.83"/>
    <x v="0"/>
    <s v="Card"/>
    <n v="3.4"/>
    <n v="8"/>
    <n v="4"/>
    <n v="110.2436"/>
    <x v="4"/>
    <x v="0"/>
    <s v="Returning"/>
  </r>
  <r>
    <n v="2231"/>
    <n v="49"/>
    <s v="Male"/>
    <x v="5"/>
    <s v="Mobile Phone"/>
    <n v="2780.13"/>
    <x v="2"/>
    <s v="Card"/>
    <n v="3.6"/>
    <n v="15"/>
    <n v="5"/>
    <n v="2363.1105000000002"/>
    <x v="0"/>
    <x v="0"/>
    <s v="Returning"/>
  </r>
  <r>
    <n v="2232"/>
    <n v="68"/>
    <s v="Male"/>
    <x v="7"/>
    <s v="Sandals"/>
    <n v="206.56"/>
    <x v="1"/>
    <s v="Card"/>
    <n v="3.3"/>
    <n v="10"/>
    <n v="5"/>
    <n v="185.904"/>
    <x v="2"/>
    <x v="0"/>
    <s v="Returning"/>
  </r>
  <r>
    <n v="2233"/>
    <n v="30"/>
    <s v="Female"/>
    <x v="8"/>
    <s v="Jeans"/>
    <n v="186.33"/>
    <x v="1"/>
    <s v="Card"/>
    <n v="3.5"/>
    <n v="12"/>
    <n v="6"/>
    <n v="163.97040000000001"/>
    <x v="4"/>
    <x v="0"/>
    <s v="Returning"/>
  </r>
  <r>
    <n v="2234"/>
    <n v="38"/>
    <s v="Male"/>
    <x v="1"/>
    <s v="Shirt"/>
    <n v="156.71"/>
    <x v="2"/>
    <s v="Card"/>
    <n v="3.4"/>
    <n v="16"/>
    <n v="8"/>
    <n v="131.63640000000001"/>
    <x v="1"/>
    <x v="0"/>
    <s v="Returning"/>
  </r>
  <r>
    <n v="2235"/>
    <n v="42"/>
    <s v="Female"/>
    <x v="6"/>
    <s v="Makeup Set"/>
    <n v="78.39"/>
    <x v="3"/>
    <s v="Card"/>
    <n v="3.7"/>
    <n v="22"/>
    <n v="6"/>
    <n v="61.144200000000005"/>
    <x v="1"/>
    <x v="0"/>
    <s v="Returning"/>
  </r>
  <r>
    <n v="2236"/>
    <n v="63"/>
    <s v="Male"/>
    <x v="2"/>
    <s v="Dumbbells"/>
    <n v="214.61"/>
    <x v="2"/>
    <s v="Card"/>
    <n v="3.4"/>
    <n v="9"/>
    <n v="2"/>
    <n v="195.29510000000002"/>
    <x v="2"/>
    <x v="0"/>
    <s v="Returning"/>
  </r>
  <r>
    <n v="2237"/>
    <n v="34"/>
    <s v="Male"/>
    <x v="4"/>
    <s v="Beverages"/>
    <n v="10.119999999999999"/>
    <x v="1"/>
    <s v="Cash on Delivery"/>
    <n v="4.3"/>
    <n v="10"/>
    <n v="5"/>
    <n v="9.1079999999999988"/>
    <x v="4"/>
    <x v="0"/>
    <s v="Returning"/>
  </r>
  <r>
    <n v="2238"/>
    <n v="28"/>
    <s v="Female"/>
    <x v="0"/>
    <s v="Wallet"/>
    <n v="125.16"/>
    <x v="2"/>
    <s v="Card"/>
    <n v="3.8"/>
    <n v="8"/>
    <n v="4"/>
    <n v="115.1472"/>
    <x v="4"/>
    <x v="0"/>
    <s v="Returning"/>
  </r>
  <r>
    <n v="2239"/>
    <n v="34"/>
    <s v="Female"/>
    <x v="8"/>
    <s v="Top"/>
    <n v="90.17"/>
    <x v="1"/>
    <s v="Cash on Delivery"/>
    <n v="3.1"/>
    <n v="19"/>
    <n v="7"/>
    <n v="73.037700000000001"/>
    <x v="4"/>
    <x v="0"/>
    <s v="Returning"/>
  </r>
  <r>
    <n v="2240"/>
    <n v="60"/>
    <s v="Male"/>
    <x v="5"/>
    <s v="Smart Watch"/>
    <n v="1445.76"/>
    <x v="1"/>
    <s v="Card"/>
    <n v="4.5"/>
    <n v="16"/>
    <n v="3"/>
    <n v="1214.4384"/>
    <x v="0"/>
    <x v="0"/>
    <s v="Returning"/>
  </r>
  <r>
    <n v="2241"/>
    <n v="64"/>
    <s v="Male"/>
    <x v="7"/>
    <s v="Formal Shoes"/>
    <n v="45.29"/>
    <x v="3"/>
    <s v="Cash on Delivery"/>
    <n v="4"/>
    <n v="30"/>
    <n v="10"/>
    <n v="31.702999999999996"/>
    <x v="2"/>
    <x v="0"/>
    <s v="Returning"/>
  </r>
  <r>
    <n v="2242"/>
    <n v="36"/>
    <s v="Female"/>
    <x v="7"/>
    <s v="Sandals"/>
    <n v="120.65"/>
    <x v="1"/>
    <s v="Card"/>
    <n v="4.9000000000000004"/>
    <n v="6"/>
    <n v="3"/>
    <n v="113.411"/>
    <x v="1"/>
    <x v="0"/>
    <s v="Returning"/>
  </r>
  <r>
    <n v="2243"/>
    <n v="69"/>
    <s v="Male"/>
    <x v="2"/>
    <s v="Yoga Mat"/>
    <n v="204.74"/>
    <x v="3"/>
    <s v="Card"/>
    <n v="4.0999999999999996"/>
    <n v="15"/>
    <n v="5"/>
    <n v="174.029"/>
    <x v="2"/>
    <x v="0"/>
    <s v="Returning"/>
  </r>
  <r>
    <n v="2244"/>
    <n v="37"/>
    <s v="Female"/>
    <x v="6"/>
    <s v="Makeup Set"/>
    <n v="23.24"/>
    <x v="3"/>
    <s v="Card"/>
    <n v="3.6"/>
    <n v="20"/>
    <n v="5"/>
    <n v="18.591999999999999"/>
    <x v="1"/>
    <x v="0"/>
    <s v="Returning"/>
  </r>
  <r>
    <n v="2245"/>
    <n v="52"/>
    <s v="Female"/>
    <x v="6"/>
    <s v="Perfume"/>
    <n v="32.67"/>
    <x v="2"/>
    <s v="Cash on Delivery"/>
    <n v="3.6"/>
    <n v="17"/>
    <n v="6"/>
    <n v="27.116099999999999"/>
    <x v="0"/>
    <x v="0"/>
    <s v="Returning"/>
  </r>
  <r>
    <n v="2246"/>
    <n v="31"/>
    <s v="Male"/>
    <x v="5"/>
    <s v="Mobile Phone"/>
    <n v="2789.38"/>
    <x v="1"/>
    <s v="Card"/>
    <n v="4.7"/>
    <n v="12"/>
    <n v="6"/>
    <n v="2454.6543999999999"/>
    <x v="4"/>
    <x v="0"/>
    <s v="Returning"/>
  </r>
  <r>
    <n v="2247"/>
    <n v="67"/>
    <s v="Male"/>
    <x v="7"/>
    <s v="Formal Shoes"/>
    <n v="54.61"/>
    <x v="0"/>
    <s v="Card"/>
    <n v="4.0999999999999996"/>
    <n v="8"/>
    <n v="4"/>
    <n v="50.241199999999999"/>
    <x v="2"/>
    <x v="0"/>
    <s v="Returning"/>
  </r>
  <r>
    <n v="2248"/>
    <n v="28"/>
    <s v="Male"/>
    <x v="2"/>
    <s v="Yoga Mat"/>
    <n v="157.25"/>
    <x v="1"/>
    <s v="Card"/>
    <n v="4.2"/>
    <n v="18"/>
    <n v="4"/>
    <n v="128.94500000000002"/>
    <x v="4"/>
    <x v="0"/>
    <s v="Returning"/>
  </r>
  <r>
    <n v="2249"/>
    <n v="43"/>
    <s v="Male"/>
    <x v="4"/>
    <s v="Snacks"/>
    <n v="20.079999999999998"/>
    <x v="3"/>
    <s v="Card"/>
    <n v="4.2"/>
    <n v="9"/>
    <n v="2"/>
    <n v="18.2728"/>
    <x v="1"/>
    <x v="0"/>
    <s v="Returning"/>
  </r>
  <r>
    <n v="2250"/>
    <n v="45"/>
    <s v="Female"/>
    <x v="0"/>
    <s v="Sunglasses"/>
    <n v="50.5"/>
    <x v="0"/>
    <s v="Cash on Delivery"/>
    <n v="2.5"/>
    <n v="20"/>
    <n v="5"/>
    <n v="40.400000000000006"/>
    <x v="1"/>
    <x v="0"/>
    <s v="Returning"/>
  </r>
  <r>
    <n v="2251"/>
    <n v="57"/>
    <s v="Female"/>
    <x v="8"/>
    <s v="Jeans"/>
    <n v="106.78"/>
    <x v="1"/>
    <s v="Card"/>
    <n v="5"/>
    <n v="28"/>
    <n v="9"/>
    <n v="76.881599999999992"/>
    <x v="0"/>
    <x v="0"/>
    <s v="Returning"/>
  </r>
  <r>
    <n v="2252"/>
    <n v="33"/>
    <s v="Female"/>
    <x v="0"/>
    <s v="Wallet"/>
    <n v="21.35"/>
    <x v="2"/>
    <s v="Cash on Delivery"/>
    <n v="3.9"/>
    <n v="13"/>
    <n v="4"/>
    <n v="18.5745"/>
    <x v="4"/>
    <x v="0"/>
    <s v="Returning"/>
  </r>
  <r>
    <n v="2253"/>
    <n v="69"/>
    <s v="Female"/>
    <x v="8"/>
    <s v="Top"/>
    <n v="59.4"/>
    <x v="1"/>
    <s v="Card"/>
    <n v="3.6"/>
    <n v="17"/>
    <n v="6"/>
    <n v="49.302"/>
    <x v="2"/>
    <x v="0"/>
    <s v="Returning"/>
  </r>
  <r>
    <n v="2254"/>
    <n v="60"/>
    <s v="Male"/>
    <x v="2"/>
    <s v="Dumbbells"/>
    <n v="196.16"/>
    <x v="0"/>
    <s v="Card"/>
    <n v="1.9"/>
    <n v="4"/>
    <n v="2"/>
    <n v="188.31359999999998"/>
    <x v="0"/>
    <x v="0"/>
    <s v="Returning"/>
  </r>
  <r>
    <n v="2255"/>
    <n v="34"/>
    <s v="Female"/>
    <x v="3"/>
    <s v="Kitchen Set"/>
    <n v="228.6"/>
    <x v="3"/>
    <s v="Card"/>
    <n v="3.6"/>
    <n v="22"/>
    <n v="6"/>
    <n v="178.30799999999999"/>
    <x v="4"/>
    <x v="0"/>
    <s v="Returning"/>
  </r>
  <r>
    <n v="2256"/>
    <n v="62"/>
    <s v="Female"/>
    <x v="6"/>
    <s v="Makeup Set"/>
    <n v="146.15"/>
    <x v="0"/>
    <s v="Card"/>
    <n v="2.4"/>
    <n v="14"/>
    <n v="7"/>
    <n v="125.68900000000001"/>
    <x v="2"/>
    <x v="0"/>
    <s v="Returning"/>
  </r>
  <r>
    <n v="2257"/>
    <n v="44"/>
    <s v="Female"/>
    <x v="6"/>
    <s v="Perfume"/>
    <n v="118.63"/>
    <x v="1"/>
    <s v="Card"/>
    <n v="3.1"/>
    <n v="8"/>
    <n v="4"/>
    <n v="109.1396"/>
    <x v="1"/>
    <x v="0"/>
    <s v="Returning"/>
  </r>
  <r>
    <n v="2258"/>
    <n v="21"/>
    <s v="Male"/>
    <x v="5"/>
    <s v="Mobile Phone"/>
    <n v="1725.52"/>
    <x v="1"/>
    <s v="Card"/>
    <n v="4.3"/>
    <n v="10"/>
    <n v="5"/>
    <n v="1552.9680000000001"/>
    <x v="3"/>
    <x v="0"/>
    <s v="Returning"/>
  </r>
  <r>
    <n v="2259"/>
    <n v="42"/>
    <s v="Male"/>
    <x v="7"/>
    <s v="Sandals"/>
    <n v="217.85"/>
    <x v="0"/>
    <s v="Card"/>
    <n v="4"/>
    <n v="26"/>
    <n v="8"/>
    <n v="161.209"/>
    <x v="1"/>
    <x v="0"/>
    <s v="Returning"/>
  </r>
  <r>
    <n v="2260"/>
    <n v="39"/>
    <s v="Male"/>
    <x v="7"/>
    <s v="Formal Shoes"/>
    <n v="106.65"/>
    <x v="2"/>
    <s v="Card"/>
    <n v="4.4000000000000004"/>
    <n v="16"/>
    <n v="3"/>
    <n v="89.585999999999999"/>
    <x v="1"/>
    <x v="0"/>
    <s v="Returning"/>
  </r>
  <r>
    <n v="2261"/>
    <n v="44"/>
    <s v="Female"/>
    <x v="2"/>
    <s v="Dumbbells"/>
    <n v="108.39"/>
    <x v="2"/>
    <s v="Card"/>
    <n v="3.3"/>
    <n v="23"/>
    <n v="9"/>
    <n v="83.460300000000004"/>
    <x v="1"/>
    <x v="0"/>
    <s v="Returning"/>
  </r>
  <r>
    <n v="2262"/>
    <n v="20"/>
    <s v="Male"/>
    <x v="1"/>
    <s v="T-Shirt"/>
    <n v="167.57"/>
    <x v="2"/>
    <s v="Card"/>
    <n v="3.5"/>
    <n v="11"/>
    <n v="3"/>
    <n v="149.13729999999998"/>
    <x v="3"/>
    <x v="0"/>
    <s v="Returning"/>
  </r>
  <r>
    <n v="2263"/>
    <n v="57"/>
    <s v="Female"/>
    <x v="6"/>
    <s v="Skincare Kit"/>
    <n v="102.35"/>
    <x v="0"/>
    <s v="Card"/>
    <n v="4"/>
    <n v="10"/>
    <n v="5"/>
    <n v="92.114999999999995"/>
    <x v="0"/>
    <x v="0"/>
    <s v="Returning"/>
  </r>
  <r>
    <n v="2264"/>
    <n v="44"/>
    <s v="Male"/>
    <x v="1"/>
    <s v="Jacket"/>
    <n v="121.98"/>
    <x v="2"/>
    <s v="Card"/>
    <n v="2.2000000000000002"/>
    <n v="9"/>
    <n v="2"/>
    <n v="111.0018"/>
    <x v="1"/>
    <x v="0"/>
    <s v="Returning"/>
  </r>
  <r>
    <n v="2265"/>
    <n v="35"/>
    <s v="Male"/>
    <x v="7"/>
    <s v="Formal Shoes"/>
    <n v="248.74"/>
    <x v="1"/>
    <s v="Card"/>
    <n v="2.5"/>
    <n v="14"/>
    <n v="2"/>
    <n v="213.91640000000001"/>
    <x v="4"/>
    <x v="0"/>
    <s v="Returning"/>
  </r>
  <r>
    <n v="2266"/>
    <n v="43"/>
    <s v="Female"/>
    <x v="6"/>
    <s v="Perfume"/>
    <n v="73.459999999999994"/>
    <x v="2"/>
    <s v="Cash on Delivery"/>
    <n v="3.6"/>
    <n v="20"/>
    <n v="5"/>
    <n v="58.768000000000001"/>
    <x v="1"/>
    <x v="0"/>
    <s v="Returning"/>
  </r>
  <r>
    <n v="2267"/>
    <n v="29"/>
    <s v="Male"/>
    <x v="5"/>
    <s v="Laptop"/>
    <n v="1145.69"/>
    <x v="2"/>
    <s v="Card"/>
    <n v="3.3"/>
    <n v="18"/>
    <n v="4"/>
    <n v="939.46580000000017"/>
    <x v="4"/>
    <x v="0"/>
    <s v="Returning"/>
  </r>
  <r>
    <n v="2268"/>
    <n v="21"/>
    <s v="Female"/>
    <x v="4"/>
    <s v="Cooking Oil"/>
    <n v="52.42"/>
    <x v="3"/>
    <s v="Card"/>
    <n v="3.7"/>
    <n v="6"/>
    <n v="3"/>
    <n v="49.274799999999999"/>
    <x v="3"/>
    <x v="0"/>
    <s v="Returning"/>
  </r>
  <r>
    <n v="2269"/>
    <n v="50"/>
    <s v="Male"/>
    <x v="1"/>
    <s v="Shirt"/>
    <n v="173.36"/>
    <x v="2"/>
    <s v="Card"/>
    <n v="3.5"/>
    <n v="4"/>
    <n v="2"/>
    <n v="166.4256"/>
    <x v="0"/>
    <x v="0"/>
    <s v="Returning"/>
  </r>
  <r>
    <n v="2270"/>
    <n v="51"/>
    <s v="Male"/>
    <x v="5"/>
    <s v="Smart Watch"/>
    <n v="1611.83"/>
    <x v="1"/>
    <s v="Card"/>
    <n v="2.6"/>
    <n v="24"/>
    <n v="7"/>
    <n v="1224.9908"/>
    <x v="0"/>
    <x v="0"/>
    <s v="Returning"/>
  </r>
  <r>
    <n v="2271"/>
    <n v="49"/>
    <s v="Female"/>
    <x v="8"/>
    <s v="Dress"/>
    <n v="189.27"/>
    <x v="3"/>
    <s v="Card"/>
    <n v="4.0999999999999996"/>
    <n v="12"/>
    <n v="1"/>
    <n v="166.55760000000001"/>
    <x v="0"/>
    <x v="0"/>
    <s v="Returning"/>
  </r>
  <r>
    <n v="2272"/>
    <n v="38"/>
    <s v="Female"/>
    <x v="4"/>
    <s v="Cooking Oil"/>
    <n v="36.090000000000003"/>
    <x v="1"/>
    <s v="Cash on Delivery"/>
    <n v="3.3"/>
    <n v="7"/>
    <n v="1"/>
    <n v="33.563700000000004"/>
    <x v="1"/>
    <x v="0"/>
    <s v="Returning"/>
  </r>
  <r>
    <n v="2273"/>
    <n v="33"/>
    <s v="Female"/>
    <x v="0"/>
    <s v="Wallet"/>
    <n v="107.15"/>
    <x v="1"/>
    <s v="Card"/>
    <n v="4.5"/>
    <n v="17"/>
    <n v="6"/>
    <n v="88.9345"/>
    <x v="4"/>
    <x v="0"/>
    <s v="Returning"/>
  </r>
  <r>
    <n v="2274"/>
    <n v="59"/>
    <s v="Female"/>
    <x v="0"/>
    <s v="Sunglasses"/>
    <n v="23.3"/>
    <x v="1"/>
    <s v="Card"/>
    <n v="3.7"/>
    <n v="12"/>
    <n v="6"/>
    <n v="20.504000000000001"/>
    <x v="0"/>
    <x v="0"/>
    <s v="Returning"/>
  </r>
  <r>
    <n v="2275"/>
    <n v="51"/>
    <s v="Female"/>
    <x v="4"/>
    <s v="Beverages"/>
    <n v="37.909999999999997"/>
    <x v="0"/>
    <s v="Cash on Delivery"/>
    <n v="4.2"/>
    <n v="20"/>
    <n v="5"/>
    <n v="30.327999999999999"/>
    <x v="0"/>
    <x v="0"/>
    <s v="Returning"/>
  </r>
  <r>
    <n v="2276"/>
    <n v="21"/>
    <s v="Female"/>
    <x v="4"/>
    <s v="Beverages"/>
    <n v="14.56"/>
    <x v="0"/>
    <s v="Cash on Delivery"/>
    <n v="4.2"/>
    <n v="11"/>
    <n v="3"/>
    <n v="12.958400000000001"/>
    <x v="3"/>
    <x v="0"/>
    <s v="Returning"/>
  </r>
  <r>
    <n v="2277"/>
    <n v="25"/>
    <s v="Female"/>
    <x v="6"/>
    <s v="Makeup Set"/>
    <n v="95.41"/>
    <x v="0"/>
    <s v="Cash on Delivery"/>
    <n v="2.7"/>
    <n v="18"/>
    <n v="4"/>
    <n v="78.236199999999997"/>
    <x v="3"/>
    <x v="0"/>
    <s v="Returning"/>
  </r>
  <r>
    <n v="2278"/>
    <n v="35"/>
    <s v="Male"/>
    <x v="5"/>
    <s v="Smart Watch"/>
    <n v="549.72"/>
    <x v="0"/>
    <s v="Card"/>
    <n v="2.4"/>
    <n v="18"/>
    <n v="4"/>
    <n v="450.77040000000005"/>
    <x v="4"/>
    <x v="0"/>
    <s v="Returning"/>
  </r>
  <r>
    <n v="2279"/>
    <n v="21"/>
    <s v="Male"/>
    <x v="5"/>
    <s v="Mobile Phone"/>
    <n v="2756.53"/>
    <x v="2"/>
    <s v="Card"/>
    <n v="3.4"/>
    <n v="4"/>
    <n v="2"/>
    <n v="2646.2688000000003"/>
    <x v="3"/>
    <x v="0"/>
    <s v="Returning"/>
  </r>
  <r>
    <n v="2280"/>
    <n v="44"/>
    <s v="Female"/>
    <x v="7"/>
    <s v="Sandals"/>
    <n v="189.21"/>
    <x v="3"/>
    <s v="Card"/>
    <n v="5"/>
    <n v="12"/>
    <n v="6"/>
    <n v="166.50480000000002"/>
    <x v="1"/>
    <x v="0"/>
    <s v="Returning"/>
  </r>
  <r>
    <n v="2281"/>
    <n v="47"/>
    <s v="Female"/>
    <x v="8"/>
    <s v="Top"/>
    <n v="110.42"/>
    <x v="0"/>
    <s v="Card"/>
    <n v="3.7"/>
    <n v="15"/>
    <n v="5"/>
    <n v="93.856999999999999"/>
    <x v="0"/>
    <x v="0"/>
    <s v="Returning"/>
  </r>
  <r>
    <n v="2282"/>
    <n v="24"/>
    <s v="Male"/>
    <x v="5"/>
    <s v="Mobile Phone"/>
    <n v="1152.0999999999999"/>
    <x v="3"/>
    <s v="Card"/>
    <n v="3.8"/>
    <n v="17"/>
    <n v="6"/>
    <n v="956.24299999999982"/>
    <x v="3"/>
    <x v="0"/>
    <s v="Returning"/>
  </r>
  <r>
    <n v="2283"/>
    <n v="56"/>
    <s v="Male"/>
    <x v="2"/>
    <s v="Dumbbells"/>
    <n v="114.65"/>
    <x v="1"/>
    <s v="Card"/>
    <n v="4"/>
    <n v="20"/>
    <n v="5"/>
    <n v="91.720000000000013"/>
    <x v="0"/>
    <x v="0"/>
    <s v="Returning"/>
  </r>
  <r>
    <n v="2284"/>
    <n v="42"/>
    <s v="Female"/>
    <x v="2"/>
    <s v="Yoga Mat"/>
    <n v="41.07"/>
    <x v="1"/>
    <s v="Cash on Delivery"/>
    <n v="4.0999999999999996"/>
    <n v="12"/>
    <n v="6"/>
    <n v="36.141600000000004"/>
    <x v="1"/>
    <x v="0"/>
    <s v="Returning"/>
  </r>
  <r>
    <n v="2285"/>
    <n v="61"/>
    <s v="Male"/>
    <x v="1"/>
    <s v="Shirt"/>
    <n v="74.099999999999994"/>
    <x v="0"/>
    <s v="Card"/>
    <n v="3.9"/>
    <n v="19"/>
    <n v="7"/>
    <n v="60.021000000000001"/>
    <x v="2"/>
    <x v="0"/>
    <s v="Returning"/>
  </r>
  <r>
    <n v="2286"/>
    <n v="53"/>
    <s v="Female"/>
    <x v="3"/>
    <s v="Kitchen Set"/>
    <n v="168.46"/>
    <x v="0"/>
    <s v="Card"/>
    <n v="3"/>
    <n v="21"/>
    <n v="8"/>
    <n v="133.08340000000001"/>
    <x v="0"/>
    <x v="0"/>
    <s v="Returning"/>
  </r>
  <r>
    <n v="2287"/>
    <n v="39"/>
    <s v="Male"/>
    <x v="5"/>
    <s v="Headphones"/>
    <n v="1717.63"/>
    <x v="0"/>
    <s v="Card"/>
    <n v="4.3"/>
    <n v="18"/>
    <n v="4"/>
    <n v="1408.4566000000002"/>
    <x v="1"/>
    <x v="0"/>
    <s v="Returning"/>
  </r>
  <r>
    <n v="2288"/>
    <n v="58"/>
    <s v="Female"/>
    <x v="0"/>
    <s v="Wallet"/>
    <n v="74.28"/>
    <x v="2"/>
    <s v="Cash on Delivery"/>
    <n v="5"/>
    <n v="18"/>
    <n v="4"/>
    <n v="60.909600000000005"/>
    <x v="0"/>
    <x v="0"/>
    <s v="Returning"/>
  </r>
  <r>
    <n v="2289"/>
    <n v="70"/>
    <s v="Female"/>
    <x v="4"/>
    <s v="Beverages"/>
    <n v="52.34"/>
    <x v="2"/>
    <s v="Card"/>
    <n v="3.8"/>
    <n v="18"/>
    <n v="4"/>
    <n v="42.918800000000005"/>
    <x v="2"/>
    <x v="0"/>
    <s v="Returning"/>
  </r>
  <r>
    <n v="2290"/>
    <n v="62"/>
    <s v="Male"/>
    <x v="1"/>
    <s v="Shirt"/>
    <n v="174.7"/>
    <x v="2"/>
    <s v="Card"/>
    <n v="4.2"/>
    <n v="10"/>
    <n v="5"/>
    <n v="157.22999999999999"/>
    <x v="2"/>
    <x v="0"/>
    <s v="Returning"/>
  </r>
  <r>
    <n v="2291"/>
    <n v="45"/>
    <s v="Male"/>
    <x v="2"/>
    <s v="Football"/>
    <n v="169.77"/>
    <x v="0"/>
    <s v="Card"/>
    <n v="4.5999999999999996"/>
    <n v="14"/>
    <n v="7"/>
    <n v="146.00220000000002"/>
    <x v="1"/>
    <x v="0"/>
    <s v="Returning"/>
  </r>
  <r>
    <n v="2292"/>
    <n v="60"/>
    <s v="Male"/>
    <x v="7"/>
    <s v="Sandals"/>
    <n v="70.959999999999994"/>
    <x v="1"/>
    <s v="Card"/>
    <n v="3.6"/>
    <n v="20"/>
    <n v="5"/>
    <n v="56.768000000000001"/>
    <x v="0"/>
    <x v="0"/>
    <s v="Returning"/>
  </r>
  <r>
    <n v="2293"/>
    <n v="68"/>
    <s v="Male"/>
    <x v="2"/>
    <s v="Football"/>
    <n v="177.66"/>
    <x v="3"/>
    <s v="Card"/>
    <n v="4.7"/>
    <n v="22"/>
    <n v="6"/>
    <n v="138.57480000000001"/>
    <x v="2"/>
    <x v="0"/>
    <s v="Returning"/>
  </r>
  <r>
    <n v="2294"/>
    <n v="58"/>
    <s v="Female"/>
    <x v="0"/>
    <s v="Handbag"/>
    <n v="114.19"/>
    <x v="1"/>
    <s v="Card"/>
    <n v="1.8"/>
    <n v="10"/>
    <n v="5"/>
    <n v="102.771"/>
    <x v="0"/>
    <x v="0"/>
    <s v="Returning"/>
  </r>
  <r>
    <n v="2295"/>
    <n v="66"/>
    <s v="Male"/>
    <x v="2"/>
    <s v="Yoga Mat"/>
    <n v="242.46"/>
    <x v="1"/>
    <s v="Card"/>
    <n v="3.9"/>
    <n v="12"/>
    <n v="6"/>
    <n v="213.3648"/>
    <x v="2"/>
    <x v="0"/>
    <s v="Returning"/>
  </r>
  <r>
    <n v="2296"/>
    <n v="51"/>
    <s v="Female"/>
    <x v="0"/>
    <s v="Wallet"/>
    <n v="140.91999999999999"/>
    <x v="1"/>
    <s v="Card"/>
    <n v="2.7"/>
    <n v="28"/>
    <n v="9"/>
    <n v="101.46239999999999"/>
    <x v="0"/>
    <x v="0"/>
    <s v="Returning"/>
  </r>
  <r>
    <n v="2297"/>
    <n v="55"/>
    <s v="Female"/>
    <x v="7"/>
    <s v="Sneakers"/>
    <n v="81.99"/>
    <x v="3"/>
    <s v="Cash on Delivery"/>
    <n v="4.7"/>
    <n v="18"/>
    <n v="9"/>
    <n v="67.231800000000007"/>
    <x v="0"/>
    <x v="0"/>
    <s v="Returning"/>
  </r>
  <r>
    <n v="2298"/>
    <n v="50"/>
    <s v="Male"/>
    <x v="7"/>
    <s v="Sandals"/>
    <n v="72.37"/>
    <x v="0"/>
    <s v="Card"/>
    <n v="4.2"/>
    <n v="12"/>
    <n v="6"/>
    <n v="63.685600000000001"/>
    <x v="0"/>
    <x v="0"/>
    <s v="Returning"/>
  </r>
  <r>
    <n v="2299"/>
    <n v="36"/>
    <s v="Female"/>
    <x v="7"/>
    <s v="Sandals"/>
    <n v="174.35"/>
    <x v="0"/>
    <s v="Card"/>
    <n v="4.2"/>
    <n v="16"/>
    <n v="3"/>
    <n v="146.45399999999998"/>
    <x v="1"/>
    <x v="0"/>
    <s v="Returning"/>
  </r>
  <r>
    <n v="2300"/>
    <n v="31"/>
    <s v="Male"/>
    <x v="1"/>
    <s v="Jeans"/>
    <n v="78.33"/>
    <x v="3"/>
    <s v="Cash on Delivery"/>
    <n v="3.5"/>
    <n v="18"/>
    <n v="9"/>
    <n v="64.23060000000001"/>
    <x v="4"/>
    <x v="0"/>
    <s v="Returning"/>
  </r>
  <r>
    <n v="2301"/>
    <n v="44"/>
    <s v="Female"/>
    <x v="6"/>
    <s v="Perfume"/>
    <n v="39.78"/>
    <x v="3"/>
    <s v="Cash on Delivery"/>
    <n v="3.2"/>
    <n v="14"/>
    <n v="2"/>
    <n v="34.210799999999999"/>
    <x v="1"/>
    <x v="0"/>
    <s v="Returning"/>
  </r>
  <r>
    <n v="2302"/>
    <n v="48"/>
    <s v="Male"/>
    <x v="1"/>
    <s v="Shirt"/>
    <n v="185.38"/>
    <x v="2"/>
    <s v="Card"/>
    <n v="4"/>
    <n v="21"/>
    <n v="8"/>
    <n v="146.4502"/>
    <x v="0"/>
    <x v="0"/>
    <s v="Returning"/>
  </r>
  <r>
    <n v="2303"/>
    <n v="56"/>
    <s v="Male"/>
    <x v="5"/>
    <s v="Laptop"/>
    <n v="1705.8"/>
    <x v="2"/>
    <s v="Card"/>
    <n v="4.4000000000000004"/>
    <n v="12"/>
    <n v="6"/>
    <n v="1501.104"/>
    <x v="0"/>
    <x v="0"/>
    <s v="Returning"/>
  </r>
  <r>
    <n v="2304"/>
    <n v="64"/>
    <s v="Female"/>
    <x v="3"/>
    <s v="Curtains"/>
    <n v="169.94"/>
    <x v="2"/>
    <s v="Card"/>
    <n v="4.5"/>
    <n v="11"/>
    <n v="3"/>
    <n v="151.2466"/>
    <x v="2"/>
    <x v="0"/>
    <s v="Returning"/>
  </r>
  <r>
    <n v="2305"/>
    <n v="61"/>
    <s v="Female"/>
    <x v="7"/>
    <s v="Formal Shoes"/>
    <n v="50"/>
    <x v="3"/>
    <s v="Cash on Delivery"/>
    <n v="3.8"/>
    <n v="15"/>
    <n v="5"/>
    <n v="42.5"/>
    <x v="2"/>
    <x v="0"/>
    <s v="Returning"/>
  </r>
  <r>
    <n v="2306"/>
    <n v="27"/>
    <s v="Female"/>
    <x v="8"/>
    <s v="Jeans"/>
    <n v="60.07"/>
    <x v="0"/>
    <s v="Cash on Delivery"/>
    <n v="4.2"/>
    <n v="13"/>
    <n v="4"/>
    <n v="52.260899999999999"/>
    <x v="4"/>
    <x v="0"/>
    <s v="Returning"/>
  </r>
  <r>
    <n v="2307"/>
    <n v="27"/>
    <s v="Female"/>
    <x v="0"/>
    <s v="Sunglasses"/>
    <n v="20.49"/>
    <x v="1"/>
    <s v="Card"/>
    <n v="4.7"/>
    <n v="19"/>
    <n v="7"/>
    <n v="16.596900000000002"/>
    <x v="4"/>
    <x v="0"/>
    <s v="Returning"/>
  </r>
  <r>
    <n v="2308"/>
    <n v="50"/>
    <s v="Female"/>
    <x v="0"/>
    <s v="Wallet"/>
    <n v="140.16"/>
    <x v="3"/>
    <s v="Card"/>
    <n v="4.5"/>
    <n v="9"/>
    <n v="2"/>
    <n v="127.54560000000001"/>
    <x v="0"/>
    <x v="0"/>
    <s v="Returning"/>
  </r>
  <r>
    <n v="2309"/>
    <n v="21"/>
    <s v="Female"/>
    <x v="6"/>
    <s v="Makeup Set"/>
    <n v="108.17"/>
    <x v="0"/>
    <s v="Card"/>
    <n v="4.5"/>
    <n v="12"/>
    <n v="6"/>
    <n v="95.189599999999999"/>
    <x v="3"/>
    <x v="0"/>
    <s v="Returning"/>
  </r>
  <r>
    <n v="2310"/>
    <n v="65"/>
    <s v="Male"/>
    <x v="2"/>
    <s v="Football"/>
    <n v="153.65"/>
    <x v="0"/>
    <s v="Card"/>
    <n v="2.9"/>
    <n v="23"/>
    <n v="9"/>
    <n v="118.3105"/>
    <x v="2"/>
    <x v="0"/>
    <s v="Returning"/>
  </r>
  <r>
    <n v="2311"/>
    <n v="68"/>
    <s v="Male"/>
    <x v="7"/>
    <s v="Sneakers"/>
    <n v="224.62"/>
    <x v="3"/>
    <s v="Card"/>
    <n v="3.9"/>
    <n v="4"/>
    <n v="2"/>
    <n v="215.6352"/>
    <x v="2"/>
    <x v="0"/>
    <s v="Returning"/>
  </r>
  <r>
    <n v="2312"/>
    <n v="45"/>
    <s v="Male"/>
    <x v="2"/>
    <s v="Football"/>
    <n v="111.02"/>
    <x v="2"/>
    <s v="Card"/>
    <n v="3.4"/>
    <n v="10"/>
    <n v="5"/>
    <n v="99.917999999999992"/>
    <x v="1"/>
    <x v="0"/>
    <s v="Returning"/>
  </r>
  <r>
    <n v="2313"/>
    <n v="34"/>
    <s v="Male"/>
    <x v="1"/>
    <s v="T-Shirt"/>
    <n v="149.08000000000001"/>
    <x v="3"/>
    <s v="Card"/>
    <n v="3.8"/>
    <n v="20"/>
    <n v="5"/>
    <n v="119.26400000000001"/>
    <x v="4"/>
    <x v="0"/>
    <s v="Returning"/>
  </r>
  <r>
    <n v="2314"/>
    <n v="25"/>
    <s v="Male"/>
    <x v="4"/>
    <s v="Snacks"/>
    <n v="13.2"/>
    <x v="0"/>
    <s v="Card"/>
    <n v="3.9"/>
    <n v="26"/>
    <n v="8"/>
    <n v="9.7679999999999989"/>
    <x v="3"/>
    <x v="0"/>
    <s v="Returning"/>
  </r>
  <r>
    <n v="2315"/>
    <n v="37"/>
    <s v="Male"/>
    <x v="3"/>
    <s v="Lamp"/>
    <n v="64.239999999999995"/>
    <x v="3"/>
    <s v="Card"/>
    <n v="3.6"/>
    <n v="4"/>
    <n v="2"/>
    <n v="61.670399999999994"/>
    <x v="1"/>
    <x v="0"/>
    <s v="Returning"/>
  </r>
  <r>
    <n v="2316"/>
    <n v="41"/>
    <s v="Male"/>
    <x v="2"/>
    <s v="Yoga Mat"/>
    <n v="124.84"/>
    <x v="0"/>
    <s v="Card"/>
    <n v="3.9"/>
    <n v="22"/>
    <n v="6"/>
    <n v="97.375200000000007"/>
    <x v="1"/>
    <x v="0"/>
    <s v="Returning"/>
  </r>
  <r>
    <n v="2317"/>
    <n v="68"/>
    <s v="Male"/>
    <x v="7"/>
    <s v="Sandals"/>
    <n v="102.27"/>
    <x v="3"/>
    <s v="Card"/>
    <n v="3.9"/>
    <n v="12"/>
    <n v="6"/>
    <n v="89.997599999999991"/>
    <x v="2"/>
    <x v="0"/>
    <s v="Returning"/>
  </r>
  <r>
    <n v="2318"/>
    <n v="46"/>
    <s v="Female"/>
    <x v="3"/>
    <s v="Curtains"/>
    <n v="186.17"/>
    <x v="1"/>
    <s v="Card"/>
    <n v="3.7"/>
    <n v="22"/>
    <n v="6"/>
    <n v="145.21260000000001"/>
    <x v="0"/>
    <x v="0"/>
    <s v="Returning"/>
  </r>
  <r>
    <n v="2319"/>
    <n v="39"/>
    <s v="Female"/>
    <x v="8"/>
    <s v="Top"/>
    <n v="143.51"/>
    <x v="3"/>
    <s v="Card"/>
    <n v="3.7"/>
    <n v="22"/>
    <n v="6"/>
    <n v="111.9378"/>
    <x v="1"/>
    <x v="0"/>
    <s v="Returning"/>
  </r>
  <r>
    <n v="2320"/>
    <n v="53"/>
    <s v="Male"/>
    <x v="7"/>
    <s v="Sneakers"/>
    <n v="97.72"/>
    <x v="0"/>
    <s v="Card"/>
    <n v="3.3"/>
    <n v="24"/>
    <n v="7"/>
    <n v="74.267200000000003"/>
    <x v="0"/>
    <x v="0"/>
    <s v="Returning"/>
  </r>
  <r>
    <n v="2321"/>
    <n v="47"/>
    <s v="Female"/>
    <x v="2"/>
    <s v="Football"/>
    <n v="212.99"/>
    <x v="0"/>
    <s v="Card"/>
    <n v="4.0999999999999996"/>
    <n v="15"/>
    <n v="5"/>
    <n v="181.04150000000001"/>
    <x v="0"/>
    <x v="0"/>
    <s v="Returning"/>
  </r>
  <r>
    <n v="2322"/>
    <n v="70"/>
    <s v="Female"/>
    <x v="0"/>
    <s v="Sunglasses"/>
    <n v="149.53"/>
    <x v="3"/>
    <s v="Card"/>
    <n v="3.8"/>
    <n v="8"/>
    <n v="4"/>
    <n v="137.5676"/>
    <x v="2"/>
    <x v="0"/>
    <s v="Returning"/>
  </r>
  <r>
    <n v="2323"/>
    <n v="27"/>
    <s v="Male"/>
    <x v="7"/>
    <s v="Sneakers"/>
    <n v="104.13"/>
    <x v="2"/>
    <s v="Card"/>
    <n v="3"/>
    <n v="19"/>
    <n v="7"/>
    <n v="84.345300000000009"/>
    <x v="4"/>
    <x v="0"/>
    <s v="Returning"/>
  </r>
  <r>
    <n v="2324"/>
    <n v="66"/>
    <s v="Male"/>
    <x v="7"/>
    <s v="Sneakers"/>
    <n v="86.86"/>
    <x v="1"/>
    <s v="Cash on Delivery"/>
    <n v="2.6"/>
    <n v="12"/>
    <n v="6"/>
    <n v="76.436800000000005"/>
    <x v="2"/>
    <x v="0"/>
    <s v="Returning"/>
  </r>
  <r>
    <n v="2325"/>
    <n v="50"/>
    <s v="Male"/>
    <x v="7"/>
    <s v="Sneakers"/>
    <n v="155.91999999999999"/>
    <x v="2"/>
    <s v="Card"/>
    <n v="2.6"/>
    <n v="6"/>
    <n v="3"/>
    <n v="146.56479999999999"/>
    <x v="0"/>
    <x v="0"/>
    <s v="Returning"/>
  </r>
  <r>
    <n v="2326"/>
    <n v="46"/>
    <s v="Female"/>
    <x v="6"/>
    <s v="Skincare Kit"/>
    <n v="42.37"/>
    <x v="3"/>
    <s v="Card"/>
    <n v="3.3"/>
    <n v="11"/>
    <n v="3"/>
    <n v="37.709299999999999"/>
    <x v="0"/>
    <x v="0"/>
    <s v="Returning"/>
  </r>
  <r>
    <n v="2327"/>
    <n v="34"/>
    <s v="Male"/>
    <x v="1"/>
    <s v="T-Shirt"/>
    <n v="55.77"/>
    <x v="0"/>
    <s v="Card"/>
    <n v="2.4"/>
    <n v="10"/>
    <n v="5"/>
    <n v="50.193000000000005"/>
    <x v="4"/>
    <x v="0"/>
    <s v="Returning"/>
  </r>
  <r>
    <n v="2328"/>
    <n v="35"/>
    <s v="Female"/>
    <x v="7"/>
    <s v="Sandals"/>
    <n v="202.39"/>
    <x v="2"/>
    <s v="Card"/>
    <n v="2.5"/>
    <n v="11"/>
    <n v="3"/>
    <n v="180.12709999999998"/>
    <x v="4"/>
    <x v="0"/>
    <s v="Returning"/>
  </r>
  <r>
    <n v="2329"/>
    <n v="30"/>
    <s v="Female"/>
    <x v="6"/>
    <s v="Makeup Set"/>
    <n v="146.26"/>
    <x v="2"/>
    <s v="Card"/>
    <n v="3.9"/>
    <n v="7"/>
    <n v="1"/>
    <n v="136.02179999999998"/>
    <x v="4"/>
    <x v="0"/>
    <s v="Returning"/>
  </r>
  <r>
    <n v="2330"/>
    <n v="64"/>
    <s v="Male"/>
    <x v="5"/>
    <s v="Headphones"/>
    <n v="1531.63"/>
    <x v="1"/>
    <s v="Card"/>
    <n v="4.0999999999999996"/>
    <n v="28"/>
    <n v="9"/>
    <n v="1102.7736"/>
    <x v="2"/>
    <x v="0"/>
    <s v="Returning"/>
  </r>
  <r>
    <n v="2331"/>
    <n v="42"/>
    <s v="Male"/>
    <x v="7"/>
    <s v="Sandals"/>
    <n v="53.4"/>
    <x v="3"/>
    <s v="Cash on Delivery"/>
    <n v="4.4000000000000004"/>
    <n v="16"/>
    <n v="3"/>
    <n v="44.855999999999995"/>
    <x v="1"/>
    <x v="0"/>
    <s v="Returning"/>
  </r>
  <r>
    <n v="2332"/>
    <n v="70"/>
    <s v="Male"/>
    <x v="3"/>
    <s v="Curtains"/>
    <n v="255.78"/>
    <x v="0"/>
    <s v="Card"/>
    <n v="2.9"/>
    <n v="20"/>
    <n v="5"/>
    <n v="204.62400000000002"/>
    <x v="2"/>
    <x v="0"/>
    <s v="Returning"/>
  </r>
  <r>
    <n v="2333"/>
    <n v="48"/>
    <s v="Female"/>
    <x v="8"/>
    <s v="Skirt"/>
    <n v="171.19"/>
    <x v="2"/>
    <s v="Card"/>
    <n v="3.8"/>
    <n v="14"/>
    <n v="7"/>
    <n v="147.2234"/>
    <x v="0"/>
    <x v="0"/>
    <s v="Returning"/>
  </r>
  <r>
    <n v="2334"/>
    <n v="43"/>
    <s v="Female"/>
    <x v="0"/>
    <s v="Handbag"/>
    <n v="38.450000000000003"/>
    <x v="2"/>
    <s v="Card"/>
    <n v="4.2"/>
    <n v="19"/>
    <n v="7"/>
    <n v="31.144500000000004"/>
    <x v="1"/>
    <x v="0"/>
    <s v="Returning"/>
  </r>
  <r>
    <n v="2335"/>
    <n v="68"/>
    <s v="Male"/>
    <x v="7"/>
    <s v="Formal Shoes"/>
    <n v="117.49"/>
    <x v="0"/>
    <s v="Card"/>
    <n v="4.3"/>
    <n v="19"/>
    <n v="7"/>
    <n v="95.166899999999998"/>
    <x v="2"/>
    <x v="0"/>
    <s v="Returning"/>
  </r>
  <r>
    <n v="2336"/>
    <n v="64"/>
    <s v="Male"/>
    <x v="4"/>
    <s v="Cooking Oil"/>
    <n v="8.3699999999999992"/>
    <x v="3"/>
    <s v="Cash on Delivery"/>
    <n v="4.4000000000000004"/>
    <n v="22"/>
    <n v="11"/>
    <n v="6.5286"/>
    <x v="2"/>
    <x v="0"/>
    <s v="Returning"/>
  </r>
  <r>
    <n v="2337"/>
    <n v="45"/>
    <s v="Male"/>
    <x v="1"/>
    <s v="Shirt"/>
    <n v="157.65"/>
    <x v="2"/>
    <s v="Card"/>
    <n v="2.7"/>
    <n v="15"/>
    <n v="5"/>
    <n v="134.0025"/>
    <x v="1"/>
    <x v="0"/>
    <s v="Returning"/>
  </r>
  <r>
    <n v="2338"/>
    <n v="37"/>
    <s v="Female"/>
    <x v="0"/>
    <s v="Sunglasses"/>
    <n v="172.44"/>
    <x v="3"/>
    <s v="Card"/>
    <n v="3.9"/>
    <n v="18"/>
    <n v="9"/>
    <n v="141.4008"/>
    <x v="1"/>
    <x v="0"/>
    <s v="Returning"/>
  </r>
  <r>
    <n v="2339"/>
    <n v="55"/>
    <s v="Female"/>
    <x v="0"/>
    <s v="Wallet"/>
    <n v="109.99"/>
    <x v="3"/>
    <s v="Card"/>
    <n v="3.8"/>
    <n v="6"/>
    <n v="3"/>
    <n v="103.39059999999999"/>
    <x v="0"/>
    <x v="0"/>
    <s v="Returning"/>
  </r>
  <r>
    <n v="2340"/>
    <n v="26"/>
    <s v="Male"/>
    <x v="7"/>
    <s v="Sandals"/>
    <n v="123.73"/>
    <x v="1"/>
    <s v="Card"/>
    <n v="3.3"/>
    <n v="23"/>
    <n v="9"/>
    <n v="95.272100000000009"/>
    <x v="4"/>
    <x v="0"/>
    <s v="Returning"/>
  </r>
  <r>
    <n v="2341"/>
    <n v="66"/>
    <s v="Female"/>
    <x v="6"/>
    <s v="Skincare Kit"/>
    <n v="102.25"/>
    <x v="1"/>
    <s v="Card"/>
    <n v="3.4"/>
    <n v="16"/>
    <n v="3"/>
    <n v="85.89"/>
    <x v="2"/>
    <x v="0"/>
    <s v="Returning"/>
  </r>
  <r>
    <n v="2342"/>
    <n v="49"/>
    <s v="Female"/>
    <x v="8"/>
    <s v="Dress"/>
    <n v="46.77"/>
    <x v="3"/>
    <s v="Cash on Delivery"/>
    <n v="4.4000000000000004"/>
    <n v="14"/>
    <n v="2"/>
    <n v="40.222200000000001"/>
    <x v="0"/>
    <x v="0"/>
    <s v="Returning"/>
  </r>
  <r>
    <n v="2343"/>
    <n v="52"/>
    <s v="Male"/>
    <x v="7"/>
    <s v="Sandals"/>
    <n v="107.99"/>
    <x v="2"/>
    <s v="Card"/>
    <n v="3.7"/>
    <n v="14"/>
    <n v="7"/>
    <n v="92.871399999999994"/>
    <x v="0"/>
    <x v="0"/>
    <s v="Returning"/>
  </r>
  <r>
    <n v="2344"/>
    <n v="57"/>
    <s v="Female"/>
    <x v="2"/>
    <s v="Yoga Mat"/>
    <n v="133.57"/>
    <x v="0"/>
    <s v="Card"/>
    <n v="3.8"/>
    <n v="24"/>
    <n v="7"/>
    <n v="101.5132"/>
    <x v="0"/>
    <x v="0"/>
    <s v="Returning"/>
  </r>
  <r>
    <n v="2345"/>
    <n v="66"/>
    <s v="Male"/>
    <x v="1"/>
    <s v="T-Shirt"/>
    <n v="95.73"/>
    <x v="2"/>
    <s v="Cash on Delivery"/>
    <n v="2.7"/>
    <n v="19"/>
    <n v="7"/>
    <n v="77.541300000000007"/>
    <x v="2"/>
    <x v="0"/>
    <s v="Returning"/>
  </r>
  <r>
    <n v="2346"/>
    <n v="55"/>
    <s v="Male"/>
    <x v="7"/>
    <s v="Sandals"/>
    <n v="97.58"/>
    <x v="1"/>
    <s v="Card"/>
    <n v="3.5"/>
    <n v="16"/>
    <n v="3"/>
    <n v="81.967199999999991"/>
    <x v="0"/>
    <x v="0"/>
    <s v="Returning"/>
  </r>
  <r>
    <n v="2347"/>
    <n v="34"/>
    <s v="Female"/>
    <x v="7"/>
    <s v="Sandals"/>
    <n v="46.66"/>
    <x v="0"/>
    <s v="Card"/>
    <n v="4.0999999999999996"/>
    <n v="15"/>
    <n v="5"/>
    <n v="39.660999999999994"/>
    <x v="4"/>
    <x v="0"/>
    <s v="Returning"/>
  </r>
  <r>
    <n v="2348"/>
    <n v="57"/>
    <s v="Female"/>
    <x v="8"/>
    <s v="Skirt"/>
    <n v="120.4"/>
    <x v="1"/>
    <s v="Card"/>
    <n v="3.5"/>
    <n v="18"/>
    <n v="4"/>
    <n v="98.728000000000009"/>
    <x v="0"/>
    <x v="0"/>
    <s v="Returning"/>
  </r>
  <r>
    <n v="2349"/>
    <n v="25"/>
    <s v="Female"/>
    <x v="4"/>
    <s v="Beverages"/>
    <n v="32.25"/>
    <x v="2"/>
    <s v="Cash on Delivery"/>
    <n v="3.5"/>
    <n v="15"/>
    <n v="5"/>
    <n v="27.412499999999998"/>
    <x v="3"/>
    <x v="0"/>
    <s v="Returning"/>
  </r>
  <r>
    <n v="2350"/>
    <n v="56"/>
    <s v="Female"/>
    <x v="6"/>
    <s v="Makeup Set"/>
    <n v="140.52000000000001"/>
    <x v="0"/>
    <s v="Card"/>
    <n v="3.7"/>
    <n v="6"/>
    <n v="3"/>
    <n v="132.08879999999999"/>
    <x v="0"/>
    <x v="0"/>
    <s v="Returning"/>
  </r>
  <r>
    <n v="2351"/>
    <n v="63"/>
    <s v="Male"/>
    <x v="1"/>
    <s v="T-Shirt"/>
    <n v="56.51"/>
    <x v="1"/>
    <s v="Card"/>
    <n v="3.4"/>
    <n v="13"/>
    <n v="4"/>
    <n v="49.163699999999999"/>
    <x v="2"/>
    <x v="0"/>
    <s v="Returning"/>
  </r>
  <r>
    <n v="2352"/>
    <n v="41"/>
    <s v="Male"/>
    <x v="5"/>
    <s v="Smart Watch"/>
    <n v="1053.68"/>
    <x v="3"/>
    <s v="Card"/>
    <n v="3.5"/>
    <n v="6"/>
    <n v="3"/>
    <n v="990.45920000000001"/>
    <x v="1"/>
    <x v="0"/>
    <s v="Returning"/>
  </r>
  <r>
    <n v="2353"/>
    <n v="57"/>
    <s v="Male"/>
    <x v="1"/>
    <s v="Shirt"/>
    <n v="147.72999999999999"/>
    <x v="2"/>
    <s v="Card"/>
    <n v="3.6"/>
    <n v="15"/>
    <n v="5"/>
    <n v="125.57049999999998"/>
    <x v="0"/>
    <x v="0"/>
    <s v="Returning"/>
  </r>
  <r>
    <n v="2354"/>
    <n v="29"/>
    <s v="Female"/>
    <x v="3"/>
    <s v="Curtains"/>
    <n v="58.79"/>
    <x v="0"/>
    <s v="Cash on Delivery"/>
    <n v="2.4"/>
    <n v="18"/>
    <n v="9"/>
    <n v="48.207800000000006"/>
    <x v="4"/>
    <x v="0"/>
    <s v="Returning"/>
  </r>
  <r>
    <n v="2355"/>
    <n v="52"/>
    <s v="Female"/>
    <x v="4"/>
    <s v="Rice Pack"/>
    <n v="17.37"/>
    <x v="2"/>
    <s v="Cash on Delivery"/>
    <n v="4.3"/>
    <n v="17"/>
    <n v="6"/>
    <n v="14.4171"/>
    <x v="0"/>
    <x v="0"/>
    <s v="Returning"/>
  </r>
  <r>
    <n v="2356"/>
    <n v="59"/>
    <s v="Female"/>
    <x v="0"/>
    <s v="Wallet"/>
    <n v="153.74"/>
    <x v="2"/>
    <s v="Card"/>
    <n v="4"/>
    <n v="15"/>
    <n v="5"/>
    <n v="130.679"/>
    <x v="0"/>
    <x v="0"/>
    <s v="Returning"/>
  </r>
  <r>
    <n v="2357"/>
    <n v="70"/>
    <s v="Male"/>
    <x v="4"/>
    <s v="Cooking Oil"/>
    <n v="22.29"/>
    <x v="2"/>
    <s v="Cash on Delivery"/>
    <n v="4.2"/>
    <n v="12"/>
    <n v="6"/>
    <n v="19.615199999999998"/>
    <x v="2"/>
    <x v="0"/>
    <s v="Returning"/>
  </r>
  <r>
    <n v="2358"/>
    <n v="50"/>
    <s v="Female"/>
    <x v="6"/>
    <s v="Makeup Set"/>
    <n v="29.51"/>
    <x v="1"/>
    <s v="Cash on Delivery"/>
    <n v="4.2"/>
    <n v="34"/>
    <n v="12"/>
    <n v="19.476599999999998"/>
    <x v="0"/>
    <x v="0"/>
    <s v="Returning"/>
  </r>
  <r>
    <n v="2359"/>
    <n v="24"/>
    <s v="Male"/>
    <x v="2"/>
    <s v="Yoga Mat"/>
    <n v="232.38"/>
    <x v="1"/>
    <s v="Card"/>
    <n v="4.7"/>
    <n v="22"/>
    <n v="6"/>
    <n v="181.25640000000001"/>
    <x v="3"/>
    <x v="0"/>
    <s v="Returning"/>
  </r>
  <r>
    <n v="2360"/>
    <n v="45"/>
    <s v="Female"/>
    <x v="2"/>
    <s v="Yoga Mat"/>
    <n v="107.39"/>
    <x v="1"/>
    <s v="Card"/>
    <n v="4.0999999999999996"/>
    <n v="12"/>
    <n v="6"/>
    <n v="94.503200000000007"/>
    <x v="1"/>
    <x v="0"/>
    <s v="Returning"/>
  </r>
  <r>
    <n v="2361"/>
    <n v="59"/>
    <s v="Female"/>
    <x v="0"/>
    <s v="Handbag"/>
    <n v="97.16"/>
    <x v="2"/>
    <s v="Cash on Delivery"/>
    <n v="2.9"/>
    <n v="17"/>
    <n v="6"/>
    <n v="80.642799999999994"/>
    <x v="0"/>
    <x v="0"/>
    <s v="Returning"/>
  </r>
  <r>
    <n v="2362"/>
    <n v="46"/>
    <s v="Male"/>
    <x v="2"/>
    <s v="Dumbbells"/>
    <n v="173.47"/>
    <x v="1"/>
    <s v="Card"/>
    <n v="4"/>
    <n v="24"/>
    <n v="7"/>
    <n v="131.8372"/>
    <x v="0"/>
    <x v="0"/>
    <s v="Returning"/>
  </r>
  <r>
    <n v="2363"/>
    <n v="42"/>
    <s v="Female"/>
    <x v="7"/>
    <s v="Formal Shoes"/>
    <n v="119.21"/>
    <x v="3"/>
    <s v="Card"/>
    <n v="2.7"/>
    <n v="6"/>
    <n v="3"/>
    <n v="112.05739999999999"/>
    <x v="1"/>
    <x v="0"/>
    <s v="Returning"/>
  </r>
  <r>
    <n v="2364"/>
    <n v="56"/>
    <s v="Male"/>
    <x v="2"/>
    <s v="Yoga Mat"/>
    <n v="39.86"/>
    <x v="2"/>
    <s v="Card"/>
    <n v="2.9"/>
    <n v="4"/>
    <n v="2"/>
    <n v="38.265599999999999"/>
    <x v="0"/>
    <x v="0"/>
    <s v="Returning"/>
  </r>
  <r>
    <n v="2365"/>
    <n v="22"/>
    <s v="Male"/>
    <x v="5"/>
    <s v="Smart Watch"/>
    <n v="504.91"/>
    <x v="3"/>
    <s v="Card"/>
    <n v="3.8"/>
    <n v="15"/>
    <n v="5"/>
    <n v="429.17349999999999"/>
    <x v="3"/>
    <x v="0"/>
    <s v="Returning"/>
  </r>
  <r>
    <n v="2366"/>
    <n v="45"/>
    <s v="Male"/>
    <x v="7"/>
    <s v="Sneakers"/>
    <n v="96.52"/>
    <x v="1"/>
    <s v="Cash on Delivery"/>
    <n v="3.3"/>
    <n v="11"/>
    <n v="3"/>
    <n v="85.902799999999999"/>
    <x v="1"/>
    <x v="0"/>
    <s v="Returning"/>
  </r>
  <r>
    <n v="2367"/>
    <n v="34"/>
    <s v="Male"/>
    <x v="7"/>
    <s v="Formal Shoes"/>
    <n v="109.16"/>
    <x v="1"/>
    <s v="Card"/>
    <n v="3.7"/>
    <n v="13"/>
    <n v="4"/>
    <n v="94.969200000000001"/>
    <x v="4"/>
    <x v="0"/>
    <s v="Returning"/>
  </r>
  <r>
    <n v="2368"/>
    <n v="69"/>
    <s v="Female"/>
    <x v="0"/>
    <s v="Wallet"/>
    <n v="145.25"/>
    <x v="2"/>
    <s v="Card"/>
    <n v="4.7"/>
    <n v="11"/>
    <n v="3"/>
    <n v="129.27250000000001"/>
    <x v="2"/>
    <x v="0"/>
    <s v="Returning"/>
  </r>
  <r>
    <n v="2369"/>
    <n v="57"/>
    <s v="Female"/>
    <x v="8"/>
    <s v="Top"/>
    <n v="193.36"/>
    <x v="3"/>
    <s v="Card"/>
    <n v="3.8"/>
    <n v="20"/>
    <n v="5"/>
    <n v="154.68800000000002"/>
    <x v="0"/>
    <x v="0"/>
    <s v="Returning"/>
  </r>
  <r>
    <n v="2370"/>
    <n v="36"/>
    <s v="Male"/>
    <x v="7"/>
    <s v="Sandals"/>
    <n v="116.93"/>
    <x v="0"/>
    <s v="Card"/>
    <n v="4.8"/>
    <n v="32"/>
    <n v="11"/>
    <n v="79.5124"/>
    <x v="1"/>
    <x v="0"/>
    <s v="Returning"/>
  </r>
  <r>
    <n v="2371"/>
    <n v="53"/>
    <s v="Female"/>
    <x v="0"/>
    <s v="Sunglasses"/>
    <n v="152.31"/>
    <x v="2"/>
    <s v="Card"/>
    <n v="4.7"/>
    <n v="18"/>
    <n v="4"/>
    <n v="124.89420000000001"/>
    <x v="0"/>
    <x v="0"/>
    <s v="Returning"/>
  </r>
  <r>
    <n v="2372"/>
    <n v="27"/>
    <s v="Male"/>
    <x v="2"/>
    <s v="Yoga Mat"/>
    <n v="52.75"/>
    <x v="1"/>
    <s v="Card"/>
    <n v="3.8"/>
    <n v="19"/>
    <n v="7"/>
    <n v="42.727500000000006"/>
    <x v="4"/>
    <x v="0"/>
    <s v="Returning"/>
  </r>
  <r>
    <n v="2373"/>
    <n v="49"/>
    <s v="Female"/>
    <x v="6"/>
    <s v="Skincare Kit"/>
    <n v="141.08000000000001"/>
    <x v="3"/>
    <s v="Card"/>
    <n v="4.5"/>
    <n v="23"/>
    <n v="9"/>
    <n v="108.63160000000001"/>
    <x v="0"/>
    <x v="0"/>
    <s v="Returning"/>
  </r>
  <r>
    <n v="2374"/>
    <n v="45"/>
    <s v="Female"/>
    <x v="4"/>
    <s v="Snacks"/>
    <n v="79"/>
    <x v="1"/>
    <s v="Cash on Delivery"/>
    <n v="3.1"/>
    <n v="11"/>
    <n v="3"/>
    <n v="70.31"/>
    <x v="1"/>
    <x v="0"/>
    <s v="Returning"/>
  </r>
  <r>
    <n v="2375"/>
    <n v="58"/>
    <s v="Female"/>
    <x v="3"/>
    <s v="Curtains"/>
    <n v="53.86"/>
    <x v="1"/>
    <s v="Card"/>
    <n v="4"/>
    <n v="8"/>
    <n v="4"/>
    <n v="49.551200000000001"/>
    <x v="0"/>
    <x v="0"/>
    <s v="Returning"/>
  </r>
  <r>
    <n v="2376"/>
    <n v="57"/>
    <s v="Male"/>
    <x v="2"/>
    <s v="Dumbbells"/>
    <n v="143.78"/>
    <x v="3"/>
    <s v="Card"/>
    <n v="3.1"/>
    <n v="8"/>
    <n v="4"/>
    <n v="132.27760000000001"/>
    <x v="0"/>
    <x v="0"/>
    <s v="Returning"/>
  </r>
  <r>
    <n v="2377"/>
    <n v="50"/>
    <s v="Female"/>
    <x v="7"/>
    <s v="Sandals"/>
    <n v="225.05"/>
    <x v="3"/>
    <s v="Card"/>
    <n v="3.8"/>
    <n v="11"/>
    <n v="3"/>
    <n v="200.2945"/>
    <x v="0"/>
    <x v="0"/>
    <s v="Returning"/>
  </r>
  <r>
    <n v="2378"/>
    <n v="26"/>
    <s v="Male"/>
    <x v="2"/>
    <s v="Dumbbells"/>
    <n v="180.74"/>
    <x v="1"/>
    <s v="Card"/>
    <n v="4.2"/>
    <n v="32"/>
    <n v="11"/>
    <n v="122.9032"/>
    <x v="4"/>
    <x v="0"/>
    <s v="Returning"/>
  </r>
  <r>
    <n v="2379"/>
    <n v="31"/>
    <s v="Male"/>
    <x v="2"/>
    <s v="Football"/>
    <n v="197.61"/>
    <x v="0"/>
    <s v="Card"/>
    <n v="3.5"/>
    <n v="12"/>
    <n v="6"/>
    <n v="173.89680000000001"/>
    <x v="4"/>
    <x v="0"/>
    <s v="Returning"/>
  </r>
  <r>
    <n v="2380"/>
    <n v="59"/>
    <s v="Female"/>
    <x v="8"/>
    <s v="Top"/>
    <n v="192.86"/>
    <x v="1"/>
    <s v="Card"/>
    <n v="4.2"/>
    <n v="18"/>
    <n v="4"/>
    <n v="158.14520000000002"/>
    <x v="0"/>
    <x v="0"/>
    <s v="Returning"/>
  </r>
  <r>
    <n v="2381"/>
    <n v="36"/>
    <s v="Female"/>
    <x v="8"/>
    <s v="Dress"/>
    <n v="71.03"/>
    <x v="3"/>
    <s v="Card"/>
    <n v="4.8"/>
    <n v="22"/>
    <n v="6"/>
    <n v="55.403400000000005"/>
    <x v="1"/>
    <x v="0"/>
    <s v="Returning"/>
  </r>
  <r>
    <n v="2382"/>
    <n v="37"/>
    <s v="Female"/>
    <x v="6"/>
    <s v="Perfume"/>
    <n v="90.69"/>
    <x v="0"/>
    <s v="Card"/>
    <n v="4.3"/>
    <n v="10"/>
    <n v="0"/>
    <n v="81.620999999999995"/>
    <x v="1"/>
    <x v="0"/>
    <s v="New"/>
  </r>
  <r>
    <n v="2383"/>
    <n v="60"/>
    <s v="Female"/>
    <x v="6"/>
    <s v="Skincare Kit"/>
    <n v="75.290000000000006"/>
    <x v="1"/>
    <s v="Card"/>
    <n v="5"/>
    <n v="20"/>
    <n v="5"/>
    <n v="60.232000000000006"/>
    <x v="0"/>
    <x v="0"/>
    <s v="Returning"/>
  </r>
  <r>
    <n v="2384"/>
    <n v="27"/>
    <s v="Male"/>
    <x v="1"/>
    <s v="Jacket"/>
    <n v="62.41"/>
    <x v="1"/>
    <s v="Cash on Delivery"/>
    <n v="2.9"/>
    <n v="13"/>
    <n v="4"/>
    <n v="54.296699999999994"/>
    <x v="4"/>
    <x v="0"/>
    <s v="Returning"/>
  </r>
  <r>
    <n v="2385"/>
    <n v="65"/>
    <s v="Male"/>
    <x v="1"/>
    <s v="Jacket"/>
    <n v="169.17"/>
    <x v="0"/>
    <s v="Card"/>
    <n v="3.8"/>
    <n v="10"/>
    <n v="5"/>
    <n v="152.25299999999999"/>
    <x v="2"/>
    <x v="0"/>
    <s v="Returning"/>
  </r>
  <r>
    <n v="2386"/>
    <n v="39"/>
    <s v="Male"/>
    <x v="5"/>
    <s v="Mobile Phone"/>
    <n v="2886.67"/>
    <x v="3"/>
    <s v="Card"/>
    <n v="3.6"/>
    <n v="19"/>
    <n v="7"/>
    <n v="2338.2027000000003"/>
    <x v="1"/>
    <x v="0"/>
    <s v="Returning"/>
  </r>
  <r>
    <n v="2387"/>
    <n v="60"/>
    <s v="Male"/>
    <x v="7"/>
    <s v="Sneakers"/>
    <n v="144.37"/>
    <x v="2"/>
    <s v="Card"/>
    <n v="4.4000000000000004"/>
    <n v="18"/>
    <n v="4"/>
    <n v="118.38340000000001"/>
    <x v="0"/>
    <x v="0"/>
    <s v="Returning"/>
  </r>
  <r>
    <n v="2388"/>
    <n v="56"/>
    <s v="Male"/>
    <x v="4"/>
    <s v="Cooking Oil"/>
    <n v="23.35"/>
    <x v="2"/>
    <s v="Card"/>
    <n v="4.9000000000000004"/>
    <n v="17"/>
    <n v="6"/>
    <n v="19.380500000000001"/>
    <x v="0"/>
    <x v="0"/>
    <s v="Returning"/>
  </r>
  <r>
    <n v="2389"/>
    <n v="32"/>
    <s v="Male"/>
    <x v="1"/>
    <s v="Jeans"/>
    <n v="191.09"/>
    <x v="3"/>
    <s v="Card"/>
    <n v="4.2"/>
    <n v="14"/>
    <n v="7"/>
    <n v="164.3374"/>
    <x v="4"/>
    <x v="0"/>
    <s v="Returning"/>
  </r>
  <r>
    <n v="2390"/>
    <n v="47"/>
    <s v="Female"/>
    <x v="7"/>
    <s v="Formal Shoes"/>
    <n v="69.52"/>
    <x v="3"/>
    <s v="Cash on Delivery"/>
    <n v="3.2"/>
    <n v="20"/>
    <n v="5"/>
    <n v="55.616"/>
    <x v="0"/>
    <x v="0"/>
    <s v="Returning"/>
  </r>
  <r>
    <n v="2391"/>
    <n v="55"/>
    <s v="Male"/>
    <x v="1"/>
    <s v="Jeans"/>
    <n v="119.06"/>
    <x v="0"/>
    <s v="Card"/>
    <n v="3.6"/>
    <n v="8"/>
    <n v="4"/>
    <n v="109.5352"/>
    <x v="0"/>
    <x v="0"/>
    <s v="Returning"/>
  </r>
  <r>
    <n v="2392"/>
    <n v="52"/>
    <s v="Female"/>
    <x v="6"/>
    <s v="Makeup Set"/>
    <n v="64.56"/>
    <x v="2"/>
    <s v="Card"/>
    <n v="3.2"/>
    <n v="12"/>
    <n v="6"/>
    <n v="56.812800000000003"/>
    <x v="0"/>
    <x v="0"/>
    <s v="Returning"/>
  </r>
  <r>
    <n v="2393"/>
    <n v="59"/>
    <s v="Female"/>
    <x v="7"/>
    <s v="Sneakers"/>
    <n v="90.14"/>
    <x v="1"/>
    <s v="Cash on Delivery"/>
    <n v="3.9"/>
    <n v="11"/>
    <n v="3"/>
    <n v="80.224599999999995"/>
    <x v="0"/>
    <x v="0"/>
    <s v="Returning"/>
  </r>
  <r>
    <n v="2394"/>
    <n v="32"/>
    <s v="Male"/>
    <x v="5"/>
    <s v="Headphones"/>
    <n v="1690.64"/>
    <x v="1"/>
    <s v="Card"/>
    <n v="4.5999999999999996"/>
    <n v="18"/>
    <n v="4"/>
    <n v="1386.3248000000001"/>
    <x v="4"/>
    <x v="0"/>
    <s v="Returning"/>
  </r>
  <r>
    <n v="2395"/>
    <n v="60"/>
    <s v="Female"/>
    <x v="7"/>
    <s v="Sandals"/>
    <n v="136.97"/>
    <x v="3"/>
    <s v="Card"/>
    <n v="4.5"/>
    <n v="11"/>
    <n v="3"/>
    <n v="121.9033"/>
    <x v="0"/>
    <x v="0"/>
    <s v="Returning"/>
  </r>
  <r>
    <n v="2396"/>
    <n v="66"/>
    <s v="Male"/>
    <x v="3"/>
    <s v="Lamp"/>
    <n v="116.48"/>
    <x v="1"/>
    <s v="Card"/>
    <n v="5"/>
    <n v="24"/>
    <n v="12"/>
    <n v="88.524799999999999"/>
    <x v="2"/>
    <x v="0"/>
    <s v="Returning"/>
  </r>
  <r>
    <n v="2397"/>
    <n v="22"/>
    <s v="Male"/>
    <x v="5"/>
    <s v="Mobile Phone"/>
    <n v="503.66"/>
    <x v="2"/>
    <s v="Card"/>
    <n v="2.8"/>
    <n v="14"/>
    <n v="7"/>
    <n v="433.14760000000001"/>
    <x v="3"/>
    <x v="0"/>
    <s v="Returning"/>
  </r>
  <r>
    <n v="2398"/>
    <n v="21"/>
    <s v="Female"/>
    <x v="7"/>
    <s v="Sneakers"/>
    <n v="176.14"/>
    <x v="0"/>
    <s v="Card"/>
    <n v="3.6"/>
    <n v="26"/>
    <n v="8"/>
    <n v="130.34359999999998"/>
    <x v="3"/>
    <x v="0"/>
    <s v="Returning"/>
  </r>
  <r>
    <n v="2399"/>
    <n v="61"/>
    <s v="Female"/>
    <x v="7"/>
    <s v="Formal Shoes"/>
    <n v="202.84"/>
    <x v="1"/>
    <s v="Card"/>
    <n v="3.2"/>
    <n v="10"/>
    <n v="5"/>
    <n v="182.55600000000001"/>
    <x v="2"/>
    <x v="0"/>
    <s v="Returning"/>
  </r>
  <r>
    <n v="2400"/>
    <n v="45"/>
    <s v="Male"/>
    <x v="7"/>
    <s v="Sandals"/>
    <n v="95.24"/>
    <x v="2"/>
    <s v="Cash on Delivery"/>
    <n v="4.5999999999999996"/>
    <n v="11"/>
    <n v="3"/>
    <n v="84.763599999999997"/>
    <x v="1"/>
    <x v="0"/>
    <s v="Returning"/>
  </r>
  <r>
    <n v="2401"/>
    <n v="59"/>
    <s v="Female"/>
    <x v="8"/>
    <s v="Top"/>
    <n v="188.01"/>
    <x v="2"/>
    <s v="Card"/>
    <n v="2.8"/>
    <n v="12"/>
    <n v="6"/>
    <n v="165.44880000000001"/>
    <x v="0"/>
    <x v="0"/>
    <s v="Returning"/>
  </r>
  <r>
    <n v="2402"/>
    <n v="50"/>
    <s v="Male"/>
    <x v="4"/>
    <s v="Beverages"/>
    <n v="11.64"/>
    <x v="3"/>
    <s v="Cash on Delivery"/>
    <n v="2.8"/>
    <n v="2"/>
    <n v="1"/>
    <n v="11.4072"/>
    <x v="0"/>
    <x v="0"/>
    <s v="Returning"/>
  </r>
  <r>
    <n v="2403"/>
    <n v="61"/>
    <s v="Male"/>
    <x v="4"/>
    <s v="Beverages"/>
    <n v="49.05"/>
    <x v="3"/>
    <s v="Card"/>
    <n v="2.7"/>
    <n v="22"/>
    <n v="6"/>
    <n v="38.259"/>
    <x v="2"/>
    <x v="0"/>
    <s v="Returning"/>
  </r>
  <r>
    <n v="2404"/>
    <n v="36"/>
    <s v="Female"/>
    <x v="2"/>
    <s v="Yoga Mat"/>
    <n v="51.28"/>
    <x v="1"/>
    <s v="Card"/>
    <n v="4.5"/>
    <n v="22"/>
    <n v="6"/>
    <n v="39.998400000000004"/>
    <x v="1"/>
    <x v="0"/>
    <s v="Returning"/>
  </r>
  <r>
    <n v="2405"/>
    <n v="45"/>
    <s v="Male"/>
    <x v="7"/>
    <s v="Sneakers"/>
    <n v="53.31"/>
    <x v="3"/>
    <s v="Cash on Delivery"/>
    <n v="3.8"/>
    <n v="20"/>
    <n v="5"/>
    <n v="42.648000000000003"/>
    <x v="1"/>
    <x v="0"/>
    <s v="Returning"/>
  </r>
  <r>
    <n v="2406"/>
    <n v="23"/>
    <s v="Male"/>
    <x v="7"/>
    <s v="Sandals"/>
    <n v="70.92"/>
    <x v="3"/>
    <s v="Card"/>
    <n v="2.8"/>
    <n v="24"/>
    <n v="7"/>
    <n v="53.8992"/>
    <x v="3"/>
    <x v="0"/>
    <s v="Returning"/>
  </r>
  <r>
    <n v="2407"/>
    <n v="66"/>
    <s v="Female"/>
    <x v="3"/>
    <s v="Lamp"/>
    <n v="245.8"/>
    <x v="2"/>
    <s v="Card"/>
    <n v="3.1"/>
    <n v="14"/>
    <n v="7"/>
    <n v="211.38800000000001"/>
    <x v="2"/>
    <x v="0"/>
    <s v="Returning"/>
  </r>
  <r>
    <n v="2408"/>
    <n v="62"/>
    <s v="Male"/>
    <x v="7"/>
    <s v="Sandals"/>
    <n v="111.93"/>
    <x v="3"/>
    <s v="Card"/>
    <n v="2.2999999999999998"/>
    <n v="10"/>
    <n v="5"/>
    <n v="100.73700000000001"/>
    <x v="2"/>
    <x v="0"/>
    <s v="Returning"/>
  </r>
  <r>
    <n v="2409"/>
    <n v="33"/>
    <s v="Male"/>
    <x v="1"/>
    <s v="T-Shirt"/>
    <n v="81.37"/>
    <x v="3"/>
    <s v="Cash on Delivery"/>
    <n v="4.2"/>
    <n v="18"/>
    <n v="4"/>
    <n v="66.723400000000012"/>
    <x v="4"/>
    <x v="0"/>
    <s v="Returning"/>
  </r>
  <r>
    <n v="2410"/>
    <n v="64"/>
    <s v="Female"/>
    <x v="6"/>
    <s v="Makeup Set"/>
    <n v="49.12"/>
    <x v="0"/>
    <s v="Cash on Delivery"/>
    <n v="3.6"/>
    <n v="19"/>
    <n v="7"/>
    <n v="39.787199999999999"/>
    <x v="2"/>
    <x v="0"/>
    <s v="Returning"/>
  </r>
  <r>
    <n v="2411"/>
    <n v="34"/>
    <s v="Female"/>
    <x v="0"/>
    <s v="Handbag"/>
    <n v="23.82"/>
    <x v="2"/>
    <s v="Card"/>
    <n v="4.5999999999999996"/>
    <n v="24"/>
    <n v="7"/>
    <n v="18.103200000000001"/>
    <x v="4"/>
    <x v="0"/>
    <s v="Returning"/>
  </r>
  <r>
    <n v="2412"/>
    <n v="41"/>
    <s v="Male"/>
    <x v="3"/>
    <s v="Curtains"/>
    <n v="295.39"/>
    <x v="0"/>
    <s v="Card"/>
    <n v="3.8"/>
    <n v="6"/>
    <n v="3"/>
    <n v="277.66659999999996"/>
    <x v="1"/>
    <x v="0"/>
    <s v="Returning"/>
  </r>
  <r>
    <n v="2413"/>
    <n v="62"/>
    <s v="Female"/>
    <x v="8"/>
    <s v="Dress"/>
    <n v="191.31"/>
    <x v="2"/>
    <s v="Card"/>
    <n v="3.6"/>
    <n v="12"/>
    <n v="6"/>
    <n v="168.3528"/>
    <x v="2"/>
    <x v="0"/>
    <s v="Returning"/>
  </r>
  <r>
    <n v="2414"/>
    <n v="63"/>
    <s v="Female"/>
    <x v="7"/>
    <s v="Sandals"/>
    <n v="75.31"/>
    <x v="0"/>
    <s v="Cash on Delivery"/>
    <n v="4"/>
    <n v="22"/>
    <n v="11"/>
    <n v="58.741800000000005"/>
    <x v="2"/>
    <x v="0"/>
    <s v="Returning"/>
  </r>
  <r>
    <n v="2415"/>
    <n v="65"/>
    <s v="Male"/>
    <x v="1"/>
    <s v="T-Shirt"/>
    <n v="191.04"/>
    <x v="0"/>
    <s v="Card"/>
    <n v="4.2"/>
    <n v="16"/>
    <n v="3"/>
    <n v="160.47359999999998"/>
    <x v="2"/>
    <x v="0"/>
    <s v="Returning"/>
  </r>
  <r>
    <n v="2416"/>
    <n v="44"/>
    <s v="Female"/>
    <x v="6"/>
    <s v="Makeup Set"/>
    <n v="68.39"/>
    <x v="3"/>
    <s v="Cash on Delivery"/>
    <n v="3.2"/>
    <n v="15"/>
    <n v="5"/>
    <n v="58.131499999999996"/>
    <x v="1"/>
    <x v="0"/>
    <s v="Returning"/>
  </r>
  <r>
    <n v="2417"/>
    <n v="53"/>
    <s v="Male"/>
    <x v="7"/>
    <s v="Sneakers"/>
    <n v="192.28"/>
    <x v="1"/>
    <s v="Card"/>
    <n v="3.7"/>
    <n v="14"/>
    <n v="7"/>
    <n v="165.36080000000001"/>
    <x v="0"/>
    <x v="0"/>
    <s v="Returning"/>
  </r>
  <r>
    <n v="2418"/>
    <n v="40"/>
    <s v="Male"/>
    <x v="7"/>
    <s v="Formal Shoes"/>
    <n v="236.78"/>
    <x v="1"/>
    <s v="Card"/>
    <n v="4.0999999999999996"/>
    <n v="22"/>
    <n v="6"/>
    <n v="184.6884"/>
    <x v="1"/>
    <x v="0"/>
    <s v="Returning"/>
  </r>
  <r>
    <n v="2419"/>
    <n v="31"/>
    <s v="Female"/>
    <x v="4"/>
    <s v="Beverages"/>
    <n v="52.19"/>
    <x v="2"/>
    <s v="Cash on Delivery"/>
    <n v="5"/>
    <n v="2"/>
    <n v="1"/>
    <n v="51.1462"/>
    <x v="4"/>
    <x v="0"/>
    <s v="Returning"/>
  </r>
  <r>
    <n v="2420"/>
    <n v="46"/>
    <s v="Female"/>
    <x v="6"/>
    <s v="Skincare Kit"/>
    <n v="63.26"/>
    <x v="0"/>
    <s v="Cash on Delivery"/>
    <n v="4.2"/>
    <n v="22"/>
    <n v="6"/>
    <n v="49.342799999999997"/>
    <x v="0"/>
    <x v="0"/>
    <s v="Returning"/>
  </r>
  <r>
    <n v="2421"/>
    <n v="43"/>
    <s v="Female"/>
    <x v="6"/>
    <s v="Perfume"/>
    <n v="57.97"/>
    <x v="3"/>
    <s v="Cash on Delivery"/>
    <n v="4.8"/>
    <n v="20"/>
    <n v="5"/>
    <n v="46.376000000000005"/>
    <x v="1"/>
    <x v="0"/>
    <s v="Returning"/>
  </r>
  <r>
    <n v="2422"/>
    <n v="58"/>
    <s v="Male"/>
    <x v="5"/>
    <s v="Mobile Phone"/>
    <n v="2430.6"/>
    <x v="0"/>
    <s v="Card"/>
    <n v="3.1"/>
    <n v="6"/>
    <n v="3"/>
    <n v="2284.7639999999997"/>
    <x v="0"/>
    <x v="0"/>
    <s v="Returning"/>
  </r>
  <r>
    <n v="2423"/>
    <n v="63"/>
    <s v="Male"/>
    <x v="3"/>
    <s v="Kitchen Set"/>
    <n v="50.59"/>
    <x v="1"/>
    <s v="Cash on Delivery"/>
    <n v="3.2"/>
    <n v="6"/>
    <n v="3"/>
    <n v="47.554600000000001"/>
    <x v="2"/>
    <x v="0"/>
    <s v="Returning"/>
  </r>
  <r>
    <n v="2424"/>
    <n v="31"/>
    <s v="Male"/>
    <x v="5"/>
    <s v="Mobile Phone"/>
    <n v="2025.94"/>
    <x v="3"/>
    <s v="Card"/>
    <n v="3.8"/>
    <n v="18"/>
    <n v="9"/>
    <n v="1661.2708000000002"/>
    <x v="4"/>
    <x v="0"/>
    <s v="Returning"/>
  </r>
  <r>
    <n v="2425"/>
    <n v="29"/>
    <s v="Male"/>
    <x v="2"/>
    <s v="Yoga Mat"/>
    <n v="217.27"/>
    <x v="1"/>
    <s v="Card"/>
    <n v="4.5"/>
    <n v="18"/>
    <n v="4"/>
    <n v="178.16140000000001"/>
    <x v="4"/>
    <x v="0"/>
    <s v="Returning"/>
  </r>
  <r>
    <n v="2426"/>
    <n v="61"/>
    <s v="Female"/>
    <x v="6"/>
    <s v="Skincare Kit"/>
    <n v="81.17"/>
    <x v="1"/>
    <s v="Cash on Delivery"/>
    <n v="3.7"/>
    <n v="18"/>
    <n v="4"/>
    <n v="66.559400000000011"/>
    <x v="2"/>
    <x v="0"/>
    <s v="Returning"/>
  </r>
  <r>
    <n v="2427"/>
    <n v="22"/>
    <s v="Female"/>
    <x v="2"/>
    <s v="Yoga Mat"/>
    <n v="88.1"/>
    <x v="1"/>
    <s v="Cash on Delivery"/>
    <n v="3.3"/>
    <n v="25"/>
    <n v="10"/>
    <n v="66.074999999999989"/>
    <x v="3"/>
    <x v="0"/>
    <s v="Returning"/>
  </r>
  <r>
    <n v="2428"/>
    <n v="45"/>
    <s v="Female"/>
    <x v="8"/>
    <s v="Jeans"/>
    <n v="174.75"/>
    <x v="0"/>
    <s v="Card"/>
    <n v="3.5"/>
    <n v="14"/>
    <n v="2"/>
    <n v="150.285"/>
    <x v="1"/>
    <x v="0"/>
    <s v="Returning"/>
  </r>
  <r>
    <n v="2429"/>
    <n v="39"/>
    <s v="Male"/>
    <x v="4"/>
    <s v="Rice Pack"/>
    <n v="56.99"/>
    <x v="0"/>
    <s v="Cash on Delivery"/>
    <n v="3.3"/>
    <n v="25"/>
    <n v="10"/>
    <n v="42.7425"/>
    <x v="1"/>
    <x v="0"/>
    <s v="Returning"/>
  </r>
  <r>
    <n v="2430"/>
    <n v="20"/>
    <s v="Female"/>
    <x v="8"/>
    <s v="Top"/>
    <n v="95.46"/>
    <x v="0"/>
    <s v="Cash on Delivery"/>
    <n v="4.5"/>
    <n v="23"/>
    <n v="9"/>
    <n v="73.504199999999997"/>
    <x v="3"/>
    <x v="0"/>
    <s v="Returning"/>
  </r>
  <r>
    <n v="2431"/>
    <n v="22"/>
    <s v="Male"/>
    <x v="2"/>
    <s v="Dumbbells"/>
    <n v="108.86"/>
    <x v="1"/>
    <s v="Card"/>
    <n v="3.6"/>
    <n v="15"/>
    <n v="5"/>
    <n v="92.530999999999992"/>
    <x v="3"/>
    <x v="0"/>
    <s v="Returning"/>
  </r>
  <r>
    <n v="2432"/>
    <n v="54"/>
    <s v="Female"/>
    <x v="8"/>
    <s v="Skirt"/>
    <n v="166.88"/>
    <x v="1"/>
    <s v="Card"/>
    <n v="3.5"/>
    <n v="18"/>
    <n v="4"/>
    <n v="136.8416"/>
    <x v="0"/>
    <x v="0"/>
    <s v="Returning"/>
  </r>
  <r>
    <n v="2433"/>
    <n v="52"/>
    <s v="Male"/>
    <x v="5"/>
    <s v="Mobile Phone"/>
    <n v="523.38"/>
    <x v="3"/>
    <s v="Card"/>
    <n v="3.9"/>
    <n v="18"/>
    <n v="4"/>
    <n v="429.17160000000001"/>
    <x v="0"/>
    <x v="0"/>
    <s v="Returning"/>
  </r>
  <r>
    <n v="2434"/>
    <n v="25"/>
    <s v="Male"/>
    <x v="1"/>
    <s v="T-Shirt"/>
    <n v="109.68"/>
    <x v="2"/>
    <s v="Card"/>
    <n v="2.8"/>
    <n v="13"/>
    <n v="4"/>
    <n v="95.421600000000012"/>
    <x v="3"/>
    <x v="0"/>
    <s v="Returning"/>
  </r>
  <r>
    <n v="2435"/>
    <n v="67"/>
    <s v="Male"/>
    <x v="3"/>
    <s v="Lamp"/>
    <n v="222.65"/>
    <x v="0"/>
    <s v="Card"/>
    <n v="3"/>
    <n v="9"/>
    <n v="2"/>
    <n v="202.61150000000001"/>
    <x v="2"/>
    <x v="0"/>
    <s v="Returning"/>
  </r>
  <r>
    <n v="2436"/>
    <n v="59"/>
    <s v="Male"/>
    <x v="7"/>
    <s v="Sandals"/>
    <n v="141.41"/>
    <x v="1"/>
    <s v="Card"/>
    <n v="3.3"/>
    <n v="12"/>
    <n v="6"/>
    <n v="124.4408"/>
    <x v="0"/>
    <x v="0"/>
    <s v="Returning"/>
  </r>
  <r>
    <n v="2437"/>
    <n v="59"/>
    <s v="Male"/>
    <x v="2"/>
    <s v="Yoga Mat"/>
    <n v="165.82"/>
    <x v="2"/>
    <s v="Card"/>
    <n v="3.8"/>
    <n v="17"/>
    <n v="6"/>
    <n v="137.63059999999999"/>
    <x v="0"/>
    <x v="0"/>
    <s v="Returning"/>
  </r>
  <r>
    <n v="2438"/>
    <n v="66"/>
    <s v="Female"/>
    <x v="8"/>
    <s v="Skirt"/>
    <n v="52.02"/>
    <x v="0"/>
    <s v="Cash on Delivery"/>
    <n v="3.9"/>
    <n v="20"/>
    <n v="5"/>
    <n v="41.616000000000007"/>
    <x v="2"/>
    <x v="0"/>
    <s v="Returning"/>
  </r>
  <r>
    <n v="2439"/>
    <n v="45"/>
    <s v="Female"/>
    <x v="6"/>
    <s v="Perfume"/>
    <n v="130.55000000000001"/>
    <x v="0"/>
    <s v="Card"/>
    <n v="4.8"/>
    <n v="8"/>
    <n v="4"/>
    <n v="120.10600000000001"/>
    <x v="1"/>
    <x v="0"/>
    <s v="Returning"/>
  </r>
  <r>
    <n v="2440"/>
    <n v="36"/>
    <s v="Male"/>
    <x v="1"/>
    <s v="Jacket"/>
    <n v="108.9"/>
    <x v="3"/>
    <s v="Card"/>
    <n v="3"/>
    <n v="16"/>
    <n v="8"/>
    <n v="91.475999999999999"/>
    <x v="1"/>
    <x v="0"/>
    <s v="Returning"/>
  </r>
  <r>
    <n v="2441"/>
    <n v="48"/>
    <s v="Female"/>
    <x v="6"/>
    <s v="Skincare Kit"/>
    <n v="88.67"/>
    <x v="2"/>
    <s v="Card"/>
    <n v="4.2"/>
    <n v="20"/>
    <n v="5"/>
    <n v="70.936000000000007"/>
    <x v="0"/>
    <x v="0"/>
    <s v="Returning"/>
  </r>
  <r>
    <n v="2442"/>
    <n v="26"/>
    <s v="Male"/>
    <x v="2"/>
    <s v="Dumbbells"/>
    <n v="231.99"/>
    <x v="2"/>
    <s v="Card"/>
    <n v="3"/>
    <n v="20"/>
    <n v="5"/>
    <n v="185.59200000000001"/>
    <x v="4"/>
    <x v="0"/>
    <s v="Returning"/>
  </r>
  <r>
    <n v="2443"/>
    <n v="34"/>
    <s v="Male"/>
    <x v="5"/>
    <s v="Headphones"/>
    <n v="585.57000000000005"/>
    <x v="3"/>
    <s v="Card"/>
    <n v="4.5999999999999996"/>
    <n v="26"/>
    <n v="8"/>
    <n v="433.32180000000005"/>
    <x v="4"/>
    <x v="0"/>
    <s v="Returning"/>
  </r>
  <r>
    <n v="2444"/>
    <n v="63"/>
    <s v="Female"/>
    <x v="6"/>
    <s v="Perfume"/>
    <n v="33.49"/>
    <x v="3"/>
    <s v="Cash on Delivery"/>
    <n v="3.6"/>
    <n v="21"/>
    <n v="8"/>
    <n v="26.457100000000004"/>
    <x v="2"/>
    <x v="0"/>
    <s v="Returning"/>
  </r>
  <r>
    <n v="2445"/>
    <n v="68"/>
    <s v="Male"/>
    <x v="7"/>
    <s v="Sandals"/>
    <n v="145.49"/>
    <x v="3"/>
    <s v="Card"/>
    <n v="3.9"/>
    <n v="10"/>
    <n v="5"/>
    <n v="130.941"/>
    <x v="2"/>
    <x v="0"/>
    <s v="Returning"/>
  </r>
  <r>
    <n v="2446"/>
    <n v="65"/>
    <s v="Female"/>
    <x v="3"/>
    <s v="Curtains"/>
    <n v="39.99"/>
    <x v="0"/>
    <s v="Cash on Delivery"/>
    <n v="2.8"/>
    <n v="17"/>
    <n v="6"/>
    <n v="33.191699999999997"/>
    <x v="2"/>
    <x v="0"/>
    <s v="Returning"/>
  </r>
  <r>
    <n v="2447"/>
    <n v="39"/>
    <s v="Male"/>
    <x v="5"/>
    <s v="Laptop"/>
    <n v="1959.09"/>
    <x v="2"/>
    <s v="Card"/>
    <n v="4.2"/>
    <n v="12"/>
    <n v="1"/>
    <n v="1723.9992"/>
    <x v="1"/>
    <x v="0"/>
    <s v="Returning"/>
  </r>
  <r>
    <n v="2448"/>
    <n v="66"/>
    <s v="Female"/>
    <x v="2"/>
    <s v="Football"/>
    <n v="109.15"/>
    <x v="2"/>
    <s v="Card"/>
    <n v="2.8"/>
    <n v="18"/>
    <n v="4"/>
    <n v="89.503000000000014"/>
    <x v="2"/>
    <x v="0"/>
    <s v="Returning"/>
  </r>
  <r>
    <n v="2449"/>
    <n v="31"/>
    <s v="Male"/>
    <x v="2"/>
    <s v="Yoga Mat"/>
    <n v="247.77"/>
    <x v="1"/>
    <s v="Card"/>
    <n v="2.8"/>
    <n v="10"/>
    <n v="5"/>
    <n v="222.99300000000002"/>
    <x v="4"/>
    <x v="0"/>
    <s v="Returning"/>
  </r>
  <r>
    <n v="2450"/>
    <n v="29"/>
    <s v="Female"/>
    <x v="7"/>
    <s v="Formal Shoes"/>
    <n v="175.99"/>
    <x v="1"/>
    <s v="Card"/>
    <n v="5"/>
    <n v="24"/>
    <n v="7"/>
    <n v="133.75239999999999"/>
    <x v="4"/>
    <x v="0"/>
    <s v="Returning"/>
  </r>
  <r>
    <n v="2451"/>
    <n v="33"/>
    <s v="Female"/>
    <x v="6"/>
    <s v="Makeup Set"/>
    <n v="20.03"/>
    <x v="3"/>
    <s v="Card"/>
    <n v="3.6"/>
    <n v="20"/>
    <n v="5"/>
    <n v="16.024000000000001"/>
    <x v="4"/>
    <x v="0"/>
    <s v="Returning"/>
  </r>
  <r>
    <n v="2452"/>
    <n v="23"/>
    <s v="Female"/>
    <x v="8"/>
    <s v="Skirt"/>
    <n v="194.96"/>
    <x v="1"/>
    <s v="Card"/>
    <n v="2.9"/>
    <n v="14"/>
    <n v="7"/>
    <n v="167.66560000000001"/>
    <x v="3"/>
    <x v="0"/>
    <s v="Returning"/>
  </r>
  <r>
    <n v="2453"/>
    <n v="47"/>
    <s v="Female"/>
    <x v="6"/>
    <s v="Makeup Set"/>
    <n v="132.65"/>
    <x v="2"/>
    <s v="Card"/>
    <n v="3.9"/>
    <n v="19"/>
    <n v="7"/>
    <n v="107.44650000000001"/>
    <x v="0"/>
    <x v="0"/>
    <s v="Returning"/>
  </r>
  <r>
    <n v="2454"/>
    <n v="32"/>
    <s v="Female"/>
    <x v="2"/>
    <s v="Yoga Mat"/>
    <n v="119.74"/>
    <x v="1"/>
    <s v="Card"/>
    <n v="3.3"/>
    <n v="22"/>
    <n v="11"/>
    <n v="93.397199999999998"/>
    <x v="4"/>
    <x v="0"/>
    <s v="Returning"/>
  </r>
  <r>
    <n v="2455"/>
    <n v="49"/>
    <s v="Female"/>
    <x v="2"/>
    <s v="Football"/>
    <n v="105.64"/>
    <x v="1"/>
    <s v="Card"/>
    <n v="3.3"/>
    <n v="24"/>
    <n v="7"/>
    <n v="80.2864"/>
    <x v="0"/>
    <x v="0"/>
    <s v="Returning"/>
  </r>
  <r>
    <n v="2456"/>
    <n v="37"/>
    <s v="Male"/>
    <x v="7"/>
    <s v="Formal Shoes"/>
    <n v="232.32"/>
    <x v="3"/>
    <s v="Card"/>
    <n v="3.8"/>
    <n v="16"/>
    <n v="3"/>
    <n v="195.14879999999999"/>
    <x v="1"/>
    <x v="0"/>
    <s v="Returning"/>
  </r>
  <r>
    <n v="2457"/>
    <n v="41"/>
    <s v="Male"/>
    <x v="2"/>
    <s v="Football"/>
    <n v="142.71"/>
    <x v="2"/>
    <s v="Card"/>
    <n v="4.2"/>
    <n v="20"/>
    <n v="5"/>
    <n v="114.16800000000001"/>
    <x v="1"/>
    <x v="0"/>
    <s v="Returning"/>
  </r>
  <r>
    <n v="2458"/>
    <n v="37"/>
    <s v="Male"/>
    <x v="2"/>
    <s v="Dumbbells"/>
    <n v="163.30000000000001"/>
    <x v="0"/>
    <s v="Card"/>
    <n v="3.6"/>
    <n v="12"/>
    <n v="6"/>
    <n v="143.70400000000001"/>
    <x v="1"/>
    <x v="0"/>
    <s v="Returning"/>
  </r>
  <r>
    <n v="2459"/>
    <n v="55"/>
    <s v="Male"/>
    <x v="5"/>
    <s v="Laptop"/>
    <n v="2997.94"/>
    <x v="0"/>
    <s v="Card"/>
    <n v="4.2"/>
    <n v="14"/>
    <n v="2"/>
    <n v="2578.2284"/>
    <x v="0"/>
    <x v="0"/>
    <s v="Returning"/>
  </r>
  <r>
    <n v="2460"/>
    <n v="42"/>
    <s v="Male"/>
    <x v="5"/>
    <s v="Smart Watch"/>
    <n v="1412.92"/>
    <x v="0"/>
    <s v="Card"/>
    <n v="3.9"/>
    <n v="19"/>
    <n v="7"/>
    <n v="1144.4652000000001"/>
    <x v="1"/>
    <x v="0"/>
    <s v="Returning"/>
  </r>
  <r>
    <n v="2461"/>
    <n v="60"/>
    <s v="Female"/>
    <x v="7"/>
    <s v="Sandals"/>
    <n v="104.02"/>
    <x v="2"/>
    <s v="Card"/>
    <n v="5"/>
    <n v="8"/>
    <n v="4"/>
    <n v="95.698400000000007"/>
    <x v="0"/>
    <x v="0"/>
    <s v="Returning"/>
  </r>
  <r>
    <n v="2462"/>
    <n v="62"/>
    <s v="Female"/>
    <x v="6"/>
    <s v="Makeup Set"/>
    <n v="20.71"/>
    <x v="0"/>
    <s v="Card"/>
    <n v="3.8"/>
    <n v="20"/>
    <n v="5"/>
    <n v="16.568000000000001"/>
    <x v="2"/>
    <x v="0"/>
    <s v="Returning"/>
  </r>
  <r>
    <n v="2463"/>
    <n v="56"/>
    <s v="Female"/>
    <x v="8"/>
    <s v="Dress"/>
    <n v="83.87"/>
    <x v="1"/>
    <s v="Card"/>
    <n v="3.9"/>
    <n v="17"/>
    <n v="6"/>
    <n v="69.612099999999998"/>
    <x v="0"/>
    <x v="0"/>
    <s v="Returning"/>
  </r>
  <r>
    <n v="2464"/>
    <n v="67"/>
    <s v="Male"/>
    <x v="1"/>
    <s v="T-Shirt"/>
    <n v="43.13"/>
    <x v="2"/>
    <s v="Cash on Delivery"/>
    <n v="3"/>
    <n v="9"/>
    <n v="2"/>
    <n v="39.2483"/>
    <x v="2"/>
    <x v="0"/>
    <s v="Returning"/>
  </r>
  <r>
    <n v="2465"/>
    <n v="59"/>
    <s v="Male"/>
    <x v="2"/>
    <s v="Football"/>
    <n v="73.739999999999995"/>
    <x v="3"/>
    <s v="Card"/>
    <n v="3.8"/>
    <n v="15"/>
    <n v="5"/>
    <n v="62.678999999999995"/>
    <x v="0"/>
    <x v="0"/>
    <s v="Returning"/>
  </r>
  <r>
    <n v="2466"/>
    <n v="32"/>
    <s v="Male"/>
    <x v="2"/>
    <s v="Football"/>
    <n v="144.04"/>
    <x v="3"/>
    <s v="Card"/>
    <n v="3.8"/>
    <n v="13"/>
    <n v="4"/>
    <n v="125.31479999999999"/>
    <x v="4"/>
    <x v="0"/>
    <s v="Returning"/>
  </r>
  <r>
    <n v="2467"/>
    <n v="24"/>
    <s v="Female"/>
    <x v="6"/>
    <s v="Makeup Set"/>
    <n v="82.17"/>
    <x v="2"/>
    <s v="Card"/>
    <n v="3.4"/>
    <n v="15"/>
    <n v="5"/>
    <n v="69.844499999999996"/>
    <x v="3"/>
    <x v="0"/>
    <s v="Returning"/>
  </r>
  <r>
    <n v="2468"/>
    <n v="31"/>
    <s v="Female"/>
    <x v="8"/>
    <s v="Skirt"/>
    <n v="128.18"/>
    <x v="0"/>
    <s v="Card"/>
    <n v="4"/>
    <n v="17"/>
    <n v="6"/>
    <n v="106.38939999999999"/>
    <x v="4"/>
    <x v="0"/>
    <s v="Returning"/>
  </r>
  <r>
    <n v="2469"/>
    <n v="67"/>
    <s v="Female"/>
    <x v="8"/>
    <s v="Top"/>
    <n v="74.73"/>
    <x v="0"/>
    <s v="Cash on Delivery"/>
    <n v="3.7"/>
    <n v="20"/>
    <n v="5"/>
    <n v="59.784000000000006"/>
    <x v="2"/>
    <x v="0"/>
    <s v="Returning"/>
  </r>
  <r>
    <n v="2470"/>
    <n v="41"/>
    <s v="Female"/>
    <x v="3"/>
    <s v="Curtains"/>
    <n v="159.58000000000001"/>
    <x v="1"/>
    <s v="Card"/>
    <n v="4.4000000000000004"/>
    <n v="8"/>
    <n v="4"/>
    <n v="146.81360000000001"/>
    <x v="1"/>
    <x v="0"/>
    <s v="Returning"/>
  </r>
  <r>
    <n v="2471"/>
    <n v="58"/>
    <s v="Female"/>
    <x v="8"/>
    <s v="Skirt"/>
    <n v="142.94999999999999"/>
    <x v="2"/>
    <s v="Card"/>
    <n v="4.8"/>
    <n v="15"/>
    <n v="5"/>
    <n v="121.50749999999999"/>
    <x v="0"/>
    <x v="0"/>
    <s v="Returning"/>
  </r>
  <r>
    <n v="2472"/>
    <n v="22"/>
    <s v="Female"/>
    <x v="6"/>
    <s v="Perfume"/>
    <n v="56.67"/>
    <x v="3"/>
    <s v="Cash on Delivery"/>
    <n v="4.3"/>
    <n v="15"/>
    <n v="5"/>
    <n v="48.169499999999999"/>
    <x v="3"/>
    <x v="0"/>
    <s v="Returning"/>
  </r>
  <r>
    <n v="2473"/>
    <n v="56"/>
    <s v="Female"/>
    <x v="0"/>
    <s v="Wallet"/>
    <n v="60.82"/>
    <x v="1"/>
    <s v="Cash on Delivery"/>
    <n v="3.5"/>
    <n v="8"/>
    <n v="4"/>
    <n v="55.9544"/>
    <x v="0"/>
    <x v="0"/>
    <s v="Returning"/>
  </r>
  <r>
    <n v="2474"/>
    <n v="64"/>
    <s v="Female"/>
    <x v="7"/>
    <s v="Sneakers"/>
    <n v="249.17"/>
    <x v="1"/>
    <s v="Card"/>
    <n v="4.8"/>
    <n v="8"/>
    <n v="4"/>
    <n v="229.2364"/>
    <x v="2"/>
    <x v="0"/>
    <s v="Returning"/>
  </r>
  <r>
    <n v="2475"/>
    <n v="58"/>
    <s v="Female"/>
    <x v="8"/>
    <s v="Dress"/>
    <n v="105.75"/>
    <x v="0"/>
    <s v="Card"/>
    <n v="4.5"/>
    <n v="19"/>
    <n v="7"/>
    <n v="85.657499999999999"/>
    <x v="0"/>
    <x v="0"/>
    <s v="Returning"/>
  </r>
  <r>
    <n v="2476"/>
    <n v="57"/>
    <s v="Male"/>
    <x v="2"/>
    <s v="Dumbbells"/>
    <n v="89.44"/>
    <x v="0"/>
    <s v="Cash on Delivery"/>
    <n v="4.9000000000000004"/>
    <n v="10"/>
    <n v="5"/>
    <n v="80.495999999999995"/>
    <x v="0"/>
    <x v="0"/>
    <s v="Returning"/>
  </r>
  <r>
    <n v="2477"/>
    <n v="37"/>
    <s v="Male"/>
    <x v="2"/>
    <s v="Football"/>
    <n v="182.81"/>
    <x v="3"/>
    <s v="Card"/>
    <n v="3.2"/>
    <n v="16"/>
    <n v="3"/>
    <n v="153.56039999999999"/>
    <x v="1"/>
    <x v="0"/>
    <s v="Returning"/>
  </r>
  <r>
    <n v="2478"/>
    <n v="30"/>
    <s v="Male"/>
    <x v="2"/>
    <s v="Football"/>
    <n v="49.64"/>
    <x v="1"/>
    <s v="Cash on Delivery"/>
    <n v="4.0999999999999996"/>
    <n v="9"/>
    <n v="2"/>
    <n v="45.172400000000003"/>
    <x v="4"/>
    <x v="0"/>
    <s v="Returning"/>
  </r>
  <r>
    <n v="2479"/>
    <n v="56"/>
    <s v="Male"/>
    <x v="2"/>
    <s v="Yoga Mat"/>
    <n v="118.27"/>
    <x v="0"/>
    <s v="Card"/>
    <n v="4"/>
    <n v="19"/>
    <n v="7"/>
    <n v="95.798699999999997"/>
    <x v="0"/>
    <x v="0"/>
    <s v="Returning"/>
  </r>
  <r>
    <n v="2480"/>
    <n v="41"/>
    <s v="Female"/>
    <x v="0"/>
    <s v="Wallet"/>
    <n v="155.41"/>
    <x v="2"/>
    <s v="Card"/>
    <n v="5"/>
    <n v="22"/>
    <n v="6"/>
    <n v="121.21980000000001"/>
    <x v="1"/>
    <x v="0"/>
    <s v="Returning"/>
  </r>
  <r>
    <n v="2481"/>
    <n v="47"/>
    <s v="Male"/>
    <x v="7"/>
    <s v="Sandals"/>
    <n v="162.15"/>
    <x v="0"/>
    <s v="Card"/>
    <n v="4.9000000000000004"/>
    <n v="22"/>
    <n v="6"/>
    <n v="126.477"/>
    <x v="0"/>
    <x v="0"/>
    <s v="Returning"/>
  </r>
  <r>
    <n v="2482"/>
    <n v="62"/>
    <s v="Male"/>
    <x v="1"/>
    <s v="Shirt"/>
    <n v="122.41"/>
    <x v="1"/>
    <s v="Card"/>
    <n v="3"/>
    <n v="17"/>
    <n v="6"/>
    <n v="101.60029999999999"/>
    <x v="2"/>
    <x v="0"/>
    <s v="Returning"/>
  </r>
  <r>
    <n v="2483"/>
    <n v="42"/>
    <s v="Male"/>
    <x v="7"/>
    <s v="Sandals"/>
    <n v="166.76"/>
    <x v="1"/>
    <s v="Card"/>
    <n v="3.4"/>
    <n v="18"/>
    <n v="9"/>
    <n v="136.7432"/>
    <x v="1"/>
    <x v="0"/>
    <s v="Returning"/>
  </r>
  <r>
    <n v="2484"/>
    <n v="55"/>
    <s v="Male"/>
    <x v="2"/>
    <s v="Football"/>
    <n v="91.77"/>
    <x v="0"/>
    <s v="Cash on Delivery"/>
    <n v="3.8"/>
    <n v="20"/>
    <n v="5"/>
    <n v="73.415999999999997"/>
    <x v="0"/>
    <x v="0"/>
    <s v="Returning"/>
  </r>
  <r>
    <n v="2485"/>
    <n v="70"/>
    <s v="Female"/>
    <x v="8"/>
    <s v="Top"/>
    <n v="112.59"/>
    <x v="1"/>
    <s v="Card"/>
    <n v="4.7"/>
    <n v="18"/>
    <n v="4"/>
    <n v="92.323800000000006"/>
    <x v="2"/>
    <x v="0"/>
    <s v="Returning"/>
  </r>
  <r>
    <n v="2486"/>
    <n v="30"/>
    <s v="Female"/>
    <x v="8"/>
    <s v="Top"/>
    <n v="77.540000000000006"/>
    <x v="3"/>
    <s v="Cash on Delivery"/>
    <n v="3.8"/>
    <n v="18"/>
    <n v="4"/>
    <n v="63.582800000000013"/>
    <x v="4"/>
    <x v="0"/>
    <s v="Returning"/>
  </r>
  <r>
    <n v="2487"/>
    <n v="58"/>
    <s v="Female"/>
    <x v="0"/>
    <s v="Sunglasses"/>
    <n v="125.61"/>
    <x v="0"/>
    <s v="Card"/>
    <n v="3.3"/>
    <n v="12"/>
    <n v="6"/>
    <n v="110.5368"/>
    <x v="0"/>
    <x v="0"/>
    <s v="Returning"/>
  </r>
  <r>
    <n v="2488"/>
    <n v="66"/>
    <s v="Female"/>
    <x v="0"/>
    <s v="Handbag"/>
    <n v="175.38"/>
    <x v="0"/>
    <s v="Card"/>
    <n v="4.0999999999999996"/>
    <n v="12"/>
    <n v="6"/>
    <n v="154.33439999999999"/>
    <x v="2"/>
    <x v="0"/>
    <s v="Returning"/>
  </r>
  <r>
    <n v="2489"/>
    <n v="45"/>
    <s v="Female"/>
    <x v="7"/>
    <s v="Sandals"/>
    <n v="199.34"/>
    <x v="3"/>
    <s v="Card"/>
    <n v="5"/>
    <n v="16"/>
    <n v="3"/>
    <n v="167.44559999999998"/>
    <x v="1"/>
    <x v="0"/>
    <s v="Returning"/>
  </r>
  <r>
    <n v="2490"/>
    <n v="57"/>
    <s v="Male"/>
    <x v="7"/>
    <s v="Sneakers"/>
    <n v="102.02"/>
    <x v="2"/>
    <s v="Card"/>
    <n v="4"/>
    <n v="19"/>
    <n v="7"/>
    <n v="82.636200000000002"/>
    <x v="0"/>
    <x v="0"/>
    <s v="Returning"/>
  </r>
  <r>
    <n v="2491"/>
    <n v="27"/>
    <s v="Male"/>
    <x v="5"/>
    <s v="Smart Watch"/>
    <n v="736.82"/>
    <x v="0"/>
    <s v="Card"/>
    <n v="4.4000000000000004"/>
    <n v="10"/>
    <n v="5"/>
    <n v="663.13800000000003"/>
    <x v="4"/>
    <x v="0"/>
    <s v="Returning"/>
  </r>
  <r>
    <n v="2492"/>
    <n v="61"/>
    <s v="Male"/>
    <x v="1"/>
    <s v="Shirt"/>
    <n v="67.64"/>
    <x v="3"/>
    <s v="Cash on Delivery"/>
    <n v="3.6"/>
    <n v="18"/>
    <n v="4"/>
    <n v="55.464800000000004"/>
    <x v="2"/>
    <x v="0"/>
    <s v="Returning"/>
  </r>
  <r>
    <n v="2493"/>
    <n v="61"/>
    <s v="Male"/>
    <x v="1"/>
    <s v="Shirt"/>
    <n v="97.18"/>
    <x v="3"/>
    <s v="Card"/>
    <n v="3.9"/>
    <n v="19"/>
    <n v="7"/>
    <n v="78.715800000000016"/>
    <x v="2"/>
    <x v="0"/>
    <s v="Returning"/>
  </r>
  <r>
    <n v="2494"/>
    <n v="36"/>
    <s v="Female"/>
    <x v="8"/>
    <s v="Top"/>
    <n v="96.2"/>
    <x v="2"/>
    <s v="Cash on Delivery"/>
    <n v="5"/>
    <n v="6"/>
    <n v="3"/>
    <n v="90.427999999999997"/>
    <x v="1"/>
    <x v="0"/>
    <s v="Returning"/>
  </r>
  <r>
    <n v="2495"/>
    <n v="30"/>
    <s v="Male"/>
    <x v="7"/>
    <s v="Formal Shoes"/>
    <n v="178.66"/>
    <x v="2"/>
    <s v="Card"/>
    <n v="3.1"/>
    <n v="16"/>
    <n v="3"/>
    <n v="150.0744"/>
    <x v="4"/>
    <x v="0"/>
    <s v="Returning"/>
  </r>
  <r>
    <n v="2496"/>
    <n v="58"/>
    <s v="Male"/>
    <x v="1"/>
    <s v="Shirt"/>
    <n v="59.56"/>
    <x v="0"/>
    <s v="Card"/>
    <n v="4.5"/>
    <n v="24"/>
    <n v="7"/>
    <n v="45.265599999999999"/>
    <x v="0"/>
    <x v="0"/>
    <s v="Returning"/>
  </r>
  <r>
    <n v="2497"/>
    <n v="44"/>
    <s v="Male"/>
    <x v="2"/>
    <s v="Football"/>
    <n v="211.96"/>
    <x v="1"/>
    <s v="Card"/>
    <n v="2.7"/>
    <n v="24"/>
    <n v="7"/>
    <n v="161.08960000000002"/>
    <x v="1"/>
    <x v="0"/>
    <s v="Returning"/>
  </r>
  <r>
    <n v="2498"/>
    <n v="28"/>
    <s v="Male"/>
    <x v="7"/>
    <s v="Formal Shoes"/>
    <n v="54.72"/>
    <x v="2"/>
    <s v="Cash on Delivery"/>
    <n v="3"/>
    <n v="8"/>
    <n v="4"/>
    <n v="50.342399999999998"/>
    <x v="4"/>
    <x v="0"/>
    <s v="Returning"/>
  </r>
  <r>
    <n v="2499"/>
    <n v="50"/>
    <s v="Female"/>
    <x v="8"/>
    <s v="Jeans"/>
    <n v="166.8"/>
    <x v="0"/>
    <s v="Card"/>
    <n v="4.8"/>
    <n v="15"/>
    <n v="5"/>
    <n v="141.78"/>
    <x v="0"/>
    <x v="0"/>
    <s v="Returning"/>
  </r>
  <r>
    <n v="2500"/>
    <n v="36"/>
    <s v="Female"/>
    <x v="2"/>
    <s v="Football"/>
    <n v="180.09"/>
    <x v="2"/>
    <s v="Card"/>
    <n v="4.9000000000000004"/>
    <n v="19"/>
    <n v="7"/>
    <n v="145.87290000000002"/>
    <x v="1"/>
    <x v="0"/>
    <s v="Returning"/>
  </r>
  <r>
    <n v="2501"/>
    <n v="55"/>
    <s v="Female"/>
    <x v="2"/>
    <s v="Football"/>
    <n v="73.290000000000006"/>
    <x v="2"/>
    <s v="Card"/>
    <n v="4.5999999999999996"/>
    <n v="19"/>
    <n v="7"/>
    <n v="59.364900000000006"/>
    <x v="0"/>
    <x v="0"/>
    <s v="Returning"/>
  </r>
  <r>
    <n v="2502"/>
    <n v="49"/>
    <s v="Male"/>
    <x v="2"/>
    <s v="Football"/>
    <n v="240.58"/>
    <x v="1"/>
    <s v="Card"/>
    <n v="4.2"/>
    <n v="24"/>
    <n v="7"/>
    <n v="182.8408"/>
    <x v="0"/>
    <x v="0"/>
    <s v="Returning"/>
  </r>
  <r>
    <n v="2503"/>
    <n v="58"/>
    <s v="Female"/>
    <x v="3"/>
    <s v="Kitchen Set"/>
    <n v="80.55"/>
    <x v="1"/>
    <s v="Card"/>
    <n v="4.8"/>
    <n v="13"/>
    <n v="4"/>
    <n v="70.078499999999991"/>
    <x v="0"/>
    <x v="0"/>
    <s v="Returning"/>
  </r>
  <r>
    <n v="2504"/>
    <n v="57"/>
    <s v="Male"/>
    <x v="5"/>
    <s v="Smart Watch"/>
    <n v="1635.17"/>
    <x v="3"/>
    <s v="Card"/>
    <n v="4.0999999999999996"/>
    <n v="9"/>
    <n v="2"/>
    <n v="1488.0047000000002"/>
    <x v="0"/>
    <x v="0"/>
    <s v="Returning"/>
  </r>
  <r>
    <n v="2505"/>
    <n v="25"/>
    <s v="Male"/>
    <x v="7"/>
    <s v="Formal Shoes"/>
    <n v="226.76"/>
    <x v="2"/>
    <s v="Card"/>
    <n v="4.2"/>
    <n v="21"/>
    <n v="8"/>
    <n v="179.1404"/>
    <x v="3"/>
    <x v="0"/>
    <s v="Returning"/>
  </r>
  <r>
    <n v="2506"/>
    <n v="42"/>
    <s v="Male"/>
    <x v="2"/>
    <s v="Football"/>
    <n v="132.34"/>
    <x v="1"/>
    <s v="Card"/>
    <n v="4.5"/>
    <n v="20"/>
    <n v="5"/>
    <n v="105.87200000000001"/>
    <x v="1"/>
    <x v="0"/>
    <s v="Returning"/>
  </r>
  <r>
    <n v="2507"/>
    <n v="42"/>
    <s v="Female"/>
    <x v="0"/>
    <s v="Wallet"/>
    <n v="151.58000000000001"/>
    <x v="1"/>
    <s v="Card"/>
    <n v="4.0999999999999996"/>
    <n v="2"/>
    <n v="1"/>
    <n v="148.54840000000002"/>
    <x v="1"/>
    <x v="0"/>
    <s v="Returning"/>
  </r>
  <r>
    <n v="2508"/>
    <n v="35"/>
    <s v="Male"/>
    <x v="4"/>
    <s v="Cooking Oil"/>
    <n v="6.79"/>
    <x v="0"/>
    <s v="Cash on Delivery"/>
    <n v="3.4"/>
    <n v="16"/>
    <n v="8"/>
    <n v="5.7035999999999998"/>
    <x v="4"/>
    <x v="0"/>
    <s v="Returning"/>
  </r>
  <r>
    <n v="2509"/>
    <n v="53"/>
    <s v="Female"/>
    <x v="7"/>
    <s v="Sandals"/>
    <n v="177.6"/>
    <x v="0"/>
    <s v="Card"/>
    <n v="5"/>
    <n v="26"/>
    <n v="8"/>
    <n v="131.42400000000001"/>
    <x v="0"/>
    <x v="0"/>
    <s v="Returning"/>
  </r>
  <r>
    <n v="2510"/>
    <n v="49"/>
    <s v="Male"/>
    <x v="5"/>
    <s v="Smart Watch"/>
    <n v="1297.0899999999999"/>
    <x v="1"/>
    <s v="Card"/>
    <n v="4.8"/>
    <n v="20"/>
    <n v="5"/>
    <n v="1037.672"/>
    <x v="0"/>
    <x v="0"/>
    <s v="Returning"/>
  </r>
  <r>
    <n v="2511"/>
    <n v="28"/>
    <s v="Female"/>
    <x v="0"/>
    <s v="Sunglasses"/>
    <n v="76.02"/>
    <x v="0"/>
    <s v="Card"/>
    <n v="4"/>
    <n v="22"/>
    <n v="6"/>
    <n v="59.2956"/>
    <x v="4"/>
    <x v="0"/>
    <s v="Returning"/>
  </r>
  <r>
    <n v="2512"/>
    <n v="37"/>
    <s v="Female"/>
    <x v="7"/>
    <s v="Formal Shoes"/>
    <n v="158.57"/>
    <x v="1"/>
    <s v="Card"/>
    <n v="3.3"/>
    <n v="6"/>
    <n v="3"/>
    <n v="149.05579999999998"/>
    <x v="1"/>
    <x v="0"/>
    <s v="Returning"/>
  </r>
  <r>
    <n v="2513"/>
    <n v="27"/>
    <s v="Female"/>
    <x v="8"/>
    <s v="Skirt"/>
    <n v="88.33"/>
    <x v="2"/>
    <s v="Card"/>
    <n v="3.8"/>
    <n v="10"/>
    <n v="5"/>
    <n v="79.497"/>
    <x v="4"/>
    <x v="0"/>
    <s v="Returning"/>
  </r>
  <r>
    <n v="2514"/>
    <n v="54"/>
    <s v="Male"/>
    <x v="1"/>
    <s v="Shirt"/>
    <n v="181.51"/>
    <x v="0"/>
    <s v="Card"/>
    <n v="4.8"/>
    <n v="13"/>
    <n v="4"/>
    <n v="157.91369999999998"/>
    <x v="0"/>
    <x v="0"/>
    <s v="Returning"/>
  </r>
  <r>
    <n v="2515"/>
    <n v="27"/>
    <s v="Male"/>
    <x v="1"/>
    <s v="Shirt"/>
    <n v="48.86"/>
    <x v="2"/>
    <s v="Cash on Delivery"/>
    <n v="4.8"/>
    <n v="8"/>
    <n v="4"/>
    <n v="44.9512"/>
    <x v="4"/>
    <x v="0"/>
    <s v="Returning"/>
  </r>
  <r>
    <n v="2516"/>
    <n v="55"/>
    <s v="Female"/>
    <x v="0"/>
    <s v="Handbag"/>
    <n v="124.2"/>
    <x v="1"/>
    <s v="Card"/>
    <n v="3.6"/>
    <n v="12"/>
    <n v="6"/>
    <n v="109.29600000000001"/>
    <x v="0"/>
    <x v="0"/>
    <s v="Returning"/>
  </r>
  <r>
    <n v="2517"/>
    <n v="37"/>
    <s v="Female"/>
    <x v="6"/>
    <s v="Skincare Kit"/>
    <n v="130.83000000000001"/>
    <x v="1"/>
    <s v="Card"/>
    <n v="5"/>
    <n v="18"/>
    <n v="4"/>
    <n v="107.28060000000002"/>
    <x v="1"/>
    <x v="0"/>
    <s v="Returning"/>
  </r>
  <r>
    <n v="2518"/>
    <n v="21"/>
    <s v="Male"/>
    <x v="1"/>
    <s v="Shirt"/>
    <n v="46.83"/>
    <x v="1"/>
    <s v="Card"/>
    <n v="5"/>
    <n v="16"/>
    <n v="3"/>
    <n v="39.337199999999996"/>
    <x v="3"/>
    <x v="0"/>
    <s v="Returning"/>
  </r>
  <r>
    <n v="2519"/>
    <n v="47"/>
    <s v="Male"/>
    <x v="7"/>
    <s v="Formal Shoes"/>
    <n v="43.11"/>
    <x v="1"/>
    <s v="Card"/>
    <n v="3.6"/>
    <n v="16"/>
    <n v="8"/>
    <n v="36.212399999999995"/>
    <x v="0"/>
    <x v="0"/>
    <s v="Returning"/>
  </r>
  <r>
    <n v="2520"/>
    <n v="55"/>
    <s v="Female"/>
    <x v="6"/>
    <s v="Makeup Set"/>
    <n v="131.37"/>
    <x v="0"/>
    <s v="Card"/>
    <n v="3.4"/>
    <n v="14"/>
    <n v="2"/>
    <n v="112.9782"/>
    <x v="0"/>
    <x v="0"/>
    <s v="Returning"/>
  </r>
  <r>
    <n v="2521"/>
    <n v="35"/>
    <s v="Female"/>
    <x v="7"/>
    <s v="Formal Shoes"/>
    <n v="216.78"/>
    <x v="0"/>
    <s v="Card"/>
    <n v="3.7"/>
    <n v="10"/>
    <n v="5"/>
    <n v="195.102"/>
    <x v="4"/>
    <x v="0"/>
    <s v="Returning"/>
  </r>
  <r>
    <n v="2522"/>
    <n v="45"/>
    <s v="Female"/>
    <x v="4"/>
    <s v="Snacks"/>
    <n v="21.14"/>
    <x v="2"/>
    <s v="Card"/>
    <n v="3.7"/>
    <n v="22"/>
    <n v="6"/>
    <n v="16.4892"/>
    <x v="1"/>
    <x v="0"/>
    <s v="Returning"/>
  </r>
  <r>
    <n v="2523"/>
    <n v="69"/>
    <s v="Female"/>
    <x v="7"/>
    <s v="Formal Shoes"/>
    <n v="237.37"/>
    <x v="0"/>
    <s v="Card"/>
    <n v="3.1"/>
    <n v="16"/>
    <n v="3"/>
    <n v="199.39079999999998"/>
    <x v="2"/>
    <x v="0"/>
    <s v="Returning"/>
  </r>
  <r>
    <n v="2524"/>
    <n v="35"/>
    <s v="Female"/>
    <x v="7"/>
    <s v="Sandals"/>
    <n v="112.58"/>
    <x v="2"/>
    <s v="Card"/>
    <n v="4"/>
    <n v="8"/>
    <n v="4"/>
    <n v="103.5736"/>
    <x v="4"/>
    <x v="0"/>
    <s v="Returning"/>
  </r>
  <r>
    <n v="2525"/>
    <n v="47"/>
    <s v="Male"/>
    <x v="4"/>
    <s v="Rice Pack"/>
    <n v="38.119999999999997"/>
    <x v="0"/>
    <s v="Cash on Delivery"/>
    <n v="3.7"/>
    <n v="8"/>
    <n v="4"/>
    <n v="35.070399999999999"/>
    <x v="0"/>
    <x v="0"/>
    <s v="Returning"/>
  </r>
  <r>
    <n v="2526"/>
    <n v="40"/>
    <s v="Female"/>
    <x v="6"/>
    <s v="Perfume"/>
    <n v="79.73"/>
    <x v="0"/>
    <s v="Card"/>
    <n v="3.5"/>
    <n v="12"/>
    <n v="1"/>
    <n v="70.162400000000005"/>
    <x v="1"/>
    <x v="0"/>
    <s v="Returning"/>
  </r>
  <r>
    <n v="2527"/>
    <n v="40"/>
    <s v="Female"/>
    <x v="4"/>
    <s v="Snacks"/>
    <n v="23.39"/>
    <x v="2"/>
    <s v="Cash on Delivery"/>
    <n v="3.7"/>
    <n v="18"/>
    <n v="4"/>
    <n v="19.1798"/>
    <x v="1"/>
    <x v="0"/>
    <s v="Returning"/>
  </r>
  <r>
    <n v="2528"/>
    <n v="49"/>
    <s v="Female"/>
    <x v="2"/>
    <s v="Football"/>
    <n v="155.91999999999999"/>
    <x v="3"/>
    <s v="Card"/>
    <n v="4.0999999999999996"/>
    <n v="8"/>
    <n v="4"/>
    <n v="143.44639999999998"/>
    <x v="0"/>
    <x v="0"/>
    <s v="Returning"/>
  </r>
  <r>
    <n v="2529"/>
    <n v="25"/>
    <s v="Male"/>
    <x v="5"/>
    <s v="Headphones"/>
    <n v="1144.23"/>
    <x v="3"/>
    <s v="Card"/>
    <n v="3.4"/>
    <n v="2"/>
    <n v="1"/>
    <n v="1121.3453999999999"/>
    <x v="3"/>
    <x v="0"/>
    <s v="Returning"/>
  </r>
  <r>
    <n v="2530"/>
    <n v="35"/>
    <s v="Male"/>
    <x v="1"/>
    <s v="T-Shirt"/>
    <n v="180.47"/>
    <x v="2"/>
    <s v="Card"/>
    <n v="4"/>
    <n v="12"/>
    <n v="6"/>
    <n v="158.81360000000001"/>
    <x v="4"/>
    <x v="0"/>
    <s v="Returning"/>
  </r>
  <r>
    <n v="2531"/>
    <n v="67"/>
    <s v="Female"/>
    <x v="3"/>
    <s v="Lamp"/>
    <n v="127.66"/>
    <x v="3"/>
    <s v="Card"/>
    <n v="4.3"/>
    <n v="15"/>
    <n v="5"/>
    <n v="108.511"/>
    <x v="2"/>
    <x v="0"/>
    <s v="Returning"/>
  </r>
  <r>
    <n v="2532"/>
    <n v="58"/>
    <s v="Female"/>
    <x v="4"/>
    <s v="Cooking Oil"/>
    <n v="24.67"/>
    <x v="1"/>
    <s v="Card"/>
    <n v="5"/>
    <n v="8"/>
    <n v="4"/>
    <n v="22.696400000000004"/>
    <x v="0"/>
    <x v="0"/>
    <s v="Returning"/>
  </r>
  <r>
    <n v="2533"/>
    <n v="57"/>
    <s v="Male"/>
    <x v="3"/>
    <s v="Curtains"/>
    <n v="146.46"/>
    <x v="1"/>
    <s v="Card"/>
    <n v="4.4000000000000004"/>
    <n v="6"/>
    <n v="3"/>
    <n v="137.67240000000001"/>
    <x v="0"/>
    <x v="0"/>
    <s v="Returning"/>
  </r>
  <r>
    <n v="2534"/>
    <n v="44"/>
    <s v="Female"/>
    <x v="8"/>
    <s v="Skirt"/>
    <n v="88.66"/>
    <x v="1"/>
    <s v="Cash on Delivery"/>
    <n v="3.1"/>
    <n v="15"/>
    <n v="5"/>
    <n v="75.36099999999999"/>
    <x v="1"/>
    <x v="0"/>
    <s v="Returning"/>
  </r>
  <r>
    <n v="2535"/>
    <n v="22"/>
    <s v="Male"/>
    <x v="2"/>
    <s v="Dumbbells"/>
    <n v="174.54"/>
    <x v="2"/>
    <s v="Card"/>
    <n v="3.3"/>
    <n v="18"/>
    <n v="9"/>
    <n v="143.12280000000001"/>
    <x v="3"/>
    <x v="0"/>
    <s v="Returning"/>
  </r>
  <r>
    <n v="2536"/>
    <n v="26"/>
    <s v="Male"/>
    <x v="5"/>
    <s v="Laptop"/>
    <n v="689.29"/>
    <x v="0"/>
    <s v="Card"/>
    <n v="3.7"/>
    <n v="4"/>
    <n v="2"/>
    <n v="661.71839999999997"/>
    <x v="4"/>
    <x v="0"/>
    <s v="Returning"/>
  </r>
  <r>
    <n v="2537"/>
    <n v="48"/>
    <s v="Female"/>
    <x v="8"/>
    <s v="Top"/>
    <n v="102.81"/>
    <x v="3"/>
    <s v="Card"/>
    <n v="2.8"/>
    <n v="13"/>
    <n v="4"/>
    <n v="89.444699999999997"/>
    <x v="0"/>
    <x v="0"/>
    <s v="Returning"/>
  </r>
  <r>
    <n v="2538"/>
    <n v="53"/>
    <s v="Female"/>
    <x v="8"/>
    <s v="Skirt"/>
    <n v="98.94"/>
    <x v="0"/>
    <s v="Card"/>
    <n v="4.8"/>
    <n v="15"/>
    <n v="5"/>
    <n v="84.09899999999999"/>
    <x v="0"/>
    <x v="0"/>
    <s v="Returning"/>
  </r>
  <r>
    <n v="2539"/>
    <n v="63"/>
    <s v="Male"/>
    <x v="1"/>
    <s v="T-Shirt"/>
    <n v="111.55"/>
    <x v="2"/>
    <s v="Card"/>
    <n v="3.4"/>
    <n v="12"/>
    <n v="6"/>
    <n v="98.164000000000001"/>
    <x v="2"/>
    <x v="0"/>
    <s v="Returning"/>
  </r>
  <r>
    <n v="2540"/>
    <n v="56"/>
    <s v="Female"/>
    <x v="7"/>
    <s v="Formal Shoes"/>
    <n v="97.22"/>
    <x v="0"/>
    <s v="Card"/>
    <n v="2.8"/>
    <n v="4"/>
    <n v="2"/>
    <n v="93.331199999999995"/>
    <x v="0"/>
    <x v="0"/>
    <s v="Returning"/>
  </r>
  <r>
    <n v="2541"/>
    <n v="61"/>
    <s v="Female"/>
    <x v="2"/>
    <s v="Yoga Mat"/>
    <n v="25.02"/>
    <x v="1"/>
    <s v="Cash on Delivery"/>
    <n v="4.2"/>
    <n v="16"/>
    <n v="3"/>
    <n v="21.0168"/>
    <x v="2"/>
    <x v="0"/>
    <s v="Returning"/>
  </r>
  <r>
    <n v="2542"/>
    <n v="36"/>
    <s v="Female"/>
    <x v="7"/>
    <s v="Sneakers"/>
    <n v="96.04"/>
    <x v="0"/>
    <s v="Cash on Delivery"/>
    <n v="2.8"/>
    <n v="20"/>
    <n v="5"/>
    <n v="76.832000000000008"/>
    <x v="1"/>
    <x v="0"/>
    <s v="Returning"/>
  </r>
  <r>
    <n v="2543"/>
    <n v="25"/>
    <s v="Male"/>
    <x v="7"/>
    <s v="Sandals"/>
    <n v="77.540000000000006"/>
    <x v="3"/>
    <s v="Card"/>
    <n v="4"/>
    <n v="15"/>
    <n v="5"/>
    <n v="65.909000000000006"/>
    <x v="3"/>
    <x v="0"/>
    <s v="Returning"/>
  </r>
  <r>
    <n v="2544"/>
    <n v="23"/>
    <s v="Female"/>
    <x v="7"/>
    <s v="Sandals"/>
    <n v="128.30000000000001"/>
    <x v="0"/>
    <s v="Card"/>
    <n v="2.7"/>
    <n v="10"/>
    <n v="5"/>
    <n v="115.47000000000001"/>
    <x v="3"/>
    <x v="0"/>
    <s v="Returning"/>
  </r>
  <r>
    <n v="2545"/>
    <n v="64"/>
    <s v="Female"/>
    <x v="7"/>
    <s v="Sneakers"/>
    <n v="123.62"/>
    <x v="2"/>
    <s v="Card"/>
    <n v="4.2"/>
    <n v="10"/>
    <n v="5"/>
    <n v="111.25800000000001"/>
    <x v="2"/>
    <x v="0"/>
    <s v="Returning"/>
  </r>
  <r>
    <n v="2546"/>
    <n v="54"/>
    <s v="Male"/>
    <x v="2"/>
    <s v="Yoga Mat"/>
    <n v="113.57"/>
    <x v="0"/>
    <s v="Card"/>
    <n v="3"/>
    <n v="15"/>
    <n v="5"/>
    <n v="96.534499999999994"/>
    <x v="0"/>
    <x v="0"/>
    <s v="Returning"/>
  </r>
  <r>
    <n v="2547"/>
    <n v="22"/>
    <s v="Female"/>
    <x v="0"/>
    <s v="Sunglasses"/>
    <n v="76.34"/>
    <x v="3"/>
    <s v="Cash on Delivery"/>
    <n v="3.9"/>
    <n v="17"/>
    <n v="6"/>
    <n v="63.362200000000001"/>
    <x v="3"/>
    <x v="0"/>
    <s v="Returning"/>
  </r>
  <r>
    <n v="2548"/>
    <n v="61"/>
    <s v="Male"/>
    <x v="1"/>
    <s v="T-Shirt"/>
    <n v="128.18"/>
    <x v="1"/>
    <s v="Card"/>
    <n v="3.6"/>
    <n v="16"/>
    <n v="3"/>
    <n v="107.6712"/>
    <x v="2"/>
    <x v="0"/>
    <s v="Returning"/>
  </r>
  <r>
    <n v="2549"/>
    <n v="26"/>
    <s v="Male"/>
    <x v="2"/>
    <s v="Football"/>
    <n v="98.3"/>
    <x v="0"/>
    <s v="Card"/>
    <n v="3.9"/>
    <n v="16"/>
    <n v="3"/>
    <n v="82.571999999999989"/>
    <x v="4"/>
    <x v="0"/>
    <s v="Returning"/>
  </r>
  <r>
    <n v="2550"/>
    <n v="42"/>
    <s v="Female"/>
    <x v="6"/>
    <s v="Skincare Kit"/>
    <n v="74.72"/>
    <x v="1"/>
    <s v="Card"/>
    <n v="4.3"/>
    <n v="25"/>
    <n v="10"/>
    <n v="56.04"/>
    <x v="1"/>
    <x v="0"/>
    <s v="Returning"/>
  </r>
  <r>
    <n v="2551"/>
    <n v="56"/>
    <s v="Female"/>
    <x v="8"/>
    <s v="Top"/>
    <n v="104.87"/>
    <x v="0"/>
    <s v="Card"/>
    <n v="4.4000000000000004"/>
    <n v="22"/>
    <n v="11"/>
    <n v="81.798600000000008"/>
    <x v="0"/>
    <x v="0"/>
    <s v="Returning"/>
  </r>
  <r>
    <n v="2552"/>
    <n v="54"/>
    <s v="Female"/>
    <x v="0"/>
    <s v="Wallet"/>
    <n v="54.62"/>
    <x v="3"/>
    <s v="Cash on Delivery"/>
    <n v="3.7"/>
    <n v="8"/>
    <n v="4"/>
    <n v="50.250399999999999"/>
    <x v="0"/>
    <x v="0"/>
    <s v="Returning"/>
  </r>
  <r>
    <n v="2553"/>
    <n v="50"/>
    <s v="Female"/>
    <x v="0"/>
    <s v="Wallet"/>
    <n v="161.18"/>
    <x v="3"/>
    <s v="Card"/>
    <n v="3.9"/>
    <n v="22"/>
    <n v="6"/>
    <n v="125.72040000000001"/>
    <x v="0"/>
    <x v="0"/>
    <s v="Returning"/>
  </r>
  <r>
    <n v="2554"/>
    <n v="52"/>
    <s v="Female"/>
    <x v="4"/>
    <s v="Cooking Oil"/>
    <n v="36.75"/>
    <x v="0"/>
    <s v="Card"/>
    <n v="4"/>
    <n v="8"/>
    <n v="4"/>
    <n v="33.81"/>
    <x v="0"/>
    <x v="0"/>
    <s v="Returning"/>
  </r>
  <r>
    <n v="2555"/>
    <n v="41"/>
    <s v="Female"/>
    <x v="0"/>
    <s v="Sunglasses"/>
    <n v="101.23"/>
    <x v="1"/>
    <s v="Card"/>
    <n v="2.8"/>
    <n v="15"/>
    <n v="5"/>
    <n v="86.045500000000004"/>
    <x v="1"/>
    <x v="0"/>
    <s v="Returning"/>
  </r>
  <r>
    <n v="2556"/>
    <n v="63"/>
    <s v="Female"/>
    <x v="4"/>
    <s v="Beverages"/>
    <n v="69.8"/>
    <x v="0"/>
    <s v="Cash on Delivery"/>
    <n v="5"/>
    <n v="10"/>
    <n v="5"/>
    <n v="62.82"/>
    <x v="2"/>
    <x v="0"/>
    <s v="Returning"/>
  </r>
  <r>
    <n v="2557"/>
    <n v="57"/>
    <s v="Female"/>
    <x v="4"/>
    <s v="Beverages"/>
    <n v="56.76"/>
    <x v="3"/>
    <s v="Card"/>
    <n v="3.9"/>
    <n v="22"/>
    <n v="6"/>
    <n v="44.272799999999997"/>
    <x v="0"/>
    <x v="0"/>
    <s v="Returning"/>
  </r>
  <r>
    <n v="2558"/>
    <n v="44"/>
    <s v="Female"/>
    <x v="2"/>
    <s v="Dumbbells"/>
    <n v="192.76"/>
    <x v="0"/>
    <s v="Card"/>
    <n v="3.5"/>
    <n v="15"/>
    <n v="5"/>
    <n v="163.84599999999998"/>
    <x v="1"/>
    <x v="0"/>
    <s v="Returning"/>
  </r>
  <r>
    <n v="2559"/>
    <n v="47"/>
    <s v="Male"/>
    <x v="2"/>
    <s v="Dumbbells"/>
    <n v="133.84"/>
    <x v="3"/>
    <s v="Card"/>
    <n v="5"/>
    <n v="14"/>
    <n v="7"/>
    <n v="115.1024"/>
    <x v="0"/>
    <x v="0"/>
    <s v="Returning"/>
  </r>
  <r>
    <n v="2560"/>
    <n v="66"/>
    <s v="Female"/>
    <x v="0"/>
    <s v="Sunglasses"/>
    <n v="48.53"/>
    <x v="3"/>
    <s v="Card"/>
    <n v="2.9"/>
    <n v="11"/>
    <n v="3"/>
    <n v="43.191700000000004"/>
    <x v="2"/>
    <x v="0"/>
    <s v="Returning"/>
  </r>
  <r>
    <n v="2561"/>
    <n v="65"/>
    <s v="Female"/>
    <x v="3"/>
    <s v="Kitchen Set"/>
    <n v="157.49"/>
    <x v="1"/>
    <s v="Card"/>
    <n v="3.8"/>
    <n v="17"/>
    <n v="6"/>
    <n v="130.7167"/>
    <x v="2"/>
    <x v="0"/>
    <s v="Returning"/>
  </r>
  <r>
    <n v="2562"/>
    <n v="69"/>
    <s v="Male"/>
    <x v="7"/>
    <s v="Formal Shoes"/>
    <n v="157.19999999999999"/>
    <x v="2"/>
    <s v="Card"/>
    <n v="4.4000000000000004"/>
    <n v="11"/>
    <n v="3"/>
    <n v="139.90799999999999"/>
    <x v="2"/>
    <x v="0"/>
    <s v="Returning"/>
  </r>
  <r>
    <n v="2563"/>
    <n v="45"/>
    <s v="Female"/>
    <x v="6"/>
    <s v="Skincare Kit"/>
    <n v="59.66"/>
    <x v="0"/>
    <s v="Card"/>
    <n v="3.8"/>
    <n v="11"/>
    <n v="3"/>
    <n v="53.0974"/>
    <x v="1"/>
    <x v="0"/>
    <s v="Returning"/>
  </r>
  <r>
    <n v="2564"/>
    <n v="37"/>
    <s v="Female"/>
    <x v="8"/>
    <s v="Jeans"/>
    <n v="181.19"/>
    <x v="3"/>
    <s v="Card"/>
    <n v="4.3"/>
    <n v="22"/>
    <n v="6"/>
    <n v="141.32820000000001"/>
    <x v="1"/>
    <x v="0"/>
    <s v="Returning"/>
  </r>
  <r>
    <n v="2565"/>
    <n v="47"/>
    <s v="Female"/>
    <x v="8"/>
    <s v="Dress"/>
    <n v="123.24"/>
    <x v="1"/>
    <s v="Card"/>
    <n v="3.6"/>
    <n v="10"/>
    <n v="5"/>
    <n v="110.916"/>
    <x v="0"/>
    <x v="0"/>
    <s v="Returning"/>
  </r>
  <r>
    <n v="2566"/>
    <n v="33"/>
    <s v="Female"/>
    <x v="8"/>
    <s v="Dress"/>
    <n v="53.56"/>
    <x v="1"/>
    <s v="Card"/>
    <n v="3.1"/>
    <n v="10"/>
    <n v="5"/>
    <n v="48.204000000000001"/>
    <x v="4"/>
    <x v="0"/>
    <s v="Returning"/>
  </r>
  <r>
    <n v="2567"/>
    <n v="44"/>
    <s v="Female"/>
    <x v="0"/>
    <s v="Handbag"/>
    <n v="153.44999999999999"/>
    <x v="1"/>
    <s v="Card"/>
    <n v="4.0999999999999996"/>
    <n v="13"/>
    <n v="4"/>
    <n v="133.50149999999999"/>
    <x v="1"/>
    <x v="0"/>
    <s v="Returning"/>
  </r>
  <r>
    <n v="2568"/>
    <n v="30"/>
    <s v="Female"/>
    <x v="7"/>
    <s v="Sneakers"/>
    <n v="136.93"/>
    <x v="3"/>
    <s v="Card"/>
    <n v="5"/>
    <n v="9"/>
    <n v="2"/>
    <n v="124.6063"/>
    <x v="4"/>
    <x v="0"/>
    <s v="Returning"/>
  </r>
  <r>
    <n v="2569"/>
    <n v="70"/>
    <s v="Male"/>
    <x v="1"/>
    <s v="Jeans"/>
    <n v="198.86"/>
    <x v="1"/>
    <s v="Card"/>
    <n v="4.0999999999999996"/>
    <n v="8"/>
    <n v="4"/>
    <n v="182.95120000000003"/>
    <x v="2"/>
    <x v="0"/>
    <s v="Returning"/>
  </r>
  <r>
    <n v="2570"/>
    <n v="44"/>
    <s v="Male"/>
    <x v="2"/>
    <s v="Yoga Mat"/>
    <n v="154.32"/>
    <x v="2"/>
    <s v="Card"/>
    <n v="4.5999999999999996"/>
    <n v="10"/>
    <n v="5"/>
    <n v="138.88800000000001"/>
    <x v="1"/>
    <x v="0"/>
    <s v="Returning"/>
  </r>
  <r>
    <n v="2571"/>
    <n v="69"/>
    <s v="Male"/>
    <x v="1"/>
    <s v="Jacket"/>
    <n v="176.88"/>
    <x v="1"/>
    <s v="Card"/>
    <n v="4.3"/>
    <n v="9"/>
    <n v="2"/>
    <n v="160.96080000000001"/>
    <x v="2"/>
    <x v="0"/>
    <s v="Returning"/>
  </r>
  <r>
    <n v="2572"/>
    <n v="48"/>
    <s v="Female"/>
    <x v="2"/>
    <s v="Yoga Mat"/>
    <n v="91.06"/>
    <x v="3"/>
    <s v="Card"/>
    <n v="4.2"/>
    <n v="11"/>
    <n v="3"/>
    <n v="81.043400000000005"/>
    <x v="0"/>
    <x v="0"/>
    <s v="Returning"/>
  </r>
  <r>
    <n v="2573"/>
    <n v="33"/>
    <s v="Female"/>
    <x v="7"/>
    <s v="Sandals"/>
    <n v="76.06"/>
    <x v="0"/>
    <s v="Card"/>
    <n v="4"/>
    <n v="15"/>
    <n v="5"/>
    <n v="64.650999999999996"/>
    <x v="4"/>
    <x v="0"/>
    <s v="Returning"/>
  </r>
  <r>
    <n v="2574"/>
    <n v="52"/>
    <s v="Female"/>
    <x v="0"/>
    <s v="Wallet"/>
    <n v="65.97"/>
    <x v="1"/>
    <s v="Card"/>
    <n v="2.9"/>
    <n v="6"/>
    <n v="3"/>
    <n v="62.011799999999994"/>
    <x v="0"/>
    <x v="0"/>
    <s v="Returning"/>
  </r>
  <r>
    <n v="2575"/>
    <n v="65"/>
    <s v="Male"/>
    <x v="1"/>
    <s v="Jeans"/>
    <n v="119.34"/>
    <x v="2"/>
    <s v="Card"/>
    <n v="4.0999999999999996"/>
    <n v="8"/>
    <n v="4"/>
    <n v="109.79280000000001"/>
    <x v="2"/>
    <x v="0"/>
    <s v="Returning"/>
  </r>
  <r>
    <n v="2576"/>
    <n v="70"/>
    <s v="Female"/>
    <x v="8"/>
    <s v="Jeans"/>
    <n v="140.91"/>
    <x v="1"/>
    <s v="Card"/>
    <n v="3.1"/>
    <n v="10"/>
    <n v="5"/>
    <n v="126.819"/>
    <x v="2"/>
    <x v="0"/>
    <s v="Returning"/>
  </r>
  <r>
    <n v="2577"/>
    <n v="29"/>
    <s v="Male"/>
    <x v="4"/>
    <s v="Snacks"/>
    <n v="51.55"/>
    <x v="0"/>
    <s v="Card"/>
    <n v="4.2"/>
    <n v="7"/>
    <n v="1"/>
    <n v="47.941499999999991"/>
    <x v="4"/>
    <x v="0"/>
    <s v="Returning"/>
  </r>
  <r>
    <n v="2578"/>
    <n v="47"/>
    <s v="Male"/>
    <x v="7"/>
    <s v="Sandals"/>
    <n v="45.39"/>
    <x v="0"/>
    <s v="Card"/>
    <n v="4.0999999999999996"/>
    <n v="19"/>
    <n v="7"/>
    <n v="36.765900000000002"/>
    <x v="0"/>
    <x v="0"/>
    <s v="Returning"/>
  </r>
  <r>
    <n v="2579"/>
    <n v="69"/>
    <s v="Female"/>
    <x v="2"/>
    <s v="Football"/>
    <n v="116.25"/>
    <x v="2"/>
    <s v="Card"/>
    <n v="4.5999999999999996"/>
    <n v="24"/>
    <n v="7"/>
    <n v="88.35"/>
    <x v="2"/>
    <x v="0"/>
    <s v="Returning"/>
  </r>
  <r>
    <n v="2580"/>
    <n v="43"/>
    <s v="Female"/>
    <x v="4"/>
    <s v="Rice Pack"/>
    <n v="65.16"/>
    <x v="2"/>
    <s v="Cash on Delivery"/>
    <n v="4.7"/>
    <n v="18"/>
    <n v="4"/>
    <n v="53.431200000000004"/>
    <x v="1"/>
    <x v="0"/>
    <s v="Returning"/>
  </r>
  <r>
    <n v="2581"/>
    <n v="33"/>
    <s v="Female"/>
    <x v="8"/>
    <s v="Top"/>
    <n v="123.96"/>
    <x v="1"/>
    <s v="Card"/>
    <n v="3.1"/>
    <n v="15"/>
    <n v="5"/>
    <n v="105.36599999999999"/>
    <x v="4"/>
    <x v="0"/>
    <s v="Returning"/>
  </r>
  <r>
    <n v="2582"/>
    <n v="66"/>
    <s v="Male"/>
    <x v="7"/>
    <s v="Sandals"/>
    <n v="58.45"/>
    <x v="2"/>
    <s v="Card"/>
    <n v="3.5"/>
    <n v="20"/>
    <n v="5"/>
    <n v="46.760000000000005"/>
    <x v="2"/>
    <x v="0"/>
    <s v="Returning"/>
  </r>
  <r>
    <n v="2583"/>
    <n v="59"/>
    <s v="Female"/>
    <x v="7"/>
    <s v="Formal Shoes"/>
    <n v="183.81"/>
    <x v="1"/>
    <s v="Card"/>
    <n v="4.0999999999999996"/>
    <n v="22"/>
    <n v="6"/>
    <n v="143.37180000000001"/>
    <x v="0"/>
    <x v="0"/>
    <s v="Returning"/>
  </r>
  <r>
    <n v="2584"/>
    <n v="30"/>
    <s v="Female"/>
    <x v="6"/>
    <s v="Skincare Kit"/>
    <n v="129.88999999999999"/>
    <x v="3"/>
    <s v="Card"/>
    <n v="4.2"/>
    <n v="17"/>
    <n v="6"/>
    <n v="107.80869999999999"/>
    <x v="4"/>
    <x v="0"/>
    <s v="Returning"/>
  </r>
  <r>
    <n v="2585"/>
    <n v="47"/>
    <s v="Male"/>
    <x v="1"/>
    <s v="Jacket"/>
    <n v="97.5"/>
    <x v="1"/>
    <s v="Cash on Delivery"/>
    <n v="4.7"/>
    <n v="12"/>
    <n v="6"/>
    <n v="85.8"/>
    <x v="0"/>
    <x v="0"/>
    <s v="Returning"/>
  </r>
  <r>
    <n v="2586"/>
    <n v="68"/>
    <s v="Male"/>
    <x v="2"/>
    <s v="Dumbbells"/>
    <n v="123.53"/>
    <x v="1"/>
    <s v="Card"/>
    <n v="4.4000000000000004"/>
    <n v="14"/>
    <n v="2"/>
    <n v="106.2358"/>
    <x v="2"/>
    <x v="0"/>
    <s v="Returning"/>
  </r>
  <r>
    <n v="2587"/>
    <n v="53"/>
    <s v="Male"/>
    <x v="2"/>
    <s v="Yoga Mat"/>
    <n v="152.44999999999999"/>
    <x v="1"/>
    <s v="Card"/>
    <n v="3"/>
    <n v="19"/>
    <n v="7"/>
    <n v="123.4845"/>
    <x v="0"/>
    <x v="0"/>
    <s v="Returning"/>
  </r>
  <r>
    <n v="2588"/>
    <n v="30"/>
    <s v="Female"/>
    <x v="8"/>
    <s v="Top"/>
    <n v="148.18"/>
    <x v="2"/>
    <s v="Card"/>
    <n v="4.7"/>
    <n v="24"/>
    <n v="7"/>
    <n v="112.61680000000001"/>
    <x v="4"/>
    <x v="0"/>
    <s v="Returning"/>
  </r>
  <r>
    <n v="2589"/>
    <n v="52"/>
    <s v="Female"/>
    <x v="4"/>
    <s v="Beverages"/>
    <n v="69.489999999999995"/>
    <x v="1"/>
    <s v="Cash on Delivery"/>
    <n v="3.9"/>
    <n v="12"/>
    <n v="6"/>
    <n v="61.151199999999996"/>
    <x v="0"/>
    <x v="0"/>
    <s v="Returning"/>
  </r>
  <r>
    <n v="2590"/>
    <n v="28"/>
    <s v="Female"/>
    <x v="7"/>
    <s v="Sandals"/>
    <n v="221.51"/>
    <x v="1"/>
    <s v="Card"/>
    <n v="3"/>
    <n v="8"/>
    <n v="4"/>
    <n v="203.78919999999999"/>
    <x v="4"/>
    <x v="0"/>
    <s v="Returning"/>
  </r>
  <r>
    <n v="2591"/>
    <n v="40"/>
    <s v="Female"/>
    <x v="2"/>
    <s v="Yoga Mat"/>
    <n v="129.22"/>
    <x v="0"/>
    <s v="Card"/>
    <n v="4.3"/>
    <n v="12"/>
    <n v="6"/>
    <n v="113.7136"/>
    <x v="1"/>
    <x v="0"/>
    <s v="Returning"/>
  </r>
  <r>
    <n v="2592"/>
    <n v="46"/>
    <s v="Male"/>
    <x v="2"/>
    <s v="Dumbbells"/>
    <n v="67.89"/>
    <x v="3"/>
    <s v="Card"/>
    <n v="3.3"/>
    <n v="8"/>
    <n v="4"/>
    <n v="62.458800000000004"/>
    <x v="0"/>
    <x v="0"/>
    <s v="Returning"/>
  </r>
  <r>
    <n v="2593"/>
    <n v="26"/>
    <s v="Male"/>
    <x v="4"/>
    <s v="Rice Pack"/>
    <n v="31.17"/>
    <x v="0"/>
    <s v="Cash on Delivery"/>
    <n v="3.4"/>
    <n v="11"/>
    <n v="3"/>
    <n v="27.741300000000003"/>
    <x v="4"/>
    <x v="0"/>
    <s v="Returning"/>
  </r>
  <r>
    <n v="2594"/>
    <n v="54"/>
    <s v="Female"/>
    <x v="0"/>
    <s v="Sunglasses"/>
    <n v="90.54"/>
    <x v="3"/>
    <s v="Cash on Delivery"/>
    <n v="3.4"/>
    <n v="18"/>
    <n v="4"/>
    <n v="74.242800000000017"/>
    <x v="0"/>
    <x v="0"/>
    <s v="Returning"/>
  </r>
  <r>
    <n v="2595"/>
    <n v="34"/>
    <s v="Male"/>
    <x v="1"/>
    <s v="Shirt"/>
    <n v="62.19"/>
    <x v="2"/>
    <s v="Cash on Delivery"/>
    <n v="4.0999999999999996"/>
    <n v="18"/>
    <n v="4"/>
    <n v="50.995800000000003"/>
    <x v="4"/>
    <x v="0"/>
    <s v="Returning"/>
  </r>
  <r>
    <n v="2596"/>
    <n v="53"/>
    <s v="Female"/>
    <x v="7"/>
    <s v="Sneakers"/>
    <n v="160.62"/>
    <x v="3"/>
    <s v="Card"/>
    <n v="3.4"/>
    <n v="21"/>
    <n v="8"/>
    <n v="126.88980000000001"/>
    <x v="0"/>
    <x v="0"/>
    <s v="Returning"/>
  </r>
  <r>
    <n v="2597"/>
    <n v="53"/>
    <s v="Male"/>
    <x v="5"/>
    <s v="Laptop"/>
    <n v="2661.25"/>
    <x v="1"/>
    <s v="Card"/>
    <n v="4.5"/>
    <n v="24"/>
    <n v="7"/>
    <n v="2022.55"/>
    <x v="0"/>
    <x v="0"/>
    <s v="Returning"/>
  </r>
  <r>
    <n v="2598"/>
    <n v="60"/>
    <s v="Female"/>
    <x v="8"/>
    <s v="Top"/>
    <n v="57.4"/>
    <x v="2"/>
    <s v="Cash on Delivery"/>
    <n v="3.3"/>
    <n v="17"/>
    <n v="6"/>
    <n v="47.641999999999996"/>
    <x v="0"/>
    <x v="0"/>
    <s v="Returning"/>
  </r>
  <r>
    <n v="2599"/>
    <n v="24"/>
    <s v="Male"/>
    <x v="1"/>
    <s v="Jacket"/>
    <n v="38.57"/>
    <x v="3"/>
    <s v="Card"/>
    <n v="3.5"/>
    <n v="6"/>
    <n v="3"/>
    <n v="36.255800000000001"/>
    <x v="3"/>
    <x v="0"/>
    <s v="Returning"/>
  </r>
  <r>
    <n v="2600"/>
    <n v="29"/>
    <s v="Female"/>
    <x v="7"/>
    <s v="Sandals"/>
    <n v="57.06"/>
    <x v="0"/>
    <s v="Card"/>
    <n v="4.0999999999999996"/>
    <n v="12"/>
    <n v="6"/>
    <n v="50.212800000000001"/>
    <x v="4"/>
    <x v="0"/>
    <s v="Returning"/>
  </r>
  <r>
    <n v="2601"/>
    <n v="64"/>
    <s v="Male"/>
    <x v="4"/>
    <s v="Rice Pack"/>
    <n v="49.9"/>
    <x v="3"/>
    <s v="Card"/>
    <n v="4.2"/>
    <n v="14"/>
    <n v="7"/>
    <n v="42.914000000000001"/>
    <x v="2"/>
    <x v="0"/>
    <s v="Returning"/>
  </r>
  <r>
    <n v="2602"/>
    <n v="48"/>
    <s v="Female"/>
    <x v="0"/>
    <s v="Handbag"/>
    <n v="142.62"/>
    <x v="0"/>
    <s v="Card"/>
    <n v="3.6"/>
    <n v="18"/>
    <n v="9"/>
    <n v="116.94840000000001"/>
    <x v="0"/>
    <x v="0"/>
    <s v="Returning"/>
  </r>
  <r>
    <n v="2603"/>
    <n v="55"/>
    <s v="Male"/>
    <x v="1"/>
    <s v="Jeans"/>
    <n v="90.45"/>
    <x v="1"/>
    <s v="Cash on Delivery"/>
    <n v="3.3"/>
    <n v="8"/>
    <n v="4"/>
    <n v="83.214000000000013"/>
    <x v="0"/>
    <x v="0"/>
    <s v="Returning"/>
  </r>
  <r>
    <n v="2604"/>
    <n v="59"/>
    <s v="Male"/>
    <x v="2"/>
    <s v="Yoga Mat"/>
    <n v="207.97"/>
    <x v="1"/>
    <s v="Card"/>
    <n v="4.5"/>
    <n v="13"/>
    <n v="4"/>
    <n v="180.93389999999999"/>
    <x v="0"/>
    <x v="0"/>
    <s v="Returning"/>
  </r>
  <r>
    <n v="2605"/>
    <n v="29"/>
    <s v="Male"/>
    <x v="2"/>
    <s v="Dumbbells"/>
    <n v="78.87"/>
    <x v="3"/>
    <s v="Cash on Delivery"/>
    <n v="3.9"/>
    <n v="17"/>
    <n v="6"/>
    <n v="65.462100000000007"/>
    <x v="4"/>
    <x v="0"/>
    <s v="Returning"/>
  </r>
  <r>
    <n v="2606"/>
    <n v="47"/>
    <s v="Male"/>
    <x v="1"/>
    <s v="T-Shirt"/>
    <n v="160.26"/>
    <x v="3"/>
    <s v="Card"/>
    <n v="3.7"/>
    <n v="20"/>
    <n v="5"/>
    <n v="128.208"/>
    <x v="0"/>
    <x v="0"/>
    <s v="Returning"/>
  </r>
  <r>
    <n v="2607"/>
    <n v="27"/>
    <s v="Male"/>
    <x v="2"/>
    <s v="Football"/>
    <n v="227.6"/>
    <x v="2"/>
    <s v="Card"/>
    <n v="4.9000000000000004"/>
    <n v="14"/>
    <n v="2"/>
    <n v="195.73599999999999"/>
    <x v="4"/>
    <x v="0"/>
    <s v="Returning"/>
  </r>
  <r>
    <n v="2608"/>
    <n v="37"/>
    <s v="Female"/>
    <x v="7"/>
    <s v="Sandals"/>
    <n v="62.2"/>
    <x v="3"/>
    <s v="Cash on Delivery"/>
    <n v="4"/>
    <n v="18"/>
    <n v="9"/>
    <n v="51.004000000000005"/>
    <x v="1"/>
    <x v="0"/>
    <s v="Returning"/>
  </r>
  <r>
    <n v="2609"/>
    <n v="30"/>
    <s v="Male"/>
    <x v="1"/>
    <s v="Shirt"/>
    <n v="111.07"/>
    <x v="1"/>
    <s v="Card"/>
    <n v="3.9"/>
    <n v="23"/>
    <n v="9"/>
    <n v="85.523899999999998"/>
    <x v="4"/>
    <x v="0"/>
    <s v="Returning"/>
  </r>
  <r>
    <n v="2610"/>
    <n v="44"/>
    <s v="Male"/>
    <x v="3"/>
    <s v="Lamp"/>
    <n v="136.96"/>
    <x v="3"/>
    <s v="Card"/>
    <n v="2.5"/>
    <n v="19"/>
    <n v="7"/>
    <n v="110.93760000000002"/>
    <x v="1"/>
    <x v="0"/>
    <s v="Returning"/>
  </r>
  <r>
    <n v="2611"/>
    <n v="28"/>
    <s v="Female"/>
    <x v="2"/>
    <s v="Dumbbells"/>
    <n v="99.34"/>
    <x v="2"/>
    <s v="Cash on Delivery"/>
    <n v="4.0999999999999996"/>
    <n v="15"/>
    <n v="5"/>
    <n v="84.439000000000007"/>
    <x v="4"/>
    <x v="0"/>
    <s v="Returning"/>
  </r>
  <r>
    <n v="2612"/>
    <n v="58"/>
    <s v="Female"/>
    <x v="6"/>
    <s v="Skincare Kit"/>
    <n v="59.64"/>
    <x v="1"/>
    <s v="Cash on Delivery"/>
    <n v="3.1"/>
    <n v="15"/>
    <n v="5"/>
    <n v="50.694000000000003"/>
    <x v="0"/>
    <x v="0"/>
    <s v="Returning"/>
  </r>
  <r>
    <n v="2613"/>
    <n v="67"/>
    <s v="Female"/>
    <x v="8"/>
    <s v="Dress"/>
    <n v="44.95"/>
    <x v="2"/>
    <s v="Card"/>
    <n v="2.8"/>
    <n v="12"/>
    <n v="6"/>
    <n v="39.556000000000004"/>
    <x v="2"/>
    <x v="0"/>
    <s v="Returning"/>
  </r>
  <r>
    <n v="2614"/>
    <n v="58"/>
    <s v="Male"/>
    <x v="5"/>
    <s v="Mobile Phone"/>
    <n v="926.5"/>
    <x v="3"/>
    <s v="Card"/>
    <n v="4.3"/>
    <n v="6"/>
    <n v="3"/>
    <n v="870.91"/>
    <x v="0"/>
    <x v="0"/>
    <s v="Returning"/>
  </r>
  <r>
    <n v="2615"/>
    <n v="45"/>
    <s v="Female"/>
    <x v="4"/>
    <s v="Beverages"/>
    <n v="59.98"/>
    <x v="3"/>
    <s v="Card"/>
    <n v="4"/>
    <n v="6"/>
    <n v="3"/>
    <n v="56.381199999999993"/>
    <x v="1"/>
    <x v="0"/>
    <s v="Returning"/>
  </r>
  <r>
    <n v="2616"/>
    <n v="26"/>
    <s v="Male"/>
    <x v="2"/>
    <s v="Yoga Mat"/>
    <n v="188.94"/>
    <x v="2"/>
    <s v="Card"/>
    <n v="4.3"/>
    <n v="18"/>
    <n v="4"/>
    <n v="154.9308"/>
    <x v="4"/>
    <x v="0"/>
    <s v="Returning"/>
  </r>
  <r>
    <n v="2617"/>
    <n v="56"/>
    <s v="Female"/>
    <x v="7"/>
    <s v="Sneakers"/>
    <n v="177.97"/>
    <x v="1"/>
    <s v="Card"/>
    <n v="4"/>
    <n v="20"/>
    <n v="10"/>
    <n v="142.376"/>
    <x v="0"/>
    <x v="0"/>
    <s v="Returning"/>
  </r>
  <r>
    <n v="2618"/>
    <n v="50"/>
    <s v="Female"/>
    <x v="0"/>
    <s v="Wallet"/>
    <n v="128.68"/>
    <x v="1"/>
    <s v="Card"/>
    <n v="3.7"/>
    <n v="11"/>
    <n v="3"/>
    <n v="114.52520000000001"/>
    <x v="0"/>
    <x v="0"/>
    <s v="Returning"/>
  </r>
  <r>
    <n v="2619"/>
    <n v="48"/>
    <s v="Male"/>
    <x v="2"/>
    <s v="Football"/>
    <n v="137.66999999999999"/>
    <x v="1"/>
    <s v="Card"/>
    <n v="3.7"/>
    <n v="4"/>
    <n v="2"/>
    <n v="132.16319999999999"/>
    <x v="0"/>
    <x v="0"/>
    <s v="Returning"/>
  </r>
  <r>
    <n v="2620"/>
    <n v="28"/>
    <s v="Male"/>
    <x v="1"/>
    <s v="Jeans"/>
    <n v="138.24"/>
    <x v="0"/>
    <s v="Card"/>
    <n v="3.1"/>
    <n v="11"/>
    <n v="3"/>
    <n v="123.03360000000001"/>
    <x v="4"/>
    <x v="0"/>
    <s v="Returning"/>
  </r>
  <r>
    <n v="2621"/>
    <n v="60"/>
    <s v="Male"/>
    <x v="2"/>
    <s v="Yoga Mat"/>
    <n v="26.82"/>
    <x v="2"/>
    <s v="Card"/>
    <n v="4.5"/>
    <n v="11"/>
    <n v="3"/>
    <n v="23.869800000000001"/>
    <x v="0"/>
    <x v="0"/>
    <s v="Returning"/>
  </r>
  <r>
    <n v="2622"/>
    <n v="64"/>
    <s v="Female"/>
    <x v="8"/>
    <s v="Skirt"/>
    <n v="83.11"/>
    <x v="1"/>
    <s v="Cash on Delivery"/>
    <n v="2.9"/>
    <n v="11"/>
    <n v="3"/>
    <n v="73.9679"/>
    <x v="2"/>
    <x v="0"/>
    <s v="Returning"/>
  </r>
  <r>
    <n v="2623"/>
    <n v="47"/>
    <s v="Male"/>
    <x v="2"/>
    <s v="Yoga Mat"/>
    <n v="126.93"/>
    <x v="3"/>
    <s v="Card"/>
    <n v="3.6"/>
    <n v="20"/>
    <n v="10"/>
    <n v="101.54400000000001"/>
    <x v="0"/>
    <x v="0"/>
    <s v="Returning"/>
  </r>
  <r>
    <n v="2624"/>
    <n v="28"/>
    <s v="Male"/>
    <x v="3"/>
    <s v="Kitchen Set"/>
    <n v="241.39"/>
    <x v="1"/>
    <s v="Card"/>
    <n v="3.2"/>
    <n v="17"/>
    <n v="6"/>
    <n v="200.35369999999998"/>
    <x v="4"/>
    <x v="0"/>
    <s v="Returning"/>
  </r>
  <r>
    <n v="2625"/>
    <n v="48"/>
    <s v="Female"/>
    <x v="6"/>
    <s v="Skincare Kit"/>
    <n v="128.09"/>
    <x v="2"/>
    <s v="Card"/>
    <n v="4.2"/>
    <n v="14"/>
    <n v="7"/>
    <n v="110.1574"/>
    <x v="0"/>
    <x v="0"/>
    <s v="Returning"/>
  </r>
  <r>
    <n v="2626"/>
    <n v="29"/>
    <s v="Male"/>
    <x v="7"/>
    <s v="Formal Shoes"/>
    <n v="184.29"/>
    <x v="1"/>
    <s v="Card"/>
    <n v="2.8"/>
    <n v="24"/>
    <n v="7"/>
    <n v="140.06039999999999"/>
    <x v="4"/>
    <x v="0"/>
    <s v="Returning"/>
  </r>
  <r>
    <n v="2627"/>
    <n v="60"/>
    <s v="Female"/>
    <x v="6"/>
    <s v="Skincare Kit"/>
    <n v="144.08000000000001"/>
    <x v="0"/>
    <s v="Card"/>
    <n v="2.5"/>
    <n v="6"/>
    <n v="3"/>
    <n v="135.43520000000001"/>
    <x v="0"/>
    <x v="0"/>
    <s v="Returning"/>
  </r>
  <r>
    <n v="2628"/>
    <n v="48"/>
    <s v="Female"/>
    <x v="8"/>
    <s v="Skirt"/>
    <n v="74.56"/>
    <x v="0"/>
    <s v="Cash on Delivery"/>
    <n v="3.3"/>
    <n v="8"/>
    <n v="4"/>
    <n v="68.595200000000006"/>
    <x v="0"/>
    <x v="0"/>
    <s v="Returning"/>
  </r>
  <r>
    <n v="2629"/>
    <n v="66"/>
    <s v="Male"/>
    <x v="7"/>
    <s v="Formal Shoes"/>
    <n v="127.67"/>
    <x v="0"/>
    <s v="Card"/>
    <n v="3.4"/>
    <n v="0"/>
    <n v="0"/>
    <n v="127.67"/>
    <x v="2"/>
    <x v="1"/>
    <s v="New"/>
  </r>
  <r>
    <n v="2630"/>
    <n v="49"/>
    <s v="Female"/>
    <x v="7"/>
    <s v="Formal Shoes"/>
    <n v="73.3"/>
    <x v="3"/>
    <s v="Cash on Delivery"/>
    <n v="3.3"/>
    <n v="8"/>
    <n v="4"/>
    <n v="67.436000000000007"/>
    <x v="0"/>
    <x v="0"/>
    <s v="Returning"/>
  </r>
  <r>
    <n v="2631"/>
    <n v="25"/>
    <s v="Male"/>
    <x v="2"/>
    <s v="Football"/>
    <n v="106.6"/>
    <x v="0"/>
    <s v="Card"/>
    <n v="3.8"/>
    <n v="17"/>
    <n v="6"/>
    <n v="88.477999999999994"/>
    <x v="3"/>
    <x v="0"/>
    <s v="Returning"/>
  </r>
  <r>
    <n v="2632"/>
    <n v="52"/>
    <s v="Male"/>
    <x v="5"/>
    <s v="Mobile Phone"/>
    <n v="1302.45"/>
    <x v="0"/>
    <s v="Card"/>
    <n v="4.5"/>
    <n v="18"/>
    <n v="9"/>
    <n v="1068.009"/>
    <x v="0"/>
    <x v="0"/>
    <s v="Returning"/>
  </r>
  <r>
    <n v="2633"/>
    <n v="65"/>
    <s v="Male"/>
    <x v="3"/>
    <s v="Kitchen Set"/>
    <n v="275.33999999999997"/>
    <x v="0"/>
    <s v="Card"/>
    <n v="3"/>
    <n v="14"/>
    <n v="7"/>
    <n v="236.79239999999999"/>
    <x v="2"/>
    <x v="0"/>
    <s v="Returning"/>
  </r>
  <r>
    <n v="2634"/>
    <n v="62"/>
    <s v="Female"/>
    <x v="8"/>
    <s v="Jeans"/>
    <n v="167.27"/>
    <x v="3"/>
    <s v="Card"/>
    <n v="3.3"/>
    <n v="18"/>
    <n v="4"/>
    <n v="137.16140000000001"/>
    <x v="2"/>
    <x v="0"/>
    <s v="Returning"/>
  </r>
  <r>
    <n v="2635"/>
    <n v="70"/>
    <s v="Male"/>
    <x v="1"/>
    <s v="Shirt"/>
    <n v="191.8"/>
    <x v="0"/>
    <s v="Card"/>
    <n v="2.4"/>
    <n v="13"/>
    <n v="4"/>
    <n v="166.86600000000001"/>
    <x v="2"/>
    <x v="0"/>
    <s v="Returning"/>
  </r>
  <r>
    <n v="2636"/>
    <n v="64"/>
    <s v="Male"/>
    <x v="7"/>
    <s v="Sneakers"/>
    <n v="62.44"/>
    <x v="0"/>
    <s v="Card"/>
    <n v="5"/>
    <n v="16"/>
    <n v="8"/>
    <n v="52.449599999999997"/>
    <x v="2"/>
    <x v="0"/>
    <s v="Returning"/>
  </r>
  <r>
    <n v="2637"/>
    <n v="22"/>
    <s v="Female"/>
    <x v="7"/>
    <s v="Sneakers"/>
    <n v="146.36000000000001"/>
    <x v="3"/>
    <s v="Card"/>
    <n v="4.5999999999999996"/>
    <n v="10"/>
    <n v="5"/>
    <n v="131.72400000000002"/>
    <x v="3"/>
    <x v="0"/>
    <s v="Returning"/>
  </r>
  <r>
    <n v="2638"/>
    <n v="61"/>
    <s v="Male"/>
    <x v="2"/>
    <s v="Yoga Mat"/>
    <n v="237.45"/>
    <x v="3"/>
    <s v="Card"/>
    <n v="5"/>
    <n v="24"/>
    <n v="7"/>
    <n v="180.46199999999999"/>
    <x v="2"/>
    <x v="0"/>
    <s v="Returning"/>
  </r>
  <r>
    <n v="2639"/>
    <n v="63"/>
    <s v="Female"/>
    <x v="6"/>
    <s v="Perfume"/>
    <n v="85.28"/>
    <x v="3"/>
    <s v="Card"/>
    <n v="4.9000000000000004"/>
    <n v="20"/>
    <n v="10"/>
    <n v="68.224000000000004"/>
    <x v="2"/>
    <x v="0"/>
    <s v="Returning"/>
  </r>
  <r>
    <n v="2640"/>
    <n v="45"/>
    <s v="Male"/>
    <x v="5"/>
    <s v="Laptop"/>
    <n v="1766.89"/>
    <x v="0"/>
    <s v="Card"/>
    <n v="4.5"/>
    <n v="20"/>
    <n v="5"/>
    <n v="1413.5120000000002"/>
    <x v="1"/>
    <x v="0"/>
    <s v="Returning"/>
  </r>
  <r>
    <n v="2641"/>
    <n v="26"/>
    <s v="Female"/>
    <x v="8"/>
    <s v="Skirt"/>
    <n v="56.74"/>
    <x v="3"/>
    <s v="Cash on Delivery"/>
    <n v="3.8"/>
    <n v="19"/>
    <n v="7"/>
    <n v="45.959400000000002"/>
    <x v="4"/>
    <x v="0"/>
    <s v="Returning"/>
  </r>
  <r>
    <n v="2642"/>
    <n v="48"/>
    <s v="Female"/>
    <x v="6"/>
    <s v="Makeup Set"/>
    <n v="39.32"/>
    <x v="2"/>
    <s v="Cash on Delivery"/>
    <n v="4.2"/>
    <n v="13"/>
    <n v="4"/>
    <n v="34.208399999999997"/>
    <x v="0"/>
    <x v="0"/>
    <s v="Returning"/>
  </r>
  <r>
    <n v="2643"/>
    <n v="64"/>
    <s v="Female"/>
    <x v="0"/>
    <s v="Handbag"/>
    <n v="98.93"/>
    <x v="1"/>
    <s v="Cash on Delivery"/>
    <n v="3.9"/>
    <n v="16"/>
    <n v="3"/>
    <n v="83.101200000000006"/>
    <x v="2"/>
    <x v="0"/>
    <s v="Returning"/>
  </r>
  <r>
    <n v="2644"/>
    <n v="61"/>
    <s v="Male"/>
    <x v="4"/>
    <s v="Cooking Oil"/>
    <n v="57.47"/>
    <x v="3"/>
    <s v="Cash on Delivery"/>
    <n v="3.4"/>
    <n v="18"/>
    <n v="4"/>
    <n v="47.125400000000006"/>
    <x v="2"/>
    <x v="0"/>
    <s v="Returning"/>
  </r>
  <r>
    <n v="2645"/>
    <n v="36"/>
    <s v="Female"/>
    <x v="4"/>
    <s v="Rice Pack"/>
    <n v="57.01"/>
    <x v="0"/>
    <s v="Card"/>
    <n v="3.9"/>
    <n v="6"/>
    <n v="3"/>
    <n v="53.589399999999998"/>
    <x v="1"/>
    <x v="0"/>
    <s v="Returning"/>
  </r>
  <r>
    <n v="2646"/>
    <n v="64"/>
    <s v="Male"/>
    <x v="1"/>
    <s v="T-Shirt"/>
    <n v="150.52000000000001"/>
    <x v="2"/>
    <s v="Card"/>
    <n v="4.3"/>
    <n v="18"/>
    <n v="4"/>
    <n v="123.42640000000002"/>
    <x v="2"/>
    <x v="0"/>
    <s v="Returning"/>
  </r>
  <r>
    <n v="2647"/>
    <n v="50"/>
    <s v="Female"/>
    <x v="6"/>
    <s v="Perfume"/>
    <n v="58.55"/>
    <x v="1"/>
    <s v="Card"/>
    <n v="3.4"/>
    <n v="19"/>
    <n v="7"/>
    <n v="47.4255"/>
    <x v="0"/>
    <x v="0"/>
    <s v="Returning"/>
  </r>
  <r>
    <n v="2648"/>
    <n v="64"/>
    <s v="Female"/>
    <x v="8"/>
    <s v="Skirt"/>
    <n v="32.29"/>
    <x v="2"/>
    <s v="Cash on Delivery"/>
    <n v="4.2"/>
    <n v="12"/>
    <n v="6"/>
    <n v="28.415199999999999"/>
    <x v="2"/>
    <x v="0"/>
    <s v="Returning"/>
  </r>
  <r>
    <n v="2649"/>
    <n v="65"/>
    <s v="Male"/>
    <x v="5"/>
    <s v="Mobile Phone"/>
    <n v="1042.54"/>
    <x v="0"/>
    <s v="Card"/>
    <n v="3.7"/>
    <n v="12"/>
    <n v="6"/>
    <n v="917.43520000000001"/>
    <x v="2"/>
    <x v="0"/>
    <s v="Returning"/>
  </r>
  <r>
    <n v="2650"/>
    <n v="69"/>
    <s v="Female"/>
    <x v="4"/>
    <s v="Beverages"/>
    <n v="26.45"/>
    <x v="3"/>
    <s v="Cash on Delivery"/>
    <n v="4.5"/>
    <n v="20"/>
    <n v="5"/>
    <n v="21.16"/>
    <x v="2"/>
    <x v="0"/>
    <s v="Returning"/>
  </r>
  <r>
    <n v="2651"/>
    <n v="32"/>
    <s v="Female"/>
    <x v="7"/>
    <s v="Sandals"/>
    <n v="90.64"/>
    <x v="3"/>
    <s v="Cash on Delivery"/>
    <n v="3.7"/>
    <n v="17"/>
    <n v="6"/>
    <n v="75.231200000000001"/>
    <x v="4"/>
    <x v="0"/>
    <s v="Returning"/>
  </r>
  <r>
    <n v="2652"/>
    <n v="33"/>
    <s v="Male"/>
    <x v="7"/>
    <s v="Formal Shoes"/>
    <n v="44.23"/>
    <x v="1"/>
    <s v="Cash on Delivery"/>
    <n v="2.4"/>
    <n v="8"/>
    <n v="4"/>
    <n v="40.691600000000001"/>
    <x v="4"/>
    <x v="0"/>
    <s v="Returning"/>
  </r>
  <r>
    <n v="2653"/>
    <n v="58"/>
    <s v="Male"/>
    <x v="7"/>
    <s v="Formal Shoes"/>
    <n v="54.47"/>
    <x v="0"/>
    <s v="Card"/>
    <n v="3.1"/>
    <n v="12"/>
    <n v="6"/>
    <n v="47.933599999999998"/>
    <x v="0"/>
    <x v="0"/>
    <s v="Returning"/>
  </r>
  <r>
    <n v="2654"/>
    <n v="51"/>
    <s v="Female"/>
    <x v="0"/>
    <s v="Wallet"/>
    <n v="121.74"/>
    <x v="2"/>
    <s v="Card"/>
    <n v="4.5999999999999996"/>
    <n v="4"/>
    <n v="2"/>
    <n v="116.87039999999999"/>
    <x v="0"/>
    <x v="0"/>
    <s v="Returning"/>
  </r>
  <r>
    <n v="2655"/>
    <n v="69"/>
    <s v="Female"/>
    <x v="3"/>
    <s v="Kitchen Set"/>
    <n v="51.27"/>
    <x v="3"/>
    <s v="Card"/>
    <n v="3.9"/>
    <n v="16"/>
    <n v="3"/>
    <n v="43.066800000000001"/>
    <x v="2"/>
    <x v="0"/>
    <s v="Returning"/>
  </r>
  <r>
    <n v="2656"/>
    <n v="39"/>
    <s v="Male"/>
    <x v="3"/>
    <s v="Lamp"/>
    <n v="188.31"/>
    <x v="0"/>
    <s v="Card"/>
    <n v="2.8"/>
    <n v="8"/>
    <n v="4"/>
    <n v="173.24520000000001"/>
    <x v="1"/>
    <x v="0"/>
    <s v="Returning"/>
  </r>
  <r>
    <n v="2657"/>
    <n v="63"/>
    <s v="Female"/>
    <x v="7"/>
    <s v="Sandals"/>
    <n v="230.43"/>
    <x v="2"/>
    <s v="Card"/>
    <n v="3.8"/>
    <n v="8"/>
    <n v="4"/>
    <n v="211.99560000000002"/>
    <x v="2"/>
    <x v="0"/>
    <s v="Returning"/>
  </r>
  <r>
    <n v="2658"/>
    <n v="56"/>
    <s v="Male"/>
    <x v="1"/>
    <s v="T-Shirt"/>
    <n v="47.11"/>
    <x v="1"/>
    <s v="Cash on Delivery"/>
    <n v="4.4000000000000004"/>
    <n v="8"/>
    <n v="4"/>
    <n v="43.341200000000001"/>
    <x v="0"/>
    <x v="0"/>
    <s v="Returning"/>
  </r>
  <r>
    <n v="2659"/>
    <n v="70"/>
    <s v="Female"/>
    <x v="8"/>
    <s v="Jeans"/>
    <n v="30.45"/>
    <x v="2"/>
    <s v="Card"/>
    <n v="3.8"/>
    <n v="12"/>
    <n v="6"/>
    <n v="26.795999999999999"/>
    <x v="2"/>
    <x v="0"/>
    <s v="Returning"/>
  </r>
  <r>
    <n v="2660"/>
    <n v="50"/>
    <s v="Female"/>
    <x v="6"/>
    <s v="Skincare Kit"/>
    <n v="54.62"/>
    <x v="1"/>
    <s v="Cash on Delivery"/>
    <n v="4.0999999999999996"/>
    <n v="16"/>
    <n v="3"/>
    <n v="45.880799999999994"/>
    <x v="0"/>
    <x v="0"/>
    <s v="Returning"/>
  </r>
  <r>
    <n v="2661"/>
    <n v="45"/>
    <s v="Male"/>
    <x v="4"/>
    <s v="Cooking Oil"/>
    <n v="5.85"/>
    <x v="2"/>
    <s v="Card"/>
    <n v="4.5"/>
    <n v="13"/>
    <n v="4"/>
    <n v="5.0894999999999992"/>
    <x v="1"/>
    <x v="0"/>
    <s v="Returning"/>
  </r>
  <r>
    <n v="2662"/>
    <n v="55"/>
    <s v="Male"/>
    <x v="2"/>
    <s v="Dumbbells"/>
    <n v="175.82"/>
    <x v="3"/>
    <s v="Card"/>
    <n v="4.5999999999999996"/>
    <n v="7"/>
    <n v="1"/>
    <n v="163.51259999999999"/>
    <x v="0"/>
    <x v="0"/>
    <s v="Returning"/>
  </r>
  <r>
    <n v="2663"/>
    <n v="26"/>
    <s v="Male"/>
    <x v="2"/>
    <s v="Dumbbells"/>
    <n v="34.479999999999997"/>
    <x v="0"/>
    <s v="Cash on Delivery"/>
    <n v="4"/>
    <n v="17"/>
    <n v="6"/>
    <n v="28.618399999999998"/>
    <x v="4"/>
    <x v="0"/>
    <s v="Returning"/>
  </r>
  <r>
    <n v="2664"/>
    <n v="69"/>
    <s v="Male"/>
    <x v="5"/>
    <s v="Mobile Phone"/>
    <n v="2410.79"/>
    <x v="2"/>
    <s v="Card"/>
    <n v="4.3"/>
    <n v="16"/>
    <n v="8"/>
    <n v="2025.0636"/>
    <x v="2"/>
    <x v="0"/>
    <s v="Returning"/>
  </r>
  <r>
    <n v="2665"/>
    <n v="64"/>
    <s v="Male"/>
    <x v="2"/>
    <s v="Football"/>
    <n v="232.53"/>
    <x v="0"/>
    <s v="Card"/>
    <n v="4.3"/>
    <n v="19"/>
    <n v="7"/>
    <n v="188.3493"/>
    <x v="2"/>
    <x v="0"/>
    <s v="Returning"/>
  </r>
  <r>
    <n v="2666"/>
    <n v="31"/>
    <s v="Male"/>
    <x v="7"/>
    <s v="Sandals"/>
    <n v="112.63"/>
    <x v="0"/>
    <s v="Card"/>
    <n v="2.7"/>
    <n v="8"/>
    <n v="4"/>
    <n v="103.61960000000001"/>
    <x v="4"/>
    <x v="0"/>
    <s v="Returning"/>
  </r>
  <r>
    <n v="2667"/>
    <n v="60"/>
    <s v="Female"/>
    <x v="0"/>
    <s v="Handbag"/>
    <n v="138.91"/>
    <x v="0"/>
    <s v="Card"/>
    <n v="4.4000000000000004"/>
    <n v="13"/>
    <n v="4"/>
    <n v="120.85169999999999"/>
    <x v="0"/>
    <x v="0"/>
    <s v="Returning"/>
  </r>
  <r>
    <n v="2668"/>
    <n v="26"/>
    <s v="Male"/>
    <x v="7"/>
    <s v="Sandals"/>
    <n v="221.47"/>
    <x v="0"/>
    <s v="Card"/>
    <n v="3.1"/>
    <n v="12"/>
    <n v="6"/>
    <n v="194.89359999999999"/>
    <x v="4"/>
    <x v="0"/>
    <s v="Returning"/>
  </r>
  <r>
    <n v="2669"/>
    <n v="21"/>
    <s v="Female"/>
    <x v="8"/>
    <s v="Jeans"/>
    <n v="52.43"/>
    <x v="0"/>
    <s v="Cash on Delivery"/>
    <n v="3.6"/>
    <n v="25"/>
    <n v="10"/>
    <n v="39.322499999999998"/>
    <x v="3"/>
    <x v="0"/>
    <s v="Returning"/>
  </r>
  <r>
    <n v="2670"/>
    <n v="37"/>
    <s v="Male"/>
    <x v="2"/>
    <s v="Dumbbells"/>
    <n v="172.83"/>
    <x v="1"/>
    <s v="Card"/>
    <n v="3.1"/>
    <n v="22"/>
    <n v="6"/>
    <n v="134.8074"/>
    <x v="1"/>
    <x v="0"/>
    <s v="Returning"/>
  </r>
  <r>
    <n v="2671"/>
    <n v="35"/>
    <s v="Female"/>
    <x v="3"/>
    <s v="Curtains"/>
    <n v="217.67"/>
    <x v="2"/>
    <s v="Card"/>
    <n v="3.5"/>
    <n v="10"/>
    <n v="5"/>
    <n v="195.90299999999999"/>
    <x v="4"/>
    <x v="0"/>
    <s v="Returning"/>
  </r>
  <r>
    <n v="2672"/>
    <n v="29"/>
    <s v="Male"/>
    <x v="7"/>
    <s v="Sneakers"/>
    <n v="217.41"/>
    <x v="0"/>
    <s v="Card"/>
    <n v="4.3"/>
    <n v="14"/>
    <n v="7"/>
    <n v="186.9726"/>
    <x v="4"/>
    <x v="0"/>
    <s v="Returning"/>
  </r>
  <r>
    <n v="2673"/>
    <n v="41"/>
    <s v="Male"/>
    <x v="7"/>
    <s v="Sneakers"/>
    <n v="171.5"/>
    <x v="2"/>
    <s v="Card"/>
    <n v="3.3"/>
    <n v="19"/>
    <n v="7"/>
    <n v="138.91500000000002"/>
    <x v="1"/>
    <x v="0"/>
    <s v="Returning"/>
  </r>
  <r>
    <n v="2674"/>
    <n v="35"/>
    <s v="Male"/>
    <x v="5"/>
    <s v="Laptop"/>
    <n v="2366.84"/>
    <x v="2"/>
    <s v="Card"/>
    <n v="3.6"/>
    <n v="26"/>
    <n v="8"/>
    <n v="1751.4616000000001"/>
    <x v="4"/>
    <x v="0"/>
    <s v="Returning"/>
  </r>
  <r>
    <n v="2675"/>
    <n v="70"/>
    <s v="Female"/>
    <x v="0"/>
    <s v="Wallet"/>
    <n v="169.45"/>
    <x v="1"/>
    <s v="Card"/>
    <n v="3.1"/>
    <n v="15"/>
    <n v="5"/>
    <n v="144.0325"/>
    <x v="2"/>
    <x v="0"/>
    <s v="Returning"/>
  </r>
  <r>
    <n v="2676"/>
    <n v="50"/>
    <s v="Female"/>
    <x v="0"/>
    <s v="Handbag"/>
    <n v="51.73"/>
    <x v="0"/>
    <s v="Cash on Delivery"/>
    <n v="3.4"/>
    <n v="10"/>
    <n v="5"/>
    <n v="46.556999999999995"/>
    <x v="0"/>
    <x v="0"/>
    <s v="Returning"/>
  </r>
  <r>
    <n v="2677"/>
    <n v="43"/>
    <s v="Female"/>
    <x v="7"/>
    <s v="Formal Shoes"/>
    <n v="111.39"/>
    <x v="0"/>
    <s v="Card"/>
    <n v="2.8"/>
    <n v="6"/>
    <n v="3"/>
    <n v="104.70659999999999"/>
    <x v="1"/>
    <x v="0"/>
    <s v="Returning"/>
  </r>
  <r>
    <n v="2678"/>
    <n v="40"/>
    <s v="Female"/>
    <x v="7"/>
    <s v="Sneakers"/>
    <n v="184.33"/>
    <x v="3"/>
    <s v="Card"/>
    <n v="4.3"/>
    <n v="26"/>
    <n v="8"/>
    <n v="136.4042"/>
    <x v="1"/>
    <x v="0"/>
    <s v="Returning"/>
  </r>
  <r>
    <n v="2679"/>
    <n v="32"/>
    <s v="Female"/>
    <x v="8"/>
    <s v="Dress"/>
    <n v="110.27"/>
    <x v="2"/>
    <s v="Card"/>
    <n v="4.4000000000000004"/>
    <n v="18"/>
    <n v="4"/>
    <n v="90.421400000000006"/>
    <x v="4"/>
    <x v="0"/>
    <s v="Returning"/>
  </r>
  <r>
    <n v="2680"/>
    <n v="61"/>
    <s v="Female"/>
    <x v="8"/>
    <s v="Top"/>
    <n v="79.69"/>
    <x v="0"/>
    <s v="Cash on Delivery"/>
    <n v="3.3"/>
    <n v="18"/>
    <n v="4"/>
    <n v="65.345799999999997"/>
    <x v="2"/>
    <x v="0"/>
    <s v="Returning"/>
  </r>
  <r>
    <n v="2681"/>
    <n v="54"/>
    <s v="Female"/>
    <x v="6"/>
    <s v="Perfume"/>
    <n v="125.21"/>
    <x v="0"/>
    <s v="Card"/>
    <n v="4.0999999999999996"/>
    <n v="8"/>
    <n v="4"/>
    <n v="115.1932"/>
    <x v="0"/>
    <x v="0"/>
    <s v="Returning"/>
  </r>
  <r>
    <n v="2682"/>
    <n v="66"/>
    <s v="Male"/>
    <x v="4"/>
    <s v="Beverages"/>
    <n v="5.08"/>
    <x v="2"/>
    <s v="Cash on Delivery"/>
    <n v="4.9000000000000004"/>
    <n v="17"/>
    <n v="6"/>
    <n v="4.2164000000000001"/>
    <x v="2"/>
    <x v="0"/>
    <s v="Returning"/>
  </r>
  <r>
    <n v="2683"/>
    <n v="69"/>
    <s v="Female"/>
    <x v="7"/>
    <s v="Sneakers"/>
    <n v="228.38"/>
    <x v="0"/>
    <s v="Card"/>
    <n v="4"/>
    <n v="14"/>
    <n v="7"/>
    <n v="196.4068"/>
    <x v="2"/>
    <x v="0"/>
    <s v="Returning"/>
  </r>
  <r>
    <n v="2684"/>
    <n v="27"/>
    <s v="Male"/>
    <x v="7"/>
    <s v="Sandals"/>
    <n v="146.57"/>
    <x v="2"/>
    <s v="Card"/>
    <n v="3.2"/>
    <n v="15"/>
    <n v="5"/>
    <n v="124.58449999999999"/>
    <x v="4"/>
    <x v="0"/>
    <s v="Returning"/>
  </r>
  <r>
    <n v="2685"/>
    <n v="64"/>
    <s v="Female"/>
    <x v="7"/>
    <s v="Sandals"/>
    <n v="90.12"/>
    <x v="2"/>
    <s v="Card"/>
    <n v="5"/>
    <n v="13"/>
    <n v="4"/>
    <n v="78.40440000000001"/>
    <x v="2"/>
    <x v="0"/>
    <s v="Returning"/>
  </r>
  <r>
    <n v="2686"/>
    <n v="46"/>
    <s v="Male"/>
    <x v="2"/>
    <s v="Dumbbells"/>
    <n v="180.39"/>
    <x v="2"/>
    <s v="Card"/>
    <n v="5"/>
    <n v="11"/>
    <n v="3"/>
    <n v="160.5471"/>
    <x v="0"/>
    <x v="0"/>
    <s v="Returning"/>
  </r>
  <r>
    <n v="2687"/>
    <n v="21"/>
    <s v="Female"/>
    <x v="7"/>
    <s v="Sandals"/>
    <n v="234.56"/>
    <x v="3"/>
    <s v="Card"/>
    <n v="4.0999999999999996"/>
    <n v="15"/>
    <n v="5"/>
    <n v="199.376"/>
    <x v="3"/>
    <x v="0"/>
    <s v="Returning"/>
  </r>
  <r>
    <n v="2688"/>
    <n v="31"/>
    <s v="Male"/>
    <x v="1"/>
    <s v="Jeans"/>
    <n v="172.58"/>
    <x v="0"/>
    <s v="Card"/>
    <n v="2.4"/>
    <n v="18"/>
    <n v="4"/>
    <n v="141.51560000000003"/>
    <x v="4"/>
    <x v="0"/>
    <s v="Returning"/>
  </r>
  <r>
    <n v="2689"/>
    <n v="69"/>
    <s v="Female"/>
    <x v="7"/>
    <s v="Formal Shoes"/>
    <n v="90.11"/>
    <x v="0"/>
    <s v="Cash on Delivery"/>
    <n v="3.3"/>
    <n v="15"/>
    <n v="5"/>
    <n v="76.593499999999992"/>
    <x v="2"/>
    <x v="0"/>
    <s v="Returning"/>
  </r>
  <r>
    <n v="2690"/>
    <n v="55"/>
    <s v="Female"/>
    <x v="8"/>
    <s v="Skirt"/>
    <n v="159.87"/>
    <x v="2"/>
    <s v="Card"/>
    <n v="3.6"/>
    <n v="8"/>
    <n v="4"/>
    <n v="147.0804"/>
    <x v="0"/>
    <x v="0"/>
    <s v="Returning"/>
  </r>
  <r>
    <n v="2691"/>
    <n v="50"/>
    <s v="Female"/>
    <x v="7"/>
    <s v="Sandals"/>
    <n v="95.51"/>
    <x v="1"/>
    <s v="Card"/>
    <n v="5"/>
    <n v="20"/>
    <n v="5"/>
    <n v="76.408000000000001"/>
    <x v="0"/>
    <x v="0"/>
    <s v="Returning"/>
  </r>
  <r>
    <n v="2692"/>
    <n v="68"/>
    <s v="Male"/>
    <x v="2"/>
    <s v="Dumbbells"/>
    <n v="84.67"/>
    <x v="0"/>
    <s v="Card"/>
    <n v="3"/>
    <n v="13"/>
    <n v="4"/>
    <n v="73.662900000000008"/>
    <x v="2"/>
    <x v="0"/>
    <s v="Returning"/>
  </r>
  <r>
    <n v="2693"/>
    <n v="64"/>
    <s v="Male"/>
    <x v="2"/>
    <s v="Dumbbells"/>
    <n v="25.56"/>
    <x v="2"/>
    <s v="Cash on Delivery"/>
    <n v="3.2"/>
    <n v="11"/>
    <n v="3"/>
    <n v="22.7484"/>
    <x v="2"/>
    <x v="0"/>
    <s v="Returning"/>
  </r>
  <r>
    <n v="2694"/>
    <n v="63"/>
    <s v="Female"/>
    <x v="6"/>
    <s v="Perfume"/>
    <n v="49.07"/>
    <x v="0"/>
    <s v="Card"/>
    <n v="4.5999999999999996"/>
    <n v="6"/>
    <n v="3"/>
    <n v="46.125799999999998"/>
    <x v="2"/>
    <x v="0"/>
    <s v="Returning"/>
  </r>
  <r>
    <n v="2695"/>
    <n v="32"/>
    <s v="Male"/>
    <x v="1"/>
    <s v="Shirt"/>
    <n v="73.680000000000007"/>
    <x v="1"/>
    <s v="Cash on Delivery"/>
    <n v="4.5"/>
    <n v="22"/>
    <n v="6"/>
    <n v="57.470400000000005"/>
    <x v="4"/>
    <x v="0"/>
    <s v="Returning"/>
  </r>
  <r>
    <n v="2696"/>
    <n v="36"/>
    <s v="Male"/>
    <x v="2"/>
    <s v="Dumbbells"/>
    <n v="116.83"/>
    <x v="0"/>
    <s v="Card"/>
    <n v="4"/>
    <n v="14"/>
    <n v="7"/>
    <n v="100.4738"/>
    <x v="1"/>
    <x v="0"/>
    <s v="Returning"/>
  </r>
  <r>
    <n v="2697"/>
    <n v="49"/>
    <s v="Male"/>
    <x v="5"/>
    <s v="Mobile Phone"/>
    <n v="1896.33"/>
    <x v="0"/>
    <s v="Card"/>
    <n v="3.7"/>
    <n v="14"/>
    <n v="7"/>
    <n v="1630.8437999999999"/>
    <x v="0"/>
    <x v="0"/>
    <s v="Returning"/>
  </r>
  <r>
    <n v="2698"/>
    <n v="48"/>
    <s v="Female"/>
    <x v="6"/>
    <s v="Skincare Kit"/>
    <n v="27.41"/>
    <x v="1"/>
    <s v="Card"/>
    <n v="5"/>
    <n v="14"/>
    <n v="2"/>
    <n v="23.572600000000001"/>
    <x v="0"/>
    <x v="0"/>
    <s v="Returning"/>
  </r>
  <r>
    <n v="2699"/>
    <n v="57"/>
    <s v="Male"/>
    <x v="1"/>
    <s v="Jeans"/>
    <n v="160.88"/>
    <x v="3"/>
    <s v="Card"/>
    <n v="2.9"/>
    <n v="20"/>
    <n v="5"/>
    <n v="128.70400000000001"/>
    <x v="0"/>
    <x v="0"/>
    <s v="Returning"/>
  </r>
  <r>
    <n v="2700"/>
    <n v="47"/>
    <s v="Female"/>
    <x v="6"/>
    <s v="Skincare Kit"/>
    <n v="133.68"/>
    <x v="3"/>
    <s v="Card"/>
    <n v="4.9000000000000004"/>
    <n v="12"/>
    <n v="1"/>
    <n v="117.6384"/>
    <x v="0"/>
    <x v="0"/>
    <s v="Returning"/>
  </r>
  <r>
    <n v="2701"/>
    <n v="64"/>
    <s v="Male"/>
    <x v="5"/>
    <s v="Laptop"/>
    <n v="2526.33"/>
    <x v="1"/>
    <s v="Card"/>
    <n v="4.7"/>
    <n v="11"/>
    <n v="3"/>
    <n v="2248.4337"/>
    <x v="2"/>
    <x v="0"/>
    <s v="Returning"/>
  </r>
  <r>
    <n v="2702"/>
    <n v="43"/>
    <s v="Female"/>
    <x v="6"/>
    <s v="Perfume"/>
    <n v="52.38"/>
    <x v="1"/>
    <s v="Cash on Delivery"/>
    <n v="4.5"/>
    <n v="13"/>
    <n v="4"/>
    <n v="45.570599999999999"/>
    <x v="1"/>
    <x v="0"/>
    <s v="Returning"/>
  </r>
  <r>
    <n v="2703"/>
    <n v="46"/>
    <s v="Male"/>
    <x v="7"/>
    <s v="Sandals"/>
    <n v="172.43"/>
    <x v="0"/>
    <s v="Card"/>
    <n v="3.7"/>
    <n v="28"/>
    <n v="9"/>
    <n v="124.14960000000001"/>
    <x v="0"/>
    <x v="0"/>
    <s v="Returning"/>
  </r>
  <r>
    <n v="2704"/>
    <n v="31"/>
    <s v="Female"/>
    <x v="6"/>
    <s v="Perfume"/>
    <n v="22.43"/>
    <x v="1"/>
    <s v="Cash on Delivery"/>
    <n v="5"/>
    <n v="20"/>
    <n v="5"/>
    <n v="17.943999999999999"/>
    <x v="4"/>
    <x v="0"/>
    <s v="Returning"/>
  </r>
  <r>
    <n v="2705"/>
    <n v="57"/>
    <s v="Female"/>
    <x v="6"/>
    <s v="Makeup Set"/>
    <n v="134.93"/>
    <x v="1"/>
    <s v="Card"/>
    <n v="4.5"/>
    <n v="16"/>
    <n v="3"/>
    <n v="113.3412"/>
    <x v="0"/>
    <x v="0"/>
    <s v="Returning"/>
  </r>
  <r>
    <n v="2706"/>
    <n v="28"/>
    <s v="Female"/>
    <x v="6"/>
    <s v="Perfume"/>
    <n v="29.51"/>
    <x v="3"/>
    <s v="Card"/>
    <n v="4.4000000000000004"/>
    <n v="16"/>
    <n v="8"/>
    <n v="24.788399999999999"/>
    <x v="4"/>
    <x v="0"/>
    <s v="Returning"/>
  </r>
  <r>
    <n v="2707"/>
    <n v="21"/>
    <s v="Male"/>
    <x v="1"/>
    <s v="Shirt"/>
    <n v="58.68"/>
    <x v="0"/>
    <s v="Card"/>
    <n v="3.6"/>
    <n v="20"/>
    <n v="5"/>
    <n v="46.944000000000003"/>
    <x v="3"/>
    <x v="0"/>
    <s v="Returning"/>
  </r>
  <r>
    <n v="2708"/>
    <n v="31"/>
    <s v="Male"/>
    <x v="5"/>
    <s v="Laptop"/>
    <n v="2023.48"/>
    <x v="0"/>
    <s v="Card"/>
    <n v="2.6"/>
    <n v="9"/>
    <n v="2"/>
    <n v="1841.3668"/>
    <x v="4"/>
    <x v="0"/>
    <s v="Returning"/>
  </r>
  <r>
    <n v="2709"/>
    <n v="57"/>
    <s v="Female"/>
    <x v="6"/>
    <s v="Skincare Kit"/>
    <n v="66.39"/>
    <x v="3"/>
    <s v="Cash on Delivery"/>
    <n v="3.1"/>
    <n v="8"/>
    <n v="4"/>
    <n v="61.078800000000001"/>
    <x v="0"/>
    <x v="0"/>
    <s v="Returning"/>
  </r>
  <r>
    <n v="2710"/>
    <n v="59"/>
    <s v="Male"/>
    <x v="1"/>
    <s v="Jacket"/>
    <n v="141.61000000000001"/>
    <x v="3"/>
    <s v="Card"/>
    <n v="4.0999999999999996"/>
    <n v="8"/>
    <n v="4"/>
    <n v="130.28120000000001"/>
    <x v="0"/>
    <x v="0"/>
    <s v="Returning"/>
  </r>
  <r>
    <n v="2711"/>
    <n v="21"/>
    <s v="Male"/>
    <x v="5"/>
    <s v="Laptop"/>
    <n v="2109.6799999999998"/>
    <x v="2"/>
    <s v="Card"/>
    <n v="3.2"/>
    <n v="12"/>
    <n v="6"/>
    <n v="1856.5183999999999"/>
    <x v="3"/>
    <x v="0"/>
    <s v="Returning"/>
  </r>
  <r>
    <n v="2712"/>
    <n v="25"/>
    <s v="Female"/>
    <x v="4"/>
    <s v="Snacks"/>
    <n v="41.72"/>
    <x v="0"/>
    <s v="Cash on Delivery"/>
    <n v="5"/>
    <n v="2"/>
    <n v="1"/>
    <n v="40.885599999999997"/>
    <x v="3"/>
    <x v="0"/>
    <s v="Returning"/>
  </r>
  <r>
    <n v="2713"/>
    <n v="41"/>
    <s v="Female"/>
    <x v="6"/>
    <s v="Perfume"/>
    <n v="139.88"/>
    <x v="1"/>
    <s v="Card"/>
    <n v="4.3"/>
    <n v="6"/>
    <n v="3"/>
    <n v="131.4872"/>
    <x v="1"/>
    <x v="0"/>
    <s v="Returning"/>
  </r>
  <r>
    <n v="2714"/>
    <n v="46"/>
    <s v="Female"/>
    <x v="0"/>
    <s v="Sunglasses"/>
    <n v="39.06"/>
    <x v="2"/>
    <s v="Cash on Delivery"/>
    <n v="3.2"/>
    <n v="12"/>
    <n v="6"/>
    <n v="34.372800000000005"/>
    <x v="0"/>
    <x v="0"/>
    <s v="Returning"/>
  </r>
  <r>
    <n v="2715"/>
    <n v="40"/>
    <s v="Female"/>
    <x v="6"/>
    <s v="Makeup Set"/>
    <n v="104.69"/>
    <x v="2"/>
    <s v="Card"/>
    <n v="2.2000000000000002"/>
    <n v="17"/>
    <n v="6"/>
    <n v="86.892699999999991"/>
    <x v="1"/>
    <x v="0"/>
    <s v="Returning"/>
  </r>
  <r>
    <n v="2716"/>
    <n v="47"/>
    <s v="Male"/>
    <x v="1"/>
    <s v="Jacket"/>
    <n v="119.05"/>
    <x v="2"/>
    <s v="Card"/>
    <n v="2.5"/>
    <n v="9"/>
    <n v="2"/>
    <n v="108.3355"/>
    <x v="0"/>
    <x v="0"/>
    <s v="Returning"/>
  </r>
  <r>
    <n v="2717"/>
    <n v="53"/>
    <s v="Female"/>
    <x v="0"/>
    <s v="Sunglasses"/>
    <n v="158.47"/>
    <x v="3"/>
    <s v="Card"/>
    <n v="4.4000000000000004"/>
    <n v="22"/>
    <n v="6"/>
    <n v="123.6066"/>
    <x v="0"/>
    <x v="0"/>
    <s v="Returning"/>
  </r>
  <r>
    <n v="2718"/>
    <n v="34"/>
    <s v="Male"/>
    <x v="1"/>
    <s v="Jeans"/>
    <n v="111.49"/>
    <x v="1"/>
    <s v="Card"/>
    <n v="4.5"/>
    <n v="18"/>
    <n v="4"/>
    <n v="91.421800000000005"/>
    <x v="4"/>
    <x v="0"/>
    <s v="Returning"/>
  </r>
  <r>
    <n v="2719"/>
    <n v="34"/>
    <s v="Female"/>
    <x v="7"/>
    <s v="Sneakers"/>
    <n v="171.91"/>
    <x v="1"/>
    <s v="Card"/>
    <n v="3.3"/>
    <n v="20"/>
    <n v="5"/>
    <n v="137.52799999999999"/>
    <x v="4"/>
    <x v="0"/>
    <s v="Returning"/>
  </r>
  <r>
    <n v="2720"/>
    <n v="61"/>
    <s v="Female"/>
    <x v="8"/>
    <s v="Jeans"/>
    <n v="199.45"/>
    <x v="1"/>
    <s v="Card"/>
    <n v="3.2"/>
    <n v="24"/>
    <n v="7"/>
    <n v="151.58199999999999"/>
    <x v="2"/>
    <x v="0"/>
    <s v="Returning"/>
  </r>
  <r>
    <n v="2721"/>
    <n v="29"/>
    <s v="Male"/>
    <x v="7"/>
    <s v="Sneakers"/>
    <n v="201.67"/>
    <x v="3"/>
    <s v="Card"/>
    <n v="4.0999999999999996"/>
    <n v="11"/>
    <n v="3"/>
    <n v="179.4863"/>
    <x v="4"/>
    <x v="0"/>
    <s v="Returning"/>
  </r>
  <r>
    <n v="2722"/>
    <n v="33"/>
    <s v="Male"/>
    <x v="4"/>
    <s v="Beverages"/>
    <n v="30.08"/>
    <x v="1"/>
    <s v="Card"/>
    <n v="4.2"/>
    <n v="10"/>
    <n v="5"/>
    <n v="27.071999999999999"/>
    <x v="4"/>
    <x v="0"/>
    <s v="Returning"/>
  </r>
  <r>
    <n v="2723"/>
    <n v="70"/>
    <s v="Female"/>
    <x v="7"/>
    <s v="Sandals"/>
    <n v="173.77"/>
    <x v="1"/>
    <s v="Card"/>
    <n v="4"/>
    <n v="12"/>
    <n v="6"/>
    <n v="152.91760000000002"/>
    <x v="2"/>
    <x v="0"/>
    <s v="Returning"/>
  </r>
  <r>
    <n v="2724"/>
    <n v="51"/>
    <s v="Male"/>
    <x v="2"/>
    <s v="Dumbbells"/>
    <n v="26.65"/>
    <x v="2"/>
    <s v="Card"/>
    <n v="3.5"/>
    <n v="12"/>
    <n v="6"/>
    <n v="23.451999999999998"/>
    <x v="0"/>
    <x v="0"/>
    <s v="Returning"/>
  </r>
  <r>
    <n v="2725"/>
    <n v="57"/>
    <s v="Male"/>
    <x v="5"/>
    <s v="Mobile Phone"/>
    <n v="800.36"/>
    <x v="0"/>
    <s v="Card"/>
    <n v="4"/>
    <n v="22"/>
    <n v="6"/>
    <n v="624.2808"/>
    <x v="0"/>
    <x v="0"/>
    <s v="Returning"/>
  </r>
  <r>
    <n v="2726"/>
    <n v="45"/>
    <s v="Male"/>
    <x v="1"/>
    <s v="Shirt"/>
    <n v="94.82"/>
    <x v="1"/>
    <s v="Card"/>
    <n v="4.4000000000000004"/>
    <n v="19"/>
    <n v="7"/>
    <n v="76.804199999999994"/>
    <x v="1"/>
    <x v="0"/>
    <s v="Returning"/>
  </r>
  <r>
    <n v="2727"/>
    <n v="67"/>
    <s v="Female"/>
    <x v="3"/>
    <s v="Lamp"/>
    <n v="248.77"/>
    <x v="3"/>
    <s v="Card"/>
    <n v="3.9"/>
    <n v="8"/>
    <n v="4"/>
    <n v="228.86840000000001"/>
    <x v="2"/>
    <x v="0"/>
    <s v="Returning"/>
  </r>
  <r>
    <n v="2728"/>
    <n v="45"/>
    <s v="Female"/>
    <x v="0"/>
    <s v="Sunglasses"/>
    <n v="30.71"/>
    <x v="2"/>
    <s v="Cash on Delivery"/>
    <n v="3.5"/>
    <n v="12"/>
    <n v="1"/>
    <n v="27.024800000000003"/>
    <x v="1"/>
    <x v="0"/>
    <s v="Returning"/>
  </r>
  <r>
    <n v="2729"/>
    <n v="60"/>
    <s v="Male"/>
    <x v="2"/>
    <s v="Dumbbells"/>
    <n v="165.51"/>
    <x v="2"/>
    <s v="Card"/>
    <n v="2.6"/>
    <n v="8"/>
    <n v="4"/>
    <n v="152.26920000000001"/>
    <x v="0"/>
    <x v="0"/>
    <s v="Returning"/>
  </r>
  <r>
    <n v="2730"/>
    <n v="70"/>
    <s v="Female"/>
    <x v="8"/>
    <s v="Dress"/>
    <n v="68.489999999999995"/>
    <x v="0"/>
    <s v="Cash on Delivery"/>
    <n v="4.7"/>
    <n v="14"/>
    <n v="2"/>
    <n v="58.901399999999995"/>
    <x v="2"/>
    <x v="0"/>
    <s v="Returning"/>
  </r>
  <r>
    <n v="2731"/>
    <n v="21"/>
    <s v="Male"/>
    <x v="5"/>
    <s v="Laptop"/>
    <n v="2061.36"/>
    <x v="1"/>
    <s v="Card"/>
    <n v="4"/>
    <n v="20"/>
    <n v="5"/>
    <n v="1649.0880000000002"/>
    <x v="3"/>
    <x v="0"/>
    <s v="Returning"/>
  </r>
  <r>
    <n v="2732"/>
    <n v="42"/>
    <s v="Female"/>
    <x v="7"/>
    <s v="Sandals"/>
    <n v="45.4"/>
    <x v="2"/>
    <s v="Card"/>
    <n v="3.5"/>
    <n v="19"/>
    <n v="7"/>
    <n v="36.774000000000001"/>
    <x v="1"/>
    <x v="0"/>
    <s v="Returning"/>
  </r>
  <r>
    <n v="2733"/>
    <n v="26"/>
    <s v="Female"/>
    <x v="8"/>
    <s v="Skirt"/>
    <n v="66.62"/>
    <x v="0"/>
    <s v="Cash on Delivery"/>
    <n v="3.5"/>
    <n v="2"/>
    <n v="1"/>
    <n v="65.287599999999998"/>
    <x v="4"/>
    <x v="0"/>
    <s v="Returning"/>
  </r>
  <r>
    <n v="2734"/>
    <n v="69"/>
    <s v="Female"/>
    <x v="7"/>
    <s v="Sandals"/>
    <n v="43.11"/>
    <x v="0"/>
    <s v="Cash on Delivery"/>
    <n v="3.4"/>
    <n v="2"/>
    <n v="1"/>
    <n v="42.247799999999998"/>
    <x v="2"/>
    <x v="0"/>
    <s v="Returning"/>
  </r>
  <r>
    <n v="2735"/>
    <n v="49"/>
    <s v="Male"/>
    <x v="5"/>
    <s v="Mobile Phone"/>
    <n v="519.78"/>
    <x v="1"/>
    <s v="Card"/>
    <n v="3.7"/>
    <n v="22"/>
    <n v="6"/>
    <n v="405.42840000000001"/>
    <x v="0"/>
    <x v="0"/>
    <s v="Returning"/>
  </r>
  <r>
    <n v="2736"/>
    <n v="28"/>
    <s v="Female"/>
    <x v="8"/>
    <s v="Jeans"/>
    <n v="167.8"/>
    <x v="1"/>
    <s v="Card"/>
    <n v="3.8"/>
    <n v="19"/>
    <n v="7"/>
    <n v="135.91800000000001"/>
    <x v="4"/>
    <x v="0"/>
    <s v="Returning"/>
  </r>
  <r>
    <n v="2737"/>
    <n v="59"/>
    <s v="Male"/>
    <x v="3"/>
    <s v="Curtains"/>
    <n v="57.56"/>
    <x v="0"/>
    <s v="Card"/>
    <n v="4.7"/>
    <n v="17"/>
    <n v="6"/>
    <n v="47.774799999999999"/>
    <x v="0"/>
    <x v="0"/>
    <s v="Returning"/>
  </r>
  <r>
    <n v="2738"/>
    <n v="41"/>
    <s v="Female"/>
    <x v="3"/>
    <s v="Kitchen Set"/>
    <n v="82.73"/>
    <x v="3"/>
    <s v="Cash on Delivery"/>
    <n v="3.9"/>
    <n v="26"/>
    <n v="8"/>
    <n v="61.220200000000006"/>
    <x v="1"/>
    <x v="0"/>
    <s v="Returning"/>
  </r>
  <r>
    <n v="2739"/>
    <n v="30"/>
    <s v="Male"/>
    <x v="5"/>
    <s v="Mobile Phone"/>
    <n v="578.64"/>
    <x v="2"/>
    <s v="Card"/>
    <n v="3.2"/>
    <n v="21"/>
    <n v="8"/>
    <n v="457.12560000000002"/>
    <x v="4"/>
    <x v="0"/>
    <s v="Returning"/>
  </r>
  <r>
    <n v="2740"/>
    <n v="69"/>
    <s v="Male"/>
    <x v="4"/>
    <s v="Snacks"/>
    <n v="65.16"/>
    <x v="0"/>
    <s v="Card"/>
    <n v="4.2"/>
    <n v="11"/>
    <n v="3"/>
    <n v="57.992399999999996"/>
    <x v="2"/>
    <x v="0"/>
    <s v="Returning"/>
  </r>
  <r>
    <n v="2741"/>
    <n v="62"/>
    <s v="Female"/>
    <x v="8"/>
    <s v="Jeans"/>
    <n v="101.41"/>
    <x v="1"/>
    <s v="Card"/>
    <n v="3.9"/>
    <n v="8"/>
    <n v="4"/>
    <n v="93.297200000000004"/>
    <x v="2"/>
    <x v="0"/>
    <s v="Returning"/>
  </r>
  <r>
    <n v="2742"/>
    <n v="33"/>
    <s v="Female"/>
    <x v="6"/>
    <s v="Perfume"/>
    <n v="110.21"/>
    <x v="2"/>
    <s v="Card"/>
    <n v="4.0999999999999996"/>
    <n v="14"/>
    <n v="2"/>
    <n v="94.780599999999993"/>
    <x v="4"/>
    <x v="0"/>
    <s v="Returning"/>
  </r>
  <r>
    <n v="2743"/>
    <n v="22"/>
    <s v="Male"/>
    <x v="2"/>
    <s v="Dumbbells"/>
    <n v="63.38"/>
    <x v="0"/>
    <s v="Cash on Delivery"/>
    <n v="3"/>
    <n v="28"/>
    <n v="9"/>
    <n v="45.633600000000001"/>
    <x v="3"/>
    <x v="0"/>
    <s v="Returning"/>
  </r>
  <r>
    <n v="2744"/>
    <n v="56"/>
    <s v="Male"/>
    <x v="1"/>
    <s v="Jacket"/>
    <n v="144.24"/>
    <x v="0"/>
    <s v="Card"/>
    <n v="3.8"/>
    <n v="28"/>
    <n v="9"/>
    <n v="103.8528"/>
    <x v="0"/>
    <x v="0"/>
    <s v="Returning"/>
  </r>
  <r>
    <n v="2745"/>
    <n v="37"/>
    <s v="Male"/>
    <x v="7"/>
    <s v="Sandals"/>
    <n v="235.76"/>
    <x v="2"/>
    <s v="Card"/>
    <n v="4.5"/>
    <n v="28"/>
    <n v="9"/>
    <n v="169.74719999999999"/>
    <x v="1"/>
    <x v="0"/>
    <s v="Returning"/>
  </r>
  <r>
    <n v="2746"/>
    <n v="41"/>
    <s v="Female"/>
    <x v="0"/>
    <s v="Wallet"/>
    <n v="53.22"/>
    <x v="2"/>
    <s v="Cash on Delivery"/>
    <n v="2.7"/>
    <n v="13"/>
    <n v="4"/>
    <n v="46.301400000000001"/>
    <x v="1"/>
    <x v="0"/>
    <s v="Returning"/>
  </r>
  <r>
    <n v="2747"/>
    <n v="66"/>
    <s v="Male"/>
    <x v="2"/>
    <s v="Yoga Mat"/>
    <n v="50.31"/>
    <x v="1"/>
    <s v="Cash on Delivery"/>
    <n v="2.6"/>
    <n v="18"/>
    <n v="4"/>
    <n v="41.254200000000004"/>
    <x v="2"/>
    <x v="0"/>
    <s v="Returning"/>
  </r>
  <r>
    <n v="2748"/>
    <n v="22"/>
    <s v="Male"/>
    <x v="5"/>
    <s v="Smart Watch"/>
    <n v="1764.17"/>
    <x v="2"/>
    <s v="Card"/>
    <n v="4.0999999999999996"/>
    <n v="16"/>
    <n v="8"/>
    <n v="1481.9028000000001"/>
    <x v="3"/>
    <x v="0"/>
    <s v="Returning"/>
  </r>
  <r>
    <n v="2749"/>
    <n v="50"/>
    <s v="Female"/>
    <x v="6"/>
    <s v="Skincare Kit"/>
    <n v="78.25"/>
    <x v="2"/>
    <s v="Cash on Delivery"/>
    <n v="4.8"/>
    <n v="18"/>
    <n v="4"/>
    <n v="64.165000000000006"/>
    <x v="0"/>
    <x v="0"/>
    <s v="Returning"/>
  </r>
  <r>
    <n v="2750"/>
    <n v="67"/>
    <s v="Male"/>
    <x v="4"/>
    <s v="Snacks"/>
    <n v="18.2"/>
    <x v="1"/>
    <s v="Card"/>
    <n v="3"/>
    <n v="14"/>
    <n v="7"/>
    <n v="15.651999999999999"/>
    <x v="2"/>
    <x v="0"/>
    <s v="Returning"/>
  </r>
  <r>
    <n v="2751"/>
    <n v="35"/>
    <s v="Male"/>
    <x v="3"/>
    <s v="Curtains"/>
    <n v="244.27"/>
    <x v="1"/>
    <s v="Card"/>
    <n v="4.5999999999999996"/>
    <n v="12"/>
    <n v="1"/>
    <n v="214.95760000000001"/>
    <x v="4"/>
    <x v="0"/>
    <s v="Returning"/>
  </r>
  <r>
    <n v="2752"/>
    <n v="36"/>
    <s v="Male"/>
    <x v="3"/>
    <s v="Kitchen Set"/>
    <n v="112.07"/>
    <x v="3"/>
    <s v="Card"/>
    <n v="3.8"/>
    <n v="14"/>
    <n v="7"/>
    <n v="96.380199999999988"/>
    <x v="1"/>
    <x v="0"/>
    <s v="Returning"/>
  </r>
  <r>
    <n v="2753"/>
    <n v="22"/>
    <s v="Male"/>
    <x v="1"/>
    <s v="Jacket"/>
    <n v="116.68"/>
    <x v="3"/>
    <s v="Card"/>
    <n v="5"/>
    <n v="15"/>
    <n v="5"/>
    <n v="99.177999999999997"/>
    <x v="3"/>
    <x v="0"/>
    <s v="Returning"/>
  </r>
  <r>
    <n v="2754"/>
    <n v="30"/>
    <s v="Female"/>
    <x v="4"/>
    <s v="Snacks"/>
    <n v="28.54"/>
    <x v="1"/>
    <s v="Card"/>
    <n v="3.5"/>
    <n v="12"/>
    <n v="6"/>
    <n v="25.115199999999998"/>
    <x v="4"/>
    <x v="0"/>
    <s v="Returning"/>
  </r>
  <r>
    <n v="2755"/>
    <n v="54"/>
    <s v="Male"/>
    <x v="5"/>
    <s v="Headphones"/>
    <n v="1263.5899999999999"/>
    <x v="2"/>
    <s v="Card"/>
    <n v="3.3"/>
    <n v="8"/>
    <n v="4"/>
    <n v="1162.5028"/>
    <x v="0"/>
    <x v="0"/>
    <s v="Returning"/>
  </r>
  <r>
    <n v="2756"/>
    <n v="35"/>
    <s v="Male"/>
    <x v="2"/>
    <s v="Football"/>
    <n v="137.06"/>
    <x v="2"/>
    <s v="Card"/>
    <n v="3.6"/>
    <n v="16"/>
    <n v="8"/>
    <n v="115.13039999999999"/>
    <x v="4"/>
    <x v="0"/>
    <s v="Returning"/>
  </r>
  <r>
    <n v="2757"/>
    <n v="21"/>
    <s v="Male"/>
    <x v="4"/>
    <s v="Cooking Oil"/>
    <n v="49.98"/>
    <x v="1"/>
    <s v="Card"/>
    <n v="3.2"/>
    <n v="13"/>
    <n v="4"/>
    <n v="43.482599999999998"/>
    <x v="3"/>
    <x v="0"/>
    <s v="Returning"/>
  </r>
  <r>
    <n v="2758"/>
    <n v="50"/>
    <s v="Female"/>
    <x v="7"/>
    <s v="Sneakers"/>
    <n v="99.11"/>
    <x v="3"/>
    <s v="Cash on Delivery"/>
    <n v="4.3"/>
    <n v="9"/>
    <n v="2"/>
    <n v="90.190100000000001"/>
    <x v="0"/>
    <x v="0"/>
    <s v="Returning"/>
  </r>
  <r>
    <n v="2759"/>
    <n v="30"/>
    <s v="Male"/>
    <x v="5"/>
    <s v="Mobile Phone"/>
    <n v="1683.57"/>
    <x v="2"/>
    <s v="Card"/>
    <n v="3.5"/>
    <n v="11"/>
    <n v="3"/>
    <n v="1498.3772999999999"/>
    <x v="4"/>
    <x v="0"/>
    <s v="Returning"/>
  </r>
  <r>
    <n v="2760"/>
    <n v="48"/>
    <s v="Female"/>
    <x v="4"/>
    <s v="Rice Pack"/>
    <n v="77.239999999999995"/>
    <x v="3"/>
    <s v="Card"/>
    <n v="4.7"/>
    <n v="28"/>
    <n v="9"/>
    <n v="55.612799999999993"/>
    <x v="0"/>
    <x v="0"/>
    <s v="Returning"/>
  </r>
  <r>
    <n v="2761"/>
    <n v="38"/>
    <s v="Female"/>
    <x v="4"/>
    <s v="Cooking Oil"/>
    <n v="15.14"/>
    <x v="1"/>
    <s v="Card"/>
    <n v="3.2"/>
    <n v="18"/>
    <n v="4"/>
    <n v="12.414800000000001"/>
    <x v="1"/>
    <x v="0"/>
    <s v="Returning"/>
  </r>
  <r>
    <n v="2762"/>
    <n v="62"/>
    <s v="Male"/>
    <x v="7"/>
    <s v="Sandals"/>
    <n v="43.56"/>
    <x v="2"/>
    <s v="Cash on Delivery"/>
    <n v="2.6"/>
    <n v="24"/>
    <n v="7"/>
    <n v="33.105600000000003"/>
    <x v="2"/>
    <x v="0"/>
    <s v="Returning"/>
  </r>
  <r>
    <n v="2763"/>
    <n v="30"/>
    <s v="Female"/>
    <x v="6"/>
    <s v="Perfume"/>
    <n v="51"/>
    <x v="3"/>
    <s v="Cash on Delivery"/>
    <n v="4.5"/>
    <n v="8"/>
    <n v="4"/>
    <n v="46.92"/>
    <x v="4"/>
    <x v="0"/>
    <s v="Returning"/>
  </r>
  <r>
    <n v="2764"/>
    <n v="24"/>
    <s v="Female"/>
    <x v="2"/>
    <s v="Dumbbells"/>
    <n v="232.42"/>
    <x v="3"/>
    <s v="Card"/>
    <n v="2.7"/>
    <n v="9"/>
    <n v="2"/>
    <n v="211.50219999999999"/>
    <x v="3"/>
    <x v="0"/>
    <s v="Returning"/>
  </r>
  <r>
    <n v="2765"/>
    <n v="56"/>
    <s v="Female"/>
    <x v="6"/>
    <s v="Skincare Kit"/>
    <n v="78.209999999999994"/>
    <x v="1"/>
    <s v="Cash on Delivery"/>
    <n v="5"/>
    <n v="22"/>
    <n v="6"/>
    <n v="61.003799999999998"/>
    <x v="0"/>
    <x v="0"/>
    <s v="Returning"/>
  </r>
  <r>
    <n v="2766"/>
    <n v="70"/>
    <s v="Female"/>
    <x v="4"/>
    <s v="Beverages"/>
    <n v="26.36"/>
    <x v="1"/>
    <s v="Cash on Delivery"/>
    <n v="4.4000000000000004"/>
    <n v="10"/>
    <n v="5"/>
    <n v="23.724"/>
    <x v="2"/>
    <x v="0"/>
    <s v="Returning"/>
  </r>
  <r>
    <n v="2767"/>
    <n v="22"/>
    <s v="Male"/>
    <x v="1"/>
    <s v="Jacket"/>
    <n v="59.51"/>
    <x v="2"/>
    <s v="Card"/>
    <n v="3.3"/>
    <n v="16"/>
    <n v="3"/>
    <n v="49.988399999999999"/>
    <x v="3"/>
    <x v="0"/>
    <s v="Returning"/>
  </r>
  <r>
    <n v="2768"/>
    <n v="36"/>
    <s v="Female"/>
    <x v="8"/>
    <s v="Jeans"/>
    <n v="150.91999999999999"/>
    <x v="3"/>
    <s v="Card"/>
    <n v="4.0999999999999996"/>
    <n v="15"/>
    <n v="5"/>
    <n v="128.28199999999998"/>
    <x v="1"/>
    <x v="0"/>
    <s v="Returning"/>
  </r>
  <r>
    <n v="2769"/>
    <n v="47"/>
    <s v="Female"/>
    <x v="8"/>
    <s v="Top"/>
    <n v="148.25"/>
    <x v="1"/>
    <s v="Card"/>
    <n v="4"/>
    <n v="16"/>
    <n v="3"/>
    <n v="124.53"/>
    <x v="0"/>
    <x v="0"/>
    <s v="Returning"/>
  </r>
  <r>
    <n v="2770"/>
    <n v="57"/>
    <s v="Male"/>
    <x v="7"/>
    <s v="Formal Shoes"/>
    <n v="196.03"/>
    <x v="2"/>
    <s v="Card"/>
    <n v="4.3"/>
    <n v="6"/>
    <n v="3"/>
    <n v="184.26819999999998"/>
    <x v="0"/>
    <x v="0"/>
    <s v="Returning"/>
  </r>
  <r>
    <n v="2771"/>
    <n v="46"/>
    <s v="Male"/>
    <x v="5"/>
    <s v="Laptop"/>
    <n v="853.51"/>
    <x v="1"/>
    <s v="Card"/>
    <n v="2.7"/>
    <n v="11"/>
    <n v="3"/>
    <n v="759.62390000000005"/>
    <x v="0"/>
    <x v="0"/>
    <s v="Returning"/>
  </r>
  <r>
    <n v="2772"/>
    <n v="62"/>
    <s v="Male"/>
    <x v="5"/>
    <s v="Headphones"/>
    <n v="1899.51"/>
    <x v="0"/>
    <s v="Card"/>
    <n v="4.2"/>
    <n v="24"/>
    <n v="7"/>
    <n v="1443.6276"/>
    <x v="2"/>
    <x v="0"/>
    <s v="Returning"/>
  </r>
  <r>
    <n v="2773"/>
    <n v="20"/>
    <s v="Male"/>
    <x v="1"/>
    <s v="T-Shirt"/>
    <n v="89.5"/>
    <x v="0"/>
    <s v="Card"/>
    <n v="4.3"/>
    <n v="28"/>
    <n v="9"/>
    <n v="64.44"/>
    <x v="3"/>
    <x v="0"/>
    <s v="Returning"/>
  </r>
  <r>
    <n v="2774"/>
    <n v="61"/>
    <s v="Male"/>
    <x v="2"/>
    <s v="Dumbbells"/>
    <n v="30.95"/>
    <x v="2"/>
    <s v="Card"/>
    <n v="3.5"/>
    <n v="17"/>
    <n v="6"/>
    <n v="25.688499999999998"/>
    <x v="2"/>
    <x v="0"/>
    <s v="Returning"/>
  </r>
  <r>
    <n v="2775"/>
    <n v="48"/>
    <s v="Male"/>
    <x v="3"/>
    <s v="Kitchen Set"/>
    <n v="297.56"/>
    <x v="2"/>
    <s v="Card"/>
    <n v="5"/>
    <n v="18"/>
    <n v="4"/>
    <n v="243.99920000000003"/>
    <x v="0"/>
    <x v="0"/>
    <s v="Returning"/>
  </r>
  <r>
    <n v="2776"/>
    <n v="52"/>
    <s v="Male"/>
    <x v="1"/>
    <s v="Jeans"/>
    <n v="169.71"/>
    <x v="2"/>
    <s v="Card"/>
    <n v="4.3"/>
    <n v="19"/>
    <n v="7"/>
    <n v="137.46510000000001"/>
    <x v="0"/>
    <x v="0"/>
    <s v="Returning"/>
  </r>
  <r>
    <n v="2777"/>
    <n v="60"/>
    <s v="Female"/>
    <x v="8"/>
    <s v="Skirt"/>
    <n v="97.73"/>
    <x v="2"/>
    <s v="Card"/>
    <n v="4"/>
    <n v="19"/>
    <n v="7"/>
    <n v="79.161300000000011"/>
    <x v="0"/>
    <x v="0"/>
    <s v="Returning"/>
  </r>
  <r>
    <n v="2778"/>
    <n v="23"/>
    <s v="Male"/>
    <x v="3"/>
    <s v="Lamp"/>
    <n v="92.52"/>
    <x v="0"/>
    <s v="Card"/>
    <n v="3.3"/>
    <n v="8"/>
    <n v="4"/>
    <n v="85.118399999999994"/>
    <x v="3"/>
    <x v="0"/>
    <s v="Returning"/>
  </r>
  <r>
    <n v="2779"/>
    <n v="43"/>
    <s v="Male"/>
    <x v="2"/>
    <s v="Dumbbells"/>
    <n v="217.59"/>
    <x v="3"/>
    <s v="Card"/>
    <n v="4.0999999999999996"/>
    <n v="10"/>
    <n v="5"/>
    <n v="195.83100000000002"/>
    <x v="1"/>
    <x v="0"/>
    <s v="Returning"/>
  </r>
  <r>
    <n v="2780"/>
    <n v="27"/>
    <s v="Male"/>
    <x v="7"/>
    <s v="Sandals"/>
    <n v="144.94999999999999"/>
    <x v="3"/>
    <s v="Card"/>
    <n v="4.5999999999999996"/>
    <n v="13"/>
    <n v="4"/>
    <n v="126.10649999999998"/>
    <x v="4"/>
    <x v="0"/>
    <s v="Returning"/>
  </r>
  <r>
    <n v="2781"/>
    <n v="37"/>
    <s v="Female"/>
    <x v="8"/>
    <s v="Skirt"/>
    <n v="95.24"/>
    <x v="2"/>
    <s v="Cash on Delivery"/>
    <n v="4.0999999999999996"/>
    <n v="17"/>
    <n v="6"/>
    <n v="79.049199999999999"/>
    <x v="1"/>
    <x v="0"/>
    <s v="Returning"/>
  </r>
  <r>
    <n v="2782"/>
    <n v="20"/>
    <s v="Female"/>
    <x v="3"/>
    <s v="Curtains"/>
    <n v="291.95"/>
    <x v="3"/>
    <s v="Card"/>
    <n v="2.8"/>
    <n v="20"/>
    <n v="5"/>
    <n v="233.56"/>
    <x v="3"/>
    <x v="0"/>
    <s v="Returning"/>
  </r>
  <r>
    <n v="2783"/>
    <n v="44"/>
    <s v="Male"/>
    <x v="1"/>
    <s v="T-Shirt"/>
    <n v="154.18"/>
    <x v="3"/>
    <s v="Card"/>
    <n v="4.5"/>
    <n v="16"/>
    <n v="8"/>
    <n v="129.5112"/>
    <x v="1"/>
    <x v="0"/>
    <s v="Returning"/>
  </r>
  <r>
    <n v="2784"/>
    <n v="20"/>
    <s v="Female"/>
    <x v="6"/>
    <s v="Makeup Set"/>
    <n v="51.67"/>
    <x v="1"/>
    <s v="Cash on Delivery"/>
    <n v="3.5"/>
    <n v="12"/>
    <n v="6"/>
    <n v="45.4696"/>
    <x v="3"/>
    <x v="0"/>
    <s v="Returning"/>
  </r>
  <r>
    <n v="2785"/>
    <n v="43"/>
    <s v="Female"/>
    <x v="6"/>
    <s v="Skincare Kit"/>
    <n v="137.75"/>
    <x v="1"/>
    <s v="Card"/>
    <n v="4.0999999999999996"/>
    <n v="20"/>
    <n v="5"/>
    <n v="110.2"/>
    <x v="1"/>
    <x v="0"/>
    <s v="Returning"/>
  </r>
  <r>
    <n v="2786"/>
    <n v="46"/>
    <s v="Female"/>
    <x v="7"/>
    <s v="Sneakers"/>
    <n v="106.59"/>
    <x v="2"/>
    <s v="Card"/>
    <n v="4.9000000000000004"/>
    <n v="26"/>
    <n v="8"/>
    <n v="78.876599999999996"/>
    <x v="0"/>
    <x v="0"/>
    <s v="Returning"/>
  </r>
  <r>
    <n v="2787"/>
    <n v="30"/>
    <s v="Female"/>
    <x v="0"/>
    <s v="Wallet"/>
    <n v="119.64"/>
    <x v="1"/>
    <s v="Card"/>
    <n v="3.8"/>
    <n v="13"/>
    <n v="4"/>
    <n v="104.0868"/>
    <x v="4"/>
    <x v="0"/>
    <s v="Returning"/>
  </r>
  <r>
    <n v="2788"/>
    <n v="22"/>
    <s v="Female"/>
    <x v="6"/>
    <s v="Makeup Set"/>
    <n v="90.97"/>
    <x v="1"/>
    <s v="Card"/>
    <n v="4"/>
    <n v="14"/>
    <n v="2"/>
    <n v="78.234200000000001"/>
    <x v="3"/>
    <x v="0"/>
    <s v="Returning"/>
  </r>
  <r>
    <n v="2789"/>
    <n v="57"/>
    <s v="Female"/>
    <x v="3"/>
    <s v="Curtains"/>
    <n v="106.31"/>
    <x v="1"/>
    <s v="Card"/>
    <n v="2.4"/>
    <n v="15"/>
    <n v="5"/>
    <n v="90.363500000000002"/>
    <x v="0"/>
    <x v="0"/>
    <s v="Returning"/>
  </r>
  <r>
    <n v="2790"/>
    <n v="50"/>
    <s v="Male"/>
    <x v="7"/>
    <s v="Sandals"/>
    <n v="116.45"/>
    <x v="3"/>
    <s v="Card"/>
    <n v="3.7"/>
    <n v="18"/>
    <n v="9"/>
    <n v="95.489000000000004"/>
    <x v="0"/>
    <x v="0"/>
    <s v="Returning"/>
  </r>
  <r>
    <n v="2791"/>
    <n v="61"/>
    <s v="Male"/>
    <x v="7"/>
    <s v="Sandals"/>
    <n v="166.25"/>
    <x v="2"/>
    <s v="Card"/>
    <n v="4.3"/>
    <n v="8"/>
    <n v="4"/>
    <n v="152.95000000000002"/>
    <x v="2"/>
    <x v="0"/>
    <s v="Returning"/>
  </r>
  <r>
    <n v="2792"/>
    <n v="38"/>
    <s v="Male"/>
    <x v="7"/>
    <s v="Formal Shoes"/>
    <n v="204.4"/>
    <x v="1"/>
    <s v="Card"/>
    <n v="4.7"/>
    <n v="6"/>
    <n v="3"/>
    <n v="192.136"/>
    <x v="1"/>
    <x v="0"/>
    <s v="Returning"/>
  </r>
  <r>
    <n v="2793"/>
    <n v="37"/>
    <s v="Male"/>
    <x v="2"/>
    <s v="Dumbbells"/>
    <n v="239.14"/>
    <x v="2"/>
    <s v="Card"/>
    <n v="2.2000000000000002"/>
    <n v="15"/>
    <n v="5"/>
    <n v="203.26899999999998"/>
    <x v="1"/>
    <x v="0"/>
    <s v="Returning"/>
  </r>
  <r>
    <n v="2794"/>
    <n v="37"/>
    <s v="Male"/>
    <x v="7"/>
    <s v="Sandals"/>
    <n v="174.28"/>
    <x v="1"/>
    <s v="Card"/>
    <n v="3.2"/>
    <n v="15"/>
    <n v="5"/>
    <n v="148.13800000000001"/>
    <x v="1"/>
    <x v="0"/>
    <s v="Returning"/>
  </r>
  <r>
    <n v="2795"/>
    <n v="30"/>
    <s v="Male"/>
    <x v="7"/>
    <s v="Formal Shoes"/>
    <n v="54.8"/>
    <x v="3"/>
    <s v="Cash on Delivery"/>
    <n v="3.6"/>
    <n v="22"/>
    <n v="6"/>
    <n v="42.744"/>
    <x v="4"/>
    <x v="0"/>
    <s v="Returning"/>
  </r>
  <r>
    <n v="2796"/>
    <n v="32"/>
    <s v="Female"/>
    <x v="2"/>
    <s v="Dumbbells"/>
    <n v="65.040000000000006"/>
    <x v="3"/>
    <s v="Cash on Delivery"/>
    <n v="4.9000000000000004"/>
    <n v="15"/>
    <n v="5"/>
    <n v="55.284000000000006"/>
    <x v="4"/>
    <x v="0"/>
    <s v="Returning"/>
  </r>
  <r>
    <n v="2797"/>
    <n v="29"/>
    <s v="Male"/>
    <x v="2"/>
    <s v="Yoga Mat"/>
    <n v="121.15"/>
    <x v="1"/>
    <s v="Card"/>
    <n v="3.4"/>
    <n v="4"/>
    <n v="2"/>
    <n v="116.304"/>
    <x v="4"/>
    <x v="0"/>
    <s v="Returning"/>
  </r>
  <r>
    <n v="2798"/>
    <n v="37"/>
    <s v="Female"/>
    <x v="6"/>
    <s v="Perfume"/>
    <n v="111.74"/>
    <x v="1"/>
    <s v="Card"/>
    <n v="4.5999999999999996"/>
    <n v="11"/>
    <n v="3"/>
    <n v="99.448599999999999"/>
    <x v="1"/>
    <x v="0"/>
    <s v="Returning"/>
  </r>
  <r>
    <n v="2799"/>
    <n v="38"/>
    <s v="Female"/>
    <x v="6"/>
    <s v="Makeup Set"/>
    <n v="142.9"/>
    <x v="0"/>
    <s v="Card"/>
    <n v="3.8"/>
    <n v="7"/>
    <n v="1"/>
    <n v="132.89699999999999"/>
    <x v="1"/>
    <x v="0"/>
    <s v="Returning"/>
  </r>
  <r>
    <n v="2800"/>
    <n v="61"/>
    <s v="Male"/>
    <x v="2"/>
    <s v="Dumbbells"/>
    <n v="85.18"/>
    <x v="2"/>
    <s v="Cash on Delivery"/>
    <n v="2.7"/>
    <n v="4"/>
    <n v="2"/>
    <n v="81.772800000000004"/>
    <x v="2"/>
    <x v="0"/>
    <s v="Returning"/>
  </r>
  <r>
    <n v="2801"/>
    <n v="25"/>
    <s v="Female"/>
    <x v="0"/>
    <s v="Wallet"/>
    <n v="137.33000000000001"/>
    <x v="3"/>
    <s v="Card"/>
    <n v="4.7"/>
    <n v="20"/>
    <n v="10"/>
    <n v="109.86400000000002"/>
    <x v="3"/>
    <x v="0"/>
    <s v="Returning"/>
  </r>
  <r>
    <n v="2802"/>
    <n v="60"/>
    <s v="Male"/>
    <x v="7"/>
    <s v="Sandals"/>
    <n v="82.73"/>
    <x v="1"/>
    <s v="Cash on Delivery"/>
    <n v="3.6"/>
    <n v="8"/>
    <n v="4"/>
    <n v="76.11160000000001"/>
    <x v="0"/>
    <x v="0"/>
    <s v="Returning"/>
  </r>
  <r>
    <n v="2803"/>
    <n v="25"/>
    <s v="Male"/>
    <x v="1"/>
    <s v="Jacket"/>
    <n v="186.21"/>
    <x v="0"/>
    <s v="Card"/>
    <n v="3.8"/>
    <n v="9"/>
    <n v="2"/>
    <n v="169.45110000000003"/>
    <x v="3"/>
    <x v="0"/>
    <s v="Returning"/>
  </r>
  <r>
    <n v="2804"/>
    <n v="23"/>
    <s v="Female"/>
    <x v="7"/>
    <s v="Formal Shoes"/>
    <n v="211.98"/>
    <x v="0"/>
    <s v="Card"/>
    <n v="3.8"/>
    <n v="15"/>
    <n v="5"/>
    <n v="180.18299999999999"/>
    <x v="3"/>
    <x v="0"/>
    <s v="Returning"/>
  </r>
  <r>
    <n v="2805"/>
    <n v="48"/>
    <s v="Female"/>
    <x v="6"/>
    <s v="Perfume"/>
    <n v="36.46"/>
    <x v="2"/>
    <s v="Card"/>
    <n v="4.5999999999999996"/>
    <n v="18"/>
    <n v="4"/>
    <n v="29.897200000000002"/>
    <x v="0"/>
    <x v="0"/>
    <s v="Returning"/>
  </r>
  <r>
    <n v="2806"/>
    <n v="41"/>
    <s v="Female"/>
    <x v="6"/>
    <s v="Makeup Set"/>
    <n v="120.18"/>
    <x v="1"/>
    <s v="Card"/>
    <n v="4"/>
    <n v="14"/>
    <n v="7"/>
    <n v="103.3548"/>
    <x v="1"/>
    <x v="0"/>
    <s v="Returning"/>
  </r>
  <r>
    <n v="2807"/>
    <n v="44"/>
    <s v="Male"/>
    <x v="1"/>
    <s v="Jeans"/>
    <n v="133.57"/>
    <x v="1"/>
    <s v="Card"/>
    <n v="4.0999999999999996"/>
    <n v="24"/>
    <n v="7"/>
    <n v="101.5132"/>
    <x v="1"/>
    <x v="0"/>
    <s v="Returning"/>
  </r>
  <r>
    <n v="2808"/>
    <n v="22"/>
    <s v="Male"/>
    <x v="7"/>
    <s v="Sandals"/>
    <n v="156.66"/>
    <x v="2"/>
    <s v="Card"/>
    <n v="4"/>
    <n v="13"/>
    <n v="4"/>
    <n v="136.29419999999999"/>
    <x v="3"/>
    <x v="0"/>
    <s v="Returning"/>
  </r>
  <r>
    <n v="2809"/>
    <n v="28"/>
    <s v="Female"/>
    <x v="0"/>
    <s v="Handbag"/>
    <n v="28.16"/>
    <x v="2"/>
    <s v="Cash on Delivery"/>
    <n v="4.4000000000000004"/>
    <n v="22"/>
    <n v="6"/>
    <n v="21.9648"/>
    <x v="4"/>
    <x v="0"/>
    <s v="Returning"/>
  </r>
  <r>
    <n v="2810"/>
    <n v="27"/>
    <s v="Male"/>
    <x v="1"/>
    <s v="Shirt"/>
    <n v="143.88999999999999"/>
    <x v="3"/>
    <s v="Card"/>
    <n v="3.9"/>
    <n v="19"/>
    <n v="7"/>
    <n v="116.5509"/>
    <x v="4"/>
    <x v="0"/>
    <s v="Returning"/>
  </r>
  <r>
    <n v="2811"/>
    <n v="55"/>
    <s v="Male"/>
    <x v="7"/>
    <s v="Sandals"/>
    <n v="70.59"/>
    <x v="0"/>
    <s v="Card"/>
    <n v="4.4000000000000004"/>
    <n v="16"/>
    <n v="3"/>
    <n v="59.2956"/>
    <x v="0"/>
    <x v="0"/>
    <s v="Returning"/>
  </r>
  <r>
    <n v="2812"/>
    <n v="52"/>
    <s v="Female"/>
    <x v="2"/>
    <s v="Football"/>
    <n v="172.51"/>
    <x v="1"/>
    <s v="Card"/>
    <n v="3.3"/>
    <n v="12"/>
    <n v="6"/>
    <n v="151.80879999999999"/>
    <x v="0"/>
    <x v="0"/>
    <s v="Returning"/>
  </r>
  <r>
    <n v="2813"/>
    <n v="49"/>
    <s v="Female"/>
    <x v="6"/>
    <s v="Makeup Set"/>
    <n v="67.349999999999994"/>
    <x v="2"/>
    <s v="Cash on Delivery"/>
    <n v="4.0999999999999996"/>
    <n v="4"/>
    <n v="2"/>
    <n v="64.655999999999992"/>
    <x v="0"/>
    <x v="0"/>
    <s v="Returning"/>
  </r>
  <r>
    <n v="2814"/>
    <n v="40"/>
    <s v="Male"/>
    <x v="4"/>
    <s v="Snacks"/>
    <n v="21.13"/>
    <x v="3"/>
    <s v="Cash on Delivery"/>
    <n v="3"/>
    <n v="6"/>
    <n v="3"/>
    <n v="19.862199999999998"/>
    <x v="1"/>
    <x v="0"/>
    <s v="Returning"/>
  </r>
  <r>
    <n v="2815"/>
    <n v="39"/>
    <s v="Female"/>
    <x v="6"/>
    <s v="Perfume"/>
    <n v="63.42"/>
    <x v="0"/>
    <s v="Card"/>
    <n v="3.7"/>
    <n v="13"/>
    <n v="4"/>
    <n v="55.175400000000003"/>
    <x v="1"/>
    <x v="0"/>
    <s v="Returning"/>
  </r>
  <r>
    <n v="2816"/>
    <n v="32"/>
    <s v="Female"/>
    <x v="8"/>
    <s v="Dress"/>
    <n v="39.659999999999997"/>
    <x v="2"/>
    <s v="Card"/>
    <n v="3.5"/>
    <n v="15"/>
    <n v="5"/>
    <n v="33.710999999999999"/>
    <x v="4"/>
    <x v="0"/>
    <s v="Returning"/>
  </r>
  <r>
    <n v="2817"/>
    <n v="63"/>
    <s v="Female"/>
    <x v="8"/>
    <s v="Skirt"/>
    <n v="81.34"/>
    <x v="3"/>
    <s v="Card"/>
    <n v="5"/>
    <n v="24"/>
    <n v="7"/>
    <n v="61.818400000000004"/>
    <x v="2"/>
    <x v="0"/>
    <s v="Returning"/>
  </r>
  <r>
    <n v="2818"/>
    <n v="43"/>
    <s v="Male"/>
    <x v="4"/>
    <s v="Cooking Oil"/>
    <n v="41.52"/>
    <x v="1"/>
    <s v="Card"/>
    <n v="4"/>
    <n v="16"/>
    <n v="3"/>
    <n v="34.876800000000003"/>
    <x v="1"/>
    <x v="0"/>
    <s v="Returning"/>
  </r>
  <r>
    <n v="2819"/>
    <n v="22"/>
    <s v="Male"/>
    <x v="1"/>
    <s v="Shirt"/>
    <n v="148.99"/>
    <x v="0"/>
    <s v="Card"/>
    <n v="3.8"/>
    <n v="0"/>
    <n v="0"/>
    <n v="148.99"/>
    <x v="3"/>
    <x v="1"/>
    <s v="New"/>
  </r>
  <r>
    <n v="2820"/>
    <n v="39"/>
    <s v="Male"/>
    <x v="2"/>
    <s v="Yoga Mat"/>
    <n v="72.52"/>
    <x v="0"/>
    <s v="Card"/>
    <n v="4.0999999999999996"/>
    <n v="32"/>
    <n v="11"/>
    <n v="49.313599999999994"/>
    <x v="1"/>
    <x v="0"/>
    <s v="Returning"/>
  </r>
  <r>
    <n v="2821"/>
    <n v="50"/>
    <s v="Male"/>
    <x v="2"/>
    <s v="Yoga Mat"/>
    <n v="51.45"/>
    <x v="3"/>
    <s v="Card"/>
    <n v="4.8"/>
    <n v="21"/>
    <n v="8"/>
    <n v="40.645500000000006"/>
    <x v="0"/>
    <x v="0"/>
    <s v="Returning"/>
  </r>
  <r>
    <n v="2822"/>
    <n v="62"/>
    <s v="Female"/>
    <x v="3"/>
    <s v="Curtains"/>
    <n v="267.63"/>
    <x v="3"/>
    <s v="Card"/>
    <n v="4"/>
    <n v="15"/>
    <n v="5"/>
    <n v="227.4855"/>
    <x v="2"/>
    <x v="0"/>
    <s v="Returning"/>
  </r>
  <r>
    <n v="2823"/>
    <n v="34"/>
    <s v="Male"/>
    <x v="1"/>
    <s v="T-Shirt"/>
    <n v="173.49"/>
    <x v="3"/>
    <s v="Card"/>
    <n v="3.6"/>
    <n v="16"/>
    <n v="8"/>
    <n v="145.73160000000001"/>
    <x v="4"/>
    <x v="0"/>
    <s v="Returning"/>
  </r>
  <r>
    <n v="2824"/>
    <n v="58"/>
    <s v="Male"/>
    <x v="4"/>
    <s v="Snacks"/>
    <n v="27.45"/>
    <x v="0"/>
    <s v="Card"/>
    <n v="3.3"/>
    <n v="18"/>
    <n v="4"/>
    <n v="22.509"/>
    <x v="0"/>
    <x v="0"/>
    <s v="Returning"/>
  </r>
  <r>
    <n v="2825"/>
    <n v="36"/>
    <s v="Female"/>
    <x v="0"/>
    <s v="Sunglasses"/>
    <n v="112.43"/>
    <x v="3"/>
    <s v="Card"/>
    <n v="4.5"/>
    <n v="14"/>
    <n v="2"/>
    <n v="96.689800000000005"/>
    <x v="1"/>
    <x v="0"/>
    <s v="Returning"/>
  </r>
  <r>
    <n v="2826"/>
    <n v="30"/>
    <s v="Male"/>
    <x v="2"/>
    <s v="Football"/>
    <n v="78.09"/>
    <x v="2"/>
    <s v="Card"/>
    <n v="4.7"/>
    <n v="15"/>
    <n v="5"/>
    <n v="66.376500000000007"/>
    <x v="4"/>
    <x v="0"/>
    <s v="Returning"/>
  </r>
  <r>
    <n v="2827"/>
    <n v="42"/>
    <s v="Female"/>
    <x v="7"/>
    <s v="Formal Shoes"/>
    <n v="169.66"/>
    <x v="1"/>
    <s v="Card"/>
    <n v="3.8"/>
    <n v="11"/>
    <n v="3"/>
    <n v="150.9974"/>
    <x v="1"/>
    <x v="0"/>
    <s v="Returning"/>
  </r>
  <r>
    <n v="2828"/>
    <n v="50"/>
    <s v="Male"/>
    <x v="1"/>
    <s v="Jacket"/>
    <n v="163.03"/>
    <x v="1"/>
    <s v="Card"/>
    <n v="4.5999999999999996"/>
    <n v="14"/>
    <n v="2"/>
    <n v="140.20580000000001"/>
    <x v="0"/>
    <x v="0"/>
    <s v="Returning"/>
  </r>
  <r>
    <n v="2829"/>
    <n v="63"/>
    <s v="Female"/>
    <x v="2"/>
    <s v="Football"/>
    <n v="194.67"/>
    <x v="2"/>
    <s v="Card"/>
    <n v="3.8"/>
    <n v="15"/>
    <n v="5"/>
    <n v="165.46949999999998"/>
    <x v="2"/>
    <x v="0"/>
    <s v="Returning"/>
  </r>
  <r>
    <n v="2830"/>
    <n v="50"/>
    <s v="Female"/>
    <x v="2"/>
    <s v="Football"/>
    <n v="82.53"/>
    <x v="1"/>
    <s v="Card"/>
    <n v="3.7"/>
    <n v="16"/>
    <n v="3"/>
    <n v="69.325199999999995"/>
    <x v="0"/>
    <x v="0"/>
    <s v="Returning"/>
  </r>
  <r>
    <n v="2831"/>
    <n v="49"/>
    <s v="Female"/>
    <x v="8"/>
    <s v="Top"/>
    <n v="146.27000000000001"/>
    <x v="2"/>
    <s v="Card"/>
    <n v="2.9"/>
    <n v="10"/>
    <n v="5"/>
    <n v="131.643"/>
    <x v="0"/>
    <x v="0"/>
    <s v="Returning"/>
  </r>
  <r>
    <n v="2832"/>
    <n v="27"/>
    <s v="Female"/>
    <x v="2"/>
    <s v="Dumbbells"/>
    <n v="175.05"/>
    <x v="1"/>
    <s v="Card"/>
    <n v="2.7"/>
    <n v="18"/>
    <n v="9"/>
    <n v="143.54100000000003"/>
    <x v="4"/>
    <x v="0"/>
    <s v="Returning"/>
  </r>
  <r>
    <n v="2833"/>
    <n v="21"/>
    <s v="Female"/>
    <x v="8"/>
    <s v="Dress"/>
    <n v="170.15"/>
    <x v="1"/>
    <s v="Card"/>
    <n v="3.3"/>
    <n v="14"/>
    <n v="7"/>
    <n v="146.32900000000001"/>
    <x v="3"/>
    <x v="0"/>
    <s v="Returning"/>
  </r>
  <r>
    <n v="2834"/>
    <n v="42"/>
    <s v="Female"/>
    <x v="3"/>
    <s v="Lamp"/>
    <n v="91.56"/>
    <x v="3"/>
    <s v="Cash on Delivery"/>
    <n v="5"/>
    <n v="15"/>
    <n v="5"/>
    <n v="77.825999999999993"/>
    <x v="1"/>
    <x v="0"/>
    <s v="Returning"/>
  </r>
  <r>
    <n v="2835"/>
    <n v="54"/>
    <s v="Male"/>
    <x v="2"/>
    <s v="Yoga Mat"/>
    <n v="188.44"/>
    <x v="1"/>
    <s v="Card"/>
    <n v="4.8"/>
    <n v="24"/>
    <n v="7"/>
    <n v="143.21440000000001"/>
    <x v="0"/>
    <x v="0"/>
    <s v="Returning"/>
  </r>
  <r>
    <n v="2836"/>
    <n v="47"/>
    <s v="Male"/>
    <x v="5"/>
    <s v="Laptop"/>
    <n v="585.1"/>
    <x v="0"/>
    <s v="Card"/>
    <n v="3.6"/>
    <n v="14"/>
    <n v="2"/>
    <n v="503.18600000000004"/>
    <x v="0"/>
    <x v="0"/>
    <s v="Returning"/>
  </r>
  <r>
    <n v="2837"/>
    <n v="62"/>
    <s v="Male"/>
    <x v="4"/>
    <s v="Rice Pack"/>
    <n v="72.41"/>
    <x v="3"/>
    <s v="Cash on Delivery"/>
    <n v="2.8"/>
    <n v="14"/>
    <n v="7"/>
    <n v="62.272599999999997"/>
    <x v="2"/>
    <x v="0"/>
    <s v="Returning"/>
  </r>
  <r>
    <n v="2838"/>
    <n v="55"/>
    <s v="Female"/>
    <x v="8"/>
    <s v="Top"/>
    <n v="148.16"/>
    <x v="0"/>
    <s v="Card"/>
    <n v="3.8"/>
    <n v="14"/>
    <n v="7"/>
    <n v="127.41759999999999"/>
    <x v="0"/>
    <x v="0"/>
    <s v="Returning"/>
  </r>
  <r>
    <n v="2839"/>
    <n v="65"/>
    <s v="Male"/>
    <x v="1"/>
    <s v="T-Shirt"/>
    <n v="30.58"/>
    <x v="2"/>
    <s v="Cash on Delivery"/>
    <n v="2.5"/>
    <n v="11"/>
    <n v="3"/>
    <n v="27.216200000000001"/>
    <x v="2"/>
    <x v="0"/>
    <s v="Returning"/>
  </r>
  <r>
    <n v="2840"/>
    <n v="23"/>
    <s v="Female"/>
    <x v="0"/>
    <s v="Sunglasses"/>
    <n v="48.53"/>
    <x v="2"/>
    <s v="Cash on Delivery"/>
    <n v="3.1"/>
    <n v="10"/>
    <n v="5"/>
    <n v="43.677"/>
    <x v="3"/>
    <x v="0"/>
    <s v="Returning"/>
  </r>
  <r>
    <n v="2841"/>
    <n v="49"/>
    <s v="Female"/>
    <x v="8"/>
    <s v="Skirt"/>
    <n v="72.069999999999993"/>
    <x v="1"/>
    <s v="Cash on Delivery"/>
    <n v="2.7"/>
    <n v="6"/>
    <n v="3"/>
    <n v="67.745799999999988"/>
    <x v="0"/>
    <x v="0"/>
    <s v="Returning"/>
  </r>
  <r>
    <n v="2842"/>
    <n v="64"/>
    <s v="Female"/>
    <x v="7"/>
    <s v="Formal Shoes"/>
    <n v="173.87"/>
    <x v="2"/>
    <s v="Card"/>
    <n v="3.1"/>
    <n v="15"/>
    <n v="5"/>
    <n v="147.7895"/>
    <x v="2"/>
    <x v="0"/>
    <s v="Returning"/>
  </r>
  <r>
    <n v="2843"/>
    <n v="20"/>
    <s v="Female"/>
    <x v="8"/>
    <s v="Top"/>
    <n v="167.76"/>
    <x v="1"/>
    <s v="Card"/>
    <n v="4.2"/>
    <n v="20"/>
    <n v="5"/>
    <n v="134.208"/>
    <x v="3"/>
    <x v="0"/>
    <s v="Returning"/>
  </r>
  <r>
    <n v="2844"/>
    <n v="28"/>
    <s v="Male"/>
    <x v="5"/>
    <s v="Smart Watch"/>
    <n v="581.89"/>
    <x v="3"/>
    <s v="Card"/>
    <n v="3"/>
    <n v="10"/>
    <n v="5"/>
    <n v="523.70100000000002"/>
    <x v="4"/>
    <x v="0"/>
    <s v="Returning"/>
  </r>
  <r>
    <n v="2845"/>
    <n v="66"/>
    <s v="Female"/>
    <x v="7"/>
    <s v="Sandals"/>
    <n v="100.1"/>
    <x v="0"/>
    <s v="Card"/>
    <n v="3.6"/>
    <n v="11"/>
    <n v="3"/>
    <n v="89.088999999999999"/>
    <x v="2"/>
    <x v="0"/>
    <s v="Returning"/>
  </r>
  <r>
    <n v="2846"/>
    <n v="57"/>
    <s v="Female"/>
    <x v="6"/>
    <s v="Makeup Set"/>
    <n v="28.82"/>
    <x v="2"/>
    <s v="Cash on Delivery"/>
    <n v="3.3"/>
    <n v="16"/>
    <n v="3"/>
    <n v="24.2088"/>
    <x v="0"/>
    <x v="0"/>
    <s v="Returning"/>
  </r>
  <r>
    <n v="2847"/>
    <n v="48"/>
    <s v="Male"/>
    <x v="1"/>
    <s v="T-Shirt"/>
    <n v="150.38"/>
    <x v="2"/>
    <s v="Card"/>
    <n v="3.7"/>
    <n v="24"/>
    <n v="7"/>
    <n v="114.28879999999999"/>
    <x v="0"/>
    <x v="0"/>
    <s v="Returning"/>
  </r>
  <r>
    <n v="2848"/>
    <n v="39"/>
    <s v="Female"/>
    <x v="8"/>
    <s v="Jeans"/>
    <n v="193.29"/>
    <x v="1"/>
    <s v="Card"/>
    <n v="2.9"/>
    <n v="15"/>
    <n v="5"/>
    <n v="164.29649999999998"/>
    <x v="1"/>
    <x v="0"/>
    <s v="Returning"/>
  </r>
  <r>
    <n v="2849"/>
    <n v="58"/>
    <s v="Male"/>
    <x v="7"/>
    <s v="Sneakers"/>
    <n v="80.52"/>
    <x v="3"/>
    <s v="Cash on Delivery"/>
    <n v="3.7"/>
    <n v="15"/>
    <n v="5"/>
    <n v="68.441999999999993"/>
    <x v="0"/>
    <x v="0"/>
    <s v="Returning"/>
  </r>
  <r>
    <n v="2850"/>
    <n v="64"/>
    <s v="Female"/>
    <x v="4"/>
    <s v="Beverages"/>
    <n v="19.96"/>
    <x v="0"/>
    <s v="Cash on Delivery"/>
    <n v="3"/>
    <n v="6"/>
    <n v="3"/>
    <n v="18.7624"/>
    <x v="2"/>
    <x v="0"/>
    <s v="Returning"/>
  </r>
  <r>
    <n v="2851"/>
    <n v="38"/>
    <s v="Female"/>
    <x v="6"/>
    <s v="Skincare Kit"/>
    <n v="81.760000000000005"/>
    <x v="3"/>
    <s v="Cash on Delivery"/>
    <n v="4.0999999999999996"/>
    <n v="8"/>
    <n v="4"/>
    <n v="75.219200000000015"/>
    <x v="1"/>
    <x v="0"/>
    <s v="Returning"/>
  </r>
  <r>
    <n v="2852"/>
    <n v="47"/>
    <s v="Male"/>
    <x v="4"/>
    <s v="Rice Pack"/>
    <n v="19.760000000000002"/>
    <x v="3"/>
    <s v="Cash on Delivery"/>
    <n v="3.8"/>
    <n v="9"/>
    <n v="2"/>
    <n v="17.981600000000004"/>
    <x v="0"/>
    <x v="0"/>
    <s v="Returning"/>
  </r>
  <r>
    <n v="2853"/>
    <n v="49"/>
    <s v="Female"/>
    <x v="8"/>
    <s v="Dress"/>
    <n v="73.31"/>
    <x v="1"/>
    <s v="Cash on Delivery"/>
    <n v="3.5"/>
    <n v="20"/>
    <n v="5"/>
    <n v="58.648000000000003"/>
    <x v="0"/>
    <x v="0"/>
    <s v="Returning"/>
  </r>
  <r>
    <n v="2854"/>
    <n v="30"/>
    <s v="Male"/>
    <x v="2"/>
    <s v="Yoga Mat"/>
    <n v="95.37"/>
    <x v="3"/>
    <s v="Cash on Delivery"/>
    <n v="4.2"/>
    <n v="17"/>
    <n v="6"/>
    <n v="79.1571"/>
    <x v="4"/>
    <x v="0"/>
    <s v="Returning"/>
  </r>
  <r>
    <n v="2855"/>
    <n v="24"/>
    <s v="Female"/>
    <x v="0"/>
    <s v="Handbag"/>
    <n v="105.91"/>
    <x v="0"/>
    <s v="Card"/>
    <n v="3.9"/>
    <n v="19"/>
    <n v="7"/>
    <n v="85.787100000000009"/>
    <x v="3"/>
    <x v="0"/>
    <s v="Returning"/>
  </r>
  <r>
    <n v="2856"/>
    <n v="68"/>
    <s v="Male"/>
    <x v="1"/>
    <s v="Shirt"/>
    <n v="82.8"/>
    <x v="2"/>
    <s v="Card"/>
    <n v="3.6"/>
    <n v="8"/>
    <n v="4"/>
    <n v="76.176000000000002"/>
    <x v="2"/>
    <x v="0"/>
    <s v="Returning"/>
  </r>
  <r>
    <n v="2857"/>
    <n v="68"/>
    <s v="Male"/>
    <x v="3"/>
    <s v="Curtains"/>
    <n v="260.13"/>
    <x v="3"/>
    <s v="Card"/>
    <n v="4"/>
    <n v="24"/>
    <n v="7"/>
    <n v="197.69880000000001"/>
    <x v="2"/>
    <x v="0"/>
    <s v="Returning"/>
  </r>
  <r>
    <n v="2858"/>
    <n v="55"/>
    <s v="Female"/>
    <x v="7"/>
    <s v="Sneakers"/>
    <n v="196.79"/>
    <x v="3"/>
    <s v="Card"/>
    <n v="3.7"/>
    <n v="10"/>
    <n v="5"/>
    <n v="177.11099999999999"/>
    <x v="0"/>
    <x v="0"/>
    <s v="Returning"/>
  </r>
  <r>
    <n v="2859"/>
    <n v="47"/>
    <s v="Female"/>
    <x v="6"/>
    <s v="Perfume"/>
    <n v="137.02000000000001"/>
    <x v="3"/>
    <s v="Card"/>
    <n v="3.7"/>
    <n v="14"/>
    <n v="7"/>
    <n v="117.83720000000001"/>
    <x v="0"/>
    <x v="0"/>
    <s v="Returning"/>
  </r>
  <r>
    <n v="2860"/>
    <n v="31"/>
    <s v="Male"/>
    <x v="4"/>
    <s v="Rice Pack"/>
    <n v="61.33"/>
    <x v="1"/>
    <s v="Card"/>
    <n v="3.6"/>
    <n v="16"/>
    <n v="3"/>
    <n v="51.517199999999995"/>
    <x v="4"/>
    <x v="0"/>
    <s v="Returning"/>
  </r>
  <r>
    <n v="2861"/>
    <n v="38"/>
    <s v="Male"/>
    <x v="2"/>
    <s v="Football"/>
    <n v="152.38999999999999"/>
    <x v="2"/>
    <s v="Card"/>
    <n v="5"/>
    <n v="18"/>
    <n v="9"/>
    <n v="124.9598"/>
    <x v="1"/>
    <x v="0"/>
    <s v="Returning"/>
  </r>
  <r>
    <n v="2862"/>
    <n v="50"/>
    <s v="Female"/>
    <x v="8"/>
    <s v="Dress"/>
    <n v="35.770000000000003"/>
    <x v="0"/>
    <s v="Cash on Delivery"/>
    <n v="3.8"/>
    <n v="10"/>
    <n v="5"/>
    <n v="32.193000000000005"/>
    <x v="0"/>
    <x v="0"/>
    <s v="Returning"/>
  </r>
  <r>
    <n v="2863"/>
    <n v="33"/>
    <s v="Female"/>
    <x v="4"/>
    <s v="Beverages"/>
    <n v="46.73"/>
    <x v="3"/>
    <s v="Card"/>
    <n v="3.5"/>
    <n v="11"/>
    <n v="3"/>
    <n v="41.589700000000001"/>
    <x v="4"/>
    <x v="0"/>
    <s v="Returning"/>
  </r>
  <r>
    <n v="2864"/>
    <n v="35"/>
    <s v="Male"/>
    <x v="1"/>
    <s v="Shirt"/>
    <n v="129.83000000000001"/>
    <x v="1"/>
    <s v="Card"/>
    <n v="4"/>
    <n v="21"/>
    <n v="8"/>
    <n v="102.56570000000002"/>
    <x v="4"/>
    <x v="0"/>
    <s v="Returning"/>
  </r>
  <r>
    <n v="2865"/>
    <n v="47"/>
    <s v="Male"/>
    <x v="2"/>
    <s v="Yoga Mat"/>
    <n v="223.95"/>
    <x v="2"/>
    <s v="Card"/>
    <n v="4.8"/>
    <n v="24"/>
    <n v="7"/>
    <n v="170.202"/>
    <x v="0"/>
    <x v="0"/>
    <s v="Returning"/>
  </r>
  <r>
    <n v="2866"/>
    <n v="28"/>
    <s v="Female"/>
    <x v="6"/>
    <s v="Skincare Kit"/>
    <n v="30.28"/>
    <x v="1"/>
    <s v="Cash on Delivery"/>
    <n v="5"/>
    <n v="17"/>
    <n v="6"/>
    <n v="25.132400000000001"/>
    <x v="4"/>
    <x v="0"/>
    <s v="Returning"/>
  </r>
  <r>
    <n v="2867"/>
    <n v="55"/>
    <s v="Male"/>
    <x v="2"/>
    <s v="Dumbbells"/>
    <n v="228.55"/>
    <x v="3"/>
    <s v="Card"/>
    <n v="4.9000000000000004"/>
    <n v="28"/>
    <n v="9"/>
    <n v="164.55600000000001"/>
    <x v="0"/>
    <x v="0"/>
    <s v="Returning"/>
  </r>
  <r>
    <n v="2868"/>
    <n v="57"/>
    <s v="Male"/>
    <x v="2"/>
    <s v="Dumbbells"/>
    <n v="195.53"/>
    <x v="2"/>
    <s v="Card"/>
    <n v="3.4"/>
    <n v="10"/>
    <n v="5"/>
    <n v="175.977"/>
    <x v="0"/>
    <x v="0"/>
    <s v="Returning"/>
  </r>
  <r>
    <n v="2869"/>
    <n v="59"/>
    <s v="Male"/>
    <x v="7"/>
    <s v="Formal Shoes"/>
    <n v="131.44"/>
    <x v="0"/>
    <s v="Card"/>
    <n v="3.2"/>
    <n v="15"/>
    <n v="5"/>
    <n v="111.72399999999999"/>
    <x v="0"/>
    <x v="0"/>
    <s v="Returning"/>
  </r>
  <r>
    <n v="2870"/>
    <n v="27"/>
    <s v="Male"/>
    <x v="2"/>
    <s v="Yoga Mat"/>
    <n v="118.81"/>
    <x v="0"/>
    <s v="Card"/>
    <n v="2.2000000000000002"/>
    <n v="8"/>
    <n v="4"/>
    <n v="109.30520000000001"/>
    <x v="4"/>
    <x v="0"/>
    <s v="Returning"/>
  </r>
  <r>
    <n v="2871"/>
    <n v="62"/>
    <s v="Female"/>
    <x v="8"/>
    <s v="Top"/>
    <n v="117.38"/>
    <x v="2"/>
    <s v="Card"/>
    <n v="4.5"/>
    <n v="10"/>
    <n v="5"/>
    <n v="105.642"/>
    <x v="2"/>
    <x v="0"/>
    <s v="Returning"/>
  </r>
  <r>
    <n v="2872"/>
    <n v="58"/>
    <s v="Female"/>
    <x v="7"/>
    <s v="Formal Shoes"/>
    <n v="143.71"/>
    <x v="2"/>
    <s v="Card"/>
    <n v="2.8"/>
    <n v="14"/>
    <n v="2"/>
    <n v="123.59060000000001"/>
    <x v="0"/>
    <x v="0"/>
    <s v="Returning"/>
  </r>
  <r>
    <n v="2873"/>
    <n v="21"/>
    <s v="Male"/>
    <x v="2"/>
    <s v="Football"/>
    <n v="85.22"/>
    <x v="1"/>
    <s v="Cash on Delivery"/>
    <n v="4.5999999999999996"/>
    <n v="28"/>
    <n v="9"/>
    <n v="61.358399999999996"/>
    <x v="3"/>
    <x v="0"/>
    <s v="Returning"/>
  </r>
  <r>
    <n v="2874"/>
    <n v="48"/>
    <s v="Female"/>
    <x v="8"/>
    <s v="Dress"/>
    <n v="135.59"/>
    <x v="1"/>
    <s v="Card"/>
    <n v="4.2"/>
    <n v="21"/>
    <n v="8"/>
    <n v="107.1161"/>
    <x v="0"/>
    <x v="0"/>
    <s v="Returning"/>
  </r>
  <r>
    <n v="2875"/>
    <n v="33"/>
    <s v="Female"/>
    <x v="2"/>
    <s v="Dumbbells"/>
    <n v="249.24"/>
    <x v="2"/>
    <s v="Card"/>
    <n v="4.3"/>
    <n v="6"/>
    <n v="3"/>
    <n v="234.28559999999999"/>
    <x v="4"/>
    <x v="0"/>
    <s v="Returning"/>
  </r>
  <r>
    <n v="2876"/>
    <n v="41"/>
    <s v="Male"/>
    <x v="1"/>
    <s v="T-Shirt"/>
    <n v="127.61"/>
    <x v="3"/>
    <s v="Card"/>
    <n v="4"/>
    <n v="14"/>
    <n v="2"/>
    <n v="109.74459999999999"/>
    <x v="1"/>
    <x v="0"/>
    <s v="Returning"/>
  </r>
  <r>
    <n v="2877"/>
    <n v="68"/>
    <s v="Male"/>
    <x v="5"/>
    <s v="Mobile Phone"/>
    <n v="2121.4"/>
    <x v="1"/>
    <s v="Card"/>
    <n v="3.6"/>
    <n v="4"/>
    <n v="2"/>
    <n v="2036.5440000000001"/>
    <x v="2"/>
    <x v="0"/>
    <s v="Returning"/>
  </r>
  <r>
    <n v="2878"/>
    <n v="64"/>
    <s v="Male"/>
    <x v="1"/>
    <s v="Jeans"/>
    <n v="129.65"/>
    <x v="3"/>
    <s v="Card"/>
    <n v="3.5"/>
    <n v="16"/>
    <n v="3"/>
    <n v="108.90600000000001"/>
    <x v="2"/>
    <x v="0"/>
    <s v="Returning"/>
  </r>
  <r>
    <n v="2879"/>
    <n v="54"/>
    <s v="Male"/>
    <x v="7"/>
    <s v="Formal Shoes"/>
    <n v="67.94"/>
    <x v="0"/>
    <s v="Cash on Delivery"/>
    <n v="3.7"/>
    <n v="18"/>
    <n v="9"/>
    <n v="55.710799999999999"/>
    <x v="0"/>
    <x v="0"/>
    <s v="Returning"/>
  </r>
  <r>
    <n v="2880"/>
    <n v="55"/>
    <s v="Male"/>
    <x v="2"/>
    <s v="Football"/>
    <n v="236.33"/>
    <x v="3"/>
    <s v="Card"/>
    <n v="2.6"/>
    <n v="13"/>
    <n v="4"/>
    <n v="205.6071"/>
    <x v="0"/>
    <x v="0"/>
    <s v="Returning"/>
  </r>
  <r>
    <n v="2881"/>
    <n v="49"/>
    <s v="Male"/>
    <x v="5"/>
    <s v="Headphones"/>
    <n v="2447.8000000000002"/>
    <x v="0"/>
    <s v="Card"/>
    <n v="2.8"/>
    <n v="13"/>
    <n v="4"/>
    <n v="2129.5860000000002"/>
    <x v="0"/>
    <x v="0"/>
    <s v="Returning"/>
  </r>
  <r>
    <n v="2882"/>
    <n v="26"/>
    <s v="Male"/>
    <x v="5"/>
    <s v="Mobile Phone"/>
    <n v="1922.9"/>
    <x v="0"/>
    <s v="Card"/>
    <n v="2.9"/>
    <n v="8"/>
    <n v="4"/>
    <n v="1769.0680000000002"/>
    <x v="4"/>
    <x v="0"/>
    <s v="Returning"/>
  </r>
  <r>
    <n v="2883"/>
    <n v="54"/>
    <s v="Male"/>
    <x v="5"/>
    <s v="Smart Watch"/>
    <n v="1252.53"/>
    <x v="3"/>
    <s v="Card"/>
    <n v="3.9"/>
    <n v="2"/>
    <n v="1"/>
    <n v="1227.4793999999999"/>
    <x v="0"/>
    <x v="0"/>
    <s v="Returning"/>
  </r>
  <r>
    <n v="2884"/>
    <n v="40"/>
    <s v="Female"/>
    <x v="8"/>
    <s v="Dress"/>
    <n v="144.26"/>
    <x v="3"/>
    <s v="Card"/>
    <n v="3.9"/>
    <n v="10"/>
    <n v="5"/>
    <n v="129.834"/>
    <x v="1"/>
    <x v="0"/>
    <s v="Returning"/>
  </r>
  <r>
    <n v="2885"/>
    <n v="42"/>
    <s v="Male"/>
    <x v="7"/>
    <s v="Sneakers"/>
    <n v="227.07"/>
    <x v="0"/>
    <s v="Card"/>
    <n v="2.8"/>
    <n v="13"/>
    <n v="4"/>
    <n v="197.55089999999998"/>
    <x v="1"/>
    <x v="0"/>
    <s v="Returning"/>
  </r>
  <r>
    <n v="2886"/>
    <n v="20"/>
    <s v="Female"/>
    <x v="0"/>
    <s v="Sunglasses"/>
    <n v="104.38"/>
    <x v="3"/>
    <s v="Card"/>
    <n v="5"/>
    <n v="21"/>
    <n v="8"/>
    <n v="82.4602"/>
    <x v="3"/>
    <x v="0"/>
    <s v="Returning"/>
  </r>
  <r>
    <n v="2887"/>
    <n v="51"/>
    <s v="Male"/>
    <x v="1"/>
    <s v="Shirt"/>
    <n v="168.21"/>
    <x v="1"/>
    <s v="Card"/>
    <n v="3.3"/>
    <n v="13"/>
    <n v="4"/>
    <n v="146.34270000000001"/>
    <x v="0"/>
    <x v="0"/>
    <s v="Returning"/>
  </r>
  <r>
    <n v="2888"/>
    <n v="37"/>
    <s v="Female"/>
    <x v="6"/>
    <s v="Perfume"/>
    <n v="95.35"/>
    <x v="0"/>
    <s v="Card"/>
    <n v="4.4000000000000004"/>
    <n v="12"/>
    <n v="6"/>
    <n v="83.908000000000001"/>
    <x v="1"/>
    <x v="0"/>
    <s v="Returning"/>
  </r>
  <r>
    <n v="2889"/>
    <n v="45"/>
    <s v="Female"/>
    <x v="8"/>
    <s v="Top"/>
    <n v="30.38"/>
    <x v="1"/>
    <s v="Cash on Delivery"/>
    <n v="4.2"/>
    <n v="30"/>
    <n v="10"/>
    <n v="21.265999999999998"/>
    <x v="1"/>
    <x v="0"/>
    <s v="Returning"/>
  </r>
  <r>
    <n v="2890"/>
    <n v="57"/>
    <s v="Male"/>
    <x v="2"/>
    <s v="Yoga Mat"/>
    <n v="197.01"/>
    <x v="0"/>
    <s v="Card"/>
    <n v="3.8"/>
    <n v="11"/>
    <n v="3"/>
    <n v="175.3389"/>
    <x v="0"/>
    <x v="0"/>
    <s v="Returning"/>
  </r>
  <r>
    <n v="2891"/>
    <n v="33"/>
    <s v="Female"/>
    <x v="0"/>
    <s v="Sunglasses"/>
    <n v="136.04"/>
    <x v="1"/>
    <s v="Card"/>
    <n v="3.6"/>
    <n v="12"/>
    <n v="1"/>
    <n v="119.7152"/>
    <x v="4"/>
    <x v="0"/>
    <s v="Returning"/>
  </r>
  <r>
    <n v="2892"/>
    <n v="41"/>
    <s v="Female"/>
    <x v="6"/>
    <s v="Skincare Kit"/>
    <n v="110.69"/>
    <x v="3"/>
    <s v="Card"/>
    <n v="3.6"/>
    <n v="13"/>
    <n v="4"/>
    <n v="96.300299999999993"/>
    <x v="1"/>
    <x v="0"/>
    <s v="Returning"/>
  </r>
  <r>
    <n v="2893"/>
    <n v="21"/>
    <s v="Female"/>
    <x v="0"/>
    <s v="Sunglasses"/>
    <n v="49.93"/>
    <x v="0"/>
    <s v="Cash on Delivery"/>
    <n v="4.3"/>
    <n v="14"/>
    <n v="2"/>
    <n v="42.939799999999998"/>
    <x v="3"/>
    <x v="0"/>
    <s v="Returning"/>
  </r>
  <r>
    <n v="2894"/>
    <n v="49"/>
    <s v="Female"/>
    <x v="0"/>
    <s v="Handbag"/>
    <n v="143.66999999999999"/>
    <x v="2"/>
    <s v="Card"/>
    <n v="3.2"/>
    <n v="6"/>
    <n v="3"/>
    <n v="135.04979999999998"/>
    <x v="0"/>
    <x v="0"/>
    <s v="Returning"/>
  </r>
  <r>
    <n v="2895"/>
    <n v="65"/>
    <s v="Male"/>
    <x v="3"/>
    <s v="Curtains"/>
    <n v="107.46"/>
    <x v="3"/>
    <s v="Card"/>
    <n v="3.7"/>
    <n v="10"/>
    <n v="5"/>
    <n v="96.713999999999999"/>
    <x v="2"/>
    <x v="0"/>
    <s v="Returning"/>
  </r>
  <r>
    <n v="2896"/>
    <n v="55"/>
    <s v="Male"/>
    <x v="2"/>
    <s v="Yoga Mat"/>
    <n v="206.53"/>
    <x v="0"/>
    <s v="Card"/>
    <n v="4.8"/>
    <n v="16"/>
    <n v="3"/>
    <n v="173.48519999999999"/>
    <x v="0"/>
    <x v="0"/>
    <s v="Returning"/>
  </r>
  <r>
    <n v="2897"/>
    <n v="59"/>
    <s v="Male"/>
    <x v="5"/>
    <s v="Smart Watch"/>
    <n v="1202.92"/>
    <x v="2"/>
    <s v="Card"/>
    <n v="3.1"/>
    <n v="18"/>
    <n v="4"/>
    <n v="986.39440000000013"/>
    <x v="0"/>
    <x v="0"/>
    <s v="Returning"/>
  </r>
  <r>
    <n v="2898"/>
    <n v="56"/>
    <s v="Female"/>
    <x v="6"/>
    <s v="Perfume"/>
    <n v="137.71"/>
    <x v="2"/>
    <s v="Card"/>
    <n v="3.7"/>
    <n v="7"/>
    <n v="1"/>
    <n v="128.0703"/>
    <x v="0"/>
    <x v="0"/>
    <s v="Returning"/>
  </r>
  <r>
    <n v="2899"/>
    <n v="40"/>
    <s v="Female"/>
    <x v="7"/>
    <s v="Formal Shoes"/>
    <n v="208.5"/>
    <x v="3"/>
    <s v="Card"/>
    <n v="4.3"/>
    <n v="30"/>
    <n v="10"/>
    <n v="145.94999999999999"/>
    <x v="1"/>
    <x v="0"/>
    <s v="Returning"/>
  </r>
  <r>
    <n v="2900"/>
    <n v="48"/>
    <s v="Male"/>
    <x v="1"/>
    <s v="Jacket"/>
    <n v="188.32"/>
    <x v="0"/>
    <s v="Card"/>
    <n v="4.0999999999999996"/>
    <n v="24"/>
    <n v="12"/>
    <n v="143.1232"/>
    <x v="0"/>
    <x v="0"/>
    <s v="Returning"/>
  </r>
  <r>
    <n v="2901"/>
    <n v="30"/>
    <s v="Male"/>
    <x v="3"/>
    <s v="Kitchen Set"/>
    <n v="38.31"/>
    <x v="3"/>
    <s v="Card"/>
    <n v="3.2"/>
    <n v="14"/>
    <n v="7"/>
    <n v="32.946600000000004"/>
    <x v="4"/>
    <x v="0"/>
    <s v="Returning"/>
  </r>
  <r>
    <n v="2902"/>
    <n v="41"/>
    <s v="Female"/>
    <x v="4"/>
    <s v="Cooking Oil"/>
    <n v="58.38"/>
    <x v="3"/>
    <s v="Cash on Delivery"/>
    <n v="2.2999999999999998"/>
    <n v="10"/>
    <n v="5"/>
    <n v="52.542000000000002"/>
    <x v="1"/>
    <x v="0"/>
    <s v="Returning"/>
  </r>
  <r>
    <n v="2903"/>
    <n v="58"/>
    <s v="Male"/>
    <x v="5"/>
    <s v="Headphones"/>
    <n v="824.07"/>
    <x v="1"/>
    <s v="Card"/>
    <n v="3.8"/>
    <n v="10"/>
    <n v="5"/>
    <n v="741.66300000000001"/>
    <x v="0"/>
    <x v="0"/>
    <s v="Returning"/>
  </r>
  <r>
    <n v="2904"/>
    <n v="47"/>
    <s v="Female"/>
    <x v="3"/>
    <s v="Curtains"/>
    <n v="123.62"/>
    <x v="0"/>
    <s v="Card"/>
    <n v="3"/>
    <n v="6"/>
    <n v="3"/>
    <n v="116.2028"/>
    <x v="0"/>
    <x v="0"/>
    <s v="Returning"/>
  </r>
  <r>
    <n v="2905"/>
    <n v="61"/>
    <s v="Male"/>
    <x v="5"/>
    <s v="Headphones"/>
    <n v="1368.88"/>
    <x v="2"/>
    <s v="Card"/>
    <n v="2.8"/>
    <n v="4"/>
    <n v="2"/>
    <n v="1314.1248000000001"/>
    <x v="2"/>
    <x v="0"/>
    <s v="Returning"/>
  </r>
  <r>
    <n v="2906"/>
    <n v="50"/>
    <s v="Male"/>
    <x v="4"/>
    <s v="Cooking Oil"/>
    <n v="58.24"/>
    <x v="1"/>
    <s v="Card"/>
    <n v="3.1"/>
    <n v="16"/>
    <n v="3"/>
    <n v="48.921599999999998"/>
    <x v="0"/>
    <x v="0"/>
    <s v="Returning"/>
  </r>
  <r>
    <n v="2907"/>
    <n v="69"/>
    <s v="Male"/>
    <x v="2"/>
    <s v="Dumbbells"/>
    <n v="168.81"/>
    <x v="1"/>
    <s v="Card"/>
    <n v="3.2"/>
    <n v="36"/>
    <n v="13"/>
    <n v="108.03840000000001"/>
    <x v="2"/>
    <x v="0"/>
    <s v="Returning"/>
  </r>
  <r>
    <n v="2908"/>
    <n v="48"/>
    <s v="Female"/>
    <x v="8"/>
    <s v="Jeans"/>
    <n v="146.69"/>
    <x v="2"/>
    <s v="Card"/>
    <n v="3.5"/>
    <n v="20"/>
    <n v="5"/>
    <n v="117.352"/>
    <x v="0"/>
    <x v="0"/>
    <s v="Returning"/>
  </r>
  <r>
    <n v="2909"/>
    <n v="40"/>
    <s v="Male"/>
    <x v="3"/>
    <s v="Lamp"/>
    <n v="155.94999999999999"/>
    <x v="2"/>
    <s v="Card"/>
    <n v="3.3"/>
    <n v="16"/>
    <n v="3"/>
    <n v="130.99799999999999"/>
    <x v="1"/>
    <x v="0"/>
    <s v="Returning"/>
  </r>
  <r>
    <n v="2910"/>
    <n v="29"/>
    <s v="Female"/>
    <x v="3"/>
    <s v="Lamp"/>
    <n v="243.83"/>
    <x v="1"/>
    <s v="Card"/>
    <n v="4.5"/>
    <n v="12"/>
    <n v="6"/>
    <n v="214.57040000000001"/>
    <x v="4"/>
    <x v="0"/>
    <s v="Returning"/>
  </r>
  <r>
    <n v="2911"/>
    <n v="67"/>
    <s v="Male"/>
    <x v="5"/>
    <s v="Headphones"/>
    <n v="1908.28"/>
    <x v="1"/>
    <s v="Card"/>
    <n v="4"/>
    <n v="24"/>
    <n v="7"/>
    <n v="1450.2927999999999"/>
    <x v="2"/>
    <x v="0"/>
    <s v="Returning"/>
  </r>
  <r>
    <n v="2912"/>
    <n v="70"/>
    <s v="Male"/>
    <x v="7"/>
    <s v="Sandals"/>
    <n v="73.739999999999995"/>
    <x v="3"/>
    <s v="Card"/>
    <n v="3.4"/>
    <n v="20"/>
    <n v="5"/>
    <n v="58.991999999999997"/>
    <x v="2"/>
    <x v="0"/>
    <s v="Returning"/>
  </r>
  <r>
    <n v="2913"/>
    <n v="38"/>
    <s v="Female"/>
    <x v="8"/>
    <s v="Skirt"/>
    <n v="74.12"/>
    <x v="3"/>
    <s v="Cash on Delivery"/>
    <n v="4.3"/>
    <n v="18"/>
    <n v="4"/>
    <n v="60.778400000000005"/>
    <x v="1"/>
    <x v="0"/>
    <s v="Returning"/>
  </r>
  <r>
    <n v="2914"/>
    <n v="23"/>
    <s v="Female"/>
    <x v="8"/>
    <s v="Top"/>
    <n v="44.28"/>
    <x v="3"/>
    <s v="Cash on Delivery"/>
    <n v="4.9000000000000004"/>
    <n v="15"/>
    <n v="5"/>
    <n v="37.637999999999998"/>
    <x v="3"/>
    <x v="0"/>
    <s v="Returning"/>
  </r>
  <r>
    <n v="2915"/>
    <n v="47"/>
    <s v="Male"/>
    <x v="7"/>
    <s v="Formal Shoes"/>
    <n v="174.96"/>
    <x v="0"/>
    <s v="Card"/>
    <n v="5"/>
    <n v="9"/>
    <n v="2"/>
    <n v="159.21360000000001"/>
    <x v="0"/>
    <x v="0"/>
    <s v="Returning"/>
  </r>
  <r>
    <n v="2916"/>
    <n v="42"/>
    <s v="Female"/>
    <x v="0"/>
    <s v="Sunglasses"/>
    <n v="137.86000000000001"/>
    <x v="3"/>
    <s v="Card"/>
    <n v="5"/>
    <n v="12"/>
    <n v="1"/>
    <n v="121.31680000000001"/>
    <x v="1"/>
    <x v="0"/>
    <s v="Returning"/>
  </r>
  <r>
    <n v="2917"/>
    <n v="69"/>
    <s v="Male"/>
    <x v="1"/>
    <s v="T-Shirt"/>
    <n v="172.24"/>
    <x v="0"/>
    <s v="Card"/>
    <n v="4.3"/>
    <n v="18"/>
    <n v="9"/>
    <n v="141.23680000000002"/>
    <x v="2"/>
    <x v="0"/>
    <s v="Returning"/>
  </r>
  <r>
    <n v="2918"/>
    <n v="59"/>
    <s v="Female"/>
    <x v="0"/>
    <s v="Wallet"/>
    <n v="99.13"/>
    <x v="2"/>
    <s v="Card"/>
    <n v="3.5"/>
    <n v="18"/>
    <n v="4"/>
    <n v="81.286600000000007"/>
    <x v="0"/>
    <x v="0"/>
    <s v="Returning"/>
  </r>
  <r>
    <n v="2919"/>
    <n v="67"/>
    <s v="Female"/>
    <x v="8"/>
    <s v="Skirt"/>
    <n v="149.36000000000001"/>
    <x v="0"/>
    <s v="Card"/>
    <n v="3.8"/>
    <n v="20"/>
    <n v="10"/>
    <n v="119.48800000000001"/>
    <x v="2"/>
    <x v="0"/>
    <s v="Returning"/>
  </r>
  <r>
    <n v="2920"/>
    <n v="47"/>
    <s v="Female"/>
    <x v="7"/>
    <s v="Formal Shoes"/>
    <n v="58.36"/>
    <x v="0"/>
    <s v="Cash on Delivery"/>
    <n v="3.1"/>
    <n v="16"/>
    <n v="3"/>
    <n v="49.022399999999998"/>
    <x v="0"/>
    <x v="0"/>
    <s v="Returning"/>
  </r>
  <r>
    <n v="2921"/>
    <n v="40"/>
    <s v="Male"/>
    <x v="2"/>
    <s v="Yoga Mat"/>
    <n v="108.91"/>
    <x v="1"/>
    <s v="Card"/>
    <n v="3.6"/>
    <n v="12"/>
    <n v="6"/>
    <n v="95.840800000000002"/>
    <x v="1"/>
    <x v="0"/>
    <s v="Returning"/>
  </r>
  <r>
    <n v="2922"/>
    <n v="42"/>
    <s v="Male"/>
    <x v="2"/>
    <s v="Dumbbells"/>
    <n v="74.2"/>
    <x v="1"/>
    <s v="Card"/>
    <n v="2.7"/>
    <n v="8"/>
    <n v="4"/>
    <n v="68.26400000000001"/>
    <x v="1"/>
    <x v="0"/>
    <s v="Returning"/>
  </r>
  <r>
    <n v="2923"/>
    <n v="63"/>
    <s v="Female"/>
    <x v="4"/>
    <s v="Snacks"/>
    <n v="35.58"/>
    <x v="0"/>
    <s v="Card"/>
    <n v="2.9"/>
    <n v="19"/>
    <n v="7"/>
    <n v="28.819800000000001"/>
    <x v="2"/>
    <x v="0"/>
    <s v="Returning"/>
  </r>
  <r>
    <n v="2924"/>
    <n v="45"/>
    <s v="Male"/>
    <x v="2"/>
    <s v="Dumbbells"/>
    <n v="56.1"/>
    <x v="2"/>
    <s v="Card"/>
    <n v="3.4"/>
    <n v="15"/>
    <n v="5"/>
    <n v="47.685000000000002"/>
    <x v="1"/>
    <x v="0"/>
    <s v="Returning"/>
  </r>
  <r>
    <n v="2925"/>
    <n v="51"/>
    <s v="Male"/>
    <x v="7"/>
    <s v="Formal Shoes"/>
    <n v="67.650000000000006"/>
    <x v="2"/>
    <s v="Card"/>
    <n v="4.3"/>
    <n v="13"/>
    <n v="4"/>
    <n v="58.855500000000006"/>
    <x v="0"/>
    <x v="0"/>
    <s v="Returning"/>
  </r>
  <r>
    <n v="2926"/>
    <n v="66"/>
    <s v="Male"/>
    <x v="5"/>
    <s v="Mobile Phone"/>
    <n v="2242.8000000000002"/>
    <x v="1"/>
    <s v="Card"/>
    <n v="4.4000000000000004"/>
    <n v="12"/>
    <n v="1"/>
    <n v="1973.6640000000002"/>
    <x v="2"/>
    <x v="0"/>
    <s v="Returning"/>
  </r>
  <r>
    <n v="2927"/>
    <n v="25"/>
    <s v="Male"/>
    <x v="1"/>
    <s v="Jeans"/>
    <n v="135.66999999999999"/>
    <x v="1"/>
    <s v="Card"/>
    <n v="4.5"/>
    <n v="8"/>
    <n v="4"/>
    <n v="124.81639999999999"/>
    <x v="3"/>
    <x v="0"/>
    <s v="Returning"/>
  </r>
  <r>
    <n v="2928"/>
    <n v="55"/>
    <s v="Male"/>
    <x v="2"/>
    <s v="Football"/>
    <n v="96.63"/>
    <x v="2"/>
    <s v="Card"/>
    <n v="3.9"/>
    <n v="6"/>
    <n v="3"/>
    <n v="90.832199999999986"/>
    <x v="0"/>
    <x v="0"/>
    <s v="Returning"/>
  </r>
  <r>
    <n v="2929"/>
    <n v="41"/>
    <s v="Female"/>
    <x v="6"/>
    <s v="Perfume"/>
    <n v="34.42"/>
    <x v="1"/>
    <s v="Cash on Delivery"/>
    <n v="4.3"/>
    <n v="26"/>
    <n v="8"/>
    <n v="25.470800000000001"/>
    <x v="1"/>
    <x v="0"/>
    <s v="Returning"/>
  </r>
  <r>
    <n v="2930"/>
    <n v="64"/>
    <s v="Female"/>
    <x v="0"/>
    <s v="Wallet"/>
    <n v="108.39"/>
    <x v="2"/>
    <s v="Card"/>
    <n v="3.3"/>
    <n v="10"/>
    <n v="5"/>
    <n v="97.551000000000002"/>
    <x v="2"/>
    <x v="0"/>
    <s v="Returning"/>
  </r>
  <r>
    <n v="2931"/>
    <n v="67"/>
    <s v="Male"/>
    <x v="7"/>
    <s v="Sandals"/>
    <n v="96.2"/>
    <x v="1"/>
    <s v="Card"/>
    <n v="3.1"/>
    <n v="5"/>
    <n v="0"/>
    <n v="91.39"/>
    <x v="2"/>
    <x v="0"/>
    <s v="New"/>
  </r>
  <r>
    <n v="2932"/>
    <n v="23"/>
    <s v="Female"/>
    <x v="6"/>
    <s v="Skincare Kit"/>
    <n v="50.94"/>
    <x v="0"/>
    <s v="Cash on Delivery"/>
    <n v="1.9"/>
    <n v="14"/>
    <n v="2"/>
    <n v="43.808399999999999"/>
    <x v="3"/>
    <x v="0"/>
    <s v="Returning"/>
  </r>
  <r>
    <n v="2933"/>
    <n v="49"/>
    <s v="Male"/>
    <x v="7"/>
    <s v="Sneakers"/>
    <n v="122.8"/>
    <x v="1"/>
    <s v="Card"/>
    <n v="2.8"/>
    <n v="21"/>
    <n v="8"/>
    <n v="97.012"/>
    <x v="0"/>
    <x v="0"/>
    <s v="Returning"/>
  </r>
  <r>
    <n v="2934"/>
    <n v="53"/>
    <s v="Male"/>
    <x v="1"/>
    <s v="Jacket"/>
    <n v="198.47"/>
    <x v="1"/>
    <s v="Card"/>
    <n v="3.4"/>
    <n v="9"/>
    <n v="2"/>
    <n v="180.60769999999999"/>
    <x v="0"/>
    <x v="0"/>
    <s v="Returning"/>
  </r>
  <r>
    <n v="2935"/>
    <n v="58"/>
    <s v="Male"/>
    <x v="5"/>
    <s v="Headphones"/>
    <n v="1495.44"/>
    <x v="0"/>
    <s v="Card"/>
    <n v="3.8"/>
    <n v="6"/>
    <n v="3"/>
    <n v="1405.7136"/>
    <x v="0"/>
    <x v="0"/>
    <s v="Returning"/>
  </r>
  <r>
    <n v="2936"/>
    <n v="37"/>
    <s v="Female"/>
    <x v="6"/>
    <s v="Perfume"/>
    <n v="91.16"/>
    <x v="0"/>
    <s v="Cash on Delivery"/>
    <n v="4.5"/>
    <n v="12"/>
    <n v="6"/>
    <n v="80.220799999999997"/>
    <x v="1"/>
    <x v="0"/>
    <s v="Returning"/>
  </r>
  <r>
    <n v="2937"/>
    <n v="64"/>
    <s v="Male"/>
    <x v="3"/>
    <s v="Kitchen Set"/>
    <n v="145.24"/>
    <x v="1"/>
    <s v="Card"/>
    <n v="3.4"/>
    <n v="19"/>
    <n v="7"/>
    <n v="117.64440000000002"/>
    <x v="2"/>
    <x v="0"/>
    <s v="Returning"/>
  </r>
  <r>
    <n v="2938"/>
    <n v="21"/>
    <s v="Female"/>
    <x v="6"/>
    <s v="Makeup Set"/>
    <n v="31.76"/>
    <x v="0"/>
    <s v="Cash on Delivery"/>
    <n v="4.0999999999999996"/>
    <n v="19"/>
    <n v="7"/>
    <n v="25.725600000000004"/>
    <x v="3"/>
    <x v="0"/>
    <s v="Returning"/>
  </r>
  <r>
    <n v="2939"/>
    <n v="50"/>
    <s v="Male"/>
    <x v="5"/>
    <s v="Mobile Phone"/>
    <n v="1363.84"/>
    <x v="0"/>
    <s v="Card"/>
    <n v="4.2"/>
    <n v="20"/>
    <n v="10"/>
    <n v="1091.0719999999999"/>
    <x v="0"/>
    <x v="0"/>
    <s v="Returning"/>
  </r>
  <r>
    <n v="2940"/>
    <n v="27"/>
    <s v="Female"/>
    <x v="8"/>
    <s v="Top"/>
    <n v="49.97"/>
    <x v="0"/>
    <s v="Cash on Delivery"/>
    <n v="3.7"/>
    <n v="13"/>
    <n v="4"/>
    <n v="43.4739"/>
    <x v="4"/>
    <x v="0"/>
    <s v="Returning"/>
  </r>
  <r>
    <n v="2941"/>
    <n v="22"/>
    <s v="Male"/>
    <x v="5"/>
    <s v="Mobile Phone"/>
    <n v="1428.39"/>
    <x v="3"/>
    <s v="Card"/>
    <n v="3.6"/>
    <n v="24"/>
    <n v="7"/>
    <n v="1085.5764000000001"/>
    <x v="3"/>
    <x v="0"/>
    <s v="Returning"/>
  </r>
  <r>
    <n v="2942"/>
    <n v="63"/>
    <s v="Male"/>
    <x v="3"/>
    <s v="Curtains"/>
    <n v="208.41"/>
    <x v="0"/>
    <s v="Card"/>
    <n v="4.2"/>
    <n v="30"/>
    <n v="10"/>
    <n v="145.887"/>
    <x v="2"/>
    <x v="0"/>
    <s v="Returning"/>
  </r>
  <r>
    <n v="2943"/>
    <n v="28"/>
    <s v="Female"/>
    <x v="7"/>
    <s v="Sneakers"/>
    <n v="220.01"/>
    <x v="1"/>
    <s v="Card"/>
    <n v="2.7"/>
    <n v="15"/>
    <n v="5"/>
    <n v="187.0085"/>
    <x v="4"/>
    <x v="0"/>
    <s v="Returning"/>
  </r>
  <r>
    <n v="2944"/>
    <n v="48"/>
    <s v="Male"/>
    <x v="5"/>
    <s v="Mobile Phone"/>
    <n v="1710.27"/>
    <x v="2"/>
    <s v="Card"/>
    <n v="3.9"/>
    <n v="11"/>
    <n v="3"/>
    <n v="1522.1403"/>
    <x v="0"/>
    <x v="0"/>
    <s v="Returning"/>
  </r>
  <r>
    <n v="2945"/>
    <n v="31"/>
    <s v="Male"/>
    <x v="2"/>
    <s v="Yoga Mat"/>
    <n v="234.56"/>
    <x v="2"/>
    <s v="Card"/>
    <n v="4.3"/>
    <n v="18"/>
    <n v="4"/>
    <n v="192.33920000000001"/>
    <x v="4"/>
    <x v="0"/>
    <s v="Returning"/>
  </r>
  <r>
    <n v="2946"/>
    <n v="29"/>
    <s v="Female"/>
    <x v="7"/>
    <s v="Formal Shoes"/>
    <n v="146.87"/>
    <x v="0"/>
    <s v="Card"/>
    <n v="3.4"/>
    <n v="6"/>
    <n v="3"/>
    <n v="138.05779999999999"/>
    <x v="4"/>
    <x v="0"/>
    <s v="Returning"/>
  </r>
  <r>
    <n v="2947"/>
    <n v="62"/>
    <s v="Female"/>
    <x v="0"/>
    <s v="Handbag"/>
    <n v="20.66"/>
    <x v="1"/>
    <s v="Card"/>
    <n v="4.7"/>
    <n v="10"/>
    <n v="5"/>
    <n v="18.594000000000001"/>
    <x v="2"/>
    <x v="0"/>
    <s v="Returning"/>
  </r>
  <r>
    <n v="2948"/>
    <n v="37"/>
    <s v="Female"/>
    <x v="6"/>
    <s v="Perfume"/>
    <n v="97.9"/>
    <x v="0"/>
    <s v="Card"/>
    <n v="4.2"/>
    <n v="14"/>
    <n v="7"/>
    <n v="84.194000000000003"/>
    <x v="1"/>
    <x v="0"/>
    <s v="Returning"/>
  </r>
  <r>
    <n v="2949"/>
    <n v="51"/>
    <s v="Male"/>
    <x v="5"/>
    <s v="Mobile Phone"/>
    <n v="1172.28"/>
    <x v="2"/>
    <s v="Card"/>
    <n v="4.0999999999999996"/>
    <n v="6"/>
    <n v="3"/>
    <n v="1101.9431999999999"/>
    <x v="0"/>
    <x v="0"/>
    <s v="Returning"/>
  </r>
  <r>
    <n v="2950"/>
    <n v="52"/>
    <s v="Female"/>
    <x v="0"/>
    <s v="Wallet"/>
    <n v="48.23"/>
    <x v="3"/>
    <s v="Card"/>
    <n v="3.4"/>
    <n v="4"/>
    <n v="2"/>
    <n v="46.300799999999995"/>
    <x v="0"/>
    <x v="0"/>
    <s v="Returning"/>
  </r>
  <r>
    <n v="2951"/>
    <n v="53"/>
    <s v="Female"/>
    <x v="0"/>
    <s v="Wallet"/>
    <n v="60.58"/>
    <x v="3"/>
    <s v="Card"/>
    <n v="4.5999999999999996"/>
    <n v="11"/>
    <n v="3"/>
    <n v="53.916199999999996"/>
    <x v="0"/>
    <x v="0"/>
    <s v="Returning"/>
  </r>
  <r>
    <n v="2952"/>
    <n v="67"/>
    <s v="Female"/>
    <x v="8"/>
    <s v="Dress"/>
    <n v="153.51"/>
    <x v="2"/>
    <s v="Card"/>
    <n v="4"/>
    <n v="8"/>
    <n v="4"/>
    <n v="141.22919999999999"/>
    <x v="2"/>
    <x v="0"/>
    <s v="Returning"/>
  </r>
  <r>
    <n v="2953"/>
    <n v="70"/>
    <s v="Female"/>
    <x v="7"/>
    <s v="Sneakers"/>
    <n v="116.7"/>
    <x v="1"/>
    <s v="Card"/>
    <n v="4.5999999999999996"/>
    <n v="18"/>
    <n v="4"/>
    <n v="95.694000000000003"/>
    <x v="2"/>
    <x v="0"/>
    <s v="Returning"/>
  </r>
  <r>
    <n v="2954"/>
    <n v="37"/>
    <s v="Male"/>
    <x v="2"/>
    <s v="Yoga Mat"/>
    <n v="41.88"/>
    <x v="3"/>
    <s v="Cash on Delivery"/>
    <n v="3.6"/>
    <n v="15"/>
    <n v="5"/>
    <n v="35.597999999999999"/>
    <x v="1"/>
    <x v="0"/>
    <s v="Returning"/>
  </r>
  <r>
    <n v="2955"/>
    <n v="44"/>
    <s v="Female"/>
    <x v="4"/>
    <s v="Rice Pack"/>
    <n v="43.31"/>
    <x v="0"/>
    <s v="Cash on Delivery"/>
    <n v="3.9"/>
    <n v="20"/>
    <n v="10"/>
    <n v="34.648000000000003"/>
    <x v="1"/>
    <x v="0"/>
    <s v="Returning"/>
  </r>
  <r>
    <n v="2956"/>
    <n v="57"/>
    <s v="Female"/>
    <x v="8"/>
    <s v="Dress"/>
    <n v="186.86"/>
    <x v="0"/>
    <s v="Card"/>
    <n v="2.9"/>
    <n v="9"/>
    <n v="2"/>
    <n v="170.04260000000002"/>
    <x v="0"/>
    <x v="0"/>
    <s v="Returning"/>
  </r>
  <r>
    <n v="2957"/>
    <n v="61"/>
    <s v="Male"/>
    <x v="3"/>
    <s v="Curtains"/>
    <n v="151.26"/>
    <x v="2"/>
    <s v="Card"/>
    <n v="4.4000000000000004"/>
    <n v="11"/>
    <n v="3"/>
    <n v="134.62139999999999"/>
    <x v="2"/>
    <x v="0"/>
    <s v="Returning"/>
  </r>
  <r>
    <n v="2958"/>
    <n v="66"/>
    <s v="Female"/>
    <x v="6"/>
    <s v="Perfume"/>
    <n v="130.44999999999999"/>
    <x v="0"/>
    <s v="Card"/>
    <n v="3.5"/>
    <n v="14"/>
    <n v="7"/>
    <n v="112.18699999999998"/>
    <x v="2"/>
    <x v="0"/>
    <s v="Returning"/>
  </r>
  <r>
    <n v="2959"/>
    <n v="28"/>
    <s v="Male"/>
    <x v="1"/>
    <s v="Jacket"/>
    <n v="172.56"/>
    <x v="2"/>
    <s v="Card"/>
    <n v="4.2"/>
    <n v="20"/>
    <n v="5"/>
    <n v="138.048"/>
    <x v="4"/>
    <x v="0"/>
    <s v="Returning"/>
  </r>
  <r>
    <n v="2960"/>
    <n v="44"/>
    <s v="Female"/>
    <x v="4"/>
    <s v="Rice Pack"/>
    <n v="65.95"/>
    <x v="1"/>
    <s v="Cash on Delivery"/>
    <n v="2.7"/>
    <n v="10"/>
    <n v="5"/>
    <n v="59.355000000000004"/>
    <x v="1"/>
    <x v="0"/>
    <s v="Returning"/>
  </r>
  <r>
    <n v="2961"/>
    <n v="61"/>
    <s v="Female"/>
    <x v="8"/>
    <s v="Dress"/>
    <n v="87.4"/>
    <x v="3"/>
    <s v="Cash on Delivery"/>
    <n v="3"/>
    <n v="20"/>
    <n v="5"/>
    <n v="69.92"/>
    <x v="2"/>
    <x v="0"/>
    <s v="Returning"/>
  </r>
  <r>
    <n v="2962"/>
    <n v="38"/>
    <s v="Male"/>
    <x v="1"/>
    <s v="Shirt"/>
    <n v="186.66"/>
    <x v="3"/>
    <s v="Card"/>
    <n v="4.5999999999999996"/>
    <n v="16"/>
    <n v="3"/>
    <n v="156.7944"/>
    <x v="1"/>
    <x v="0"/>
    <s v="Returning"/>
  </r>
  <r>
    <n v="2963"/>
    <n v="40"/>
    <s v="Female"/>
    <x v="0"/>
    <s v="Handbag"/>
    <n v="41.27"/>
    <x v="2"/>
    <s v="Card"/>
    <n v="3.4"/>
    <n v="4"/>
    <n v="2"/>
    <n v="39.619199999999999"/>
    <x v="1"/>
    <x v="0"/>
    <s v="Returning"/>
  </r>
  <r>
    <n v="2964"/>
    <n v="36"/>
    <s v="Female"/>
    <x v="6"/>
    <s v="Perfume"/>
    <n v="131.26"/>
    <x v="2"/>
    <s v="Card"/>
    <n v="2.9"/>
    <n v="16"/>
    <n v="3"/>
    <n v="110.25839999999999"/>
    <x v="1"/>
    <x v="0"/>
    <s v="Returning"/>
  </r>
  <r>
    <n v="2965"/>
    <n v="68"/>
    <s v="Female"/>
    <x v="6"/>
    <s v="Makeup Set"/>
    <n v="57.54"/>
    <x v="0"/>
    <s v="Card"/>
    <n v="4"/>
    <n v="22"/>
    <n v="6"/>
    <n v="44.8812"/>
    <x v="2"/>
    <x v="0"/>
    <s v="Returning"/>
  </r>
  <r>
    <n v="2966"/>
    <n v="59"/>
    <s v="Male"/>
    <x v="2"/>
    <s v="Dumbbells"/>
    <n v="51.46"/>
    <x v="3"/>
    <s v="Card"/>
    <n v="4.4000000000000004"/>
    <n v="11"/>
    <n v="3"/>
    <n v="45.799399999999999"/>
    <x v="0"/>
    <x v="0"/>
    <s v="Returning"/>
  </r>
  <r>
    <n v="2967"/>
    <n v="34"/>
    <s v="Male"/>
    <x v="2"/>
    <s v="Football"/>
    <n v="73.63"/>
    <x v="1"/>
    <s v="Cash on Delivery"/>
    <n v="4.5"/>
    <n v="34"/>
    <n v="12"/>
    <n v="48.59579999999999"/>
    <x v="4"/>
    <x v="0"/>
    <s v="Returning"/>
  </r>
  <r>
    <n v="2968"/>
    <n v="40"/>
    <s v="Female"/>
    <x v="7"/>
    <s v="Sandals"/>
    <n v="169.28"/>
    <x v="1"/>
    <s v="Card"/>
    <n v="4.7"/>
    <n v="11"/>
    <n v="3"/>
    <n v="150.6592"/>
    <x v="1"/>
    <x v="0"/>
    <s v="Returning"/>
  </r>
  <r>
    <n v="2969"/>
    <n v="67"/>
    <s v="Male"/>
    <x v="1"/>
    <s v="Jeans"/>
    <n v="168.33"/>
    <x v="0"/>
    <s v="Card"/>
    <n v="3.3"/>
    <n v="20"/>
    <n v="5"/>
    <n v="134.66400000000002"/>
    <x v="2"/>
    <x v="0"/>
    <s v="Returning"/>
  </r>
  <r>
    <n v="2970"/>
    <n v="63"/>
    <s v="Female"/>
    <x v="0"/>
    <s v="Handbag"/>
    <n v="45.25"/>
    <x v="3"/>
    <s v="Cash on Delivery"/>
    <n v="4.4000000000000004"/>
    <n v="13"/>
    <n v="4"/>
    <n v="39.3675"/>
    <x v="2"/>
    <x v="0"/>
    <s v="Returning"/>
  </r>
  <r>
    <n v="2971"/>
    <n v="39"/>
    <s v="Male"/>
    <x v="7"/>
    <s v="Sneakers"/>
    <n v="213.65"/>
    <x v="1"/>
    <s v="Card"/>
    <n v="3.3"/>
    <n v="8"/>
    <n v="4"/>
    <n v="196.55800000000002"/>
    <x v="1"/>
    <x v="0"/>
    <s v="Returning"/>
  </r>
  <r>
    <n v="2972"/>
    <n v="55"/>
    <s v="Female"/>
    <x v="0"/>
    <s v="Sunglasses"/>
    <n v="33.590000000000003"/>
    <x v="3"/>
    <s v="Card"/>
    <n v="3.1"/>
    <n v="20"/>
    <n v="5"/>
    <n v="26.872000000000003"/>
    <x v="0"/>
    <x v="0"/>
    <s v="Returning"/>
  </r>
  <r>
    <n v="2973"/>
    <n v="27"/>
    <s v="Male"/>
    <x v="1"/>
    <s v="Jacket"/>
    <n v="163.62"/>
    <x v="2"/>
    <s v="Card"/>
    <n v="4.0999999999999996"/>
    <n v="10"/>
    <n v="5"/>
    <n v="147.25800000000001"/>
    <x v="4"/>
    <x v="0"/>
    <s v="Returning"/>
  </r>
  <r>
    <n v="2974"/>
    <n v="49"/>
    <s v="Female"/>
    <x v="6"/>
    <s v="Makeup Set"/>
    <n v="56.06"/>
    <x v="2"/>
    <s v="Card"/>
    <n v="2.8"/>
    <n v="18"/>
    <n v="4"/>
    <n v="45.969200000000008"/>
    <x v="0"/>
    <x v="0"/>
    <s v="Returning"/>
  </r>
  <r>
    <n v="2975"/>
    <n v="54"/>
    <s v="Female"/>
    <x v="8"/>
    <s v="Top"/>
    <n v="131.24"/>
    <x v="2"/>
    <s v="Card"/>
    <n v="3.5"/>
    <n v="24"/>
    <n v="7"/>
    <n v="99.742400000000004"/>
    <x v="0"/>
    <x v="0"/>
    <s v="Returning"/>
  </r>
  <r>
    <n v="2976"/>
    <n v="64"/>
    <s v="Male"/>
    <x v="2"/>
    <s v="Yoga Mat"/>
    <n v="118.46"/>
    <x v="0"/>
    <s v="Card"/>
    <n v="2.9"/>
    <n v="13"/>
    <n v="4"/>
    <n v="103.06019999999999"/>
    <x v="2"/>
    <x v="0"/>
    <s v="Returning"/>
  </r>
  <r>
    <n v="2977"/>
    <n v="24"/>
    <s v="Male"/>
    <x v="2"/>
    <s v="Yoga Mat"/>
    <n v="153.78"/>
    <x v="0"/>
    <s v="Card"/>
    <n v="3.5"/>
    <n v="24"/>
    <n v="7"/>
    <n v="116.8728"/>
    <x v="3"/>
    <x v="0"/>
    <s v="Returning"/>
  </r>
  <r>
    <n v="2978"/>
    <n v="58"/>
    <s v="Male"/>
    <x v="5"/>
    <s v="Headphones"/>
    <n v="2236.23"/>
    <x v="1"/>
    <s v="Card"/>
    <n v="3.1"/>
    <n v="22"/>
    <n v="6"/>
    <n v="1744.2594000000001"/>
    <x v="0"/>
    <x v="0"/>
    <s v="Returning"/>
  </r>
  <r>
    <n v="2979"/>
    <n v="33"/>
    <s v="Female"/>
    <x v="7"/>
    <s v="Sandals"/>
    <n v="64.489999999999995"/>
    <x v="3"/>
    <s v="Cash on Delivery"/>
    <n v="4.2"/>
    <n v="2"/>
    <n v="1"/>
    <n v="63.200199999999995"/>
    <x v="4"/>
    <x v="0"/>
    <s v="Returning"/>
  </r>
  <r>
    <n v="2980"/>
    <n v="66"/>
    <s v="Female"/>
    <x v="7"/>
    <s v="Sandals"/>
    <n v="228.23"/>
    <x v="2"/>
    <s v="Card"/>
    <n v="3.3"/>
    <n v="26"/>
    <n v="8"/>
    <n v="168.89019999999999"/>
    <x v="2"/>
    <x v="0"/>
    <s v="Returning"/>
  </r>
  <r>
    <n v="2981"/>
    <n v="50"/>
    <s v="Female"/>
    <x v="0"/>
    <s v="Handbag"/>
    <n v="30.91"/>
    <x v="3"/>
    <s v="Card"/>
    <n v="3.9"/>
    <n v="26"/>
    <n v="8"/>
    <n v="22.8734"/>
    <x v="0"/>
    <x v="0"/>
    <s v="Returning"/>
  </r>
  <r>
    <n v="2982"/>
    <n v="39"/>
    <s v="Female"/>
    <x v="7"/>
    <s v="Formal Shoes"/>
    <n v="113.51"/>
    <x v="1"/>
    <s v="Card"/>
    <n v="3.4"/>
    <n v="8"/>
    <n v="4"/>
    <n v="104.42920000000001"/>
    <x v="1"/>
    <x v="0"/>
    <s v="Returning"/>
  </r>
  <r>
    <n v="2983"/>
    <n v="43"/>
    <s v="Male"/>
    <x v="1"/>
    <s v="Jeans"/>
    <n v="144.69999999999999"/>
    <x v="2"/>
    <s v="Card"/>
    <n v="5"/>
    <n v="16"/>
    <n v="3"/>
    <n v="121.54799999999999"/>
    <x v="1"/>
    <x v="0"/>
    <s v="Returning"/>
  </r>
  <r>
    <n v="2984"/>
    <n v="64"/>
    <s v="Male"/>
    <x v="7"/>
    <s v="Sneakers"/>
    <n v="52.88"/>
    <x v="2"/>
    <s v="Card"/>
    <n v="3.1"/>
    <n v="6"/>
    <n v="3"/>
    <n v="49.7072"/>
    <x v="2"/>
    <x v="0"/>
    <s v="Returning"/>
  </r>
  <r>
    <n v="2985"/>
    <n v="47"/>
    <s v="Female"/>
    <x v="7"/>
    <s v="Sneakers"/>
    <n v="68.52"/>
    <x v="0"/>
    <s v="Cash on Delivery"/>
    <n v="3.4"/>
    <n v="21"/>
    <n v="8"/>
    <n v="54.130800000000001"/>
    <x v="0"/>
    <x v="0"/>
    <s v="Returning"/>
  </r>
  <r>
    <n v="2986"/>
    <n v="26"/>
    <s v="Male"/>
    <x v="4"/>
    <s v="Cooking Oil"/>
    <n v="48.19"/>
    <x v="1"/>
    <s v="Cash on Delivery"/>
    <n v="3.5"/>
    <n v="12"/>
    <n v="6"/>
    <n v="42.407199999999996"/>
    <x v="4"/>
    <x v="0"/>
    <s v="Returning"/>
  </r>
  <r>
    <n v="2987"/>
    <n v="60"/>
    <s v="Male"/>
    <x v="1"/>
    <s v="T-Shirt"/>
    <n v="33.909999999999997"/>
    <x v="2"/>
    <s v="Card"/>
    <n v="4.5999999999999996"/>
    <n v="26"/>
    <n v="8"/>
    <n v="25.093399999999995"/>
    <x v="0"/>
    <x v="0"/>
    <s v="Returning"/>
  </r>
  <r>
    <n v="2988"/>
    <n v="35"/>
    <s v="Female"/>
    <x v="8"/>
    <s v="Jeans"/>
    <n v="59.43"/>
    <x v="0"/>
    <s v="Cash on Delivery"/>
    <n v="2.9"/>
    <n v="10"/>
    <n v="5"/>
    <n v="53.487000000000002"/>
    <x v="4"/>
    <x v="0"/>
    <s v="Returning"/>
  </r>
  <r>
    <n v="2989"/>
    <n v="32"/>
    <s v="Female"/>
    <x v="0"/>
    <s v="Sunglasses"/>
    <n v="65.63"/>
    <x v="2"/>
    <s v="Card"/>
    <n v="3.7"/>
    <n v="15"/>
    <n v="5"/>
    <n v="55.785499999999992"/>
    <x v="4"/>
    <x v="0"/>
    <s v="Returning"/>
  </r>
  <r>
    <n v="2990"/>
    <n v="33"/>
    <s v="Female"/>
    <x v="8"/>
    <s v="Dress"/>
    <n v="57.6"/>
    <x v="2"/>
    <s v="Card"/>
    <n v="3.6"/>
    <n v="6"/>
    <n v="3"/>
    <n v="54.143999999999998"/>
    <x v="4"/>
    <x v="0"/>
    <s v="Returning"/>
  </r>
  <r>
    <n v="2991"/>
    <n v="36"/>
    <s v="Female"/>
    <x v="0"/>
    <s v="Handbag"/>
    <n v="128.58000000000001"/>
    <x v="0"/>
    <s v="Card"/>
    <n v="3.6"/>
    <n v="8"/>
    <n v="4"/>
    <n v="118.29360000000001"/>
    <x v="1"/>
    <x v="0"/>
    <s v="Returning"/>
  </r>
  <r>
    <n v="2992"/>
    <n v="31"/>
    <s v="Male"/>
    <x v="7"/>
    <s v="Sandals"/>
    <n v="162.09"/>
    <x v="0"/>
    <s v="Card"/>
    <n v="4.0999999999999996"/>
    <n v="12"/>
    <n v="6"/>
    <n v="142.63920000000002"/>
    <x v="4"/>
    <x v="0"/>
    <s v="Returning"/>
  </r>
  <r>
    <n v="2993"/>
    <n v="38"/>
    <s v="Female"/>
    <x v="0"/>
    <s v="Sunglasses"/>
    <n v="43.25"/>
    <x v="2"/>
    <s v="Card"/>
    <n v="5"/>
    <n v="10"/>
    <n v="5"/>
    <n v="38.925000000000004"/>
    <x v="1"/>
    <x v="0"/>
    <s v="Returning"/>
  </r>
  <r>
    <n v="2994"/>
    <n v="42"/>
    <s v="Female"/>
    <x v="8"/>
    <s v="Top"/>
    <n v="181.64"/>
    <x v="0"/>
    <s v="Card"/>
    <n v="2.8"/>
    <n v="26"/>
    <n v="8"/>
    <n v="134.4136"/>
    <x v="1"/>
    <x v="0"/>
    <s v="Returning"/>
  </r>
  <r>
    <n v="2995"/>
    <n v="48"/>
    <s v="Male"/>
    <x v="5"/>
    <s v="Headphones"/>
    <n v="1720.89"/>
    <x v="1"/>
    <s v="Card"/>
    <n v="3.5"/>
    <n v="16"/>
    <n v="3"/>
    <n v="1445.5476000000001"/>
    <x v="0"/>
    <x v="0"/>
    <s v="Returning"/>
  </r>
  <r>
    <n v="2996"/>
    <n v="53"/>
    <s v="Male"/>
    <x v="2"/>
    <s v="Football"/>
    <n v="239.85"/>
    <x v="2"/>
    <s v="Card"/>
    <n v="4.0999999999999996"/>
    <n v="17"/>
    <n v="6"/>
    <n v="199.07549999999998"/>
    <x v="0"/>
    <x v="0"/>
    <s v="Returning"/>
  </r>
  <r>
    <n v="2997"/>
    <n v="26"/>
    <s v="Female"/>
    <x v="6"/>
    <s v="Skincare Kit"/>
    <n v="66.38"/>
    <x v="1"/>
    <s v="Cash on Delivery"/>
    <n v="3.8"/>
    <n v="10"/>
    <n v="5"/>
    <n v="59.741999999999997"/>
    <x v="4"/>
    <x v="0"/>
    <s v="Returning"/>
  </r>
  <r>
    <n v="2998"/>
    <n v="22"/>
    <s v="Female"/>
    <x v="6"/>
    <s v="Skincare Kit"/>
    <n v="47.67"/>
    <x v="2"/>
    <s v="Cash on Delivery"/>
    <n v="3"/>
    <n v="15"/>
    <n v="5"/>
    <n v="40.519500000000001"/>
    <x v="3"/>
    <x v="0"/>
    <s v="Returning"/>
  </r>
  <r>
    <n v="2999"/>
    <n v="52"/>
    <s v="Male"/>
    <x v="7"/>
    <s v="Formal Shoes"/>
    <n v="156.88"/>
    <x v="0"/>
    <s v="Card"/>
    <n v="3.5"/>
    <n v="15"/>
    <n v="5"/>
    <n v="133.34799999999998"/>
    <x v="0"/>
    <x v="0"/>
    <s v="Returning"/>
  </r>
  <r>
    <n v="3000"/>
    <n v="37"/>
    <s v="Female"/>
    <x v="7"/>
    <s v="Sneakers"/>
    <n v="176.28"/>
    <x v="1"/>
    <s v="Card"/>
    <n v="4.7"/>
    <n v="20"/>
    <n v="5"/>
    <n v="141.024"/>
    <x v="1"/>
    <x v="0"/>
    <s v="Returning"/>
  </r>
  <r>
    <n v="3001"/>
    <n v="35"/>
    <s v="Female"/>
    <x v="6"/>
    <s v="Skincare Kit"/>
    <n v="46.97"/>
    <x v="0"/>
    <s v="Card"/>
    <n v="4.2"/>
    <n v="12"/>
    <n v="6"/>
    <n v="41.333599999999997"/>
    <x v="4"/>
    <x v="0"/>
    <s v="Returning"/>
  </r>
  <r>
    <n v="3002"/>
    <n v="69"/>
    <s v="Male"/>
    <x v="5"/>
    <s v="Laptop"/>
    <n v="1404.38"/>
    <x v="2"/>
    <s v="Card"/>
    <n v="2.5"/>
    <n v="13"/>
    <n v="4"/>
    <n v="1221.8106"/>
    <x v="2"/>
    <x v="0"/>
    <s v="Returning"/>
  </r>
  <r>
    <n v="3003"/>
    <n v="59"/>
    <s v="Female"/>
    <x v="7"/>
    <s v="Formal Shoes"/>
    <n v="112.23"/>
    <x v="1"/>
    <s v="Card"/>
    <n v="3.6"/>
    <n v="10"/>
    <n v="5"/>
    <n v="101.00700000000001"/>
    <x v="0"/>
    <x v="0"/>
    <s v="Returning"/>
  </r>
  <r>
    <n v="3004"/>
    <n v="44"/>
    <s v="Female"/>
    <x v="0"/>
    <s v="Wallet"/>
    <n v="124.3"/>
    <x v="1"/>
    <s v="Card"/>
    <n v="3.7"/>
    <n v="21"/>
    <n v="8"/>
    <n v="98.197000000000003"/>
    <x v="1"/>
    <x v="0"/>
    <s v="Returning"/>
  </r>
  <r>
    <n v="3005"/>
    <n v="37"/>
    <s v="Male"/>
    <x v="2"/>
    <s v="Yoga Mat"/>
    <n v="145.11000000000001"/>
    <x v="1"/>
    <s v="Card"/>
    <n v="2.4"/>
    <n v="20"/>
    <n v="5"/>
    <n v="116.08800000000002"/>
    <x v="1"/>
    <x v="0"/>
    <s v="Returning"/>
  </r>
  <r>
    <n v="3006"/>
    <n v="63"/>
    <s v="Male"/>
    <x v="7"/>
    <s v="Sneakers"/>
    <n v="214.22"/>
    <x v="0"/>
    <s v="Card"/>
    <n v="3.3"/>
    <n v="19"/>
    <n v="7"/>
    <n v="173.51820000000001"/>
    <x v="2"/>
    <x v="0"/>
    <s v="Returning"/>
  </r>
  <r>
    <n v="3007"/>
    <n v="42"/>
    <s v="Female"/>
    <x v="6"/>
    <s v="Makeup Set"/>
    <n v="24.73"/>
    <x v="1"/>
    <s v="Card"/>
    <n v="3.6"/>
    <n v="15"/>
    <n v="5"/>
    <n v="21.020499999999998"/>
    <x v="1"/>
    <x v="0"/>
    <s v="Returning"/>
  </r>
  <r>
    <n v="3008"/>
    <n v="38"/>
    <s v="Male"/>
    <x v="2"/>
    <s v="Yoga Mat"/>
    <n v="158.99"/>
    <x v="2"/>
    <s v="Card"/>
    <n v="3.4"/>
    <n v="13"/>
    <n v="4"/>
    <n v="138.32130000000001"/>
    <x v="1"/>
    <x v="0"/>
    <s v="Returning"/>
  </r>
  <r>
    <n v="3009"/>
    <n v="46"/>
    <s v="Female"/>
    <x v="2"/>
    <s v="Yoga Mat"/>
    <n v="234.34"/>
    <x v="1"/>
    <s v="Card"/>
    <n v="3.4"/>
    <n v="6"/>
    <n v="3"/>
    <n v="220.27959999999999"/>
    <x v="0"/>
    <x v="0"/>
    <s v="Returning"/>
  </r>
  <r>
    <n v="3010"/>
    <n v="42"/>
    <s v="Female"/>
    <x v="8"/>
    <s v="Jeans"/>
    <n v="31.48"/>
    <x v="2"/>
    <s v="Cash on Delivery"/>
    <n v="3.1"/>
    <n v="10"/>
    <n v="5"/>
    <n v="28.332000000000001"/>
    <x v="1"/>
    <x v="0"/>
    <s v="Returning"/>
  </r>
  <r>
    <n v="3011"/>
    <n v="23"/>
    <s v="Female"/>
    <x v="8"/>
    <s v="Jeans"/>
    <n v="134.30000000000001"/>
    <x v="0"/>
    <s v="Card"/>
    <n v="3.9"/>
    <n v="22"/>
    <n v="6"/>
    <n v="104.75400000000002"/>
    <x v="3"/>
    <x v="0"/>
    <s v="Returning"/>
  </r>
  <r>
    <n v="3012"/>
    <n v="48"/>
    <s v="Male"/>
    <x v="1"/>
    <s v="Jacket"/>
    <n v="51.38"/>
    <x v="2"/>
    <s v="Card"/>
    <n v="5"/>
    <n v="2"/>
    <n v="1"/>
    <n v="50.352400000000003"/>
    <x v="0"/>
    <x v="0"/>
    <s v="Returning"/>
  </r>
  <r>
    <n v="3013"/>
    <n v="51"/>
    <s v="Male"/>
    <x v="5"/>
    <s v="Laptop"/>
    <n v="2375.0300000000002"/>
    <x v="2"/>
    <s v="Card"/>
    <n v="2.5"/>
    <n v="8"/>
    <n v="4"/>
    <n v="2185.0276000000003"/>
    <x v="0"/>
    <x v="0"/>
    <s v="Returning"/>
  </r>
  <r>
    <n v="3014"/>
    <n v="53"/>
    <s v="Male"/>
    <x v="2"/>
    <s v="Yoga Mat"/>
    <n v="52.21"/>
    <x v="0"/>
    <s v="Card"/>
    <n v="3.6"/>
    <n v="6"/>
    <n v="3"/>
    <n v="49.077399999999997"/>
    <x v="0"/>
    <x v="0"/>
    <s v="Returning"/>
  </r>
  <r>
    <n v="3015"/>
    <n v="38"/>
    <s v="Female"/>
    <x v="7"/>
    <s v="Formal Shoes"/>
    <n v="241.96"/>
    <x v="3"/>
    <s v="Card"/>
    <n v="2.6"/>
    <n v="18"/>
    <n v="4"/>
    <n v="198.40720000000002"/>
    <x v="1"/>
    <x v="0"/>
    <s v="Returning"/>
  </r>
  <r>
    <n v="3016"/>
    <n v="23"/>
    <s v="Female"/>
    <x v="0"/>
    <s v="Wallet"/>
    <n v="64.06"/>
    <x v="1"/>
    <s v="Cash on Delivery"/>
    <n v="3.7"/>
    <n v="9"/>
    <n v="2"/>
    <n v="58.294600000000003"/>
    <x v="3"/>
    <x v="0"/>
    <s v="Returning"/>
  </r>
  <r>
    <n v="3017"/>
    <n v="25"/>
    <s v="Female"/>
    <x v="8"/>
    <s v="Jeans"/>
    <n v="59.55"/>
    <x v="1"/>
    <s v="Card"/>
    <n v="4.0999999999999996"/>
    <n v="22"/>
    <n v="6"/>
    <n v="46.448999999999998"/>
    <x v="3"/>
    <x v="0"/>
    <s v="Returning"/>
  </r>
  <r>
    <n v="3018"/>
    <n v="63"/>
    <s v="Male"/>
    <x v="7"/>
    <s v="Sandals"/>
    <n v="91.21"/>
    <x v="2"/>
    <s v="Card"/>
    <n v="4.0999999999999996"/>
    <n v="32"/>
    <n v="11"/>
    <n v="62.022799999999989"/>
    <x v="2"/>
    <x v="0"/>
    <s v="Returning"/>
  </r>
  <r>
    <n v="3019"/>
    <n v="63"/>
    <s v="Male"/>
    <x v="1"/>
    <s v="Jacket"/>
    <n v="112.01"/>
    <x v="0"/>
    <s v="Card"/>
    <n v="4"/>
    <n v="8"/>
    <n v="4"/>
    <n v="103.04920000000001"/>
    <x v="2"/>
    <x v="0"/>
    <s v="Returning"/>
  </r>
  <r>
    <n v="3020"/>
    <n v="47"/>
    <s v="Male"/>
    <x v="5"/>
    <s v="Laptop"/>
    <n v="2830.66"/>
    <x v="3"/>
    <s v="Card"/>
    <n v="3.5"/>
    <n v="16"/>
    <n v="3"/>
    <n v="2377.7543999999998"/>
    <x v="0"/>
    <x v="0"/>
    <s v="Returning"/>
  </r>
  <r>
    <n v="3021"/>
    <n v="67"/>
    <s v="Male"/>
    <x v="5"/>
    <s v="Mobile Phone"/>
    <n v="804.82"/>
    <x v="2"/>
    <s v="Card"/>
    <n v="3.8"/>
    <n v="9"/>
    <n v="2"/>
    <n v="732.38620000000003"/>
    <x v="2"/>
    <x v="0"/>
    <s v="Returning"/>
  </r>
  <r>
    <n v="3022"/>
    <n v="35"/>
    <s v="Male"/>
    <x v="1"/>
    <s v="Jacket"/>
    <n v="62.73"/>
    <x v="3"/>
    <s v="Cash on Delivery"/>
    <n v="3.6"/>
    <n v="15"/>
    <n v="5"/>
    <n v="53.320499999999996"/>
    <x v="4"/>
    <x v="0"/>
    <s v="Returning"/>
  </r>
  <r>
    <n v="3023"/>
    <n v="43"/>
    <s v="Female"/>
    <x v="6"/>
    <s v="Makeup Set"/>
    <n v="20.09"/>
    <x v="2"/>
    <s v="Cash on Delivery"/>
    <n v="2.7"/>
    <n v="20"/>
    <n v="5"/>
    <n v="16.071999999999999"/>
    <x v="1"/>
    <x v="0"/>
    <s v="Returning"/>
  </r>
  <r>
    <n v="3024"/>
    <n v="60"/>
    <s v="Female"/>
    <x v="7"/>
    <s v="Sandals"/>
    <n v="52.98"/>
    <x v="1"/>
    <s v="Card"/>
    <n v="4.2"/>
    <n v="4"/>
    <n v="2"/>
    <n v="50.860799999999998"/>
    <x v="0"/>
    <x v="0"/>
    <s v="Returning"/>
  </r>
  <r>
    <n v="3025"/>
    <n v="56"/>
    <s v="Female"/>
    <x v="8"/>
    <s v="Top"/>
    <n v="80.959999999999994"/>
    <x v="1"/>
    <s v="Card"/>
    <n v="3.4"/>
    <n v="12"/>
    <n v="6"/>
    <n v="71.244799999999998"/>
    <x v="0"/>
    <x v="0"/>
    <s v="Returning"/>
  </r>
  <r>
    <n v="3026"/>
    <n v="46"/>
    <s v="Male"/>
    <x v="1"/>
    <s v="Jacket"/>
    <n v="173.68"/>
    <x v="1"/>
    <s v="Card"/>
    <n v="5"/>
    <n v="17"/>
    <n v="6"/>
    <n v="144.15440000000001"/>
    <x v="0"/>
    <x v="0"/>
    <s v="Returning"/>
  </r>
  <r>
    <n v="3027"/>
    <n v="63"/>
    <s v="Male"/>
    <x v="1"/>
    <s v="Jacket"/>
    <n v="116.37"/>
    <x v="2"/>
    <s v="Card"/>
    <n v="3.3"/>
    <n v="26"/>
    <n v="8"/>
    <n v="86.113799999999998"/>
    <x v="2"/>
    <x v="0"/>
    <s v="Returning"/>
  </r>
  <r>
    <n v="3028"/>
    <n v="44"/>
    <s v="Female"/>
    <x v="8"/>
    <s v="Skirt"/>
    <n v="139.86000000000001"/>
    <x v="3"/>
    <s v="Card"/>
    <n v="3.5"/>
    <n v="11"/>
    <n v="3"/>
    <n v="124.47540000000001"/>
    <x v="1"/>
    <x v="0"/>
    <s v="Returning"/>
  </r>
  <r>
    <n v="3029"/>
    <n v="46"/>
    <s v="Female"/>
    <x v="0"/>
    <s v="Wallet"/>
    <n v="169.04"/>
    <x v="2"/>
    <s v="Card"/>
    <n v="3"/>
    <n v="15"/>
    <n v="5"/>
    <n v="143.684"/>
    <x v="0"/>
    <x v="0"/>
    <s v="Returning"/>
  </r>
  <r>
    <n v="3030"/>
    <n v="44"/>
    <s v="Male"/>
    <x v="5"/>
    <s v="Smart Watch"/>
    <n v="2810.41"/>
    <x v="2"/>
    <s v="Card"/>
    <n v="4.4000000000000004"/>
    <n v="8"/>
    <n v="4"/>
    <n v="2585.5772000000002"/>
    <x v="1"/>
    <x v="0"/>
    <s v="Returning"/>
  </r>
  <r>
    <n v="3031"/>
    <n v="46"/>
    <s v="Female"/>
    <x v="8"/>
    <s v="Skirt"/>
    <n v="152.01"/>
    <x v="3"/>
    <s v="Card"/>
    <n v="2.6"/>
    <n v="11"/>
    <n v="3"/>
    <n v="135.28889999999998"/>
    <x v="0"/>
    <x v="0"/>
    <s v="Returning"/>
  </r>
  <r>
    <n v="3032"/>
    <n v="50"/>
    <s v="Male"/>
    <x v="5"/>
    <s v="Headphones"/>
    <n v="908.32"/>
    <x v="0"/>
    <s v="Card"/>
    <n v="2.8"/>
    <n v="8"/>
    <n v="4"/>
    <n v="835.65440000000012"/>
    <x v="0"/>
    <x v="0"/>
    <s v="Returning"/>
  </r>
  <r>
    <n v="3033"/>
    <n v="57"/>
    <s v="Female"/>
    <x v="8"/>
    <s v="Skirt"/>
    <n v="194"/>
    <x v="2"/>
    <s v="Card"/>
    <n v="2.9"/>
    <n v="2"/>
    <n v="1"/>
    <n v="190.12"/>
    <x v="0"/>
    <x v="0"/>
    <s v="Returning"/>
  </r>
  <r>
    <n v="3034"/>
    <n v="28"/>
    <s v="Male"/>
    <x v="7"/>
    <s v="Formal Shoes"/>
    <n v="239.55"/>
    <x v="1"/>
    <s v="Card"/>
    <n v="4.5999999999999996"/>
    <n v="20"/>
    <n v="5"/>
    <n v="191.64000000000001"/>
    <x v="4"/>
    <x v="0"/>
    <s v="Returning"/>
  </r>
  <r>
    <n v="3035"/>
    <n v="38"/>
    <s v="Male"/>
    <x v="5"/>
    <s v="Laptop"/>
    <n v="2591.6999999999998"/>
    <x v="0"/>
    <s v="Card"/>
    <n v="3.3"/>
    <n v="26"/>
    <n v="8"/>
    <n v="1917.8579999999999"/>
    <x v="1"/>
    <x v="0"/>
    <s v="Returning"/>
  </r>
  <r>
    <n v="3036"/>
    <n v="57"/>
    <s v="Female"/>
    <x v="8"/>
    <s v="Top"/>
    <n v="165.49"/>
    <x v="3"/>
    <s v="Card"/>
    <n v="4.7"/>
    <n v="13"/>
    <n v="4"/>
    <n v="143.97630000000001"/>
    <x v="0"/>
    <x v="0"/>
    <s v="Returning"/>
  </r>
  <r>
    <n v="3037"/>
    <n v="22"/>
    <s v="Male"/>
    <x v="7"/>
    <s v="Sandals"/>
    <n v="41.92"/>
    <x v="2"/>
    <s v="Card"/>
    <n v="3.9"/>
    <n v="11"/>
    <n v="3"/>
    <n v="37.308800000000005"/>
    <x v="3"/>
    <x v="0"/>
    <s v="Returning"/>
  </r>
  <r>
    <n v="3038"/>
    <n v="29"/>
    <s v="Male"/>
    <x v="2"/>
    <s v="Dumbbells"/>
    <n v="236.09"/>
    <x v="3"/>
    <s v="Card"/>
    <n v="2.7"/>
    <n v="13"/>
    <n v="4"/>
    <n v="205.39830000000001"/>
    <x v="4"/>
    <x v="0"/>
    <s v="Returning"/>
  </r>
  <r>
    <n v="3039"/>
    <n v="26"/>
    <s v="Male"/>
    <x v="5"/>
    <s v="Laptop"/>
    <n v="1687.69"/>
    <x v="3"/>
    <s v="Card"/>
    <n v="2.4"/>
    <n v="12"/>
    <n v="6"/>
    <n v="1485.1672000000001"/>
    <x v="4"/>
    <x v="0"/>
    <s v="Returning"/>
  </r>
  <r>
    <n v="3040"/>
    <n v="40"/>
    <s v="Male"/>
    <x v="1"/>
    <s v="T-Shirt"/>
    <n v="144.61000000000001"/>
    <x v="0"/>
    <s v="Card"/>
    <n v="3.6"/>
    <n v="22"/>
    <n v="6"/>
    <n v="112.79580000000001"/>
    <x v="1"/>
    <x v="0"/>
    <s v="Returning"/>
  </r>
  <r>
    <n v="3041"/>
    <n v="59"/>
    <s v="Male"/>
    <x v="4"/>
    <s v="Beverages"/>
    <n v="60.41"/>
    <x v="0"/>
    <s v="Cash on Delivery"/>
    <n v="3.7"/>
    <n v="13"/>
    <n v="4"/>
    <n v="52.556699999999999"/>
    <x v="0"/>
    <x v="0"/>
    <s v="Returning"/>
  </r>
  <r>
    <n v="3042"/>
    <n v="42"/>
    <s v="Female"/>
    <x v="7"/>
    <s v="Sneakers"/>
    <n v="176.41"/>
    <x v="1"/>
    <s v="Card"/>
    <n v="4.2"/>
    <n v="16"/>
    <n v="3"/>
    <n v="148.18439999999998"/>
    <x v="1"/>
    <x v="0"/>
    <s v="Returning"/>
  </r>
  <r>
    <n v="3043"/>
    <n v="66"/>
    <s v="Female"/>
    <x v="6"/>
    <s v="Skincare Kit"/>
    <n v="46.02"/>
    <x v="1"/>
    <s v="Card"/>
    <n v="3.2"/>
    <n v="26"/>
    <n v="8"/>
    <n v="34.0548"/>
    <x v="2"/>
    <x v="0"/>
    <s v="Returning"/>
  </r>
  <r>
    <n v="3044"/>
    <n v="50"/>
    <s v="Male"/>
    <x v="5"/>
    <s v="Laptop"/>
    <n v="1517.4"/>
    <x v="3"/>
    <s v="Card"/>
    <n v="3.6"/>
    <n v="18"/>
    <n v="9"/>
    <n v="1244.2680000000003"/>
    <x v="0"/>
    <x v="0"/>
    <s v="Returning"/>
  </r>
  <r>
    <n v="3045"/>
    <n v="51"/>
    <s v="Female"/>
    <x v="6"/>
    <s v="Skincare Kit"/>
    <n v="86.79"/>
    <x v="1"/>
    <s v="Cash on Delivery"/>
    <n v="3.5"/>
    <n v="19"/>
    <n v="7"/>
    <n v="70.299900000000008"/>
    <x v="0"/>
    <x v="0"/>
    <s v="Returning"/>
  </r>
  <r>
    <n v="3046"/>
    <n v="40"/>
    <s v="Female"/>
    <x v="8"/>
    <s v="Dress"/>
    <n v="41.97"/>
    <x v="3"/>
    <s v="Card"/>
    <n v="3.5"/>
    <n v="10"/>
    <n v="5"/>
    <n v="37.773000000000003"/>
    <x v="1"/>
    <x v="0"/>
    <s v="Returning"/>
  </r>
  <r>
    <n v="3047"/>
    <n v="35"/>
    <s v="Female"/>
    <x v="6"/>
    <s v="Skincare Kit"/>
    <n v="149.18"/>
    <x v="1"/>
    <s v="Card"/>
    <n v="4.7"/>
    <n v="28"/>
    <n v="9"/>
    <n v="107.4096"/>
    <x v="4"/>
    <x v="0"/>
    <s v="Returning"/>
  </r>
  <r>
    <n v="3048"/>
    <n v="30"/>
    <s v="Female"/>
    <x v="8"/>
    <s v="Top"/>
    <n v="142.34"/>
    <x v="2"/>
    <s v="Card"/>
    <n v="2.9"/>
    <n v="19"/>
    <n v="7"/>
    <n v="115.29540000000001"/>
    <x v="4"/>
    <x v="0"/>
    <s v="Returning"/>
  </r>
  <r>
    <n v="3049"/>
    <n v="68"/>
    <s v="Male"/>
    <x v="2"/>
    <s v="Dumbbells"/>
    <n v="149.12"/>
    <x v="0"/>
    <s v="Card"/>
    <n v="4.7"/>
    <n v="30"/>
    <n v="10"/>
    <n v="104.384"/>
    <x v="2"/>
    <x v="0"/>
    <s v="Returning"/>
  </r>
  <r>
    <n v="3050"/>
    <n v="34"/>
    <s v="Female"/>
    <x v="7"/>
    <s v="Formal Shoes"/>
    <n v="222.74"/>
    <x v="2"/>
    <s v="Card"/>
    <n v="4"/>
    <n v="18"/>
    <n v="4"/>
    <n v="182.64680000000001"/>
    <x v="4"/>
    <x v="0"/>
    <s v="Returning"/>
  </r>
  <r>
    <n v="3051"/>
    <n v="37"/>
    <s v="Female"/>
    <x v="0"/>
    <s v="Wallet"/>
    <n v="23.58"/>
    <x v="2"/>
    <s v="Card"/>
    <n v="3.2"/>
    <n v="18"/>
    <n v="4"/>
    <n v="19.335599999999999"/>
    <x v="1"/>
    <x v="0"/>
    <s v="Returning"/>
  </r>
  <r>
    <n v="3052"/>
    <n v="48"/>
    <s v="Male"/>
    <x v="5"/>
    <s v="Laptop"/>
    <n v="1298.54"/>
    <x v="2"/>
    <s v="Card"/>
    <n v="3.5"/>
    <n v="10"/>
    <n v="0"/>
    <n v="1168.6859999999999"/>
    <x v="0"/>
    <x v="0"/>
    <s v="New"/>
  </r>
  <r>
    <n v="3053"/>
    <n v="57"/>
    <s v="Female"/>
    <x v="0"/>
    <s v="Sunglasses"/>
    <n v="147.6"/>
    <x v="3"/>
    <s v="Card"/>
    <n v="4"/>
    <n v="24"/>
    <n v="7"/>
    <n v="112.176"/>
    <x v="0"/>
    <x v="0"/>
    <s v="Returning"/>
  </r>
  <r>
    <n v="3054"/>
    <n v="46"/>
    <s v="Male"/>
    <x v="5"/>
    <s v="Mobile Phone"/>
    <n v="1161.0899999999999"/>
    <x v="0"/>
    <s v="Card"/>
    <n v="4.8"/>
    <n v="10"/>
    <n v="5"/>
    <n v="1044.981"/>
    <x v="0"/>
    <x v="0"/>
    <s v="Returning"/>
  </r>
  <r>
    <n v="3055"/>
    <n v="51"/>
    <s v="Female"/>
    <x v="7"/>
    <s v="Sneakers"/>
    <n v="203.75"/>
    <x v="0"/>
    <s v="Card"/>
    <n v="3.4"/>
    <n v="11"/>
    <n v="3"/>
    <n v="181.33750000000001"/>
    <x v="0"/>
    <x v="0"/>
    <s v="Returning"/>
  </r>
  <r>
    <n v="3056"/>
    <n v="57"/>
    <s v="Female"/>
    <x v="3"/>
    <s v="Lamp"/>
    <n v="145.76"/>
    <x v="3"/>
    <s v="Card"/>
    <n v="3.2"/>
    <n v="14"/>
    <n v="7"/>
    <n v="125.35359999999999"/>
    <x v="0"/>
    <x v="0"/>
    <s v="Returning"/>
  </r>
  <r>
    <n v="3057"/>
    <n v="70"/>
    <s v="Female"/>
    <x v="7"/>
    <s v="Formal Shoes"/>
    <n v="221.59"/>
    <x v="1"/>
    <s v="Card"/>
    <n v="3.8"/>
    <n v="13"/>
    <n v="4"/>
    <n v="192.7833"/>
    <x v="2"/>
    <x v="0"/>
    <s v="Returning"/>
  </r>
  <r>
    <n v="3058"/>
    <n v="22"/>
    <s v="Female"/>
    <x v="8"/>
    <s v="Jeans"/>
    <n v="142.09"/>
    <x v="3"/>
    <s v="Card"/>
    <n v="3.7"/>
    <n v="14"/>
    <n v="2"/>
    <n v="122.1974"/>
    <x v="3"/>
    <x v="0"/>
    <s v="Returning"/>
  </r>
  <r>
    <n v="3059"/>
    <n v="46"/>
    <s v="Male"/>
    <x v="1"/>
    <s v="Jeans"/>
    <n v="149.84"/>
    <x v="2"/>
    <s v="Card"/>
    <n v="3.9"/>
    <n v="8"/>
    <n v="4"/>
    <n v="137.8528"/>
    <x v="0"/>
    <x v="0"/>
    <s v="Returning"/>
  </r>
  <r>
    <n v="3060"/>
    <n v="33"/>
    <s v="Female"/>
    <x v="6"/>
    <s v="Perfume"/>
    <n v="47.94"/>
    <x v="0"/>
    <s v="Cash on Delivery"/>
    <n v="3.8"/>
    <n v="12"/>
    <n v="6"/>
    <n v="42.187199999999997"/>
    <x v="4"/>
    <x v="0"/>
    <s v="Returning"/>
  </r>
  <r>
    <n v="3061"/>
    <n v="28"/>
    <s v="Male"/>
    <x v="4"/>
    <s v="Cooking Oil"/>
    <n v="11.62"/>
    <x v="0"/>
    <s v="Card"/>
    <n v="3.7"/>
    <n v="9"/>
    <n v="2"/>
    <n v="10.574199999999999"/>
    <x v="4"/>
    <x v="0"/>
    <s v="Returning"/>
  </r>
  <r>
    <n v="3062"/>
    <n v="39"/>
    <s v="Female"/>
    <x v="8"/>
    <s v="Dress"/>
    <n v="119.77"/>
    <x v="2"/>
    <s v="Card"/>
    <n v="4"/>
    <n v="24"/>
    <n v="7"/>
    <n v="91.025199999999998"/>
    <x v="1"/>
    <x v="0"/>
    <s v="Returning"/>
  </r>
  <r>
    <n v="3063"/>
    <n v="60"/>
    <s v="Male"/>
    <x v="1"/>
    <s v="T-Shirt"/>
    <n v="188.39"/>
    <x v="3"/>
    <s v="Card"/>
    <n v="3.4"/>
    <n v="23"/>
    <n v="9"/>
    <n v="145.06029999999998"/>
    <x v="0"/>
    <x v="0"/>
    <s v="Returning"/>
  </r>
  <r>
    <n v="3064"/>
    <n v="37"/>
    <s v="Male"/>
    <x v="4"/>
    <s v="Cooking Oil"/>
    <n v="70.239999999999995"/>
    <x v="0"/>
    <s v="Cash on Delivery"/>
    <n v="4.3"/>
    <n v="28"/>
    <n v="9"/>
    <n v="50.572799999999994"/>
    <x v="1"/>
    <x v="0"/>
    <s v="Returning"/>
  </r>
  <r>
    <n v="3065"/>
    <n v="40"/>
    <s v="Female"/>
    <x v="8"/>
    <s v="Top"/>
    <n v="167.11"/>
    <x v="2"/>
    <s v="Card"/>
    <n v="3.9"/>
    <n v="20"/>
    <n v="5"/>
    <n v="133.68800000000002"/>
    <x v="1"/>
    <x v="0"/>
    <s v="Returning"/>
  </r>
  <r>
    <n v="3066"/>
    <n v="56"/>
    <s v="Male"/>
    <x v="1"/>
    <s v="Jeans"/>
    <n v="108.75"/>
    <x v="0"/>
    <s v="Card"/>
    <n v="4.4000000000000004"/>
    <n v="22"/>
    <n v="6"/>
    <n v="84.825000000000003"/>
    <x v="0"/>
    <x v="0"/>
    <s v="Returning"/>
  </r>
  <r>
    <n v="3067"/>
    <n v="42"/>
    <s v="Male"/>
    <x v="7"/>
    <s v="Formal Shoes"/>
    <n v="234.89"/>
    <x v="2"/>
    <s v="Card"/>
    <n v="4.0999999999999996"/>
    <n v="4"/>
    <n v="2"/>
    <n v="225.49439999999998"/>
    <x v="1"/>
    <x v="0"/>
    <s v="Returning"/>
  </r>
  <r>
    <n v="3068"/>
    <n v="35"/>
    <s v="Female"/>
    <x v="7"/>
    <s v="Sneakers"/>
    <n v="203.24"/>
    <x v="1"/>
    <s v="Card"/>
    <n v="3.8"/>
    <n v="20"/>
    <n v="5"/>
    <n v="162.59200000000001"/>
    <x v="4"/>
    <x v="0"/>
    <s v="Returning"/>
  </r>
  <r>
    <n v="3069"/>
    <n v="31"/>
    <s v="Male"/>
    <x v="7"/>
    <s v="Formal Shoes"/>
    <n v="118.39"/>
    <x v="2"/>
    <s v="Card"/>
    <n v="4.4000000000000004"/>
    <n v="15"/>
    <n v="5"/>
    <n v="100.6315"/>
    <x v="4"/>
    <x v="0"/>
    <s v="Returning"/>
  </r>
  <r>
    <n v="3070"/>
    <n v="66"/>
    <s v="Female"/>
    <x v="6"/>
    <s v="Perfume"/>
    <n v="105.89"/>
    <x v="1"/>
    <s v="Card"/>
    <n v="3.5"/>
    <n v="26"/>
    <n v="8"/>
    <n v="78.358599999999996"/>
    <x v="2"/>
    <x v="0"/>
    <s v="Returning"/>
  </r>
  <r>
    <n v="3071"/>
    <n v="59"/>
    <s v="Male"/>
    <x v="5"/>
    <s v="Mobile Phone"/>
    <n v="2313.37"/>
    <x v="3"/>
    <s v="Card"/>
    <n v="3"/>
    <n v="18"/>
    <n v="4"/>
    <n v="1896.9634000000001"/>
    <x v="0"/>
    <x v="0"/>
    <s v="Returning"/>
  </r>
  <r>
    <n v="3072"/>
    <n v="34"/>
    <s v="Female"/>
    <x v="3"/>
    <s v="Curtains"/>
    <n v="158.41999999999999"/>
    <x v="2"/>
    <s v="Card"/>
    <n v="4.7"/>
    <n v="17"/>
    <n v="6"/>
    <n v="131.48859999999999"/>
    <x v="4"/>
    <x v="0"/>
    <s v="Returning"/>
  </r>
  <r>
    <n v="3073"/>
    <n v="33"/>
    <s v="Male"/>
    <x v="2"/>
    <s v="Yoga Mat"/>
    <n v="59.3"/>
    <x v="1"/>
    <s v="Card"/>
    <n v="3"/>
    <n v="18"/>
    <n v="4"/>
    <n v="48.626000000000005"/>
    <x v="4"/>
    <x v="0"/>
    <s v="Returning"/>
  </r>
  <r>
    <n v="3074"/>
    <n v="40"/>
    <s v="Male"/>
    <x v="1"/>
    <s v="Shirt"/>
    <n v="191.84"/>
    <x v="3"/>
    <s v="Card"/>
    <n v="3.5"/>
    <n v="21"/>
    <n v="8"/>
    <n v="151.55360000000002"/>
    <x v="1"/>
    <x v="0"/>
    <s v="Returning"/>
  </r>
  <r>
    <n v="3075"/>
    <n v="38"/>
    <s v="Female"/>
    <x v="3"/>
    <s v="Kitchen Set"/>
    <n v="164.04"/>
    <x v="3"/>
    <s v="Card"/>
    <n v="3.9"/>
    <n v="12"/>
    <n v="6"/>
    <n v="144.3552"/>
    <x v="1"/>
    <x v="0"/>
    <s v="Returning"/>
  </r>
  <r>
    <n v="3076"/>
    <n v="65"/>
    <s v="Male"/>
    <x v="7"/>
    <s v="Sneakers"/>
    <n v="84.56"/>
    <x v="3"/>
    <s v="Card"/>
    <n v="3.3"/>
    <n v="15"/>
    <n v="5"/>
    <n v="71.876000000000005"/>
    <x v="2"/>
    <x v="0"/>
    <s v="Returning"/>
  </r>
  <r>
    <n v="3077"/>
    <n v="37"/>
    <s v="Female"/>
    <x v="8"/>
    <s v="Skirt"/>
    <n v="54.47"/>
    <x v="0"/>
    <s v="Cash on Delivery"/>
    <n v="3.9"/>
    <n v="15"/>
    <n v="5"/>
    <n v="46.299499999999995"/>
    <x v="1"/>
    <x v="0"/>
    <s v="Returning"/>
  </r>
  <r>
    <n v="3078"/>
    <n v="37"/>
    <s v="Female"/>
    <x v="6"/>
    <s v="Makeup Set"/>
    <n v="52.5"/>
    <x v="2"/>
    <s v="Card"/>
    <n v="4.3"/>
    <n v="21"/>
    <n v="8"/>
    <n v="41.475000000000001"/>
    <x v="1"/>
    <x v="0"/>
    <s v="Returning"/>
  </r>
  <r>
    <n v="3079"/>
    <n v="46"/>
    <s v="Male"/>
    <x v="5"/>
    <s v="Laptop"/>
    <n v="1239.45"/>
    <x v="1"/>
    <s v="Card"/>
    <n v="4.0999999999999996"/>
    <n v="13"/>
    <n v="4"/>
    <n v="1078.3215"/>
    <x v="0"/>
    <x v="0"/>
    <s v="Returning"/>
  </r>
  <r>
    <n v="3080"/>
    <n v="30"/>
    <s v="Female"/>
    <x v="8"/>
    <s v="Skirt"/>
    <n v="99.88"/>
    <x v="2"/>
    <s v="Card"/>
    <n v="3.3"/>
    <n v="14"/>
    <n v="2"/>
    <n v="85.896799999999999"/>
    <x v="4"/>
    <x v="0"/>
    <s v="Returning"/>
  </r>
  <r>
    <n v="3081"/>
    <n v="42"/>
    <s v="Female"/>
    <x v="7"/>
    <s v="Sandals"/>
    <n v="73.33"/>
    <x v="3"/>
    <s v="Cash on Delivery"/>
    <n v="4.5999999999999996"/>
    <n v="22"/>
    <n v="6"/>
    <n v="57.197400000000002"/>
    <x v="1"/>
    <x v="0"/>
    <s v="Returning"/>
  </r>
  <r>
    <n v="3082"/>
    <n v="25"/>
    <s v="Male"/>
    <x v="5"/>
    <s v="Mobile Phone"/>
    <n v="727.7"/>
    <x v="1"/>
    <s v="Card"/>
    <n v="3.6"/>
    <n v="18"/>
    <n v="4"/>
    <n v="596.71400000000006"/>
    <x v="3"/>
    <x v="0"/>
    <s v="Returning"/>
  </r>
  <r>
    <n v="3083"/>
    <n v="48"/>
    <s v="Female"/>
    <x v="0"/>
    <s v="Sunglasses"/>
    <n v="59.04"/>
    <x v="2"/>
    <s v="Card"/>
    <n v="4.0999999999999996"/>
    <n v="18"/>
    <n v="9"/>
    <n v="48.412800000000004"/>
    <x v="0"/>
    <x v="0"/>
    <s v="Returning"/>
  </r>
  <r>
    <n v="3084"/>
    <n v="39"/>
    <s v="Female"/>
    <x v="2"/>
    <s v="Yoga Mat"/>
    <n v="178.47"/>
    <x v="3"/>
    <s v="Card"/>
    <n v="3.2"/>
    <n v="10"/>
    <n v="5"/>
    <n v="160.62299999999999"/>
    <x v="1"/>
    <x v="0"/>
    <s v="Returning"/>
  </r>
  <r>
    <n v="3085"/>
    <n v="51"/>
    <s v="Female"/>
    <x v="0"/>
    <s v="Sunglasses"/>
    <n v="150.63999999999999"/>
    <x v="1"/>
    <s v="Card"/>
    <n v="3.6"/>
    <n v="17"/>
    <n v="6"/>
    <n v="125.03119999999998"/>
    <x v="0"/>
    <x v="0"/>
    <s v="Returning"/>
  </r>
  <r>
    <n v="3086"/>
    <n v="54"/>
    <s v="Male"/>
    <x v="7"/>
    <s v="Formal Shoes"/>
    <n v="93.5"/>
    <x v="2"/>
    <s v="Cash on Delivery"/>
    <n v="3"/>
    <n v="17"/>
    <n v="6"/>
    <n v="77.60499999999999"/>
    <x v="0"/>
    <x v="0"/>
    <s v="Returning"/>
  </r>
  <r>
    <n v="3087"/>
    <n v="52"/>
    <s v="Male"/>
    <x v="1"/>
    <s v="T-Shirt"/>
    <n v="37.229999999999997"/>
    <x v="2"/>
    <s v="Card"/>
    <n v="3.9"/>
    <n v="9"/>
    <n v="2"/>
    <n v="33.879300000000001"/>
    <x v="0"/>
    <x v="0"/>
    <s v="Returning"/>
  </r>
  <r>
    <n v="3088"/>
    <n v="52"/>
    <s v="Female"/>
    <x v="7"/>
    <s v="Sandals"/>
    <n v="203.27"/>
    <x v="3"/>
    <s v="Card"/>
    <n v="4.5999999999999996"/>
    <n v="4"/>
    <n v="2"/>
    <n v="195.13920000000002"/>
    <x v="0"/>
    <x v="0"/>
    <s v="Returning"/>
  </r>
  <r>
    <n v="3089"/>
    <n v="26"/>
    <s v="Male"/>
    <x v="2"/>
    <s v="Football"/>
    <n v="178.08"/>
    <x v="2"/>
    <s v="Card"/>
    <n v="3.9"/>
    <n v="4"/>
    <n v="2"/>
    <n v="170.95680000000002"/>
    <x v="4"/>
    <x v="0"/>
    <s v="Returning"/>
  </r>
  <r>
    <n v="3090"/>
    <n v="66"/>
    <s v="Female"/>
    <x v="0"/>
    <s v="Wallet"/>
    <n v="110.97"/>
    <x v="2"/>
    <s v="Card"/>
    <n v="3.7"/>
    <n v="13"/>
    <n v="4"/>
    <n v="96.543899999999994"/>
    <x v="2"/>
    <x v="0"/>
    <s v="Returning"/>
  </r>
  <r>
    <n v="3091"/>
    <n v="67"/>
    <s v="Male"/>
    <x v="5"/>
    <s v="Mobile Phone"/>
    <n v="2107.08"/>
    <x v="3"/>
    <s v="Card"/>
    <n v="4.5"/>
    <n v="10"/>
    <n v="5"/>
    <n v="1896.3720000000001"/>
    <x v="2"/>
    <x v="0"/>
    <s v="Returning"/>
  </r>
  <r>
    <n v="3092"/>
    <n v="30"/>
    <s v="Female"/>
    <x v="0"/>
    <s v="Handbag"/>
    <n v="143.83000000000001"/>
    <x v="1"/>
    <s v="Card"/>
    <n v="3.8"/>
    <n v="19"/>
    <n v="7"/>
    <n v="116.50230000000002"/>
    <x v="4"/>
    <x v="0"/>
    <s v="Returning"/>
  </r>
  <r>
    <n v="3093"/>
    <n v="37"/>
    <s v="Male"/>
    <x v="2"/>
    <s v="Dumbbells"/>
    <n v="140.4"/>
    <x v="1"/>
    <s v="Card"/>
    <n v="3.8"/>
    <n v="15"/>
    <n v="5"/>
    <n v="119.34"/>
    <x v="1"/>
    <x v="0"/>
    <s v="Returning"/>
  </r>
  <r>
    <n v="3094"/>
    <n v="64"/>
    <s v="Female"/>
    <x v="6"/>
    <s v="Makeup Set"/>
    <n v="145.84"/>
    <x v="2"/>
    <s v="Card"/>
    <n v="4"/>
    <n v="4"/>
    <n v="2"/>
    <n v="140.00639999999999"/>
    <x v="2"/>
    <x v="0"/>
    <s v="Returning"/>
  </r>
  <r>
    <n v="3095"/>
    <n v="43"/>
    <s v="Male"/>
    <x v="3"/>
    <s v="Curtains"/>
    <n v="50.1"/>
    <x v="1"/>
    <s v="Cash on Delivery"/>
    <n v="4.5"/>
    <n v="22"/>
    <n v="6"/>
    <n v="39.078000000000003"/>
    <x v="1"/>
    <x v="0"/>
    <s v="Returning"/>
  </r>
  <r>
    <n v="3096"/>
    <n v="56"/>
    <s v="Male"/>
    <x v="5"/>
    <s v="Laptop"/>
    <n v="1390.67"/>
    <x v="1"/>
    <s v="Card"/>
    <n v="4.4000000000000004"/>
    <n v="20"/>
    <n v="5"/>
    <n v="1112.5360000000001"/>
    <x v="0"/>
    <x v="0"/>
    <s v="Returning"/>
  </r>
  <r>
    <n v="3097"/>
    <n v="42"/>
    <s v="Female"/>
    <x v="2"/>
    <s v="Dumbbells"/>
    <n v="54.94"/>
    <x v="3"/>
    <s v="Cash on Delivery"/>
    <n v="4"/>
    <n v="8"/>
    <n v="4"/>
    <n v="50.544800000000002"/>
    <x v="1"/>
    <x v="0"/>
    <s v="Returning"/>
  </r>
  <r>
    <n v="3098"/>
    <n v="61"/>
    <s v="Male"/>
    <x v="7"/>
    <s v="Sandals"/>
    <n v="214.2"/>
    <x v="1"/>
    <s v="Card"/>
    <n v="4.9000000000000004"/>
    <n v="20"/>
    <n v="5"/>
    <n v="171.36"/>
    <x v="2"/>
    <x v="0"/>
    <s v="Returning"/>
  </r>
  <r>
    <n v="3099"/>
    <n v="66"/>
    <s v="Male"/>
    <x v="1"/>
    <s v="Jacket"/>
    <n v="115.35"/>
    <x v="2"/>
    <s v="Card"/>
    <n v="4.4000000000000004"/>
    <n v="8"/>
    <n v="4"/>
    <n v="106.122"/>
    <x v="2"/>
    <x v="0"/>
    <s v="Returning"/>
  </r>
  <r>
    <n v="3100"/>
    <n v="43"/>
    <s v="Male"/>
    <x v="2"/>
    <s v="Dumbbells"/>
    <n v="38.090000000000003"/>
    <x v="0"/>
    <s v="Cash on Delivery"/>
    <n v="4.2"/>
    <n v="20"/>
    <n v="5"/>
    <n v="30.472000000000005"/>
    <x v="1"/>
    <x v="0"/>
    <s v="Returning"/>
  </r>
  <r>
    <n v="3101"/>
    <n v="22"/>
    <s v="Male"/>
    <x v="5"/>
    <s v="Laptop"/>
    <n v="1683.66"/>
    <x v="0"/>
    <s v="Card"/>
    <n v="4.5"/>
    <n v="20"/>
    <n v="5"/>
    <n v="1346.9280000000001"/>
    <x v="3"/>
    <x v="0"/>
    <s v="Returning"/>
  </r>
  <r>
    <n v="3102"/>
    <n v="21"/>
    <s v="Male"/>
    <x v="5"/>
    <s v="Laptop"/>
    <n v="1599.75"/>
    <x v="3"/>
    <s v="Card"/>
    <n v="4.2"/>
    <n v="20"/>
    <n v="5"/>
    <n v="1279.8000000000002"/>
    <x v="3"/>
    <x v="0"/>
    <s v="Returning"/>
  </r>
  <r>
    <n v="3103"/>
    <n v="70"/>
    <s v="Female"/>
    <x v="0"/>
    <s v="Wallet"/>
    <n v="55.1"/>
    <x v="0"/>
    <s v="Cash on Delivery"/>
    <n v="3.7"/>
    <n v="18"/>
    <n v="4"/>
    <n v="45.182000000000002"/>
    <x v="2"/>
    <x v="0"/>
    <s v="Returning"/>
  </r>
  <r>
    <n v="3104"/>
    <n v="20"/>
    <s v="Female"/>
    <x v="3"/>
    <s v="Curtains"/>
    <n v="246.01"/>
    <x v="1"/>
    <s v="Card"/>
    <n v="4.4000000000000004"/>
    <n v="24"/>
    <n v="7"/>
    <n v="186.9676"/>
    <x v="3"/>
    <x v="0"/>
    <s v="Returning"/>
  </r>
  <r>
    <n v="3105"/>
    <n v="24"/>
    <s v="Female"/>
    <x v="2"/>
    <s v="Dumbbells"/>
    <n v="235.97"/>
    <x v="1"/>
    <s v="Card"/>
    <n v="3.8"/>
    <n v="14"/>
    <n v="2"/>
    <n v="202.9342"/>
    <x v="3"/>
    <x v="0"/>
    <s v="Returning"/>
  </r>
  <r>
    <n v="3106"/>
    <n v="53"/>
    <s v="Male"/>
    <x v="2"/>
    <s v="Yoga Mat"/>
    <n v="249.3"/>
    <x v="2"/>
    <s v="Card"/>
    <n v="3.9"/>
    <n v="18"/>
    <n v="4"/>
    <n v="204.42600000000002"/>
    <x v="0"/>
    <x v="0"/>
    <s v="Returning"/>
  </r>
  <r>
    <n v="3107"/>
    <n v="44"/>
    <s v="Male"/>
    <x v="1"/>
    <s v="Jacket"/>
    <n v="105.92"/>
    <x v="0"/>
    <s v="Card"/>
    <n v="3.9"/>
    <n v="25"/>
    <n v="10"/>
    <n v="79.44"/>
    <x v="1"/>
    <x v="0"/>
    <s v="Returning"/>
  </r>
  <r>
    <n v="3108"/>
    <n v="54"/>
    <s v="Female"/>
    <x v="7"/>
    <s v="Formal Shoes"/>
    <n v="104.74"/>
    <x v="3"/>
    <s v="Card"/>
    <n v="3.2"/>
    <n v="16"/>
    <n v="8"/>
    <n v="87.981599999999986"/>
    <x v="0"/>
    <x v="0"/>
    <s v="Returning"/>
  </r>
  <r>
    <n v="3109"/>
    <n v="62"/>
    <s v="Female"/>
    <x v="4"/>
    <s v="Beverages"/>
    <n v="41.33"/>
    <x v="3"/>
    <s v="Cash on Delivery"/>
    <n v="2.1"/>
    <n v="10"/>
    <n v="5"/>
    <n v="37.197000000000003"/>
    <x v="2"/>
    <x v="0"/>
    <s v="Returning"/>
  </r>
  <r>
    <n v="3110"/>
    <n v="40"/>
    <s v="Female"/>
    <x v="8"/>
    <s v="Top"/>
    <n v="164.97"/>
    <x v="1"/>
    <s v="Card"/>
    <n v="4.3"/>
    <n v="22"/>
    <n v="6"/>
    <n v="128.67660000000001"/>
    <x v="1"/>
    <x v="0"/>
    <s v="Returning"/>
  </r>
  <r>
    <n v="3111"/>
    <n v="52"/>
    <s v="Male"/>
    <x v="5"/>
    <s v="Headphones"/>
    <n v="1788.15"/>
    <x v="2"/>
    <s v="Card"/>
    <n v="4.5999999999999996"/>
    <n v="8"/>
    <n v="4"/>
    <n v="1645.0980000000002"/>
    <x v="0"/>
    <x v="0"/>
    <s v="Returning"/>
  </r>
  <r>
    <n v="3112"/>
    <n v="52"/>
    <s v="Male"/>
    <x v="7"/>
    <s v="Sneakers"/>
    <n v="157.54"/>
    <x v="1"/>
    <s v="Card"/>
    <n v="3.5"/>
    <n v="11"/>
    <n v="3"/>
    <n v="140.2106"/>
    <x v="0"/>
    <x v="0"/>
    <s v="Returning"/>
  </r>
  <r>
    <n v="3113"/>
    <n v="44"/>
    <s v="Female"/>
    <x v="7"/>
    <s v="Sandals"/>
    <n v="222.1"/>
    <x v="1"/>
    <s v="Card"/>
    <n v="2.6"/>
    <n v="10"/>
    <n v="5"/>
    <n v="199.89"/>
    <x v="1"/>
    <x v="0"/>
    <s v="Returning"/>
  </r>
  <r>
    <n v="3114"/>
    <n v="56"/>
    <s v="Female"/>
    <x v="7"/>
    <s v="Sneakers"/>
    <n v="149.21"/>
    <x v="2"/>
    <s v="Card"/>
    <n v="4.0999999999999996"/>
    <n v="17"/>
    <n v="6"/>
    <n v="123.8443"/>
    <x v="0"/>
    <x v="0"/>
    <s v="Returning"/>
  </r>
  <r>
    <n v="3115"/>
    <n v="52"/>
    <s v="Female"/>
    <x v="8"/>
    <s v="Skirt"/>
    <n v="153.09"/>
    <x v="2"/>
    <s v="Card"/>
    <n v="3.8"/>
    <n v="8"/>
    <n v="4"/>
    <n v="140.84280000000001"/>
    <x v="0"/>
    <x v="0"/>
    <s v="Returning"/>
  </r>
  <r>
    <n v="3116"/>
    <n v="55"/>
    <s v="Female"/>
    <x v="4"/>
    <s v="Beverages"/>
    <n v="68.41"/>
    <x v="1"/>
    <s v="Cash on Delivery"/>
    <n v="4.5999999999999996"/>
    <n v="14"/>
    <n v="2"/>
    <n v="58.832599999999999"/>
    <x v="0"/>
    <x v="0"/>
    <s v="Returning"/>
  </r>
  <r>
    <n v="3117"/>
    <n v="55"/>
    <s v="Female"/>
    <x v="0"/>
    <s v="Wallet"/>
    <n v="160.25"/>
    <x v="3"/>
    <s v="Card"/>
    <n v="3.5"/>
    <n v="6"/>
    <n v="3"/>
    <n v="150.63499999999999"/>
    <x v="0"/>
    <x v="0"/>
    <s v="Returning"/>
  </r>
  <r>
    <n v="3118"/>
    <n v="70"/>
    <s v="Female"/>
    <x v="0"/>
    <s v="Handbag"/>
    <n v="63.39"/>
    <x v="0"/>
    <s v="Cash on Delivery"/>
    <n v="3.3"/>
    <n v="14"/>
    <n v="2"/>
    <n v="54.5154"/>
    <x v="2"/>
    <x v="0"/>
    <s v="Returning"/>
  </r>
  <r>
    <n v="3119"/>
    <n v="69"/>
    <s v="Male"/>
    <x v="2"/>
    <s v="Dumbbells"/>
    <n v="95.03"/>
    <x v="2"/>
    <s v="Card"/>
    <n v="2.8"/>
    <n v="16"/>
    <n v="3"/>
    <n v="79.825199999999995"/>
    <x v="2"/>
    <x v="0"/>
    <s v="Returning"/>
  </r>
  <r>
    <n v="3120"/>
    <n v="38"/>
    <s v="Female"/>
    <x v="0"/>
    <s v="Sunglasses"/>
    <n v="171.81"/>
    <x v="3"/>
    <s v="Card"/>
    <n v="4.5999999999999996"/>
    <n v="26"/>
    <n v="8"/>
    <n v="127.13939999999999"/>
    <x v="1"/>
    <x v="0"/>
    <s v="Returning"/>
  </r>
  <r>
    <n v="3121"/>
    <n v="53"/>
    <s v="Female"/>
    <x v="8"/>
    <s v="Skirt"/>
    <n v="195"/>
    <x v="2"/>
    <s v="Card"/>
    <n v="3.6"/>
    <n v="14"/>
    <n v="7"/>
    <n v="167.7"/>
    <x v="0"/>
    <x v="0"/>
    <s v="Returning"/>
  </r>
  <r>
    <n v="3122"/>
    <n v="51"/>
    <s v="Male"/>
    <x v="5"/>
    <s v="Headphones"/>
    <n v="2502.92"/>
    <x v="0"/>
    <s v="Card"/>
    <n v="1.9"/>
    <n v="28"/>
    <n v="9"/>
    <n v="1802.1024"/>
    <x v="0"/>
    <x v="0"/>
    <s v="Returning"/>
  </r>
  <r>
    <n v="3123"/>
    <n v="29"/>
    <s v="Female"/>
    <x v="7"/>
    <s v="Formal Shoes"/>
    <n v="133.44"/>
    <x v="2"/>
    <s v="Card"/>
    <n v="5"/>
    <n v="20"/>
    <n v="5"/>
    <n v="106.75200000000001"/>
    <x v="4"/>
    <x v="0"/>
    <s v="Returning"/>
  </r>
  <r>
    <n v="3124"/>
    <n v="20"/>
    <s v="Female"/>
    <x v="0"/>
    <s v="Sunglasses"/>
    <n v="142.21"/>
    <x v="3"/>
    <s v="Card"/>
    <n v="3.8"/>
    <n v="13"/>
    <n v="4"/>
    <n v="123.7227"/>
    <x v="3"/>
    <x v="0"/>
    <s v="Returning"/>
  </r>
  <r>
    <n v="3125"/>
    <n v="28"/>
    <s v="Male"/>
    <x v="2"/>
    <s v="Football"/>
    <n v="107.86"/>
    <x v="2"/>
    <s v="Card"/>
    <n v="2.8"/>
    <n v="15"/>
    <n v="5"/>
    <n v="91.680999999999997"/>
    <x v="4"/>
    <x v="0"/>
    <s v="Returning"/>
  </r>
  <r>
    <n v="3126"/>
    <n v="57"/>
    <s v="Male"/>
    <x v="1"/>
    <s v="T-Shirt"/>
    <n v="142.37"/>
    <x v="3"/>
    <s v="Card"/>
    <n v="4.3"/>
    <n v="11"/>
    <n v="3"/>
    <n v="126.7093"/>
    <x v="0"/>
    <x v="0"/>
    <s v="Returning"/>
  </r>
  <r>
    <n v="3127"/>
    <n v="56"/>
    <s v="Male"/>
    <x v="2"/>
    <s v="Yoga Mat"/>
    <n v="198.31"/>
    <x v="3"/>
    <s v="Card"/>
    <n v="4.3"/>
    <n v="25"/>
    <n v="10"/>
    <n v="148.73250000000002"/>
    <x v="0"/>
    <x v="0"/>
    <s v="Returning"/>
  </r>
  <r>
    <n v="3128"/>
    <n v="27"/>
    <s v="Female"/>
    <x v="6"/>
    <s v="Perfume"/>
    <n v="34.44"/>
    <x v="2"/>
    <s v="Card"/>
    <n v="3.4"/>
    <n v="4"/>
    <n v="2"/>
    <n v="33.062399999999997"/>
    <x v="4"/>
    <x v="0"/>
    <s v="Returning"/>
  </r>
  <r>
    <n v="3129"/>
    <n v="61"/>
    <s v="Female"/>
    <x v="4"/>
    <s v="Snacks"/>
    <n v="22.87"/>
    <x v="3"/>
    <s v="Cash on Delivery"/>
    <n v="3.6"/>
    <n v="13"/>
    <n v="4"/>
    <n v="19.896900000000002"/>
    <x v="2"/>
    <x v="0"/>
    <s v="Returning"/>
  </r>
  <r>
    <n v="3130"/>
    <n v="44"/>
    <s v="Male"/>
    <x v="7"/>
    <s v="Formal Shoes"/>
    <n v="143.16999999999999"/>
    <x v="3"/>
    <s v="Card"/>
    <n v="5"/>
    <n v="15"/>
    <n v="5"/>
    <n v="121.69449999999999"/>
    <x v="1"/>
    <x v="0"/>
    <s v="Returning"/>
  </r>
  <r>
    <n v="3131"/>
    <n v="67"/>
    <s v="Male"/>
    <x v="5"/>
    <s v="Headphones"/>
    <n v="2411.19"/>
    <x v="2"/>
    <s v="Card"/>
    <n v="3.1"/>
    <n v="9"/>
    <n v="2"/>
    <n v="2194.1829000000002"/>
    <x v="2"/>
    <x v="0"/>
    <s v="Returning"/>
  </r>
  <r>
    <n v="3132"/>
    <n v="26"/>
    <s v="Male"/>
    <x v="7"/>
    <s v="Formal Shoes"/>
    <n v="130.13999999999999"/>
    <x v="1"/>
    <s v="Card"/>
    <n v="4"/>
    <n v="29"/>
    <n v="12"/>
    <n v="92.399399999999986"/>
    <x v="4"/>
    <x v="0"/>
    <s v="Returning"/>
  </r>
  <r>
    <n v="3133"/>
    <n v="69"/>
    <s v="Female"/>
    <x v="6"/>
    <s v="Perfume"/>
    <n v="52.81"/>
    <x v="3"/>
    <s v="Card"/>
    <n v="4.3"/>
    <n v="19"/>
    <n v="7"/>
    <n v="42.776100000000007"/>
    <x v="2"/>
    <x v="0"/>
    <s v="Returning"/>
  </r>
  <r>
    <n v="3134"/>
    <n v="62"/>
    <s v="Male"/>
    <x v="7"/>
    <s v="Sneakers"/>
    <n v="232.72"/>
    <x v="1"/>
    <s v="Card"/>
    <n v="3.7"/>
    <n v="13"/>
    <n v="4"/>
    <n v="202.46639999999999"/>
    <x v="2"/>
    <x v="0"/>
    <s v="Returning"/>
  </r>
  <r>
    <n v="3135"/>
    <n v="47"/>
    <s v="Female"/>
    <x v="6"/>
    <s v="Makeup Set"/>
    <n v="38.049999999999997"/>
    <x v="3"/>
    <s v="Cash on Delivery"/>
    <n v="3.4"/>
    <n v="23"/>
    <n v="9"/>
    <n v="29.298499999999997"/>
    <x v="0"/>
    <x v="0"/>
    <s v="Returning"/>
  </r>
  <r>
    <n v="3136"/>
    <n v="62"/>
    <s v="Male"/>
    <x v="3"/>
    <s v="Kitchen Set"/>
    <n v="203.78"/>
    <x v="3"/>
    <s v="Card"/>
    <n v="3.4"/>
    <n v="18"/>
    <n v="4"/>
    <n v="167.09960000000001"/>
    <x v="2"/>
    <x v="0"/>
    <s v="Returning"/>
  </r>
  <r>
    <n v="3137"/>
    <n v="49"/>
    <s v="Male"/>
    <x v="3"/>
    <s v="Curtains"/>
    <n v="73.31"/>
    <x v="1"/>
    <s v="Cash on Delivery"/>
    <n v="4.5"/>
    <n v="22"/>
    <n v="6"/>
    <n v="57.181800000000003"/>
    <x v="0"/>
    <x v="0"/>
    <s v="Returning"/>
  </r>
  <r>
    <n v="3138"/>
    <n v="52"/>
    <s v="Male"/>
    <x v="7"/>
    <s v="Sandals"/>
    <n v="68.930000000000007"/>
    <x v="2"/>
    <s v="Cash on Delivery"/>
    <n v="2.2999999999999998"/>
    <n v="24"/>
    <n v="7"/>
    <n v="52.386800000000008"/>
    <x v="0"/>
    <x v="0"/>
    <s v="Returning"/>
  </r>
  <r>
    <n v="3139"/>
    <n v="67"/>
    <s v="Male"/>
    <x v="7"/>
    <s v="Sandals"/>
    <n v="55.02"/>
    <x v="0"/>
    <s v="Cash on Delivery"/>
    <n v="3.4"/>
    <n v="23"/>
    <n v="9"/>
    <n v="42.365400000000001"/>
    <x v="2"/>
    <x v="0"/>
    <s v="Returning"/>
  </r>
  <r>
    <n v="3140"/>
    <n v="34"/>
    <s v="Female"/>
    <x v="2"/>
    <s v="Yoga Mat"/>
    <n v="199.1"/>
    <x v="0"/>
    <s v="Card"/>
    <n v="4.3"/>
    <n v="11"/>
    <n v="3"/>
    <n v="177.19899999999998"/>
    <x v="4"/>
    <x v="0"/>
    <s v="Returning"/>
  </r>
  <r>
    <n v="3141"/>
    <n v="43"/>
    <s v="Male"/>
    <x v="5"/>
    <s v="Smart Watch"/>
    <n v="1988.61"/>
    <x v="1"/>
    <s v="Card"/>
    <n v="3.8"/>
    <n v="17"/>
    <n v="6"/>
    <n v="1650.5462999999997"/>
    <x v="1"/>
    <x v="0"/>
    <s v="Returning"/>
  </r>
  <r>
    <n v="3142"/>
    <n v="60"/>
    <s v="Female"/>
    <x v="8"/>
    <s v="Top"/>
    <n v="118.52"/>
    <x v="2"/>
    <s v="Card"/>
    <n v="3.4"/>
    <n v="16"/>
    <n v="3"/>
    <n v="99.556799999999996"/>
    <x v="0"/>
    <x v="0"/>
    <s v="Returning"/>
  </r>
  <r>
    <n v="3143"/>
    <n v="45"/>
    <s v="Female"/>
    <x v="7"/>
    <s v="Sandals"/>
    <n v="80.17"/>
    <x v="3"/>
    <s v="Cash on Delivery"/>
    <n v="3.7"/>
    <n v="22"/>
    <n v="6"/>
    <n v="62.532600000000002"/>
    <x v="1"/>
    <x v="0"/>
    <s v="Returning"/>
  </r>
  <r>
    <n v="3144"/>
    <n v="53"/>
    <s v="Male"/>
    <x v="5"/>
    <s v="Laptop"/>
    <n v="2987.4"/>
    <x v="3"/>
    <s v="Card"/>
    <n v="3.4"/>
    <n v="16"/>
    <n v="3"/>
    <n v="2509.4160000000002"/>
    <x v="0"/>
    <x v="0"/>
    <s v="Returning"/>
  </r>
  <r>
    <n v="3145"/>
    <n v="58"/>
    <s v="Female"/>
    <x v="0"/>
    <s v="Handbag"/>
    <n v="101.38"/>
    <x v="0"/>
    <s v="Card"/>
    <n v="3.3"/>
    <n v="18"/>
    <n v="4"/>
    <n v="83.131600000000006"/>
    <x v="0"/>
    <x v="0"/>
    <s v="Returning"/>
  </r>
  <r>
    <n v="3146"/>
    <n v="62"/>
    <s v="Female"/>
    <x v="7"/>
    <s v="Sandals"/>
    <n v="120.82"/>
    <x v="2"/>
    <s v="Card"/>
    <n v="5"/>
    <n v="22"/>
    <n v="6"/>
    <n v="94.239599999999996"/>
    <x v="2"/>
    <x v="0"/>
    <s v="Returning"/>
  </r>
  <r>
    <n v="3147"/>
    <n v="45"/>
    <s v="Male"/>
    <x v="2"/>
    <s v="Yoga Mat"/>
    <n v="152.08000000000001"/>
    <x v="0"/>
    <s v="Card"/>
    <n v="3.6"/>
    <n v="8"/>
    <n v="4"/>
    <n v="139.91360000000003"/>
    <x v="1"/>
    <x v="0"/>
    <s v="Returning"/>
  </r>
  <r>
    <n v="3148"/>
    <n v="28"/>
    <s v="Female"/>
    <x v="0"/>
    <s v="Wallet"/>
    <n v="28.4"/>
    <x v="2"/>
    <s v="Card"/>
    <n v="3.5"/>
    <n v="14"/>
    <n v="2"/>
    <n v="24.423999999999999"/>
    <x v="4"/>
    <x v="0"/>
    <s v="Returning"/>
  </r>
  <r>
    <n v="3149"/>
    <n v="59"/>
    <s v="Female"/>
    <x v="2"/>
    <s v="Yoga Mat"/>
    <n v="27.33"/>
    <x v="1"/>
    <s v="Card"/>
    <n v="4.5"/>
    <n v="19"/>
    <n v="7"/>
    <n v="22.1373"/>
    <x v="0"/>
    <x v="0"/>
    <s v="Returning"/>
  </r>
  <r>
    <n v="3150"/>
    <n v="70"/>
    <s v="Female"/>
    <x v="2"/>
    <s v="Yoga Mat"/>
    <n v="62.01"/>
    <x v="0"/>
    <s v="Card"/>
    <n v="3.2"/>
    <n v="11"/>
    <n v="3"/>
    <n v="55.188899999999997"/>
    <x v="2"/>
    <x v="0"/>
    <s v="Returning"/>
  </r>
  <r>
    <n v="3151"/>
    <n v="32"/>
    <s v="Male"/>
    <x v="7"/>
    <s v="Sandals"/>
    <n v="244.65"/>
    <x v="0"/>
    <s v="Card"/>
    <n v="3.2"/>
    <n v="20"/>
    <n v="5"/>
    <n v="195.72000000000003"/>
    <x v="4"/>
    <x v="0"/>
    <s v="Returning"/>
  </r>
  <r>
    <n v="3152"/>
    <n v="30"/>
    <s v="Male"/>
    <x v="5"/>
    <s v="Laptop"/>
    <n v="1948.26"/>
    <x v="3"/>
    <s v="Card"/>
    <n v="4.2"/>
    <n v="22"/>
    <n v="6"/>
    <n v="1519.6428000000001"/>
    <x v="4"/>
    <x v="0"/>
    <s v="Returning"/>
  </r>
  <r>
    <n v="3153"/>
    <n v="41"/>
    <s v="Male"/>
    <x v="2"/>
    <s v="Dumbbells"/>
    <n v="125.2"/>
    <x v="2"/>
    <s v="Card"/>
    <n v="3.7"/>
    <n v="8"/>
    <n v="4"/>
    <n v="115.18400000000001"/>
    <x v="1"/>
    <x v="0"/>
    <s v="Returning"/>
  </r>
  <r>
    <n v="3154"/>
    <n v="28"/>
    <s v="Male"/>
    <x v="2"/>
    <s v="Dumbbells"/>
    <n v="181.02"/>
    <x v="0"/>
    <s v="Card"/>
    <n v="4.3"/>
    <n v="6"/>
    <n v="3"/>
    <n v="170.15880000000001"/>
    <x v="4"/>
    <x v="0"/>
    <s v="Returning"/>
  </r>
  <r>
    <n v="3155"/>
    <n v="34"/>
    <s v="Female"/>
    <x v="2"/>
    <s v="Football"/>
    <n v="44.83"/>
    <x v="1"/>
    <s v="Cash on Delivery"/>
    <n v="3.5"/>
    <n v="12"/>
    <n v="6"/>
    <n v="39.450400000000002"/>
    <x v="4"/>
    <x v="0"/>
    <s v="Returning"/>
  </r>
  <r>
    <n v="3156"/>
    <n v="60"/>
    <s v="Female"/>
    <x v="6"/>
    <s v="Perfume"/>
    <n v="142.97"/>
    <x v="3"/>
    <s v="Card"/>
    <n v="5"/>
    <n v="34"/>
    <n v="12"/>
    <n v="94.360199999999992"/>
    <x v="0"/>
    <x v="0"/>
    <s v="Returning"/>
  </r>
  <r>
    <n v="3157"/>
    <n v="25"/>
    <s v="Female"/>
    <x v="0"/>
    <s v="Handbag"/>
    <n v="147.25"/>
    <x v="3"/>
    <s v="Card"/>
    <n v="3.3"/>
    <n v="6"/>
    <n v="3"/>
    <n v="138.41499999999999"/>
    <x v="3"/>
    <x v="0"/>
    <s v="Returning"/>
  </r>
  <r>
    <n v="3158"/>
    <n v="23"/>
    <s v="Male"/>
    <x v="5"/>
    <s v="Smart Watch"/>
    <n v="2464.0300000000002"/>
    <x v="3"/>
    <s v="Card"/>
    <n v="3"/>
    <n v="9"/>
    <n v="2"/>
    <n v="2242.2673000000004"/>
    <x v="3"/>
    <x v="0"/>
    <s v="Returning"/>
  </r>
  <r>
    <n v="3159"/>
    <n v="42"/>
    <s v="Female"/>
    <x v="8"/>
    <s v="Top"/>
    <n v="40.69"/>
    <x v="0"/>
    <s v="Card"/>
    <n v="3.5"/>
    <n v="18"/>
    <n v="4"/>
    <n v="33.3658"/>
    <x v="1"/>
    <x v="0"/>
    <s v="Returning"/>
  </r>
  <r>
    <n v="3160"/>
    <n v="70"/>
    <s v="Male"/>
    <x v="5"/>
    <s v="Headphones"/>
    <n v="2039.35"/>
    <x v="1"/>
    <s v="Card"/>
    <n v="4.7"/>
    <n v="16"/>
    <n v="3"/>
    <n v="1713.0539999999999"/>
    <x v="2"/>
    <x v="0"/>
    <s v="Returning"/>
  </r>
  <r>
    <n v="3161"/>
    <n v="43"/>
    <s v="Female"/>
    <x v="0"/>
    <s v="Handbag"/>
    <n v="140.85"/>
    <x v="3"/>
    <s v="Card"/>
    <n v="3.9"/>
    <n v="8"/>
    <n v="4"/>
    <n v="129.58199999999999"/>
    <x v="1"/>
    <x v="0"/>
    <s v="Returning"/>
  </r>
  <r>
    <n v="3162"/>
    <n v="59"/>
    <s v="Male"/>
    <x v="1"/>
    <s v="Jeans"/>
    <n v="126.38"/>
    <x v="2"/>
    <s v="Card"/>
    <n v="4"/>
    <n v="4"/>
    <n v="2"/>
    <n v="121.3248"/>
    <x v="0"/>
    <x v="0"/>
    <s v="Returning"/>
  </r>
  <r>
    <n v="3163"/>
    <n v="46"/>
    <s v="Male"/>
    <x v="7"/>
    <s v="Sandals"/>
    <n v="136.72999999999999"/>
    <x v="1"/>
    <s v="Card"/>
    <n v="4.5999999999999996"/>
    <n v="17"/>
    <n v="6"/>
    <n v="113.48589999999999"/>
    <x v="0"/>
    <x v="0"/>
    <s v="Returning"/>
  </r>
  <r>
    <n v="3164"/>
    <n v="26"/>
    <s v="Female"/>
    <x v="6"/>
    <s v="Makeup Set"/>
    <n v="32.35"/>
    <x v="1"/>
    <s v="Card"/>
    <n v="4.4000000000000004"/>
    <n v="25"/>
    <n v="10"/>
    <n v="24.262500000000003"/>
    <x v="4"/>
    <x v="0"/>
    <s v="Returning"/>
  </r>
  <r>
    <n v="3165"/>
    <n v="51"/>
    <s v="Female"/>
    <x v="8"/>
    <s v="Top"/>
    <n v="104"/>
    <x v="0"/>
    <s v="Card"/>
    <n v="4.2"/>
    <n v="14"/>
    <n v="2"/>
    <n v="89.44"/>
    <x v="0"/>
    <x v="0"/>
    <s v="Returning"/>
  </r>
  <r>
    <n v="3166"/>
    <n v="28"/>
    <s v="Female"/>
    <x v="6"/>
    <s v="Makeup Set"/>
    <n v="128.02000000000001"/>
    <x v="2"/>
    <s v="Card"/>
    <n v="3.6"/>
    <n v="15"/>
    <n v="5"/>
    <n v="108.81700000000001"/>
    <x v="4"/>
    <x v="0"/>
    <s v="Returning"/>
  </r>
  <r>
    <n v="3167"/>
    <n v="31"/>
    <s v="Female"/>
    <x v="7"/>
    <s v="Formal Shoes"/>
    <n v="59.9"/>
    <x v="3"/>
    <s v="Cash on Delivery"/>
    <n v="3.4"/>
    <n v="22"/>
    <n v="6"/>
    <n v="46.722000000000001"/>
    <x v="4"/>
    <x v="0"/>
    <s v="Returning"/>
  </r>
  <r>
    <n v="3168"/>
    <n v="57"/>
    <s v="Male"/>
    <x v="5"/>
    <s v="Smart Watch"/>
    <n v="2940.66"/>
    <x v="0"/>
    <s v="Card"/>
    <n v="3.1"/>
    <n v="10"/>
    <n v="5"/>
    <n v="2646.5940000000001"/>
    <x v="0"/>
    <x v="0"/>
    <s v="Returning"/>
  </r>
  <r>
    <n v="3169"/>
    <n v="60"/>
    <s v="Male"/>
    <x v="2"/>
    <s v="Dumbbells"/>
    <n v="99.99"/>
    <x v="0"/>
    <s v="Cash on Delivery"/>
    <n v="2.5"/>
    <n v="18"/>
    <n v="4"/>
    <n v="81.991799999999998"/>
    <x v="0"/>
    <x v="0"/>
    <s v="Returning"/>
  </r>
  <r>
    <n v="3170"/>
    <n v="43"/>
    <s v="Female"/>
    <x v="0"/>
    <s v="Wallet"/>
    <n v="35.090000000000003"/>
    <x v="1"/>
    <s v="Card"/>
    <n v="4.5"/>
    <n v="20"/>
    <n v="5"/>
    <n v="28.072000000000003"/>
    <x v="1"/>
    <x v="0"/>
    <s v="Returning"/>
  </r>
  <r>
    <n v="3171"/>
    <n v="32"/>
    <s v="Male"/>
    <x v="1"/>
    <s v="Jeans"/>
    <n v="174.21"/>
    <x v="3"/>
    <s v="Card"/>
    <n v="3.2"/>
    <n v="8"/>
    <n v="4"/>
    <n v="160.2732"/>
    <x v="4"/>
    <x v="0"/>
    <s v="Returning"/>
  </r>
  <r>
    <n v="3172"/>
    <n v="52"/>
    <s v="Male"/>
    <x v="5"/>
    <s v="Laptop"/>
    <n v="1090.05"/>
    <x v="2"/>
    <s v="Card"/>
    <n v="3.6"/>
    <n v="13"/>
    <n v="4"/>
    <n v="948.34349999999995"/>
    <x v="0"/>
    <x v="0"/>
    <s v="Returning"/>
  </r>
  <r>
    <n v="3173"/>
    <n v="69"/>
    <s v="Male"/>
    <x v="2"/>
    <s v="Yoga Mat"/>
    <n v="36.799999999999997"/>
    <x v="3"/>
    <s v="Card"/>
    <n v="3.7"/>
    <n v="30"/>
    <n v="10"/>
    <n v="25.759999999999998"/>
    <x v="2"/>
    <x v="0"/>
    <s v="Returning"/>
  </r>
  <r>
    <n v="3174"/>
    <n v="64"/>
    <s v="Male"/>
    <x v="2"/>
    <s v="Dumbbells"/>
    <n v="242.59"/>
    <x v="2"/>
    <s v="Card"/>
    <n v="4.3"/>
    <n v="9"/>
    <n v="2"/>
    <n v="220.7569"/>
    <x v="2"/>
    <x v="0"/>
    <s v="Returning"/>
  </r>
  <r>
    <n v="3175"/>
    <n v="68"/>
    <s v="Male"/>
    <x v="5"/>
    <s v="Smart Watch"/>
    <n v="1208.17"/>
    <x v="1"/>
    <s v="Card"/>
    <n v="3.6"/>
    <n v="12"/>
    <n v="6"/>
    <n v="1063.1896000000002"/>
    <x v="2"/>
    <x v="0"/>
    <s v="Returning"/>
  </r>
  <r>
    <n v="3176"/>
    <n v="24"/>
    <s v="Female"/>
    <x v="7"/>
    <s v="Sandals"/>
    <n v="144.41999999999999"/>
    <x v="3"/>
    <s v="Card"/>
    <n v="4.4000000000000004"/>
    <n v="4"/>
    <n v="2"/>
    <n v="138.64319999999998"/>
    <x v="3"/>
    <x v="0"/>
    <s v="Returning"/>
  </r>
  <r>
    <n v="3177"/>
    <n v="57"/>
    <s v="Male"/>
    <x v="1"/>
    <s v="Shirt"/>
    <n v="74.47"/>
    <x v="0"/>
    <s v="Cash on Delivery"/>
    <n v="3.2"/>
    <n v="16"/>
    <n v="3"/>
    <n v="62.5548"/>
    <x v="0"/>
    <x v="0"/>
    <s v="Returning"/>
  </r>
  <r>
    <n v="3178"/>
    <n v="22"/>
    <s v="Female"/>
    <x v="7"/>
    <s v="Formal Shoes"/>
    <n v="248.95"/>
    <x v="1"/>
    <s v="Card"/>
    <n v="2.7"/>
    <n v="10"/>
    <n v="5"/>
    <n v="224.05500000000001"/>
    <x v="3"/>
    <x v="0"/>
    <s v="Returning"/>
  </r>
  <r>
    <n v="3179"/>
    <n v="49"/>
    <s v="Male"/>
    <x v="2"/>
    <s v="Yoga Mat"/>
    <n v="84.57"/>
    <x v="2"/>
    <s v="Card"/>
    <n v="3.3"/>
    <n v="18"/>
    <n v="4"/>
    <n v="69.347399999999993"/>
    <x v="0"/>
    <x v="0"/>
    <s v="Returning"/>
  </r>
  <r>
    <n v="3180"/>
    <n v="65"/>
    <s v="Female"/>
    <x v="7"/>
    <s v="Formal Shoes"/>
    <n v="182.69"/>
    <x v="2"/>
    <s v="Card"/>
    <n v="4.2"/>
    <n v="8"/>
    <n v="4"/>
    <n v="168.07480000000001"/>
    <x v="2"/>
    <x v="0"/>
    <s v="Returning"/>
  </r>
  <r>
    <n v="3181"/>
    <n v="63"/>
    <s v="Female"/>
    <x v="7"/>
    <s v="Sandals"/>
    <n v="95.84"/>
    <x v="2"/>
    <s v="Card"/>
    <n v="2.5"/>
    <n v="11"/>
    <n v="3"/>
    <n v="85.297600000000003"/>
    <x v="2"/>
    <x v="0"/>
    <s v="Returning"/>
  </r>
  <r>
    <n v="3182"/>
    <n v="37"/>
    <s v="Male"/>
    <x v="1"/>
    <s v="Shirt"/>
    <n v="174.37"/>
    <x v="3"/>
    <s v="Card"/>
    <n v="4.3"/>
    <n v="8"/>
    <n v="4"/>
    <n v="160.4204"/>
    <x v="1"/>
    <x v="0"/>
    <s v="Returning"/>
  </r>
  <r>
    <n v="3183"/>
    <n v="35"/>
    <s v="Male"/>
    <x v="2"/>
    <s v="Football"/>
    <n v="203.49"/>
    <x v="1"/>
    <s v="Card"/>
    <n v="2.8"/>
    <n v="6"/>
    <n v="3"/>
    <n v="191.28059999999999"/>
    <x v="4"/>
    <x v="0"/>
    <s v="Returning"/>
  </r>
  <r>
    <n v="3184"/>
    <n v="22"/>
    <s v="Male"/>
    <x v="7"/>
    <s v="Formal Shoes"/>
    <n v="125.93"/>
    <x v="3"/>
    <s v="Card"/>
    <n v="4.8"/>
    <n v="10"/>
    <n v="5"/>
    <n v="113.337"/>
    <x v="3"/>
    <x v="0"/>
    <s v="Returning"/>
  </r>
  <r>
    <n v="3185"/>
    <n v="40"/>
    <s v="Female"/>
    <x v="0"/>
    <s v="Handbag"/>
    <n v="59.58"/>
    <x v="3"/>
    <s v="Cash on Delivery"/>
    <n v="3.1"/>
    <n v="10"/>
    <n v="5"/>
    <n v="53.622"/>
    <x v="1"/>
    <x v="0"/>
    <s v="Returning"/>
  </r>
  <r>
    <n v="3186"/>
    <n v="40"/>
    <s v="Male"/>
    <x v="2"/>
    <s v="Yoga Mat"/>
    <n v="82.63"/>
    <x v="1"/>
    <s v="Card"/>
    <n v="2.7"/>
    <n v="13"/>
    <n v="4"/>
    <n v="71.888099999999994"/>
    <x v="1"/>
    <x v="0"/>
    <s v="Returning"/>
  </r>
  <r>
    <n v="3187"/>
    <n v="68"/>
    <s v="Female"/>
    <x v="3"/>
    <s v="Lamp"/>
    <n v="178.28"/>
    <x v="1"/>
    <s v="Card"/>
    <n v="3.2"/>
    <n v="15"/>
    <n v="5"/>
    <n v="151.53800000000001"/>
    <x v="2"/>
    <x v="0"/>
    <s v="Returning"/>
  </r>
  <r>
    <n v="3188"/>
    <n v="46"/>
    <s v="Male"/>
    <x v="2"/>
    <s v="Football"/>
    <n v="205.44"/>
    <x v="2"/>
    <s v="Card"/>
    <n v="3.2"/>
    <n v="16"/>
    <n v="8"/>
    <n v="172.56959999999998"/>
    <x v="0"/>
    <x v="0"/>
    <s v="Returning"/>
  </r>
  <r>
    <n v="3189"/>
    <n v="35"/>
    <s v="Male"/>
    <x v="1"/>
    <s v="Shirt"/>
    <n v="165.66"/>
    <x v="1"/>
    <s v="Card"/>
    <n v="2.9"/>
    <n v="12"/>
    <n v="6"/>
    <n v="145.7808"/>
    <x v="4"/>
    <x v="0"/>
    <s v="Returning"/>
  </r>
  <r>
    <n v="3190"/>
    <n v="28"/>
    <s v="Male"/>
    <x v="4"/>
    <s v="Snacks"/>
    <n v="30.88"/>
    <x v="3"/>
    <s v="Cash on Delivery"/>
    <n v="4.0999999999999996"/>
    <n v="8"/>
    <n v="4"/>
    <n v="28.409600000000001"/>
    <x v="4"/>
    <x v="0"/>
    <s v="Returning"/>
  </r>
  <r>
    <n v="3191"/>
    <n v="66"/>
    <s v="Male"/>
    <x v="1"/>
    <s v="Jacket"/>
    <n v="38.61"/>
    <x v="3"/>
    <s v="Cash on Delivery"/>
    <n v="2.9"/>
    <n v="15"/>
    <n v="5"/>
    <n v="32.8185"/>
    <x v="2"/>
    <x v="0"/>
    <s v="Returning"/>
  </r>
  <r>
    <n v="3192"/>
    <n v="41"/>
    <s v="Female"/>
    <x v="0"/>
    <s v="Handbag"/>
    <n v="45.01"/>
    <x v="1"/>
    <s v="Cash on Delivery"/>
    <n v="4.7"/>
    <n v="22"/>
    <n v="6"/>
    <n v="35.107799999999997"/>
    <x v="1"/>
    <x v="0"/>
    <s v="Returning"/>
  </r>
  <r>
    <n v="3193"/>
    <n v="57"/>
    <s v="Male"/>
    <x v="2"/>
    <s v="Dumbbells"/>
    <n v="175.22"/>
    <x v="0"/>
    <s v="Card"/>
    <n v="3.6"/>
    <n v="22"/>
    <n v="6"/>
    <n v="136.67160000000001"/>
    <x v="0"/>
    <x v="0"/>
    <s v="Returning"/>
  </r>
  <r>
    <n v="3194"/>
    <n v="22"/>
    <s v="Male"/>
    <x v="7"/>
    <s v="Sandals"/>
    <n v="243.43"/>
    <x v="2"/>
    <s v="Card"/>
    <n v="4"/>
    <n v="12"/>
    <n v="6"/>
    <n v="214.2184"/>
    <x v="3"/>
    <x v="0"/>
    <s v="Returning"/>
  </r>
  <r>
    <n v="3195"/>
    <n v="62"/>
    <s v="Female"/>
    <x v="8"/>
    <s v="Dress"/>
    <n v="117.16"/>
    <x v="3"/>
    <s v="Card"/>
    <n v="3.9"/>
    <n v="23"/>
    <n v="9"/>
    <n v="90.213200000000001"/>
    <x v="2"/>
    <x v="0"/>
    <s v="Returning"/>
  </r>
  <r>
    <n v="3196"/>
    <n v="56"/>
    <s v="Female"/>
    <x v="6"/>
    <s v="Skincare Kit"/>
    <n v="58.22"/>
    <x v="2"/>
    <s v="Cash on Delivery"/>
    <n v="2.8"/>
    <n v="20"/>
    <n v="5"/>
    <n v="46.576000000000001"/>
    <x v="0"/>
    <x v="0"/>
    <s v="Returning"/>
  </r>
  <r>
    <n v="3197"/>
    <n v="21"/>
    <s v="Male"/>
    <x v="7"/>
    <s v="Sneakers"/>
    <n v="155.55000000000001"/>
    <x v="0"/>
    <s v="Card"/>
    <n v="5"/>
    <n v="30"/>
    <n v="10"/>
    <n v="108.88500000000001"/>
    <x v="3"/>
    <x v="0"/>
    <s v="Returning"/>
  </r>
  <r>
    <n v="3198"/>
    <n v="44"/>
    <s v="Male"/>
    <x v="1"/>
    <s v="T-Shirt"/>
    <n v="121.79"/>
    <x v="2"/>
    <s v="Card"/>
    <n v="4.8"/>
    <n v="16"/>
    <n v="3"/>
    <n v="102.3036"/>
    <x v="1"/>
    <x v="0"/>
    <s v="Returning"/>
  </r>
  <r>
    <n v="3199"/>
    <n v="24"/>
    <s v="Male"/>
    <x v="1"/>
    <s v="Jacket"/>
    <n v="77.77"/>
    <x v="3"/>
    <s v="Cash on Delivery"/>
    <n v="3"/>
    <n v="25"/>
    <n v="10"/>
    <n v="58.327500000000001"/>
    <x v="3"/>
    <x v="0"/>
    <s v="Returning"/>
  </r>
  <r>
    <n v="3200"/>
    <n v="34"/>
    <s v="Male"/>
    <x v="2"/>
    <s v="Yoga Mat"/>
    <n v="91.22"/>
    <x v="1"/>
    <s v="Cash on Delivery"/>
    <n v="3.2"/>
    <n v="14"/>
    <n v="2"/>
    <n v="78.449200000000005"/>
    <x v="4"/>
    <x v="0"/>
    <s v="Returning"/>
  </r>
  <r>
    <n v="3201"/>
    <n v="68"/>
    <s v="Female"/>
    <x v="7"/>
    <s v="Sandals"/>
    <n v="49.34"/>
    <x v="3"/>
    <s v="Cash on Delivery"/>
    <n v="3.8"/>
    <n v="22"/>
    <n v="6"/>
    <n v="38.485200000000006"/>
    <x v="2"/>
    <x v="0"/>
    <s v="Returning"/>
  </r>
  <r>
    <n v="3202"/>
    <n v="59"/>
    <s v="Male"/>
    <x v="5"/>
    <s v="Smart Watch"/>
    <n v="1412.35"/>
    <x v="1"/>
    <s v="Card"/>
    <n v="2.8"/>
    <n v="11"/>
    <n v="3"/>
    <n v="1256.9914999999999"/>
    <x v="0"/>
    <x v="0"/>
    <s v="Returning"/>
  </r>
  <r>
    <n v="3203"/>
    <n v="70"/>
    <s v="Female"/>
    <x v="2"/>
    <s v="Dumbbells"/>
    <n v="191.53"/>
    <x v="0"/>
    <s v="Card"/>
    <n v="3"/>
    <n v="9"/>
    <n v="2"/>
    <n v="174.29230000000001"/>
    <x v="2"/>
    <x v="0"/>
    <s v="Returning"/>
  </r>
  <r>
    <n v="3204"/>
    <n v="70"/>
    <s v="Female"/>
    <x v="6"/>
    <s v="Perfume"/>
    <n v="132.43"/>
    <x v="3"/>
    <s v="Card"/>
    <n v="4.3"/>
    <n v="16"/>
    <n v="3"/>
    <n v="111.24120000000001"/>
    <x v="2"/>
    <x v="0"/>
    <s v="Returning"/>
  </r>
  <r>
    <n v="3205"/>
    <n v="48"/>
    <s v="Female"/>
    <x v="6"/>
    <s v="Skincare Kit"/>
    <n v="69.75"/>
    <x v="2"/>
    <s v="Card"/>
    <n v="3.7"/>
    <n v="2"/>
    <n v="1"/>
    <n v="68.355000000000004"/>
    <x v="0"/>
    <x v="0"/>
    <s v="Returning"/>
  </r>
  <r>
    <n v="3206"/>
    <n v="35"/>
    <s v="Male"/>
    <x v="7"/>
    <s v="Formal Shoes"/>
    <n v="85.09"/>
    <x v="1"/>
    <s v="Card"/>
    <n v="2.8"/>
    <n v="20"/>
    <n v="5"/>
    <n v="68.072000000000003"/>
    <x v="4"/>
    <x v="0"/>
    <s v="Returning"/>
  </r>
  <r>
    <n v="3207"/>
    <n v="61"/>
    <s v="Male"/>
    <x v="1"/>
    <s v="Shirt"/>
    <n v="46.79"/>
    <x v="2"/>
    <s v="Cash on Delivery"/>
    <n v="3.8"/>
    <n v="13"/>
    <n v="4"/>
    <n v="40.707299999999996"/>
    <x v="2"/>
    <x v="0"/>
    <s v="Returning"/>
  </r>
  <r>
    <n v="3208"/>
    <n v="55"/>
    <s v="Male"/>
    <x v="2"/>
    <s v="Football"/>
    <n v="164.44"/>
    <x v="0"/>
    <s v="Card"/>
    <n v="3.7"/>
    <n v="12"/>
    <n v="6"/>
    <n v="144.7072"/>
    <x v="0"/>
    <x v="0"/>
    <s v="Returning"/>
  </r>
  <r>
    <n v="3209"/>
    <n v="50"/>
    <s v="Male"/>
    <x v="1"/>
    <s v="Jacket"/>
    <n v="73.98"/>
    <x v="1"/>
    <s v="Card"/>
    <n v="5"/>
    <n v="23"/>
    <n v="9"/>
    <n v="56.964600000000004"/>
    <x v="0"/>
    <x v="0"/>
    <s v="Returning"/>
  </r>
  <r>
    <n v="3210"/>
    <n v="23"/>
    <s v="Female"/>
    <x v="6"/>
    <s v="Makeup Set"/>
    <n v="145.91"/>
    <x v="3"/>
    <s v="Card"/>
    <n v="3.3"/>
    <n v="18"/>
    <n v="4"/>
    <n v="119.64620000000001"/>
    <x v="3"/>
    <x v="0"/>
    <s v="Returning"/>
  </r>
  <r>
    <n v="3211"/>
    <n v="26"/>
    <s v="Male"/>
    <x v="7"/>
    <s v="Sandals"/>
    <n v="189.03"/>
    <x v="3"/>
    <s v="Card"/>
    <n v="4.2"/>
    <n v="10"/>
    <n v="5"/>
    <n v="170.12700000000001"/>
    <x v="4"/>
    <x v="0"/>
    <s v="Returning"/>
  </r>
  <r>
    <n v="3212"/>
    <n v="41"/>
    <s v="Female"/>
    <x v="6"/>
    <s v="Makeup Set"/>
    <n v="105.87"/>
    <x v="3"/>
    <s v="Card"/>
    <n v="4.9000000000000004"/>
    <n v="13"/>
    <n v="4"/>
    <n v="92.10690000000001"/>
    <x v="1"/>
    <x v="0"/>
    <s v="Returning"/>
  </r>
  <r>
    <n v="3213"/>
    <n v="45"/>
    <s v="Male"/>
    <x v="3"/>
    <s v="Curtains"/>
    <n v="170.97"/>
    <x v="2"/>
    <s v="Card"/>
    <n v="4.4000000000000004"/>
    <n v="12"/>
    <n v="6"/>
    <n v="150.45359999999999"/>
    <x v="1"/>
    <x v="0"/>
    <s v="Returning"/>
  </r>
  <r>
    <n v="3214"/>
    <n v="27"/>
    <s v="Female"/>
    <x v="7"/>
    <s v="Sneakers"/>
    <n v="77.2"/>
    <x v="2"/>
    <s v="Cash on Delivery"/>
    <n v="4.2"/>
    <n v="15"/>
    <n v="5"/>
    <n v="65.62"/>
    <x v="4"/>
    <x v="0"/>
    <s v="Returning"/>
  </r>
  <r>
    <n v="3215"/>
    <n v="21"/>
    <s v="Female"/>
    <x v="6"/>
    <s v="Skincare Kit"/>
    <n v="147"/>
    <x v="2"/>
    <s v="Card"/>
    <n v="3.4"/>
    <n v="8"/>
    <n v="4"/>
    <n v="135.24"/>
    <x v="3"/>
    <x v="0"/>
    <s v="Returning"/>
  </r>
  <r>
    <n v="3216"/>
    <n v="46"/>
    <s v="Female"/>
    <x v="8"/>
    <s v="Skirt"/>
    <n v="30.57"/>
    <x v="2"/>
    <s v="Card"/>
    <n v="4.2"/>
    <n v="6"/>
    <n v="3"/>
    <n v="28.735799999999998"/>
    <x v="0"/>
    <x v="0"/>
    <s v="Returning"/>
  </r>
  <r>
    <n v="3217"/>
    <n v="23"/>
    <s v="Male"/>
    <x v="7"/>
    <s v="Sneakers"/>
    <n v="232.37"/>
    <x v="0"/>
    <s v="Card"/>
    <n v="4.2"/>
    <n v="23"/>
    <n v="9"/>
    <n v="178.92490000000001"/>
    <x v="3"/>
    <x v="0"/>
    <s v="Returning"/>
  </r>
  <r>
    <n v="3218"/>
    <n v="59"/>
    <s v="Male"/>
    <x v="2"/>
    <s v="Yoga Mat"/>
    <n v="234.52"/>
    <x v="2"/>
    <s v="Card"/>
    <n v="4.0999999999999996"/>
    <n v="22"/>
    <n v="6"/>
    <n v="182.9256"/>
    <x v="0"/>
    <x v="0"/>
    <s v="Returning"/>
  </r>
  <r>
    <n v="3219"/>
    <n v="52"/>
    <s v="Female"/>
    <x v="6"/>
    <s v="Perfume"/>
    <n v="130.99"/>
    <x v="2"/>
    <s v="Card"/>
    <n v="5"/>
    <n v="24"/>
    <n v="7"/>
    <n v="99.552400000000006"/>
    <x v="0"/>
    <x v="0"/>
    <s v="Returning"/>
  </r>
  <r>
    <n v="3220"/>
    <n v="36"/>
    <s v="Male"/>
    <x v="2"/>
    <s v="Football"/>
    <n v="51.47"/>
    <x v="2"/>
    <s v="Card"/>
    <n v="2.4"/>
    <n v="6"/>
    <n v="3"/>
    <n v="48.381799999999998"/>
    <x v="1"/>
    <x v="0"/>
    <s v="Returning"/>
  </r>
  <r>
    <n v="3221"/>
    <n v="40"/>
    <s v="Female"/>
    <x v="0"/>
    <s v="Sunglasses"/>
    <n v="160.63"/>
    <x v="3"/>
    <s v="Card"/>
    <n v="2.8"/>
    <n v="14"/>
    <n v="7"/>
    <n v="138.14179999999999"/>
    <x v="1"/>
    <x v="0"/>
    <s v="Returning"/>
  </r>
  <r>
    <n v="3222"/>
    <n v="50"/>
    <s v="Male"/>
    <x v="3"/>
    <s v="Kitchen Set"/>
    <n v="122.41"/>
    <x v="1"/>
    <s v="Card"/>
    <n v="3.9"/>
    <n v="16"/>
    <n v="8"/>
    <n v="102.8244"/>
    <x v="0"/>
    <x v="0"/>
    <s v="Returning"/>
  </r>
  <r>
    <n v="3223"/>
    <n v="39"/>
    <s v="Male"/>
    <x v="3"/>
    <s v="Lamp"/>
    <n v="113.22"/>
    <x v="1"/>
    <s v="Card"/>
    <n v="3.1"/>
    <n v="30"/>
    <n v="10"/>
    <n v="79.253999999999991"/>
    <x v="1"/>
    <x v="0"/>
    <s v="Returning"/>
  </r>
  <r>
    <n v="3224"/>
    <n v="65"/>
    <s v="Female"/>
    <x v="6"/>
    <s v="Makeup Set"/>
    <n v="84.88"/>
    <x v="2"/>
    <s v="Cash on Delivery"/>
    <n v="2.7"/>
    <n v="18"/>
    <n v="4"/>
    <n v="69.601600000000005"/>
    <x v="2"/>
    <x v="0"/>
    <s v="Returning"/>
  </r>
  <r>
    <n v="3225"/>
    <n v="52"/>
    <s v="Female"/>
    <x v="6"/>
    <s v="Skincare Kit"/>
    <n v="22.73"/>
    <x v="1"/>
    <s v="Card"/>
    <n v="3.4"/>
    <n v="6"/>
    <n v="3"/>
    <n v="21.366199999999999"/>
    <x v="0"/>
    <x v="0"/>
    <s v="Returning"/>
  </r>
  <r>
    <n v="3226"/>
    <n v="54"/>
    <s v="Female"/>
    <x v="7"/>
    <s v="Sneakers"/>
    <n v="226.11"/>
    <x v="3"/>
    <s v="Card"/>
    <n v="4.5"/>
    <n v="17"/>
    <n v="6"/>
    <n v="187.6713"/>
    <x v="0"/>
    <x v="0"/>
    <s v="Returning"/>
  </r>
  <r>
    <n v="3227"/>
    <n v="64"/>
    <s v="Female"/>
    <x v="2"/>
    <s v="Yoga Mat"/>
    <n v="208.59"/>
    <x v="1"/>
    <s v="Card"/>
    <n v="2.8"/>
    <n v="8"/>
    <n v="4"/>
    <n v="191.90280000000001"/>
    <x v="2"/>
    <x v="0"/>
    <s v="Returning"/>
  </r>
  <r>
    <n v="3228"/>
    <n v="53"/>
    <s v="Male"/>
    <x v="2"/>
    <s v="Football"/>
    <n v="120.33"/>
    <x v="1"/>
    <s v="Card"/>
    <n v="3.7"/>
    <n v="6"/>
    <n v="3"/>
    <n v="113.11019999999999"/>
    <x v="0"/>
    <x v="0"/>
    <s v="Returning"/>
  </r>
  <r>
    <n v="3229"/>
    <n v="29"/>
    <s v="Male"/>
    <x v="4"/>
    <s v="Rice Pack"/>
    <n v="41.86"/>
    <x v="1"/>
    <s v="Cash on Delivery"/>
    <n v="4"/>
    <n v="18"/>
    <n v="4"/>
    <n v="34.325200000000002"/>
    <x v="4"/>
    <x v="0"/>
    <s v="Returning"/>
  </r>
  <r>
    <n v="3230"/>
    <n v="50"/>
    <s v="Male"/>
    <x v="2"/>
    <s v="Dumbbells"/>
    <n v="31.06"/>
    <x v="2"/>
    <s v="Card"/>
    <n v="3"/>
    <n v="12"/>
    <n v="6"/>
    <n v="27.332799999999999"/>
    <x v="0"/>
    <x v="0"/>
    <s v="Returning"/>
  </r>
  <r>
    <n v="3231"/>
    <n v="51"/>
    <s v="Male"/>
    <x v="7"/>
    <s v="Sandals"/>
    <n v="46.87"/>
    <x v="3"/>
    <s v="Cash on Delivery"/>
    <n v="3.5"/>
    <n v="15"/>
    <n v="5"/>
    <n v="39.839499999999994"/>
    <x v="0"/>
    <x v="0"/>
    <s v="Returning"/>
  </r>
  <r>
    <n v="3232"/>
    <n v="70"/>
    <s v="Female"/>
    <x v="0"/>
    <s v="Wallet"/>
    <n v="124.66"/>
    <x v="1"/>
    <s v="Card"/>
    <n v="4.5999999999999996"/>
    <n v="19"/>
    <n v="7"/>
    <n v="100.97460000000001"/>
    <x v="2"/>
    <x v="0"/>
    <s v="Returning"/>
  </r>
  <r>
    <n v="3233"/>
    <n v="32"/>
    <s v="Female"/>
    <x v="3"/>
    <s v="Lamp"/>
    <n v="101.07"/>
    <x v="2"/>
    <s v="Card"/>
    <n v="3.6"/>
    <n v="6"/>
    <n v="3"/>
    <n v="95.005799999999994"/>
    <x v="4"/>
    <x v="0"/>
    <s v="Returning"/>
  </r>
  <r>
    <n v="3234"/>
    <n v="69"/>
    <s v="Male"/>
    <x v="2"/>
    <s v="Football"/>
    <n v="169.69"/>
    <x v="0"/>
    <s v="Card"/>
    <n v="3.8"/>
    <n v="4"/>
    <n v="2"/>
    <n v="162.9024"/>
    <x v="2"/>
    <x v="0"/>
    <s v="Returning"/>
  </r>
  <r>
    <n v="3235"/>
    <n v="38"/>
    <s v="Female"/>
    <x v="0"/>
    <s v="Handbag"/>
    <n v="123.74"/>
    <x v="0"/>
    <s v="Card"/>
    <n v="3.8"/>
    <n v="14"/>
    <n v="7"/>
    <n v="106.4164"/>
    <x v="1"/>
    <x v="0"/>
    <s v="Returning"/>
  </r>
  <r>
    <n v="3236"/>
    <n v="45"/>
    <s v="Male"/>
    <x v="7"/>
    <s v="Sneakers"/>
    <n v="118.39"/>
    <x v="2"/>
    <s v="Card"/>
    <n v="5"/>
    <n v="18"/>
    <n v="4"/>
    <n v="97.079800000000006"/>
    <x v="1"/>
    <x v="0"/>
    <s v="Returning"/>
  </r>
  <r>
    <n v="3237"/>
    <n v="47"/>
    <s v="Female"/>
    <x v="0"/>
    <s v="Handbag"/>
    <n v="167.42"/>
    <x v="0"/>
    <s v="Card"/>
    <n v="4.0999999999999996"/>
    <n v="13"/>
    <n v="4"/>
    <n v="145.65539999999999"/>
    <x v="0"/>
    <x v="0"/>
    <s v="Returning"/>
  </r>
  <r>
    <n v="3238"/>
    <n v="65"/>
    <s v="Male"/>
    <x v="3"/>
    <s v="Curtains"/>
    <n v="113.63"/>
    <x v="0"/>
    <s v="Card"/>
    <n v="3.2"/>
    <n v="8"/>
    <n v="4"/>
    <n v="104.53960000000001"/>
    <x v="2"/>
    <x v="0"/>
    <s v="Returning"/>
  </r>
  <r>
    <n v="3239"/>
    <n v="62"/>
    <s v="Female"/>
    <x v="0"/>
    <s v="Handbag"/>
    <n v="61.6"/>
    <x v="0"/>
    <s v="Card"/>
    <n v="3.9"/>
    <n v="10"/>
    <n v="5"/>
    <n v="55.440000000000005"/>
    <x v="2"/>
    <x v="0"/>
    <s v="Returning"/>
  </r>
  <r>
    <n v="3240"/>
    <n v="41"/>
    <s v="Female"/>
    <x v="6"/>
    <s v="Makeup Set"/>
    <n v="29.6"/>
    <x v="0"/>
    <s v="Card"/>
    <n v="3.5"/>
    <n v="8"/>
    <n v="4"/>
    <n v="27.232000000000003"/>
    <x v="1"/>
    <x v="0"/>
    <s v="Returning"/>
  </r>
  <r>
    <n v="3241"/>
    <n v="60"/>
    <s v="Female"/>
    <x v="6"/>
    <s v="Makeup Set"/>
    <n v="29.4"/>
    <x v="0"/>
    <s v="Cash on Delivery"/>
    <n v="4.2"/>
    <n v="11"/>
    <n v="3"/>
    <n v="26.166"/>
    <x v="0"/>
    <x v="0"/>
    <s v="Returning"/>
  </r>
  <r>
    <n v="3242"/>
    <n v="36"/>
    <s v="Female"/>
    <x v="2"/>
    <s v="Yoga Mat"/>
    <n v="172.71"/>
    <x v="3"/>
    <s v="Card"/>
    <n v="4.4000000000000004"/>
    <n v="12"/>
    <n v="6"/>
    <n v="151.98480000000001"/>
    <x v="1"/>
    <x v="0"/>
    <s v="Returning"/>
  </r>
  <r>
    <n v="3243"/>
    <n v="47"/>
    <s v="Male"/>
    <x v="7"/>
    <s v="Sandals"/>
    <n v="142.61000000000001"/>
    <x v="2"/>
    <s v="Card"/>
    <n v="3.8"/>
    <n v="20"/>
    <n v="5"/>
    <n v="114.08800000000002"/>
    <x v="0"/>
    <x v="0"/>
    <s v="Returning"/>
  </r>
  <r>
    <n v="3244"/>
    <n v="66"/>
    <s v="Female"/>
    <x v="7"/>
    <s v="Sandals"/>
    <n v="214.77"/>
    <x v="1"/>
    <s v="Card"/>
    <n v="2.9"/>
    <n v="11"/>
    <n v="3"/>
    <n v="191.14530000000002"/>
    <x v="2"/>
    <x v="0"/>
    <s v="Returning"/>
  </r>
  <r>
    <n v="3245"/>
    <n v="50"/>
    <s v="Male"/>
    <x v="1"/>
    <s v="T-Shirt"/>
    <n v="178.6"/>
    <x v="1"/>
    <s v="Card"/>
    <n v="3.6"/>
    <n v="11"/>
    <n v="3"/>
    <n v="158.95400000000001"/>
    <x v="0"/>
    <x v="0"/>
    <s v="Returning"/>
  </r>
  <r>
    <n v="3246"/>
    <n v="55"/>
    <s v="Female"/>
    <x v="3"/>
    <s v="Kitchen Set"/>
    <n v="41.18"/>
    <x v="1"/>
    <s v="Card"/>
    <n v="4.8"/>
    <n v="18"/>
    <n v="9"/>
    <n v="33.767600000000002"/>
    <x v="0"/>
    <x v="0"/>
    <s v="Returning"/>
  </r>
  <r>
    <n v="3247"/>
    <n v="54"/>
    <s v="Female"/>
    <x v="6"/>
    <s v="Skincare Kit"/>
    <n v="117.16"/>
    <x v="2"/>
    <s v="Card"/>
    <n v="4.3"/>
    <n v="28"/>
    <n v="9"/>
    <n v="84.355199999999996"/>
    <x v="0"/>
    <x v="0"/>
    <s v="Returning"/>
  </r>
  <r>
    <n v="3248"/>
    <n v="21"/>
    <s v="Male"/>
    <x v="2"/>
    <s v="Dumbbells"/>
    <n v="65.959999999999994"/>
    <x v="3"/>
    <s v="Card"/>
    <n v="5"/>
    <n v="22"/>
    <n v="6"/>
    <n v="51.448799999999999"/>
    <x v="3"/>
    <x v="0"/>
    <s v="Returning"/>
  </r>
  <r>
    <n v="3249"/>
    <n v="41"/>
    <s v="Female"/>
    <x v="6"/>
    <s v="Perfume"/>
    <n v="48.64"/>
    <x v="3"/>
    <s v="Card"/>
    <n v="2.7"/>
    <n v="8"/>
    <n v="4"/>
    <n v="44.748800000000003"/>
    <x v="1"/>
    <x v="0"/>
    <s v="Returning"/>
  </r>
  <r>
    <n v="3250"/>
    <n v="58"/>
    <s v="Male"/>
    <x v="2"/>
    <s v="Dumbbells"/>
    <n v="246.31"/>
    <x v="2"/>
    <s v="Card"/>
    <n v="3.9"/>
    <n v="20"/>
    <n v="5"/>
    <n v="197.048"/>
    <x v="0"/>
    <x v="0"/>
    <s v="Returning"/>
  </r>
  <r>
    <n v="3251"/>
    <n v="56"/>
    <s v="Male"/>
    <x v="5"/>
    <s v="Mobile Phone"/>
    <n v="648.62"/>
    <x v="3"/>
    <s v="Card"/>
    <n v="3.3"/>
    <n v="12"/>
    <n v="6"/>
    <n v="570.78560000000004"/>
    <x v="0"/>
    <x v="0"/>
    <s v="Returning"/>
  </r>
  <r>
    <n v="3252"/>
    <n v="51"/>
    <s v="Female"/>
    <x v="4"/>
    <s v="Snacks"/>
    <n v="67.67"/>
    <x v="0"/>
    <s v="Cash on Delivery"/>
    <n v="3.9"/>
    <n v="18"/>
    <n v="4"/>
    <n v="55.489400000000003"/>
    <x v="0"/>
    <x v="0"/>
    <s v="Returning"/>
  </r>
  <r>
    <n v="3253"/>
    <n v="38"/>
    <s v="Male"/>
    <x v="1"/>
    <s v="T-Shirt"/>
    <n v="154.49"/>
    <x v="0"/>
    <s v="Card"/>
    <n v="3.2"/>
    <n v="11"/>
    <n v="3"/>
    <n v="137.49610000000001"/>
    <x v="1"/>
    <x v="0"/>
    <s v="Returning"/>
  </r>
  <r>
    <n v="3254"/>
    <n v="29"/>
    <s v="Male"/>
    <x v="2"/>
    <s v="Yoga Mat"/>
    <n v="51.12"/>
    <x v="1"/>
    <s v="Card"/>
    <n v="4.9000000000000004"/>
    <n v="30"/>
    <n v="10"/>
    <n v="35.783999999999999"/>
    <x v="4"/>
    <x v="0"/>
    <s v="Returning"/>
  </r>
  <r>
    <n v="3255"/>
    <n v="70"/>
    <s v="Female"/>
    <x v="0"/>
    <s v="Wallet"/>
    <n v="115.94"/>
    <x v="1"/>
    <s v="Card"/>
    <n v="4.4000000000000004"/>
    <n v="6"/>
    <n v="3"/>
    <n v="108.9836"/>
    <x v="2"/>
    <x v="0"/>
    <s v="Returning"/>
  </r>
  <r>
    <n v="3256"/>
    <n v="49"/>
    <s v="Female"/>
    <x v="6"/>
    <s v="Perfume"/>
    <n v="132.49"/>
    <x v="2"/>
    <s v="Card"/>
    <n v="2.2999999999999998"/>
    <n v="15"/>
    <n v="5"/>
    <n v="112.6165"/>
    <x v="0"/>
    <x v="0"/>
    <s v="Returning"/>
  </r>
  <r>
    <n v="3257"/>
    <n v="69"/>
    <s v="Male"/>
    <x v="7"/>
    <s v="Sandals"/>
    <n v="194.63"/>
    <x v="2"/>
    <s v="Card"/>
    <n v="4.7"/>
    <n v="9"/>
    <n v="2"/>
    <n v="177.11330000000001"/>
    <x v="2"/>
    <x v="0"/>
    <s v="Returning"/>
  </r>
  <r>
    <n v="3258"/>
    <n v="34"/>
    <s v="Male"/>
    <x v="7"/>
    <s v="Formal Shoes"/>
    <n v="113.73"/>
    <x v="0"/>
    <s v="Card"/>
    <n v="3.6"/>
    <n v="21"/>
    <n v="8"/>
    <n v="89.846700000000013"/>
    <x v="4"/>
    <x v="0"/>
    <s v="Returning"/>
  </r>
  <r>
    <n v="3259"/>
    <n v="58"/>
    <s v="Female"/>
    <x v="2"/>
    <s v="Yoga Mat"/>
    <n v="84.1"/>
    <x v="1"/>
    <s v="Card"/>
    <n v="3.8"/>
    <n v="16"/>
    <n v="3"/>
    <n v="70.643999999999991"/>
    <x v="0"/>
    <x v="0"/>
    <s v="Returning"/>
  </r>
  <r>
    <n v="3260"/>
    <n v="60"/>
    <s v="Male"/>
    <x v="5"/>
    <s v="Smart Watch"/>
    <n v="2936.08"/>
    <x v="3"/>
    <s v="Card"/>
    <n v="5"/>
    <n v="20"/>
    <n v="5"/>
    <n v="2348.864"/>
    <x v="0"/>
    <x v="0"/>
    <s v="Returning"/>
  </r>
  <r>
    <n v="3261"/>
    <n v="51"/>
    <s v="Male"/>
    <x v="5"/>
    <s v="Smart Watch"/>
    <n v="1369.63"/>
    <x v="3"/>
    <s v="Card"/>
    <n v="3"/>
    <n v="10"/>
    <n v="5"/>
    <n v="1232.6670000000001"/>
    <x v="0"/>
    <x v="0"/>
    <s v="Returning"/>
  </r>
  <r>
    <n v="3262"/>
    <n v="68"/>
    <s v="Female"/>
    <x v="6"/>
    <s v="Makeup Set"/>
    <n v="23.21"/>
    <x v="0"/>
    <s v="Card"/>
    <n v="5"/>
    <n v="11"/>
    <n v="3"/>
    <n v="20.6569"/>
    <x v="2"/>
    <x v="0"/>
    <s v="Returning"/>
  </r>
  <r>
    <n v="3263"/>
    <n v="40"/>
    <s v="Male"/>
    <x v="2"/>
    <s v="Yoga Mat"/>
    <n v="231.3"/>
    <x v="2"/>
    <s v="Card"/>
    <n v="4"/>
    <n v="8"/>
    <n v="4"/>
    <n v="212.79600000000002"/>
    <x v="1"/>
    <x v="0"/>
    <s v="Returning"/>
  </r>
  <r>
    <n v="3264"/>
    <n v="31"/>
    <s v="Male"/>
    <x v="2"/>
    <s v="Football"/>
    <n v="212.05"/>
    <x v="0"/>
    <s v="Card"/>
    <n v="3.5"/>
    <n v="15"/>
    <n v="5"/>
    <n v="180.24250000000001"/>
    <x v="4"/>
    <x v="0"/>
    <s v="Returning"/>
  </r>
  <r>
    <n v="3265"/>
    <n v="20"/>
    <s v="Female"/>
    <x v="8"/>
    <s v="Top"/>
    <n v="78.09"/>
    <x v="2"/>
    <s v="Cash on Delivery"/>
    <n v="4.0999999999999996"/>
    <n v="8"/>
    <n v="4"/>
    <n v="71.842800000000011"/>
    <x v="3"/>
    <x v="0"/>
    <s v="Returning"/>
  </r>
  <r>
    <n v="3266"/>
    <n v="35"/>
    <s v="Male"/>
    <x v="2"/>
    <s v="Yoga Mat"/>
    <n v="189.56"/>
    <x v="0"/>
    <s v="Card"/>
    <n v="4.5"/>
    <n v="11"/>
    <n v="3"/>
    <n v="168.70840000000001"/>
    <x v="4"/>
    <x v="0"/>
    <s v="Returning"/>
  </r>
  <r>
    <n v="3267"/>
    <n v="39"/>
    <s v="Female"/>
    <x v="7"/>
    <s v="Formal Shoes"/>
    <n v="143.79"/>
    <x v="3"/>
    <s v="Card"/>
    <n v="4.9000000000000004"/>
    <n v="16"/>
    <n v="3"/>
    <n v="120.78359999999999"/>
    <x v="1"/>
    <x v="0"/>
    <s v="Returning"/>
  </r>
  <r>
    <n v="3268"/>
    <n v="56"/>
    <s v="Male"/>
    <x v="4"/>
    <s v="Snacks"/>
    <n v="43.68"/>
    <x v="3"/>
    <s v="Cash on Delivery"/>
    <n v="3.9"/>
    <n v="27"/>
    <n v="11"/>
    <n v="31.886399999999998"/>
    <x v="0"/>
    <x v="0"/>
    <s v="Returning"/>
  </r>
  <r>
    <n v="3269"/>
    <n v="58"/>
    <s v="Female"/>
    <x v="6"/>
    <s v="Skincare Kit"/>
    <n v="68.569999999999993"/>
    <x v="0"/>
    <s v="Card"/>
    <n v="4.3"/>
    <n v="18"/>
    <n v="4"/>
    <n v="56.227399999999996"/>
    <x v="0"/>
    <x v="0"/>
    <s v="Returning"/>
  </r>
  <r>
    <n v="3270"/>
    <n v="68"/>
    <s v="Female"/>
    <x v="7"/>
    <s v="Sandals"/>
    <n v="69.56"/>
    <x v="2"/>
    <s v="Cash on Delivery"/>
    <n v="4.9000000000000004"/>
    <n v="21"/>
    <n v="8"/>
    <n v="54.952400000000004"/>
    <x v="2"/>
    <x v="0"/>
    <s v="Returning"/>
  </r>
  <r>
    <n v="3271"/>
    <n v="22"/>
    <s v="Female"/>
    <x v="3"/>
    <s v="Lamp"/>
    <n v="242.3"/>
    <x v="0"/>
    <s v="Card"/>
    <n v="4.5"/>
    <n v="22"/>
    <n v="6"/>
    <n v="188.99400000000003"/>
    <x v="3"/>
    <x v="0"/>
    <s v="Returning"/>
  </r>
  <r>
    <n v="3272"/>
    <n v="20"/>
    <s v="Female"/>
    <x v="6"/>
    <s v="Perfume"/>
    <n v="140.19999999999999"/>
    <x v="1"/>
    <s v="Card"/>
    <n v="4.0999999999999996"/>
    <n v="19"/>
    <n v="7"/>
    <n v="113.562"/>
    <x v="3"/>
    <x v="0"/>
    <s v="Returning"/>
  </r>
  <r>
    <n v="3273"/>
    <n v="64"/>
    <s v="Male"/>
    <x v="3"/>
    <s v="Curtains"/>
    <n v="79.900000000000006"/>
    <x v="1"/>
    <s v="Card"/>
    <n v="3.3"/>
    <n v="26"/>
    <n v="8"/>
    <n v="59.126000000000005"/>
    <x v="2"/>
    <x v="0"/>
    <s v="Returning"/>
  </r>
  <r>
    <n v="3274"/>
    <n v="33"/>
    <s v="Male"/>
    <x v="7"/>
    <s v="Sandals"/>
    <n v="248.65"/>
    <x v="0"/>
    <s v="Card"/>
    <n v="3.8"/>
    <n v="15"/>
    <n v="5"/>
    <n v="211.35249999999999"/>
    <x v="4"/>
    <x v="0"/>
    <s v="Returning"/>
  </r>
  <r>
    <n v="3275"/>
    <n v="45"/>
    <s v="Male"/>
    <x v="7"/>
    <s v="Sneakers"/>
    <n v="227.4"/>
    <x v="2"/>
    <s v="Card"/>
    <n v="3.8"/>
    <n v="15"/>
    <n v="5"/>
    <n v="193.29"/>
    <x v="1"/>
    <x v="0"/>
    <s v="Returning"/>
  </r>
  <r>
    <n v="3276"/>
    <n v="24"/>
    <s v="Male"/>
    <x v="2"/>
    <s v="Dumbbells"/>
    <n v="153.18"/>
    <x v="1"/>
    <s v="Card"/>
    <n v="3.2"/>
    <n v="15"/>
    <n v="5"/>
    <n v="130.203"/>
    <x v="3"/>
    <x v="0"/>
    <s v="Returning"/>
  </r>
  <r>
    <n v="3277"/>
    <n v="24"/>
    <s v="Male"/>
    <x v="1"/>
    <s v="T-Shirt"/>
    <n v="101.1"/>
    <x v="1"/>
    <s v="Card"/>
    <n v="2.9"/>
    <n v="10"/>
    <n v="5"/>
    <n v="90.99"/>
    <x v="3"/>
    <x v="0"/>
    <s v="Returning"/>
  </r>
  <r>
    <n v="3278"/>
    <n v="70"/>
    <s v="Male"/>
    <x v="1"/>
    <s v="Jacket"/>
    <n v="128.5"/>
    <x v="3"/>
    <s v="Card"/>
    <n v="4.4000000000000004"/>
    <n v="17"/>
    <n v="6"/>
    <n v="106.655"/>
    <x v="2"/>
    <x v="0"/>
    <s v="Returning"/>
  </r>
  <r>
    <n v="3279"/>
    <n v="49"/>
    <s v="Female"/>
    <x v="2"/>
    <s v="Yoga Mat"/>
    <n v="93.21"/>
    <x v="3"/>
    <s v="Cash on Delivery"/>
    <n v="4"/>
    <n v="8"/>
    <n v="4"/>
    <n v="85.753199999999993"/>
    <x v="0"/>
    <x v="0"/>
    <s v="Returning"/>
  </r>
  <r>
    <n v="3280"/>
    <n v="69"/>
    <s v="Male"/>
    <x v="1"/>
    <s v="T-Shirt"/>
    <n v="120.7"/>
    <x v="2"/>
    <s v="Card"/>
    <n v="3.9"/>
    <n v="10"/>
    <n v="5"/>
    <n v="108.63000000000001"/>
    <x v="2"/>
    <x v="0"/>
    <s v="Returning"/>
  </r>
  <r>
    <n v="3281"/>
    <n v="36"/>
    <s v="Male"/>
    <x v="1"/>
    <s v="Shirt"/>
    <n v="76.16"/>
    <x v="3"/>
    <s v="Cash on Delivery"/>
    <n v="4.3"/>
    <n v="10"/>
    <n v="5"/>
    <n v="68.543999999999997"/>
    <x v="1"/>
    <x v="0"/>
    <s v="Returning"/>
  </r>
  <r>
    <n v="3282"/>
    <n v="25"/>
    <s v="Male"/>
    <x v="2"/>
    <s v="Yoga Mat"/>
    <n v="226.66"/>
    <x v="2"/>
    <s v="Card"/>
    <n v="3.8"/>
    <n v="24"/>
    <n v="7"/>
    <n v="172.26159999999999"/>
    <x v="3"/>
    <x v="0"/>
    <s v="Returning"/>
  </r>
  <r>
    <n v="3283"/>
    <n v="63"/>
    <s v="Male"/>
    <x v="2"/>
    <s v="Yoga Mat"/>
    <n v="130.19999999999999"/>
    <x v="2"/>
    <s v="Card"/>
    <n v="2.6"/>
    <n v="4"/>
    <n v="2"/>
    <n v="124.99199999999999"/>
    <x v="2"/>
    <x v="0"/>
    <s v="Returning"/>
  </r>
  <r>
    <n v="3284"/>
    <n v="57"/>
    <s v="Male"/>
    <x v="7"/>
    <s v="Sandals"/>
    <n v="52.67"/>
    <x v="2"/>
    <s v="Card"/>
    <n v="4.3"/>
    <n v="16"/>
    <n v="3"/>
    <n v="44.242800000000003"/>
    <x v="0"/>
    <x v="0"/>
    <s v="Returning"/>
  </r>
  <r>
    <n v="3285"/>
    <n v="21"/>
    <s v="Female"/>
    <x v="8"/>
    <s v="Jeans"/>
    <n v="151.32"/>
    <x v="3"/>
    <s v="Card"/>
    <n v="3"/>
    <n v="24"/>
    <n v="7"/>
    <n v="115.00319999999999"/>
    <x v="3"/>
    <x v="0"/>
    <s v="Returning"/>
  </r>
  <r>
    <n v="3286"/>
    <n v="57"/>
    <s v="Male"/>
    <x v="7"/>
    <s v="Sneakers"/>
    <n v="49.11"/>
    <x v="0"/>
    <s v="Cash on Delivery"/>
    <n v="3.3"/>
    <n v="18"/>
    <n v="4"/>
    <n v="40.270200000000003"/>
    <x v="0"/>
    <x v="0"/>
    <s v="Returning"/>
  </r>
  <r>
    <n v="3287"/>
    <n v="50"/>
    <s v="Female"/>
    <x v="6"/>
    <s v="Skincare Kit"/>
    <n v="71.64"/>
    <x v="2"/>
    <s v="Cash on Delivery"/>
    <n v="4.5"/>
    <n v="20"/>
    <n v="5"/>
    <n v="57.312000000000005"/>
    <x v="0"/>
    <x v="0"/>
    <s v="Returning"/>
  </r>
  <r>
    <n v="3288"/>
    <n v="30"/>
    <s v="Male"/>
    <x v="3"/>
    <s v="Lamp"/>
    <n v="165.95"/>
    <x v="0"/>
    <s v="Card"/>
    <n v="4.5"/>
    <n v="18"/>
    <n v="4"/>
    <n v="136.07900000000001"/>
    <x v="4"/>
    <x v="0"/>
    <s v="Returning"/>
  </r>
  <r>
    <n v="3289"/>
    <n v="62"/>
    <s v="Male"/>
    <x v="2"/>
    <s v="Football"/>
    <n v="248.99"/>
    <x v="0"/>
    <s v="Card"/>
    <n v="2.8"/>
    <n v="13"/>
    <n v="4"/>
    <n v="216.62130000000002"/>
    <x v="2"/>
    <x v="0"/>
    <s v="Returning"/>
  </r>
  <r>
    <n v="3290"/>
    <n v="35"/>
    <s v="Male"/>
    <x v="5"/>
    <s v="Laptop"/>
    <n v="2952.94"/>
    <x v="1"/>
    <s v="Card"/>
    <n v="3"/>
    <n v="11"/>
    <n v="3"/>
    <n v="2628.1166000000003"/>
    <x v="4"/>
    <x v="0"/>
    <s v="Returning"/>
  </r>
  <r>
    <n v="3291"/>
    <n v="20"/>
    <s v="Male"/>
    <x v="2"/>
    <s v="Football"/>
    <n v="226.69"/>
    <x v="3"/>
    <s v="Card"/>
    <n v="4"/>
    <n v="17"/>
    <n v="6"/>
    <n v="188.15269999999998"/>
    <x v="3"/>
    <x v="0"/>
    <s v="Returning"/>
  </r>
  <r>
    <n v="3292"/>
    <n v="41"/>
    <s v="Male"/>
    <x v="1"/>
    <s v="T-Shirt"/>
    <n v="136.81"/>
    <x v="0"/>
    <s v="Card"/>
    <n v="4"/>
    <n v="9"/>
    <n v="2"/>
    <n v="124.4971"/>
    <x v="1"/>
    <x v="0"/>
    <s v="Returning"/>
  </r>
  <r>
    <n v="3293"/>
    <n v="60"/>
    <s v="Female"/>
    <x v="7"/>
    <s v="Formal Shoes"/>
    <n v="191.66"/>
    <x v="1"/>
    <s v="Card"/>
    <n v="5"/>
    <n v="9"/>
    <n v="2"/>
    <n v="174.41060000000002"/>
    <x v="0"/>
    <x v="0"/>
    <s v="Returning"/>
  </r>
  <r>
    <n v="3294"/>
    <n v="34"/>
    <s v="Female"/>
    <x v="8"/>
    <s v="Dress"/>
    <n v="82.77"/>
    <x v="2"/>
    <s v="Cash on Delivery"/>
    <n v="3.5"/>
    <n v="32"/>
    <n v="11"/>
    <n v="56.283599999999993"/>
    <x v="4"/>
    <x v="0"/>
    <s v="Returning"/>
  </r>
  <r>
    <n v="3295"/>
    <n v="52"/>
    <s v="Female"/>
    <x v="7"/>
    <s v="Sandals"/>
    <n v="50.19"/>
    <x v="3"/>
    <s v="Card"/>
    <n v="4.2"/>
    <n v="17"/>
    <n v="6"/>
    <n v="41.657699999999998"/>
    <x v="0"/>
    <x v="0"/>
    <s v="Returning"/>
  </r>
  <r>
    <n v="3296"/>
    <n v="43"/>
    <s v="Female"/>
    <x v="0"/>
    <s v="Sunglasses"/>
    <n v="170.71"/>
    <x v="2"/>
    <s v="Card"/>
    <n v="3"/>
    <n v="15"/>
    <n v="5"/>
    <n v="145.1035"/>
    <x v="1"/>
    <x v="0"/>
    <s v="Returning"/>
  </r>
  <r>
    <n v="3297"/>
    <n v="22"/>
    <s v="Male"/>
    <x v="1"/>
    <s v="Jacket"/>
    <n v="57.55"/>
    <x v="3"/>
    <s v="Cash on Delivery"/>
    <n v="3.4"/>
    <n v="10"/>
    <n v="5"/>
    <n v="51.795000000000002"/>
    <x v="3"/>
    <x v="0"/>
    <s v="Returning"/>
  </r>
  <r>
    <n v="3298"/>
    <n v="25"/>
    <s v="Male"/>
    <x v="5"/>
    <s v="Smart Watch"/>
    <n v="1659.69"/>
    <x v="0"/>
    <s v="Card"/>
    <n v="4.0999999999999996"/>
    <n v="11"/>
    <n v="3"/>
    <n v="1477.1241"/>
    <x v="3"/>
    <x v="0"/>
    <s v="Returning"/>
  </r>
  <r>
    <n v="3299"/>
    <n v="50"/>
    <s v="Male"/>
    <x v="2"/>
    <s v="Football"/>
    <n v="99.86"/>
    <x v="1"/>
    <s v="Card"/>
    <n v="3.2"/>
    <n v="22"/>
    <n v="6"/>
    <n v="77.890799999999999"/>
    <x v="0"/>
    <x v="0"/>
    <s v="Returning"/>
  </r>
  <r>
    <n v="3300"/>
    <n v="61"/>
    <s v="Female"/>
    <x v="7"/>
    <s v="Formal Shoes"/>
    <n v="101.31"/>
    <x v="3"/>
    <s v="Card"/>
    <n v="3.6"/>
    <n v="16"/>
    <n v="3"/>
    <n v="85.100399999999993"/>
    <x v="2"/>
    <x v="0"/>
    <s v="Returning"/>
  </r>
  <r>
    <n v="3301"/>
    <n v="37"/>
    <s v="Male"/>
    <x v="5"/>
    <s v="Laptop"/>
    <n v="1894.44"/>
    <x v="2"/>
    <s v="Card"/>
    <n v="4.3"/>
    <n v="12"/>
    <n v="6"/>
    <n v="1667.1072000000001"/>
    <x v="1"/>
    <x v="0"/>
    <s v="Returning"/>
  </r>
  <r>
    <n v="3302"/>
    <n v="44"/>
    <s v="Female"/>
    <x v="7"/>
    <s v="Sneakers"/>
    <n v="110.78"/>
    <x v="1"/>
    <s v="Card"/>
    <n v="3.3"/>
    <n v="20"/>
    <n v="5"/>
    <n v="88.624000000000009"/>
    <x v="1"/>
    <x v="0"/>
    <s v="Returning"/>
  </r>
  <r>
    <n v="3303"/>
    <n v="45"/>
    <s v="Female"/>
    <x v="6"/>
    <s v="Makeup Set"/>
    <n v="40.99"/>
    <x v="1"/>
    <s v="Card"/>
    <n v="3.8"/>
    <n v="14"/>
    <n v="2"/>
    <n v="35.251400000000004"/>
    <x v="1"/>
    <x v="0"/>
    <s v="Returning"/>
  </r>
  <r>
    <n v="3304"/>
    <n v="66"/>
    <s v="Female"/>
    <x v="8"/>
    <s v="Dress"/>
    <n v="45.9"/>
    <x v="3"/>
    <s v="Cash on Delivery"/>
    <n v="3.5"/>
    <n v="16"/>
    <n v="8"/>
    <n v="38.555999999999997"/>
    <x v="2"/>
    <x v="0"/>
    <s v="Returning"/>
  </r>
  <r>
    <n v="3305"/>
    <n v="61"/>
    <s v="Female"/>
    <x v="0"/>
    <s v="Wallet"/>
    <n v="48.25"/>
    <x v="2"/>
    <s v="Card"/>
    <n v="3.6"/>
    <n v="10"/>
    <n v="5"/>
    <n v="43.425000000000004"/>
    <x v="2"/>
    <x v="0"/>
    <s v="Returning"/>
  </r>
  <r>
    <n v="3306"/>
    <n v="49"/>
    <s v="Male"/>
    <x v="5"/>
    <s v="Mobile Phone"/>
    <n v="2743.44"/>
    <x v="3"/>
    <s v="Card"/>
    <n v="4.7"/>
    <n v="20"/>
    <n v="5"/>
    <n v="2194.752"/>
    <x v="0"/>
    <x v="0"/>
    <s v="Returning"/>
  </r>
  <r>
    <n v="3307"/>
    <n v="21"/>
    <s v="Female"/>
    <x v="8"/>
    <s v="Top"/>
    <n v="103.61"/>
    <x v="0"/>
    <s v="Card"/>
    <n v="3.8"/>
    <n v="10"/>
    <n v="5"/>
    <n v="93.248999999999995"/>
    <x v="3"/>
    <x v="0"/>
    <s v="Returning"/>
  </r>
  <r>
    <n v="3308"/>
    <n v="28"/>
    <s v="Male"/>
    <x v="5"/>
    <s v="Mobile Phone"/>
    <n v="2722.53"/>
    <x v="1"/>
    <s v="Card"/>
    <n v="3.9"/>
    <n v="17"/>
    <n v="6"/>
    <n v="2259.6999000000001"/>
    <x v="4"/>
    <x v="0"/>
    <s v="Returning"/>
  </r>
  <r>
    <n v="3309"/>
    <n v="41"/>
    <s v="Male"/>
    <x v="5"/>
    <s v="Smart Watch"/>
    <n v="956.14"/>
    <x v="0"/>
    <s v="Card"/>
    <n v="3.5"/>
    <n v="21"/>
    <n v="8"/>
    <n v="755.35059999999999"/>
    <x v="1"/>
    <x v="0"/>
    <s v="Returning"/>
  </r>
  <r>
    <n v="3310"/>
    <n v="59"/>
    <s v="Male"/>
    <x v="1"/>
    <s v="Jacket"/>
    <n v="179.08"/>
    <x v="2"/>
    <s v="Card"/>
    <n v="3.9"/>
    <n v="11"/>
    <n v="3"/>
    <n v="159.38120000000001"/>
    <x v="0"/>
    <x v="0"/>
    <s v="Returning"/>
  </r>
  <r>
    <n v="3311"/>
    <n v="70"/>
    <s v="Male"/>
    <x v="7"/>
    <s v="Sneakers"/>
    <n v="237.9"/>
    <x v="2"/>
    <s v="Card"/>
    <n v="3.3"/>
    <n v="13"/>
    <n v="4"/>
    <n v="206.97300000000001"/>
    <x v="2"/>
    <x v="0"/>
    <s v="Returning"/>
  </r>
  <r>
    <n v="3312"/>
    <n v="21"/>
    <s v="Female"/>
    <x v="7"/>
    <s v="Formal Shoes"/>
    <n v="112.2"/>
    <x v="2"/>
    <s v="Card"/>
    <n v="3"/>
    <n v="15"/>
    <n v="5"/>
    <n v="95.37"/>
    <x v="3"/>
    <x v="0"/>
    <s v="Returning"/>
  </r>
  <r>
    <n v="3313"/>
    <n v="53"/>
    <s v="Female"/>
    <x v="8"/>
    <s v="Dress"/>
    <n v="100.01"/>
    <x v="3"/>
    <s v="Card"/>
    <n v="3.4"/>
    <n v="21"/>
    <n v="8"/>
    <n v="79.007900000000006"/>
    <x v="0"/>
    <x v="0"/>
    <s v="Returning"/>
  </r>
  <r>
    <n v="3314"/>
    <n v="46"/>
    <s v="Male"/>
    <x v="7"/>
    <s v="Formal Shoes"/>
    <n v="70.16"/>
    <x v="0"/>
    <s v="Card"/>
    <n v="4"/>
    <n v="22"/>
    <n v="6"/>
    <n v="54.724800000000002"/>
    <x v="0"/>
    <x v="0"/>
    <s v="Returning"/>
  </r>
  <r>
    <n v="3315"/>
    <n v="61"/>
    <s v="Female"/>
    <x v="8"/>
    <s v="Skirt"/>
    <n v="128.44"/>
    <x v="1"/>
    <s v="Card"/>
    <n v="4.5999999999999996"/>
    <n v="18"/>
    <n v="4"/>
    <n v="105.32080000000001"/>
    <x v="2"/>
    <x v="0"/>
    <s v="Returning"/>
  </r>
  <r>
    <n v="3316"/>
    <n v="43"/>
    <s v="Male"/>
    <x v="1"/>
    <s v="T-Shirt"/>
    <n v="84.29"/>
    <x v="1"/>
    <s v="Cash on Delivery"/>
    <n v="3"/>
    <n v="8"/>
    <n v="4"/>
    <n v="77.546800000000005"/>
    <x v="1"/>
    <x v="0"/>
    <s v="Returning"/>
  </r>
  <r>
    <n v="3317"/>
    <n v="39"/>
    <s v="Female"/>
    <x v="7"/>
    <s v="Sneakers"/>
    <n v="139.91"/>
    <x v="2"/>
    <s v="Card"/>
    <n v="3.8"/>
    <n v="12"/>
    <n v="6"/>
    <n v="123.1208"/>
    <x v="1"/>
    <x v="0"/>
    <s v="Returning"/>
  </r>
  <r>
    <n v="3318"/>
    <n v="25"/>
    <s v="Female"/>
    <x v="7"/>
    <s v="Sandals"/>
    <n v="66.52"/>
    <x v="0"/>
    <s v="Cash on Delivery"/>
    <n v="3.8"/>
    <n v="8"/>
    <n v="4"/>
    <n v="61.198399999999999"/>
    <x v="3"/>
    <x v="0"/>
    <s v="Returning"/>
  </r>
  <r>
    <n v="3319"/>
    <n v="69"/>
    <s v="Female"/>
    <x v="6"/>
    <s v="Perfume"/>
    <n v="49.37"/>
    <x v="0"/>
    <s v="Cash on Delivery"/>
    <n v="4.3"/>
    <n v="2"/>
    <n v="1"/>
    <n v="48.382599999999996"/>
    <x v="2"/>
    <x v="0"/>
    <s v="Returning"/>
  </r>
  <r>
    <n v="3320"/>
    <n v="52"/>
    <s v="Female"/>
    <x v="6"/>
    <s v="Skincare Kit"/>
    <n v="33.78"/>
    <x v="1"/>
    <s v="Cash on Delivery"/>
    <n v="2.4"/>
    <n v="15"/>
    <n v="5"/>
    <n v="28.713000000000001"/>
    <x v="0"/>
    <x v="0"/>
    <s v="Returning"/>
  </r>
  <r>
    <n v="3321"/>
    <n v="40"/>
    <s v="Male"/>
    <x v="1"/>
    <s v="Jacket"/>
    <n v="70.77"/>
    <x v="0"/>
    <s v="Card"/>
    <n v="4.5"/>
    <n v="16"/>
    <n v="3"/>
    <n v="59.446799999999996"/>
    <x v="1"/>
    <x v="0"/>
    <s v="Returning"/>
  </r>
  <r>
    <n v="3322"/>
    <n v="29"/>
    <s v="Female"/>
    <x v="8"/>
    <s v="Jeans"/>
    <n v="65.09"/>
    <x v="1"/>
    <s v="Cash on Delivery"/>
    <n v="4.5999999999999996"/>
    <n v="4"/>
    <n v="2"/>
    <n v="62.486400000000003"/>
    <x v="4"/>
    <x v="0"/>
    <s v="Returning"/>
  </r>
  <r>
    <n v="3323"/>
    <n v="65"/>
    <s v="Male"/>
    <x v="2"/>
    <s v="Yoga Mat"/>
    <n v="245.06"/>
    <x v="1"/>
    <s v="Card"/>
    <n v="3.1"/>
    <n v="10"/>
    <n v="5"/>
    <n v="220.554"/>
    <x v="2"/>
    <x v="0"/>
    <s v="Returning"/>
  </r>
  <r>
    <n v="3324"/>
    <n v="61"/>
    <s v="Female"/>
    <x v="0"/>
    <s v="Handbag"/>
    <n v="68.040000000000006"/>
    <x v="0"/>
    <s v="Cash on Delivery"/>
    <n v="4.9000000000000004"/>
    <n v="18"/>
    <n v="9"/>
    <n v="55.792800000000007"/>
    <x v="2"/>
    <x v="0"/>
    <s v="Returning"/>
  </r>
  <r>
    <n v="3325"/>
    <n v="66"/>
    <s v="Female"/>
    <x v="0"/>
    <s v="Handbag"/>
    <n v="41.18"/>
    <x v="2"/>
    <s v="Cash on Delivery"/>
    <n v="2.8"/>
    <n v="2"/>
    <n v="1"/>
    <n v="40.356400000000001"/>
    <x v="2"/>
    <x v="0"/>
    <s v="Returning"/>
  </r>
  <r>
    <n v="3326"/>
    <n v="63"/>
    <s v="Male"/>
    <x v="2"/>
    <s v="Football"/>
    <n v="154.11000000000001"/>
    <x v="0"/>
    <s v="Card"/>
    <n v="3.3"/>
    <n v="13"/>
    <n v="4"/>
    <n v="134.07570000000001"/>
    <x v="2"/>
    <x v="0"/>
    <s v="Returning"/>
  </r>
  <r>
    <n v="3327"/>
    <n v="24"/>
    <s v="Female"/>
    <x v="7"/>
    <s v="Sneakers"/>
    <n v="174.93"/>
    <x v="3"/>
    <s v="Card"/>
    <n v="3.9"/>
    <n v="17"/>
    <n v="6"/>
    <n v="145.1919"/>
    <x v="3"/>
    <x v="0"/>
    <s v="Returning"/>
  </r>
  <r>
    <n v="3328"/>
    <n v="38"/>
    <s v="Male"/>
    <x v="1"/>
    <s v="Jacket"/>
    <n v="192.91"/>
    <x v="1"/>
    <s v="Card"/>
    <n v="3.6"/>
    <n v="16"/>
    <n v="8"/>
    <n v="162.0444"/>
    <x v="1"/>
    <x v="0"/>
    <s v="Returning"/>
  </r>
  <r>
    <n v="3329"/>
    <n v="21"/>
    <s v="Female"/>
    <x v="7"/>
    <s v="Formal Shoes"/>
    <n v="42.33"/>
    <x v="3"/>
    <s v="Cash on Delivery"/>
    <n v="2.9"/>
    <n v="9"/>
    <n v="2"/>
    <n v="38.520299999999999"/>
    <x v="3"/>
    <x v="0"/>
    <s v="Returning"/>
  </r>
  <r>
    <n v="3330"/>
    <n v="41"/>
    <s v="Female"/>
    <x v="3"/>
    <s v="Curtains"/>
    <n v="260.49"/>
    <x v="3"/>
    <s v="Card"/>
    <n v="4"/>
    <n v="22"/>
    <n v="6"/>
    <n v="203.18220000000002"/>
    <x v="1"/>
    <x v="0"/>
    <s v="Returning"/>
  </r>
  <r>
    <n v="3331"/>
    <n v="42"/>
    <s v="Male"/>
    <x v="1"/>
    <s v="Jeans"/>
    <n v="48.33"/>
    <x v="3"/>
    <s v="Cash on Delivery"/>
    <n v="5"/>
    <n v="10"/>
    <n v="5"/>
    <n v="43.497"/>
    <x v="1"/>
    <x v="0"/>
    <s v="Returning"/>
  </r>
  <r>
    <n v="3332"/>
    <n v="56"/>
    <s v="Female"/>
    <x v="6"/>
    <s v="Makeup Set"/>
    <n v="100.08"/>
    <x v="3"/>
    <s v="Card"/>
    <n v="3.5"/>
    <n v="8"/>
    <n v="4"/>
    <n v="92.073599999999999"/>
    <x v="0"/>
    <x v="0"/>
    <s v="Returning"/>
  </r>
  <r>
    <n v="3333"/>
    <n v="25"/>
    <s v="Male"/>
    <x v="7"/>
    <s v="Formal Shoes"/>
    <n v="98.36"/>
    <x v="0"/>
    <s v="Card"/>
    <n v="4.3"/>
    <n v="9"/>
    <n v="2"/>
    <n v="89.507599999999996"/>
    <x v="3"/>
    <x v="0"/>
    <s v="Returning"/>
  </r>
  <r>
    <n v="3334"/>
    <n v="34"/>
    <s v="Male"/>
    <x v="5"/>
    <s v="Mobile Phone"/>
    <n v="2073.3000000000002"/>
    <x v="0"/>
    <s v="Card"/>
    <n v="4.2"/>
    <n v="8"/>
    <n v="4"/>
    <n v="1907.4360000000001"/>
    <x v="4"/>
    <x v="0"/>
    <s v="Returning"/>
  </r>
  <r>
    <n v="3335"/>
    <n v="47"/>
    <s v="Female"/>
    <x v="8"/>
    <s v="Top"/>
    <n v="98.36"/>
    <x v="3"/>
    <s v="Cash on Delivery"/>
    <n v="3.7"/>
    <n v="18"/>
    <n v="4"/>
    <n v="80.655200000000008"/>
    <x v="0"/>
    <x v="0"/>
    <s v="Returning"/>
  </r>
  <r>
    <n v="3336"/>
    <n v="35"/>
    <s v="Male"/>
    <x v="2"/>
    <s v="Football"/>
    <n v="32.78"/>
    <x v="1"/>
    <s v="Cash on Delivery"/>
    <n v="4.5"/>
    <n v="10"/>
    <n v="5"/>
    <n v="29.502000000000002"/>
    <x v="4"/>
    <x v="0"/>
    <s v="Returning"/>
  </r>
  <r>
    <n v="3337"/>
    <n v="26"/>
    <s v="Male"/>
    <x v="2"/>
    <s v="Dumbbells"/>
    <n v="168"/>
    <x v="1"/>
    <s v="Card"/>
    <n v="2.9"/>
    <n v="14"/>
    <n v="7"/>
    <n v="144.47999999999999"/>
    <x v="4"/>
    <x v="0"/>
    <s v="Returning"/>
  </r>
  <r>
    <n v="3338"/>
    <n v="63"/>
    <s v="Male"/>
    <x v="5"/>
    <s v="Headphones"/>
    <n v="2939.08"/>
    <x v="3"/>
    <s v="Card"/>
    <n v="3.3"/>
    <n v="18"/>
    <n v="4"/>
    <n v="2410.0455999999999"/>
    <x v="2"/>
    <x v="0"/>
    <s v="Returning"/>
  </r>
  <r>
    <n v="3339"/>
    <n v="59"/>
    <s v="Female"/>
    <x v="0"/>
    <s v="Sunglasses"/>
    <n v="37.43"/>
    <x v="2"/>
    <s v="Cash on Delivery"/>
    <n v="2.4"/>
    <n v="18"/>
    <n v="4"/>
    <n v="30.692600000000002"/>
    <x v="0"/>
    <x v="0"/>
    <s v="Returning"/>
  </r>
  <r>
    <n v="3340"/>
    <n v="57"/>
    <s v="Male"/>
    <x v="7"/>
    <s v="Sneakers"/>
    <n v="219.41"/>
    <x v="3"/>
    <s v="Card"/>
    <n v="4.3"/>
    <n v="18"/>
    <n v="4"/>
    <n v="179.9162"/>
    <x v="0"/>
    <x v="0"/>
    <s v="Returning"/>
  </r>
  <r>
    <n v="3341"/>
    <n v="24"/>
    <s v="Female"/>
    <x v="7"/>
    <s v="Sandals"/>
    <n v="79.680000000000007"/>
    <x v="1"/>
    <s v="Card"/>
    <n v="3.6"/>
    <n v="10"/>
    <n v="5"/>
    <n v="71.712000000000003"/>
    <x v="3"/>
    <x v="0"/>
    <s v="Returning"/>
  </r>
  <r>
    <n v="3342"/>
    <n v="44"/>
    <s v="Female"/>
    <x v="6"/>
    <s v="Perfume"/>
    <n v="83.41"/>
    <x v="1"/>
    <s v="Cash on Delivery"/>
    <n v="3.2"/>
    <n v="14"/>
    <n v="7"/>
    <n v="71.732599999999991"/>
    <x v="1"/>
    <x v="0"/>
    <s v="Returning"/>
  </r>
  <r>
    <n v="3343"/>
    <n v="35"/>
    <s v="Male"/>
    <x v="4"/>
    <s v="Beverages"/>
    <n v="19.63"/>
    <x v="3"/>
    <s v="Card"/>
    <n v="4.8"/>
    <n v="12"/>
    <n v="6"/>
    <n v="17.2744"/>
    <x v="4"/>
    <x v="0"/>
    <s v="Returning"/>
  </r>
  <r>
    <n v="3344"/>
    <n v="55"/>
    <s v="Male"/>
    <x v="1"/>
    <s v="Shirt"/>
    <n v="112.09"/>
    <x v="0"/>
    <s v="Card"/>
    <n v="3.6"/>
    <n v="8"/>
    <n v="4"/>
    <n v="103.12280000000001"/>
    <x v="0"/>
    <x v="0"/>
    <s v="Returning"/>
  </r>
  <r>
    <n v="3345"/>
    <n v="31"/>
    <s v="Female"/>
    <x v="3"/>
    <s v="Curtains"/>
    <n v="218.84"/>
    <x v="3"/>
    <s v="Card"/>
    <n v="4.0999999999999996"/>
    <n v="20"/>
    <n v="5"/>
    <n v="175.072"/>
    <x v="4"/>
    <x v="0"/>
    <s v="Returning"/>
  </r>
  <r>
    <n v="3346"/>
    <n v="62"/>
    <s v="Female"/>
    <x v="6"/>
    <s v="Perfume"/>
    <n v="136.35"/>
    <x v="2"/>
    <s v="Card"/>
    <n v="2.7"/>
    <n v="12"/>
    <n v="6"/>
    <n v="119.988"/>
    <x v="2"/>
    <x v="0"/>
    <s v="Returning"/>
  </r>
  <r>
    <n v="3347"/>
    <n v="52"/>
    <s v="Female"/>
    <x v="2"/>
    <s v="Dumbbells"/>
    <n v="210.16"/>
    <x v="0"/>
    <s v="Card"/>
    <n v="3"/>
    <n v="10"/>
    <n v="5"/>
    <n v="189.14400000000001"/>
    <x v="0"/>
    <x v="0"/>
    <s v="Returning"/>
  </r>
  <r>
    <n v="3348"/>
    <n v="53"/>
    <s v="Male"/>
    <x v="1"/>
    <s v="Shirt"/>
    <n v="90.13"/>
    <x v="1"/>
    <s v="Card"/>
    <n v="3.5"/>
    <n v="18"/>
    <n v="4"/>
    <n v="73.906599999999997"/>
    <x v="0"/>
    <x v="0"/>
    <s v="Returning"/>
  </r>
  <r>
    <n v="3349"/>
    <n v="28"/>
    <s v="Female"/>
    <x v="6"/>
    <s v="Skincare Kit"/>
    <n v="132.16999999999999"/>
    <x v="0"/>
    <s v="Card"/>
    <n v="2.7"/>
    <n v="19"/>
    <n v="7"/>
    <n v="107.0577"/>
    <x v="4"/>
    <x v="0"/>
    <s v="Returning"/>
  </r>
  <r>
    <n v="3350"/>
    <n v="20"/>
    <s v="Male"/>
    <x v="7"/>
    <s v="Formal Shoes"/>
    <n v="162.4"/>
    <x v="2"/>
    <s v="Card"/>
    <n v="3.5"/>
    <n v="8"/>
    <n v="4"/>
    <n v="149.40800000000002"/>
    <x v="3"/>
    <x v="0"/>
    <s v="Returning"/>
  </r>
  <r>
    <n v="3351"/>
    <n v="47"/>
    <s v="Female"/>
    <x v="3"/>
    <s v="Lamp"/>
    <n v="242.74"/>
    <x v="0"/>
    <s v="Card"/>
    <n v="2.8"/>
    <n v="11"/>
    <n v="3"/>
    <n v="216.0386"/>
    <x v="0"/>
    <x v="0"/>
    <s v="Returning"/>
  </r>
  <r>
    <n v="3352"/>
    <n v="40"/>
    <s v="Male"/>
    <x v="1"/>
    <s v="T-Shirt"/>
    <n v="113.99"/>
    <x v="1"/>
    <s v="Card"/>
    <n v="3.2"/>
    <n v="6"/>
    <n v="3"/>
    <n v="107.15059999999998"/>
    <x v="1"/>
    <x v="0"/>
    <s v="Returning"/>
  </r>
  <r>
    <n v="3353"/>
    <n v="24"/>
    <s v="Female"/>
    <x v="0"/>
    <s v="Sunglasses"/>
    <n v="45.95"/>
    <x v="3"/>
    <s v="Cash on Delivery"/>
    <n v="3.9"/>
    <n v="12"/>
    <n v="1"/>
    <n v="40.436"/>
    <x v="3"/>
    <x v="0"/>
    <s v="Returning"/>
  </r>
  <r>
    <n v="3354"/>
    <n v="24"/>
    <s v="Female"/>
    <x v="0"/>
    <s v="Handbag"/>
    <n v="144.09"/>
    <x v="1"/>
    <s v="Card"/>
    <n v="5"/>
    <n v="28"/>
    <n v="9"/>
    <n v="103.7448"/>
    <x v="3"/>
    <x v="0"/>
    <s v="Returning"/>
  </r>
  <r>
    <n v="3355"/>
    <n v="59"/>
    <s v="Male"/>
    <x v="3"/>
    <s v="Curtains"/>
    <n v="79.319999999999993"/>
    <x v="2"/>
    <s v="Cash on Delivery"/>
    <n v="4.4000000000000004"/>
    <n v="22"/>
    <n v="6"/>
    <n v="61.869599999999998"/>
    <x v="0"/>
    <x v="0"/>
    <s v="Returning"/>
  </r>
  <r>
    <n v="3356"/>
    <n v="47"/>
    <s v="Female"/>
    <x v="0"/>
    <s v="Wallet"/>
    <n v="39.79"/>
    <x v="3"/>
    <s v="Card"/>
    <n v="3.3"/>
    <n v="11"/>
    <n v="3"/>
    <n v="35.4131"/>
    <x v="0"/>
    <x v="0"/>
    <s v="Returning"/>
  </r>
  <r>
    <n v="3357"/>
    <n v="68"/>
    <s v="Male"/>
    <x v="7"/>
    <s v="Formal Shoes"/>
    <n v="205.44"/>
    <x v="1"/>
    <s v="Card"/>
    <n v="2"/>
    <n v="18"/>
    <n v="4"/>
    <n v="168.46080000000001"/>
    <x v="2"/>
    <x v="0"/>
    <s v="Returning"/>
  </r>
  <r>
    <n v="3358"/>
    <n v="56"/>
    <s v="Male"/>
    <x v="2"/>
    <s v="Yoga Mat"/>
    <n v="53.45"/>
    <x v="3"/>
    <s v="Cash on Delivery"/>
    <n v="4.5999999999999996"/>
    <n v="10"/>
    <n v="0"/>
    <n v="48.105000000000004"/>
    <x v="0"/>
    <x v="0"/>
    <s v="New"/>
  </r>
  <r>
    <n v="3359"/>
    <n v="34"/>
    <s v="Male"/>
    <x v="2"/>
    <s v="Dumbbells"/>
    <n v="110.27"/>
    <x v="2"/>
    <s v="Card"/>
    <n v="3.3"/>
    <n v="16"/>
    <n v="8"/>
    <n v="92.626799999999989"/>
    <x v="4"/>
    <x v="0"/>
    <s v="Returning"/>
  </r>
  <r>
    <n v="3360"/>
    <n v="31"/>
    <s v="Male"/>
    <x v="7"/>
    <s v="Sneakers"/>
    <n v="234.04"/>
    <x v="0"/>
    <s v="Card"/>
    <n v="4.5999999999999996"/>
    <n v="14"/>
    <n v="7"/>
    <n v="201.27439999999999"/>
    <x v="4"/>
    <x v="0"/>
    <s v="Returning"/>
  </r>
  <r>
    <n v="3361"/>
    <n v="22"/>
    <s v="Female"/>
    <x v="0"/>
    <s v="Wallet"/>
    <n v="116.71"/>
    <x v="2"/>
    <s v="Card"/>
    <n v="3.8"/>
    <n v="10"/>
    <n v="5"/>
    <n v="105.039"/>
    <x v="3"/>
    <x v="0"/>
    <s v="Returning"/>
  </r>
  <r>
    <n v="3362"/>
    <n v="59"/>
    <s v="Male"/>
    <x v="1"/>
    <s v="T-Shirt"/>
    <n v="176.93"/>
    <x v="2"/>
    <s v="Card"/>
    <n v="5"/>
    <n v="28"/>
    <n v="9"/>
    <n v="127.3896"/>
    <x v="0"/>
    <x v="0"/>
    <s v="Returning"/>
  </r>
  <r>
    <n v="3363"/>
    <n v="20"/>
    <s v="Male"/>
    <x v="7"/>
    <s v="Sneakers"/>
    <n v="51.56"/>
    <x v="1"/>
    <s v="Card"/>
    <n v="3.5"/>
    <n v="20"/>
    <n v="5"/>
    <n v="41.248000000000005"/>
    <x v="3"/>
    <x v="0"/>
    <s v="Returning"/>
  </r>
  <r>
    <n v="3364"/>
    <n v="51"/>
    <s v="Female"/>
    <x v="6"/>
    <s v="Skincare Kit"/>
    <n v="94.53"/>
    <x v="2"/>
    <s v="Cash on Delivery"/>
    <n v="3.7"/>
    <n v="18"/>
    <n v="4"/>
    <n v="77.514600000000002"/>
    <x v="0"/>
    <x v="0"/>
    <s v="Returning"/>
  </r>
  <r>
    <n v="3365"/>
    <n v="22"/>
    <s v="Female"/>
    <x v="2"/>
    <s v="Football"/>
    <n v="52.91"/>
    <x v="0"/>
    <s v="Cash on Delivery"/>
    <n v="4.3"/>
    <n v="26"/>
    <n v="8"/>
    <n v="39.153399999999998"/>
    <x v="3"/>
    <x v="0"/>
    <s v="Returning"/>
  </r>
  <r>
    <n v="3366"/>
    <n v="26"/>
    <s v="Female"/>
    <x v="7"/>
    <s v="Sandals"/>
    <n v="118.99"/>
    <x v="1"/>
    <s v="Card"/>
    <n v="4.0999999999999996"/>
    <n v="13"/>
    <n v="4"/>
    <n v="103.5213"/>
    <x v="4"/>
    <x v="0"/>
    <s v="Returning"/>
  </r>
  <r>
    <n v="3367"/>
    <n v="36"/>
    <s v="Female"/>
    <x v="0"/>
    <s v="Handbag"/>
    <n v="142.22"/>
    <x v="3"/>
    <s v="Card"/>
    <n v="3.1"/>
    <n v="20"/>
    <n v="5"/>
    <n v="113.77600000000001"/>
    <x v="1"/>
    <x v="0"/>
    <s v="Returning"/>
  </r>
  <r>
    <n v="3368"/>
    <n v="38"/>
    <s v="Female"/>
    <x v="3"/>
    <s v="Lamp"/>
    <n v="279.22000000000003"/>
    <x v="3"/>
    <s v="Card"/>
    <n v="4.3"/>
    <n v="5"/>
    <n v="0"/>
    <n v="265.25900000000001"/>
    <x v="1"/>
    <x v="0"/>
    <s v="New"/>
  </r>
  <r>
    <n v="3369"/>
    <n v="22"/>
    <s v="Female"/>
    <x v="6"/>
    <s v="Makeup Set"/>
    <n v="69.319999999999993"/>
    <x v="0"/>
    <s v="Cash on Delivery"/>
    <n v="3.2"/>
    <n v="16"/>
    <n v="3"/>
    <n v="58.228799999999993"/>
    <x v="3"/>
    <x v="0"/>
    <s v="Returning"/>
  </r>
  <r>
    <n v="3370"/>
    <n v="48"/>
    <s v="Male"/>
    <x v="2"/>
    <s v="Yoga Mat"/>
    <n v="185.35"/>
    <x v="1"/>
    <s v="Card"/>
    <n v="1.7"/>
    <n v="16"/>
    <n v="3"/>
    <n v="155.69399999999999"/>
    <x v="0"/>
    <x v="0"/>
    <s v="Returning"/>
  </r>
  <r>
    <n v="3371"/>
    <n v="42"/>
    <s v="Female"/>
    <x v="2"/>
    <s v="Dumbbells"/>
    <n v="93.72"/>
    <x v="2"/>
    <s v="Card"/>
    <n v="4.0999999999999996"/>
    <n v="18"/>
    <n v="4"/>
    <n v="76.850400000000008"/>
    <x v="1"/>
    <x v="0"/>
    <s v="Returning"/>
  </r>
  <r>
    <n v="3372"/>
    <n v="24"/>
    <s v="Male"/>
    <x v="1"/>
    <s v="Shirt"/>
    <n v="158.33000000000001"/>
    <x v="1"/>
    <s v="Card"/>
    <n v="3.2"/>
    <n v="15"/>
    <n v="5"/>
    <n v="134.5805"/>
    <x v="3"/>
    <x v="0"/>
    <s v="Returning"/>
  </r>
  <r>
    <n v="3373"/>
    <n v="24"/>
    <s v="Male"/>
    <x v="7"/>
    <s v="Sandals"/>
    <n v="73.819999999999993"/>
    <x v="0"/>
    <s v="Cash on Delivery"/>
    <n v="3.7"/>
    <n v="22"/>
    <n v="6"/>
    <n v="57.579599999999999"/>
    <x v="3"/>
    <x v="0"/>
    <s v="Returning"/>
  </r>
  <r>
    <n v="3374"/>
    <n v="63"/>
    <s v="Male"/>
    <x v="4"/>
    <s v="Rice Pack"/>
    <n v="13.69"/>
    <x v="1"/>
    <s v="Card"/>
    <n v="3.7"/>
    <n v="16"/>
    <n v="8"/>
    <n v="11.499599999999999"/>
    <x v="2"/>
    <x v="0"/>
    <s v="Returning"/>
  </r>
  <r>
    <n v="3375"/>
    <n v="34"/>
    <s v="Male"/>
    <x v="1"/>
    <s v="Jacket"/>
    <n v="59.1"/>
    <x v="0"/>
    <s v="Card"/>
    <n v="3.6"/>
    <n v="22"/>
    <n v="6"/>
    <n v="46.098000000000006"/>
    <x v="4"/>
    <x v="0"/>
    <s v="Returning"/>
  </r>
  <r>
    <n v="3376"/>
    <n v="57"/>
    <s v="Female"/>
    <x v="3"/>
    <s v="Lamp"/>
    <n v="148.53"/>
    <x v="2"/>
    <s v="Card"/>
    <n v="3.8"/>
    <n v="16"/>
    <n v="3"/>
    <n v="124.76519999999999"/>
    <x v="0"/>
    <x v="0"/>
    <s v="Returning"/>
  </r>
  <r>
    <n v="3377"/>
    <n v="62"/>
    <s v="Male"/>
    <x v="7"/>
    <s v="Formal Shoes"/>
    <n v="171"/>
    <x v="2"/>
    <s v="Card"/>
    <n v="4"/>
    <n v="18"/>
    <n v="4"/>
    <n v="140.22"/>
    <x v="2"/>
    <x v="0"/>
    <s v="Returning"/>
  </r>
  <r>
    <n v="3378"/>
    <n v="49"/>
    <s v="Male"/>
    <x v="4"/>
    <s v="Beverages"/>
    <n v="56.43"/>
    <x v="2"/>
    <s v="Cash on Delivery"/>
    <n v="3.2"/>
    <n v="16"/>
    <n v="3"/>
    <n v="47.401199999999996"/>
    <x v="0"/>
    <x v="0"/>
    <s v="Returning"/>
  </r>
  <r>
    <n v="3379"/>
    <n v="41"/>
    <s v="Female"/>
    <x v="6"/>
    <s v="Makeup Set"/>
    <n v="85.3"/>
    <x v="1"/>
    <s v="Card"/>
    <n v="5"/>
    <n v="10"/>
    <n v="5"/>
    <n v="76.77"/>
    <x v="1"/>
    <x v="0"/>
    <s v="Returning"/>
  </r>
  <r>
    <n v="3380"/>
    <n v="47"/>
    <s v="Female"/>
    <x v="6"/>
    <s v="Skincare Kit"/>
    <n v="122.41"/>
    <x v="0"/>
    <s v="Card"/>
    <n v="4.2"/>
    <n v="18"/>
    <n v="4"/>
    <n v="100.37620000000001"/>
    <x v="0"/>
    <x v="0"/>
    <s v="Returning"/>
  </r>
  <r>
    <n v="3381"/>
    <n v="49"/>
    <s v="Female"/>
    <x v="7"/>
    <s v="Sneakers"/>
    <n v="99.87"/>
    <x v="0"/>
    <s v="Card"/>
    <n v="3.6"/>
    <n v="19"/>
    <n v="7"/>
    <n v="80.894700000000014"/>
    <x v="0"/>
    <x v="0"/>
    <s v="Returning"/>
  </r>
  <r>
    <n v="3382"/>
    <n v="41"/>
    <s v="Female"/>
    <x v="7"/>
    <s v="Formal Shoes"/>
    <n v="214.67"/>
    <x v="0"/>
    <s v="Card"/>
    <n v="3.7"/>
    <n v="16"/>
    <n v="8"/>
    <n v="180.32279999999997"/>
    <x v="1"/>
    <x v="0"/>
    <s v="Returning"/>
  </r>
  <r>
    <n v="3383"/>
    <n v="56"/>
    <s v="Female"/>
    <x v="6"/>
    <s v="Skincare Kit"/>
    <n v="48.85"/>
    <x v="0"/>
    <s v="Card"/>
    <n v="4.7"/>
    <n v="16"/>
    <n v="3"/>
    <n v="41.033999999999999"/>
    <x v="0"/>
    <x v="0"/>
    <s v="Returning"/>
  </r>
  <r>
    <n v="3384"/>
    <n v="21"/>
    <s v="Female"/>
    <x v="3"/>
    <s v="Kitchen Set"/>
    <n v="184.48"/>
    <x v="2"/>
    <s v="Card"/>
    <n v="4.5999999999999996"/>
    <n v="27"/>
    <n v="11"/>
    <n v="134.6704"/>
    <x v="3"/>
    <x v="0"/>
    <s v="Returning"/>
  </r>
  <r>
    <n v="3385"/>
    <n v="24"/>
    <s v="Male"/>
    <x v="2"/>
    <s v="Dumbbells"/>
    <n v="137.49"/>
    <x v="3"/>
    <s v="Card"/>
    <n v="3.3"/>
    <n v="11"/>
    <n v="3"/>
    <n v="122.3661"/>
    <x v="3"/>
    <x v="0"/>
    <s v="Returning"/>
  </r>
  <r>
    <n v="3386"/>
    <n v="44"/>
    <s v="Female"/>
    <x v="8"/>
    <s v="Skirt"/>
    <n v="32.06"/>
    <x v="2"/>
    <s v="Cash on Delivery"/>
    <n v="3.6"/>
    <n v="15"/>
    <n v="5"/>
    <n v="27.251000000000001"/>
    <x v="1"/>
    <x v="0"/>
    <s v="Returning"/>
  </r>
  <r>
    <n v="3387"/>
    <n v="68"/>
    <s v="Male"/>
    <x v="1"/>
    <s v="T-Shirt"/>
    <n v="192.92"/>
    <x v="0"/>
    <s v="Card"/>
    <n v="4.0999999999999996"/>
    <n v="13"/>
    <n v="4"/>
    <n v="167.84039999999999"/>
    <x v="2"/>
    <x v="0"/>
    <s v="Returning"/>
  </r>
  <r>
    <n v="3388"/>
    <n v="41"/>
    <s v="Female"/>
    <x v="4"/>
    <s v="Rice Pack"/>
    <n v="17.899999999999999"/>
    <x v="3"/>
    <s v="Card"/>
    <n v="2.5"/>
    <n v="30"/>
    <n v="10"/>
    <n v="12.529999999999998"/>
    <x v="1"/>
    <x v="0"/>
    <s v="Returning"/>
  </r>
  <r>
    <n v="3389"/>
    <n v="43"/>
    <s v="Female"/>
    <x v="2"/>
    <s v="Dumbbells"/>
    <n v="122.74"/>
    <x v="3"/>
    <s v="Card"/>
    <n v="4.5"/>
    <n v="17"/>
    <n v="6"/>
    <n v="101.87419999999999"/>
    <x v="1"/>
    <x v="0"/>
    <s v="Returning"/>
  </r>
  <r>
    <n v="3390"/>
    <n v="21"/>
    <s v="Female"/>
    <x v="7"/>
    <s v="Sandals"/>
    <n v="84.31"/>
    <x v="0"/>
    <s v="Card"/>
    <n v="3.3"/>
    <n v="4"/>
    <n v="2"/>
    <n v="80.937600000000003"/>
    <x v="3"/>
    <x v="0"/>
    <s v="Returning"/>
  </r>
  <r>
    <n v="3391"/>
    <n v="63"/>
    <s v="Female"/>
    <x v="8"/>
    <s v="Dress"/>
    <n v="179.53"/>
    <x v="0"/>
    <s v="Card"/>
    <n v="4.5999999999999996"/>
    <n v="13"/>
    <n v="4"/>
    <n v="156.19110000000001"/>
    <x v="2"/>
    <x v="0"/>
    <s v="Returning"/>
  </r>
  <r>
    <n v="3392"/>
    <n v="63"/>
    <s v="Female"/>
    <x v="8"/>
    <s v="Jeans"/>
    <n v="102.83"/>
    <x v="0"/>
    <s v="Card"/>
    <n v="2.2999999999999998"/>
    <n v="14"/>
    <n v="7"/>
    <n v="88.433799999999991"/>
    <x v="2"/>
    <x v="0"/>
    <s v="Returning"/>
  </r>
  <r>
    <n v="3393"/>
    <n v="46"/>
    <s v="Male"/>
    <x v="5"/>
    <s v="Mobile Phone"/>
    <n v="1334.9"/>
    <x v="3"/>
    <s v="Card"/>
    <n v="2.4"/>
    <n v="16"/>
    <n v="3"/>
    <n v="1121.316"/>
    <x v="0"/>
    <x v="0"/>
    <s v="Returning"/>
  </r>
  <r>
    <n v="3394"/>
    <n v="60"/>
    <s v="Male"/>
    <x v="5"/>
    <s v="Headphones"/>
    <n v="2995.9"/>
    <x v="1"/>
    <s v="Card"/>
    <n v="4.5999999999999996"/>
    <n v="14"/>
    <n v="7"/>
    <n v="2576.4740000000002"/>
    <x v="0"/>
    <x v="0"/>
    <s v="Returning"/>
  </r>
  <r>
    <n v="3395"/>
    <n v="26"/>
    <s v="Female"/>
    <x v="7"/>
    <s v="Sandals"/>
    <n v="112.8"/>
    <x v="0"/>
    <s v="Card"/>
    <n v="3.7"/>
    <n v="26"/>
    <n v="8"/>
    <n v="83.471999999999994"/>
    <x v="4"/>
    <x v="0"/>
    <s v="Returning"/>
  </r>
  <r>
    <n v="3396"/>
    <n v="65"/>
    <s v="Female"/>
    <x v="6"/>
    <s v="Makeup Set"/>
    <n v="116.4"/>
    <x v="2"/>
    <s v="Card"/>
    <n v="3.9"/>
    <n v="30"/>
    <n v="10"/>
    <n v="81.48"/>
    <x v="2"/>
    <x v="0"/>
    <s v="Returning"/>
  </r>
  <r>
    <n v="3397"/>
    <n v="69"/>
    <s v="Female"/>
    <x v="0"/>
    <s v="Sunglasses"/>
    <n v="106.97"/>
    <x v="2"/>
    <s v="Card"/>
    <n v="4.0999999999999996"/>
    <n v="13"/>
    <n v="4"/>
    <n v="93.063900000000004"/>
    <x v="2"/>
    <x v="0"/>
    <s v="Returning"/>
  </r>
  <r>
    <n v="3398"/>
    <n v="48"/>
    <s v="Male"/>
    <x v="7"/>
    <s v="Sneakers"/>
    <n v="106.53"/>
    <x v="1"/>
    <s v="Card"/>
    <n v="4.7"/>
    <n v="22"/>
    <n v="6"/>
    <n v="83.093400000000003"/>
    <x v="0"/>
    <x v="0"/>
    <s v="Returning"/>
  </r>
  <r>
    <n v="3399"/>
    <n v="22"/>
    <s v="Female"/>
    <x v="4"/>
    <s v="Cooking Oil"/>
    <n v="71.849999999999994"/>
    <x v="1"/>
    <s v="Card"/>
    <n v="3.6"/>
    <n v="22"/>
    <n v="6"/>
    <n v="56.042999999999999"/>
    <x v="3"/>
    <x v="0"/>
    <s v="Returning"/>
  </r>
  <r>
    <n v="3400"/>
    <n v="23"/>
    <s v="Male"/>
    <x v="2"/>
    <s v="Dumbbells"/>
    <n v="79.17"/>
    <x v="3"/>
    <s v="Card"/>
    <n v="3.9"/>
    <n v="13"/>
    <n v="4"/>
    <n v="68.877899999999997"/>
    <x v="3"/>
    <x v="0"/>
    <s v="Returning"/>
  </r>
  <r>
    <n v="3401"/>
    <n v="21"/>
    <s v="Male"/>
    <x v="7"/>
    <s v="Sneakers"/>
    <n v="218.6"/>
    <x v="2"/>
    <s v="Card"/>
    <n v="4.5"/>
    <n v="12"/>
    <n v="6"/>
    <n v="192.36799999999999"/>
    <x v="3"/>
    <x v="0"/>
    <s v="Returning"/>
  </r>
  <r>
    <n v="3402"/>
    <n v="54"/>
    <s v="Male"/>
    <x v="1"/>
    <s v="Jacket"/>
    <n v="130.78"/>
    <x v="0"/>
    <s v="Card"/>
    <n v="4.9000000000000004"/>
    <n v="14"/>
    <n v="7"/>
    <n v="112.4708"/>
    <x v="0"/>
    <x v="0"/>
    <s v="Returning"/>
  </r>
  <r>
    <n v="3403"/>
    <n v="23"/>
    <s v="Male"/>
    <x v="7"/>
    <s v="Sandals"/>
    <n v="76.209999999999994"/>
    <x v="1"/>
    <s v="Card"/>
    <n v="4.8"/>
    <n v="11"/>
    <n v="3"/>
    <n v="67.826899999999995"/>
    <x v="3"/>
    <x v="0"/>
    <s v="Returning"/>
  </r>
  <r>
    <n v="3404"/>
    <n v="36"/>
    <s v="Male"/>
    <x v="2"/>
    <s v="Yoga Mat"/>
    <n v="134.77000000000001"/>
    <x v="3"/>
    <s v="Card"/>
    <n v="4.8"/>
    <n v="12"/>
    <n v="6"/>
    <n v="118.59760000000001"/>
    <x v="1"/>
    <x v="0"/>
    <s v="Returning"/>
  </r>
  <r>
    <n v="3405"/>
    <n v="56"/>
    <s v="Male"/>
    <x v="2"/>
    <s v="Dumbbells"/>
    <n v="224.71"/>
    <x v="0"/>
    <s v="Card"/>
    <n v="4.8"/>
    <n v="13"/>
    <n v="4"/>
    <n v="195.49770000000001"/>
    <x v="0"/>
    <x v="0"/>
    <s v="Returning"/>
  </r>
  <r>
    <n v="3406"/>
    <n v="65"/>
    <s v="Female"/>
    <x v="6"/>
    <s v="Skincare Kit"/>
    <n v="29.46"/>
    <x v="0"/>
    <s v="Card"/>
    <n v="3.6"/>
    <n v="13"/>
    <n v="4"/>
    <n v="25.630200000000002"/>
    <x v="2"/>
    <x v="0"/>
    <s v="Returning"/>
  </r>
  <r>
    <n v="3407"/>
    <n v="64"/>
    <s v="Male"/>
    <x v="1"/>
    <s v="Shirt"/>
    <n v="57"/>
    <x v="3"/>
    <s v="Cash on Delivery"/>
    <n v="3.6"/>
    <n v="15"/>
    <n v="5"/>
    <n v="48.449999999999996"/>
    <x v="2"/>
    <x v="0"/>
    <s v="Returning"/>
  </r>
  <r>
    <n v="3408"/>
    <n v="38"/>
    <s v="Male"/>
    <x v="7"/>
    <s v="Sneakers"/>
    <n v="71.58"/>
    <x v="1"/>
    <s v="Cash on Delivery"/>
    <n v="3.3"/>
    <n v="13"/>
    <n v="4"/>
    <n v="62.2746"/>
    <x v="1"/>
    <x v="0"/>
    <s v="Returning"/>
  </r>
  <r>
    <n v="3409"/>
    <n v="34"/>
    <s v="Female"/>
    <x v="2"/>
    <s v="Dumbbells"/>
    <n v="213.67"/>
    <x v="0"/>
    <s v="Card"/>
    <n v="3.7"/>
    <n v="22"/>
    <n v="6"/>
    <n v="166.6626"/>
    <x v="4"/>
    <x v="0"/>
    <s v="Returning"/>
  </r>
  <r>
    <n v="3410"/>
    <n v="35"/>
    <s v="Female"/>
    <x v="8"/>
    <s v="Skirt"/>
    <n v="97.07"/>
    <x v="1"/>
    <s v="Cash on Delivery"/>
    <n v="3.1"/>
    <n v="18"/>
    <n v="4"/>
    <n v="79.597400000000007"/>
    <x v="4"/>
    <x v="0"/>
    <s v="Returning"/>
  </r>
  <r>
    <n v="3411"/>
    <n v="67"/>
    <s v="Female"/>
    <x v="0"/>
    <s v="Sunglasses"/>
    <n v="154.84"/>
    <x v="2"/>
    <s v="Card"/>
    <n v="3.9"/>
    <n v="18"/>
    <n v="4"/>
    <n v="126.96880000000002"/>
    <x v="2"/>
    <x v="0"/>
    <s v="Returning"/>
  </r>
  <r>
    <n v="3412"/>
    <n v="55"/>
    <s v="Female"/>
    <x v="6"/>
    <s v="Perfume"/>
    <n v="92.98"/>
    <x v="2"/>
    <s v="Card"/>
    <n v="3.7"/>
    <n v="8"/>
    <n v="4"/>
    <n v="85.541600000000003"/>
    <x v="0"/>
    <x v="0"/>
    <s v="Returning"/>
  </r>
  <r>
    <n v="3413"/>
    <n v="64"/>
    <s v="Female"/>
    <x v="6"/>
    <s v="Makeup Set"/>
    <n v="81.650000000000006"/>
    <x v="1"/>
    <s v="Card"/>
    <n v="3.8"/>
    <n v="17"/>
    <n v="6"/>
    <n v="67.769500000000008"/>
    <x v="2"/>
    <x v="0"/>
    <s v="Returning"/>
  </r>
  <r>
    <n v="3414"/>
    <n v="39"/>
    <s v="Female"/>
    <x v="7"/>
    <s v="Sneakers"/>
    <n v="249.4"/>
    <x v="3"/>
    <s v="Card"/>
    <n v="3.9"/>
    <n v="21"/>
    <n v="8"/>
    <n v="197.02600000000001"/>
    <x v="1"/>
    <x v="0"/>
    <s v="Returning"/>
  </r>
  <r>
    <n v="3415"/>
    <n v="23"/>
    <s v="Male"/>
    <x v="3"/>
    <s v="Lamp"/>
    <n v="268.91000000000003"/>
    <x v="1"/>
    <s v="Card"/>
    <n v="4.2"/>
    <n v="13"/>
    <n v="4"/>
    <n v="233.95170000000002"/>
    <x v="3"/>
    <x v="0"/>
    <s v="Returning"/>
  </r>
  <r>
    <n v="3416"/>
    <n v="66"/>
    <s v="Male"/>
    <x v="2"/>
    <s v="Football"/>
    <n v="81.459999999999994"/>
    <x v="2"/>
    <s v="Cash on Delivery"/>
    <n v="3.9"/>
    <n v="20"/>
    <n v="5"/>
    <n v="65.167999999999992"/>
    <x v="2"/>
    <x v="0"/>
    <s v="Returning"/>
  </r>
  <r>
    <n v="3417"/>
    <n v="29"/>
    <s v="Female"/>
    <x v="8"/>
    <s v="Skirt"/>
    <n v="135.06"/>
    <x v="3"/>
    <s v="Card"/>
    <n v="2.2000000000000002"/>
    <n v="19"/>
    <n v="7"/>
    <n v="109.39860000000002"/>
    <x v="4"/>
    <x v="0"/>
    <s v="Returning"/>
  </r>
  <r>
    <n v="3418"/>
    <n v="54"/>
    <s v="Female"/>
    <x v="6"/>
    <s v="Skincare Kit"/>
    <n v="127.1"/>
    <x v="0"/>
    <s v="Card"/>
    <n v="3.5"/>
    <n v="18"/>
    <n v="4"/>
    <n v="104.22200000000001"/>
    <x v="0"/>
    <x v="0"/>
    <s v="Returning"/>
  </r>
  <r>
    <n v="3419"/>
    <n v="48"/>
    <s v="Male"/>
    <x v="7"/>
    <s v="Sneakers"/>
    <n v="121.62"/>
    <x v="1"/>
    <s v="Card"/>
    <n v="4.4000000000000004"/>
    <n v="6"/>
    <n v="3"/>
    <n v="114.3228"/>
    <x v="0"/>
    <x v="0"/>
    <s v="Returning"/>
  </r>
  <r>
    <n v="3420"/>
    <n v="30"/>
    <s v="Female"/>
    <x v="3"/>
    <s v="Lamp"/>
    <n v="194.22"/>
    <x v="1"/>
    <s v="Card"/>
    <n v="4.2"/>
    <n v="13"/>
    <n v="4"/>
    <n v="168.97139999999999"/>
    <x v="4"/>
    <x v="0"/>
    <s v="Returning"/>
  </r>
  <r>
    <n v="3421"/>
    <n v="48"/>
    <s v="Female"/>
    <x v="7"/>
    <s v="Sandals"/>
    <n v="225.8"/>
    <x v="3"/>
    <s v="Card"/>
    <n v="3.2"/>
    <n v="6"/>
    <n v="3"/>
    <n v="212.25200000000001"/>
    <x v="0"/>
    <x v="0"/>
    <s v="Returning"/>
  </r>
  <r>
    <n v="3422"/>
    <n v="47"/>
    <s v="Female"/>
    <x v="8"/>
    <s v="Jeans"/>
    <n v="193.59"/>
    <x v="1"/>
    <s v="Card"/>
    <n v="3.3"/>
    <n v="16"/>
    <n v="3"/>
    <n v="162.6156"/>
    <x v="0"/>
    <x v="0"/>
    <s v="Returning"/>
  </r>
  <r>
    <n v="3423"/>
    <n v="48"/>
    <s v="Male"/>
    <x v="5"/>
    <s v="Laptop"/>
    <n v="2610.9899999999998"/>
    <x v="3"/>
    <s v="Card"/>
    <n v="3.5"/>
    <n v="13"/>
    <n v="4"/>
    <n v="2271.5612999999998"/>
    <x v="0"/>
    <x v="0"/>
    <s v="Returning"/>
  </r>
  <r>
    <n v="3424"/>
    <n v="20"/>
    <s v="Female"/>
    <x v="7"/>
    <s v="Sneakers"/>
    <n v="104.2"/>
    <x v="1"/>
    <s v="Card"/>
    <n v="2.8"/>
    <n v="11"/>
    <n v="3"/>
    <n v="92.738"/>
    <x v="3"/>
    <x v="0"/>
    <s v="Returning"/>
  </r>
  <r>
    <n v="3425"/>
    <n v="37"/>
    <s v="Male"/>
    <x v="7"/>
    <s v="Formal Shoes"/>
    <n v="159.51"/>
    <x v="2"/>
    <s v="Card"/>
    <n v="3.8"/>
    <n v="11"/>
    <n v="3"/>
    <n v="141.9639"/>
    <x v="1"/>
    <x v="0"/>
    <s v="Returning"/>
  </r>
  <r>
    <n v="3426"/>
    <n v="63"/>
    <s v="Male"/>
    <x v="1"/>
    <s v="Jeans"/>
    <n v="163.47999999999999"/>
    <x v="0"/>
    <s v="Card"/>
    <n v="4"/>
    <n v="18"/>
    <n v="4"/>
    <n v="134.05359999999999"/>
    <x v="2"/>
    <x v="0"/>
    <s v="Returning"/>
  </r>
  <r>
    <n v="3427"/>
    <n v="49"/>
    <s v="Female"/>
    <x v="3"/>
    <s v="Kitchen Set"/>
    <n v="106.24"/>
    <x v="2"/>
    <s v="Card"/>
    <n v="3.5"/>
    <n v="16"/>
    <n v="3"/>
    <n v="89.241599999999991"/>
    <x v="0"/>
    <x v="0"/>
    <s v="Returning"/>
  </r>
  <r>
    <n v="3428"/>
    <n v="40"/>
    <s v="Male"/>
    <x v="5"/>
    <s v="Headphones"/>
    <n v="1340.12"/>
    <x v="1"/>
    <s v="Card"/>
    <n v="4.0999999999999996"/>
    <n v="28"/>
    <n v="9"/>
    <n v="964.88639999999987"/>
    <x v="1"/>
    <x v="0"/>
    <s v="Returning"/>
  </r>
  <r>
    <n v="3429"/>
    <n v="55"/>
    <s v="Female"/>
    <x v="0"/>
    <s v="Wallet"/>
    <n v="66.95"/>
    <x v="1"/>
    <s v="Card"/>
    <n v="3.7"/>
    <n v="14"/>
    <n v="2"/>
    <n v="57.576999999999998"/>
    <x v="0"/>
    <x v="0"/>
    <s v="Returning"/>
  </r>
  <r>
    <n v="3430"/>
    <n v="50"/>
    <s v="Female"/>
    <x v="8"/>
    <s v="Dress"/>
    <n v="114.36"/>
    <x v="0"/>
    <s v="Card"/>
    <n v="3.3"/>
    <n v="10"/>
    <n v="5"/>
    <n v="102.92400000000001"/>
    <x v="0"/>
    <x v="0"/>
    <s v="Returning"/>
  </r>
  <r>
    <n v="3431"/>
    <n v="63"/>
    <s v="Female"/>
    <x v="0"/>
    <s v="Wallet"/>
    <n v="171.7"/>
    <x v="3"/>
    <s v="Card"/>
    <n v="3.8"/>
    <n v="17"/>
    <n v="6"/>
    <n v="142.511"/>
    <x v="2"/>
    <x v="0"/>
    <s v="Returning"/>
  </r>
  <r>
    <n v="3432"/>
    <n v="36"/>
    <s v="Male"/>
    <x v="7"/>
    <s v="Sneakers"/>
    <n v="74.53"/>
    <x v="1"/>
    <s v="Cash on Delivery"/>
    <n v="4.3"/>
    <n v="11"/>
    <n v="3"/>
    <n v="66.331699999999998"/>
    <x v="1"/>
    <x v="0"/>
    <s v="Returning"/>
  </r>
  <r>
    <n v="3433"/>
    <n v="34"/>
    <s v="Female"/>
    <x v="8"/>
    <s v="Dress"/>
    <n v="47.24"/>
    <x v="1"/>
    <s v="Cash on Delivery"/>
    <n v="3.1"/>
    <n v="18"/>
    <n v="4"/>
    <n v="38.736800000000002"/>
    <x v="4"/>
    <x v="0"/>
    <s v="Returning"/>
  </r>
  <r>
    <n v="3434"/>
    <n v="70"/>
    <s v="Male"/>
    <x v="7"/>
    <s v="Sandals"/>
    <n v="247.53"/>
    <x v="1"/>
    <s v="Card"/>
    <n v="4.0999999999999996"/>
    <n v="12"/>
    <n v="6"/>
    <n v="217.82640000000001"/>
    <x v="2"/>
    <x v="0"/>
    <s v="Returning"/>
  </r>
  <r>
    <n v="3435"/>
    <n v="65"/>
    <s v="Female"/>
    <x v="6"/>
    <s v="Perfume"/>
    <n v="119.15"/>
    <x v="3"/>
    <s v="Card"/>
    <n v="2.9"/>
    <n v="18"/>
    <n v="4"/>
    <n v="97.703000000000017"/>
    <x v="2"/>
    <x v="0"/>
    <s v="Returning"/>
  </r>
  <r>
    <n v="3436"/>
    <n v="38"/>
    <s v="Male"/>
    <x v="5"/>
    <s v="Mobile Phone"/>
    <n v="2077.59"/>
    <x v="2"/>
    <s v="Card"/>
    <n v="3.2"/>
    <n v="8"/>
    <n v="4"/>
    <n v="1911.3828000000003"/>
    <x v="1"/>
    <x v="0"/>
    <s v="Returning"/>
  </r>
  <r>
    <n v="3437"/>
    <n v="24"/>
    <s v="Male"/>
    <x v="5"/>
    <s v="Mobile Phone"/>
    <n v="2160.6799999999998"/>
    <x v="2"/>
    <s v="Card"/>
    <n v="2.7"/>
    <n v="6"/>
    <n v="3"/>
    <n v="2031.0391999999997"/>
    <x v="3"/>
    <x v="0"/>
    <s v="Returning"/>
  </r>
  <r>
    <n v="3438"/>
    <n v="45"/>
    <s v="Male"/>
    <x v="7"/>
    <s v="Sandals"/>
    <n v="179.48"/>
    <x v="0"/>
    <s v="Card"/>
    <n v="3.9"/>
    <n v="13"/>
    <n v="4"/>
    <n v="156.14759999999998"/>
    <x v="1"/>
    <x v="0"/>
    <s v="Returning"/>
  </r>
  <r>
    <n v="3439"/>
    <n v="63"/>
    <s v="Male"/>
    <x v="3"/>
    <s v="Kitchen Set"/>
    <n v="49.32"/>
    <x v="2"/>
    <s v="Cash on Delivery"/>
    <n v="3.6"/>
    <n v="18"/>
    <n v="4"/>
    <n v="40.442400000000006"/>
    <x v="2"/>
    <x v="0"/>
    <s v="Returning"/>
  </r>
  <r>
    <n v="3440"/>
    <n v="55"/>
    <s v="Male"/>
    <x v="5"/>
    <s v="Headphones"/>
    <n v="844.6"/>
    <x v="2"/>
    <s v="Card"/>
    <n v="4.7"/>
    <n v="4"/>
    <n v="2"/>
    <n v="810.81600000000003"/>
    <x v="0"/>
    <x v="0"/>
    <s v="Returning"/>
  </r>
  <r>
    <n v="3441"/>
    <n v="58"/>
    <s v="Female"/>
    <x v="4"/>
    <s v="Cooking Oil"/>
    <n v="61.51"/>
    <x v="0"/>
    <s v="Card"/>
    <n v="2.9"/>
    <n v="10"/>
    <n v="5"/>
    <n v="55.359000000000002"/>
    <x v="0"/>
    <x v="0"/>
    <s v="Returning"/>
  </r>
  <r>
    <n v="3442"/>
    <n v="20"/>
    <s v="Male"/>
    <x v="5"/>
    <s v="Mobile Phone"/>
    <n v="1267.3900000000001"/>
    <x v="3"/>
    <s v="Card"/>
    <n v="3.5"/>
    <n v="6"/>
    <n v="3"/>
    <n v="1191.3466000000001"/>
    <x v="3"/>
    <x v="0"/>
    <s v="Returning"/>
  </r>
  <r>
    <n v="3443"/>
    <n v="51"/>
    <s v="Female"/>
    <x v="0"/>
    <s v="Handbag"/>
    <n v="89.15"/>
    <x v="3"/>
    <s v="Cash on Delivery"/>
    <n v="3"/>
    <n v="14"/>
    <n v="7"/>
    <n v="76.668999999999997"/>
    <x v="0"/>
    <x v="0"/>
    <s v="Returning"/>
  </r>
  <r>
    <n v="3444"/>
    <n v="59"/>
    <s v="Female"/>
    <x v="6"/>
    <s v="Perfume"/>
    <n v="31.16"/>
    <x v="0"/>
    <s v="Cash on Delivery"/>
    <n v="3.7"/>
    <n v="15"/>
    <n v="5"/>
    <n v="26.486000000000001"/>
    <x v="0"/>
    <x v="0"/>
    <s v="Returning"/>
  </r>
  <r>
    <n v="3445"/>
    <n v="20"/>
    <s v="Female"/>
    <x v="4"/>
    <s v="Rice Pack"/>
    <n v="40.090000000000003"/>
    <x v="1"/>
    <s v="Cash on Delivery"/>
    <n v="4.9000000000000004"/>
    <n v="20"/>
    <n v="5"/>
    <n v="32.072000000000003"/>
    <x v="3"/>
    <x v="0"/>
    <s v="Returning"/>
  </r>
  <r>
    <n v="3446"/>
    <n v="33"/>
    <s v="Female"/>
    <x v="7"/>
    <s v="Sneakers"/>
    <n v="94.64"/>
    <x v="3"/>
    <s v="Cash on Delivery"/>
    <n v="4.9000000000000004"/>
    <n v="20"/>
    <n v="5"/>
    <n v="75.712000000000003"/>
    <x v="4"/>
    <x v="0"/>
    <s v="Returning"/>
  </r>
  <r>
    <n v="3447"/>
    <n v="46"/>
    <s v="Female"/>
    <x v="4"/>
    <s v="Rice Pack"/>
    <n v="47.53"/>
    <x v="2"/>
    <s v="Cash on Delivery"/>
    <n v="3.4"/>
    <n v="11"/>
    <n v="3"/>
    <n v="42.301700000000004"/>
    <x v="0"/>
    <x v="0"/>
    <s v="Returning"/>
  </r>
  <r>
    <n v="3448"/>
    <n v="29"/>
    <s v="Male"/>
    <x v="7"/>
    <s v="Sneakers"/>
    <n v="51.72"/>
    <x v="2"/>
    <s v="Card"/>
    <n v="3.9"/>
    <n v="17"/>
    <n v="6"/>
    <n v="42.927599999999998"/>
    <x v="4"/>
    <x v="0"/>
    <s v="Returning"/>
  </r>
  <r>
    <n v="3449"/>
    <n v="59"/>
    <s v="Female"/>
    <x v="4"/>
    <s v="Beverages"/>
    <n v="63.38"/>
    <x v="0"/>
    <s v="Card"/>
    <n v="3.1"/>
    <n v="26"/>
    <n v="8"/>
    <n v="46.901200000000003"/>
    <x v="0"/>
    <x v="0"/>
    <s v="Returning"/>
  </r>
  <r>
    <n v="3450"/>
    <n v="37"/>
    <s v="Female"/>
    <x v="6"/>
    <s v="Perfume"/>
    <n v="37.64"/>
    <x v="1"/>
    <s v="Card"/>
    <n v="2.9"/>
    <n v="15"/>
    <n v="5"/>
    <n v="31.994"/>
    <x v="1"/>
    <x v="0"/>
    <s v="Returning"/>
  </r>
  <r>
    <n v="3451"/>
    <n v="43"/>
    <s v="Female"/>
    <x v="7"/>
    <s v="Sandals"/>
    <n v="183.45"/>
    <x v="0"/>
    <s v="Card"/>
    <n v="4.4000000000000004"/>
    <n v="28"/>
    <n v="9"/>
    <n v="132.08399999999997"/>
    <x v="1"/>
    <x v="0"/>
    <s v="Returning"/>
  </r>
  <r>
    <n v="3452"/>
    <n v="38"/>
    <s v="Female"/>
    <x v="2"/>
    <s v="Dumbbells"/>
    <n v="103.8"/>
    <x v="3"/>
    <s v="Card"/>
    <n v="3.4"/>
    <n v="21"/>
    <n v="8"/>
    <n v="82.001999999999995"/>
    <x v="1"/>
    <x v="0"/>
    <s v="Returning"/>
  </r>
  <r>
    <n v="3453"/>
    <n v="25"/>
    <s v="Male"/>
    <x v="1"/>
    <s v="T-Shirt"/>
    <n v="86.2"/>
    <x v="1"/>
    <s v="Card"/>
    <n v="3.9"/>
    <n v="25"/>
    <n v="10"/>
    <n v="64.650000000000006"/>
    <x v="3"/>
    <x v="0"/>
    <s v="Returning"/>
  </r>
  <r>
    <n v="3454"/>
    <n v="25"/>
    <s v="Male"/>
    <x v="2"/>
    <s v="Yoga Mat"/>
    <n v="134.38"/>
    <x v="2"/>
    <s v="Card"/>
    <n v="3.8"/>
    <n v="9"/>
    <n v="2"/>
    <n v="122.28579999999999"/>
    <x v="3"/>
    <x v="0"/>
    <s v="Returning"/>
  </r>
  <r>
    <n v="3455"/>
    <n v="50"/>
    <s v="Male"/>
    <x v="5"/>
    <s v="Headphones"/>
    <n v="2994.62"/>
    <x v="0"/>
    <s v="Card"/>
    <n v="3.6"/>
    <n v="25"/>
    <n v="10"/>
    <n v="2245.9650000000001"/>
    <x v="0"/>
    <x v="0"/>
    <s v="Returning"/>
  </r>
  <r>
    <n v="3456"/>
    <n v="23"/>
    <s v="Female"/>
    <x v="8"/>
    <s v="Jeans"/>
    <n v="130.04"/>
    <x v="1"/>
    <s v="Card"/>
    <n v="3.8"/>
    <n v="20"/>
    <n v="5"/>
    <n v="104.032"/>
    <x v="3"/>
    <x v="0"/>
    <s v="Returning"/>
  </r>
  <r>
    <n v="3457"/>
    <n v="44"/>
    <s v="Female"/>
    <x v="3"/>
    <s v="Lamp"/>
    <n v="218.77"/>
    <x v="2"/>
    <s v="Card"/>
    <n v="5"/>
    <n v="28"/>
    <n v="9"/>
    <n v="157.51439999999999"/>
    <x v="1"/>
    <x v="0"/>
    <s v="Returning"/>
  </r>
  <r>
    <n v="3458"/>
    <n v="33"/>
    <s v="Female"/>
    <x v="8"/>
    <s v="Skirt"/>
    <n v="110.92"/>
    <x v="2"/>
    <s v="Card"/>
    <n v="3.7"/>
    <n v="10"/>
    <n v="5"/>
    <n v="99.828000000000003"/>
    <x v="4"/>
    <x v="0"/>
    <s v="Returning"/>
  </r>
  <r>
    <n v="3459"/>
    <n v="20"/>
    <s v="Male"/>
    <x v="4"/>
    <s v="Beverages"/>
    <n v="31.55"/>
    <x v="0"/>
    <s v="Cash on Delivery"/>
    <n v="4.3"/>
    <n v="12"/>
    <n v="1"/>
    <n v="27.763999999999999"/>
    <x v="3"/>
    <x v="0"/>
    <s v="Returning"/>
  </r>
  <r>
    <n v="3460"/>
    <n v="56"/>
    <s v="Female"/>
    <x v="8"/>
    <s v="Skirt"/>
    <n v="66.72"/>
    <x v="2"/>
    <s v="Card"/>
    <n v="4.8"/>
    <n v="20"/>
    <n v="5"/>
    <n v="53.376000000000005"/>
    <x v="0"/>
    <x v="0"/>
    <s v="Returning"/>
  </r>
  <r>
    <n v="3461"/>
    <n v="70"/>
    <s v="Male"/>
    <x v="7"/>
    <s v="Sandals"/>
    <n v="216.39"/>
    <x v="3"/>
    <s v="Card"/>
    <n v="4.5"/>
    <n v="14"/>
    <n v="2"/>
    <n v="186.09539999999998"/>
    <x v="2"/>
    <x v="0"/>
    <s v="Returning"/>
  </r>
  <r>
    <n v="3462"/>
    <n v="55"/>
    <s v="Female"/>
    <x v="7"/>
    <s v="Formal Shoes"/>
    <n v="166.18"/>
    <x v="3"/>
    <s v="Card"/>
    <n v="4.0999999999999996"/>
    <n v="6"/>
    <n v="3"/>
    <n v="156.20920000000001"/>
    <x v="0"/>
    <x v="0"/>
    <s v="Returning"/>
  </r>
  <r>
    <n v="3463"/>
    <n v="24"/>
    <s v="Male"/>
    <x v="7"/>
    <s v="Sandals"/>
    <n v="74.739999999999995"/>
    <x v="3"/>
    <s v="Cash on Delivery"/>
    <n v="4.0999999999999996"/>
    <n v="14"/>
    <n v="7"/>
    <n v="64.276399999999995"/>
    <x v="3"/>
    <x v="0"/>
    <s v="Returning"/>
  </r>
  <r>
    <n v="3464"/>
    <n v="34"/>
    <s v="Female"/>
    <x v="8"/>
    <s v="Skirt"/>
    <n v="77.55"/>
    <x v="1"/>
    <s v="Cash on Delivery"/>
    <n v="4.2"/>
    <n v="10"/>
    <n v="5"/>
    <n v="69.795000000000002"/>
    <x v="4"/>
    <x v="0"/>
    <s v="Returning"/>
  </r>
  <r>
    <n v="3465"/>
    <n v="45"/>
    <s v="Female"/>
    <x v="7"/>
    <s v="Sneakers"/>
    <n v="66.040000000000006"/>
    <x v="1"/>
    <s v="Card"/>
    <n v="3.7"/>
    <n v="11"/>
    <n v="3"/>
    <n v="58.775600000000004"/>
    <x v="1"/>
    <x v="0"/>
    <s v="Returning"/>
  </r>
  <r>
    <n v="3466"/>
    <n v="49"/>
    <s v="Male"/>
    <x v="7"/>
    <s v="Formal Shoes"/>
    <n v="101"/>
    <x v="0"/>
    <s v="Card"/>
    <n v="4.5999999999999996"/>
    <n v="18"/>
    <n v="9"/>
    <n v="82.820000000000007"/>
    <x v="0"/>
    <x v="0"/>
    <s v="Returning"/>
  </r>
  <r>
    <n v="3467"/>
    <n v="68"/>
    <s v="Female"/>
    <x v="6"/>
    <s v="Perfume"/>
    <n v="110.3"/>
    <x v="1"/>
    <s v="Card"/>
    <n v="2.8"/>
    <n v="14"/>
    <n v="7"/>
    <n v="94.85799999999999"/>
    <x v="2"/>
    <x v="0"/>
    <s v="Returning"/>
  </r>
  <r>
    <n v="3468"/>
    <n v="26"/>
    <s v="Female"/>
    <x v="6"/>
    <s v="Skincare Kit"/>
    <n v="101.16"/>
    <x v="3"/>
    <s v="Card"/>
    <n v="4.0999999999999996"/>
    <n v="16"/>
    <n v="3"/>
    <n v="84.974399999999989"/>
    <x v="4"/>
    <x v="0"/>
    <s v="Returning"/>
  </r>
  <r>
    <n v="3469"/>
    <n v="52"/>
    <s v="Female"/>
    <x v="7"/>
    <s v="Sneakers"/>
    <n v="236.38"/>
    <x v="1"/>
    <s v="Card"/>
    <n v="3.6"/>
    <n v="11"/>
    <n v="3"/>
    <n v="210.37819999999999"/>
    <x v="0"/>
    <x v="0"/>
    <s v="Returning"/>
  </r>
  <r>
    <n v="3470"/>
    <n v="66"/>
    <s v="Male"/>
    <x v="1"/>
    <s v="T-Shirt"/>
    <n v="164.23"/>
    <x v="3"/>
    <s v="Card"/>
    <n v="4.0999999999999996"/>
    <n v="17"/>
    <n v="6"/>
    <n v="136.31089999999998"/>
    <x v="2"/>
    <x v="0"/>
    <s v="Returning"/>
  </r>
  <r>
    <n v="3471"/>
    <n v="53"/>
    <s v="Male"/>
    <x v="2"/>
    <s v="Dumbbells"/>
    <n v="205.45"/>
    <x v="3"/>
    <s v="Card"/>
    <n v="4.2"/>
    <n v="12"/>
    <n v="6"/>
    <n v="180.79599999999999"/>
    <x v="0"/>
    <x v="0"/>
    <s v="Returning"/>
  </r>
  <r>
    <n v="3472"/>
    <n v="44"/>
    <s v="Female"/>
    <x v="8"/>
    <s v="Dress"/>
    <n v="61.41"/>
    <x v="2"/>
    <s v="Card"/>
    <n v="4.5999999999999996"/>
    <n v="22"/>
    <n v="6"/>
    <n v="47.899799999999999"/>
    <x v="1"/>
    <x v="0"/>
    <s v="Returning"/>
  </r>
  <r>
    <n v="3473"/>
    <n v="44"/>
    <s v="Female"/>
    <x v="0"/>
    <s v="Sunglasses"/>
    <n v="79.900000000000006"/>
    <x v="2"/>
    <s v="Card"/>
    <n v="3.2"/>
    <n v="16"/>
    <n v="3"/>
    <n v="67.116"/>
    <x v="1"/>
    <x v="0"/>
    <s v="Returning"/>
  </r>
  <r>
    <n v="3474"/>
    <n v="37"/>
    <s v="Male"/>
    <x v="2"/>
    <s v="Dumbbells"/>
    <n v="228.81"/>
    <x v="2"/>
    <s v="Card"/>
    <n v="3.9"/>
    <n v="22"/>
    <n v="6"/>
    <n v="178.4718"/>
    <x v="1"/>
    <x v="0"/>
    <s v="Returning"/>
  </r>
  <r>
    <n v="3475"/>
    <n v="30"/>
    <s v="Female"/>
    <x v="6"/>
    <s v="Makeup Set"/>
    <n v="146.26"/>
    <x v="2"/>
    <s v="Card"/>
    <n v="3.4"/>
    <n v="8"/>
    <n v="4"/>
    <n v="134.5592"/>
    <x v="4"/>
    <x v="0"/>
    <s v="Returning"/>
  </r>
  <r>
    <n v="3476"/>
    <n v="58"/>
    <s v="Female"/>
    <x v="6"/>
    <s v="Perfume"/>
    <n v="58.29"/>
    <x v="3"/>
    <s v="Cash on Delivery"/>
    <n v="1.9"/>
    <n v="8"/>
    <n v="4"/>
    <n v="53.626800000000003"/>
    <x v="0"/>
    <x v="0"/>
    <s v="Returning"/>
  </r>
  <r>
    <n v="3477"/>
    <n v="42"/>
    <s v="Male"/>
    <x v="3"/>
    <s v="Curtains"/>
    <n v="61.68"/>
    <x v="2"/>
    <s v="Card"/>
    <n v="5"/>
    <n v="17"/>
    <n v="6"/>
    <n v="51.194399999999995"/>
    <x v="1"/>
    <x v="0"/>
    <s v="Returning"/>
  </r>
  <r>
    <n v="3478"/>
    <n v="46"/>
    <s v="Male"/>
    <x v="1"/>
    <s v="Shirt"/>
    <n v="76.22"/>
    <x v="2"/>
    <s v="Cash on Delivery"/>
    <n v="4.7"/>
    <n v="16"/>
    <n v="8"/>
    <n v="64.024799999999999"/>
    <x v="0"/>
    <x v="0"/>
    <s v="Returning"/>
  </r>
  <r>
    <n v="3479"/>
    <n v="23"/>
    <s v="Female"/>
    <x v="8"/>
    <s v="Skirt"/>
    <n v="93.3"/>
    <x v="0"/>
    <s v="Card"/>
    <n v="3.6"/>
    <n v="14"/>
    <n v="2"/>
    <n v="80.238"/>
    <x v="3"/>
    <x v="0"/>
    <s v="Returning"/>
  </r>
  <r>
    <n v="3480"/>
    <n v="41"/>
    <s v="Male"/>
    <x v="2"/>
    <s v="Dumbbells"/>
    <n v="50.96"/>
    <x v="3"/>
    <s v="Card"/>
    <n v="3.7"/>
    <n v="22"/>
    <n v="6"/>
    <n v="39.748800000000003"/>
    <x v="1"/>
    <x v="0"/>
    <s v="Returning"/>
  </r>
  <r>
    <n v="3481"/>
    <n v="29"/>
    <s v="Male"/>
    <x v="1"/>
    <s v="T-Shirt"/>
    <n v="88.61"/>
    <x v="2"/>
    <s v="Cash on Delivery"/>
    <n v="2.7"/>
    <n v="15"/>
    <n v="5"/>
    <n v="75.3185"/>
    <x v="4"/>
    <x v="0"/>
    <s v="Returning"/>
  </r>
  <r>
    <n v="3482"/>
    <n v="38"/>
    <s v="Male"/>
    <x v="7"/>
    <s v="Sneakers"/>
    <n v="128.69"/>
    <x v="1"/>
    <s v="Card"/>
    <n v="4.0999999999999996"/>
    <n v="12"/>
    <n v="6"/>
    <n v="113.24719999999999"/>
    <x v="1"/>
    <x v="0"/>
    <s v="Returning"/>
  </r>
  <r>
    <n v="3483"/>
    <n v="61"/>
    <s v="Female"/>
    <x v="7"/>
    <s v="Formal Shoes"/>
    <n v="58.31"/>
    <x v="3"/>
    <s v="Cash on Delivery"/>
    <n v="4.3"/>
    <n v="22"/>
    <n v="6"/>
    <n v="45.4818"/>
    <x v="2"/>
    <x v="0"/>
    <s v="Returning"/>
  </r>
  <r>
    <n v="3484"/>
    <n v="33"/>
    <s v="Female"/>
    <x v="3"/>
    <s v="Kitchen Set"/>
    <n v="144.94999999999999"/>
    <x v="2"/>
    <s v="Card"/>
    <n v="3.6"/>
    <n v="12"/>
    <n v="1"/>
    <n v="127.556"/>
    <x v="4"/>
    <x v="0"/>
    <s v="Returning"/>
  </r>
  <r>
    <n v="3485"/>
    <n v="61"/>
    <s v="Male"/>
    <x v="1"/>
    <s v="Shirt"/>
    <n v="160.36000000000001"/>
    <x v="2"/>
    <s v="Card"/>
    <n v="2.7"/>
    <n v="6"/>
    <n v="3"/>
    <n v="150.73840000000001"/>
    <x v="2"/>
    <x v="0"/>
    <s v="Returning"/>
  </r>
  <r>
    <n v="3486"/>
    <n v="42"/>
    <s v="Female"/>
    <x v="7"/>
    <s v="Formal Shoes"/>
    <n v="225.91"/>
    <x v="2"/>
    <s v="Card"/>
    <n v="3.7"/>
    <n v="10"/>
    <n v="5"/>
    <n v="203.31899999999999"/>
    <x v="1"/>
    <x v="0"/>
    <s v="Returning"/>
  </r>
  <r>
    <n v="3487"/>
    <n v="28"/>
    <s v="Female"/>
    <x v="8"/>
    <s v="Jeans"/>
    <n v="57.14"/>
    <x v="3"/>
    <s v="Cash on Delivery"/>
    <n v="3.1"/>
    <n v="13"/>
    <n v="4"/>
    <n v="49.711800000000004"/>
    <x v="4"/>
    <x v="0"/>
    <s v="Returning"/>
  </r>
  <r>
    <n v="3488"/>
    <n v="53"/>
    <s v="Male"/>
    <x v="1"/>
    <s v="T-Shirt"/>
    <n v="133.94"/>
    <x v="0"/>
    <s v="Card"/>
    <n v="4.3"/>
    <n v="18"/>
    <n v="4"/>
    <n v="109.83080000000001"/>
    <x v="0"/>
    <x v="0"/>
    <s v="Returning"/>
  </r>
  <r>
    <n v="3489"/>
    <n v="64"/>
    <s v="Female"/>
    <x v="6"/>
    <s v="Perfume"/>
    <n v="57.54"/>
    <x v="3"/>
    <s v="Card"/>
    <n v="5"/>
    <n v="18"/>
    <n v="4"/>
    <n v="47.1828"/>
    <x v="2"/>
    <x v="0"/>
    <s v="Returning"/>
  </r>
  <r>
    <n v="3490"/>
    <n v="64"/>
    <s v="Male"/>
    <x v="1"/>
    <s v="Shirt"/>
    <n v="76.87"/>
    <x v="3"/>
    <s v="Card"/>
    <n v="3.9"/>
    <n v="6"/>
    <n v="3"/>
    <n v="72.257800000000003"/>
    <x v="2"/>
    <x v="0"/>
    <s v="Returning"/>
  </r>
  <r>
    <n v="3491"/>
    <n v="68"/>
    <s v="Male"/>
    <x v="2"/>
    <s v="Football"/>
    <n v="32.729999999999997"/>
    <x v="1"/>
    <s v="Cash on Delivery"/>
    <n v="3.9"/>
    <n v="18"/>
    <n v="9"/>
    <n v="26.8386"/>
    <x v="2"/>
    <x v="0"/>
    <s v="Returning"/>
  </r>
  <r>
    <n v="3492"/>
    <n v="34"/>
    <s v="Male"/>
    <x v="1"/>
    <s v="T-Shirt"/>
    <n v="56.59"/>
    <x v="1"/>
    <s v="Cash on Delivery"/>
    <n v="3.9"/>
    <n v="18"/>
    <n v="4"/>
    <n v="46.403800000000004"/>
    <x v="4"/>
    <x v="0"/>
    <s v="Returning"/>
  </r>
  <r>
    <n v="3493"/>
    <n v="57"/>
    <s v="Female"/>
    <x v="8"/>
    <s v="Jeans"/>
    <n v="113.82"/>
    <x v="0"/>
    <s v="Card"/>
    <n v="3.1"/>
    <n v="8"/>
    <n v="4"/>
    <n v="104.7144"/>
    <x v="0"/>
    <x v="0"/>
    <s v="Returning"/>
  </r>
  <r>
    <n v="3494"/>
    <n v="50"/>
    <s v="Female"/>
    <x v="8"/>
    <s v="Jeans"/>
    <n v="34.270000000000003"/>
    <x v="3"/>
    <s v="Card"/>
    <n v="4.2"/>
    <n v="21"/>
    <n v="8"/>
    <n v="27.073300000000003"/>
    <x v="0"/>
    <x v="0"/>
    <s v="Returning"/>
  </r>
  <r>
    <n v="3495"/>
    <n v="45"/>
    <s v="Male"/>
    <x v="5"/>
    <s v="Laptop"/>
    <n v="1460.58"/>
    <x v="2"/>
    <s v="Card"/>
    <n v="4.3"/>
    <n v="8"/>
    <n v="4"/>
    <n v="1343.7336"/>
    <x v="1"/>
    <x v="0"/>
    <s v="Returning"/>
  </r>
  <r>
    <n v="3496"/>
    <n v="23"/>
    <s v="Male"/>
    <x v="2"/>
    <s v="Yoga Mat"/>
    <n v="207.34"/>
    <x v="3"/>
    <s v="Card"/>
    <n v="4.4000000000000004"/>
    <n v="16"/>
    <n v="8"/>
    <n v="174.16559999999998"/>
    <x v="3"/>
    <x v="0"/>
    <s v="Returning"/>
  </r>
  <r>
    <n v="3497"/>
    <n v="33"/>
    <s v="Female"/>
    <x v="8"/>
    <s v="Jeans"/>
    <n v="79.55"/>
    <x v="1"/>
    <s v="Card"/>
    <n v="4.4000000000000004"/>
    <n v="20"/>
    <n v="5"/>
    <n v="63.64"/>
    <x v="4"/>
    <x v="0"/>
    <s v="Returning"/>
  </r>
  <r>
    <n v="3498"/>
    <n v="38"/>
    <s v="Male"/>
    <x v="7"/>
    <s v="Sandals"/>
    <n v="171"/>
    <x v="0"/>
    <s v="Card"/>
    <n v="2.7"/>
    <n v="12"/>
    <n v="6"/>
    <n v="150.47999999999999"/>
    <x v="1"/>
    <x v="0"/>
    <s v="Returning"/>
  </r>
  <r>
    <n v="3499"/>
    <n v="50"/>
    <s v="Female"/>
    <x v="7"/>
    <s v="Sandals"/>
    <n v="109.47"/>
    <x v="0"/>
    <s v="Card"/>
    <n v="3.9"/>
    <n v="15"/>
    <n v="5"/>
    <n v="93.049499999999995"/>
    <x v="0"/>
    <x v="0"/>
    <s v="Returning"/>
  </r>
  <r>
    <n v="3500"/>
    <n v="33"/>
    <s v="Male"/>
    <x v="5"/>
    <s v="Mobile Phone"/>
    <n v="2664.84"/>
    <x v="2"/>
    <s v="Card"/>
    <n v="5"/>
    <n v="22"/>
    <n v="6"/>
    <n v="2078.5752000000002"/>
    <x v="4"/>
    <x v="0"/>
    <s v="Returning"/>
  </r>
  <r>
    <n v="3501"/>
    <n v="38"/>
    <s v="Female"/>
    <x v="0"/>
    <s v="Sunglasses"/>
    <n v="126.81"/>
    <x v="1"/>
    <s v="Card"/>
    <n v="4.0999999999999996"/>
    <n v="15"/>
    <n v="5"/>
    <n v="107.7885"/>
    <x v="1"/>
    <x v="0"/>
    <s v="Returning"/>
  </r>
  <r>
    <n v="3502"/>
    <n v="40"/>
    <s v="Male"/>
    <x v="2"/>
    <s v="Yoga Mat"/>
    <n v="200.09"/>
    <x v="3"/>
    <s v="Card"/>
    <n v="3.7"/>
    <n v="20"/>
    <n v="5"/>
    <n v="160.072"/>
    <x v="1"/>
    <x v="0"/>
    <s v="Returning"/>
  </r>
  <r>
    <n v="3503"/>
    <n v="37"/>
    <s v="Female"/>
    <x v="7"/>
    <s v="Sneakers"/>
    <n v="163.18"/>
    <x v="0"/>
    <s v="Card"/>
    <n v="4.4000000000000004"/>
    <n v="20"/>
    <n v="5"/>
    <n v="130.54400000000001"/>
    <x v="1"/>
    <x v="0"/>
    <s v="Returning"/>
  </r>
  <r>
    <n v="3504"/>
    <n v="50"/>
    <s v="Male"/>
    <x v="2"/>
    <s v="Football"/>
    <n v="112.61"/>
    <x v="2"/>
    <s v="Card"/>
    <n v="4.5"/>
    <n v="17"/>
    <n v="6"/>
    <n v="93.46629999999999"/>
    <x v="0"/>
    <x v="0"/>
    <s v="Returning"/>
  </r>
  <r>
    <n v="3505"/>
    <n v="47"/>
    <s v="Female"/>
    <x v="4"/>
    <s v="Snacks"/>
    <n v="73.2"/>
    <x v="3"/>
    <s v="Cash on Delivery"/>
    <n v="3.6"/>
    <n v="22"/>
    <n v="6"/>
    <n v="57.096000000000004"/>
    <x v="0"/>
    <x v="0"/>
    <s v="Returning"/>
  </r>
  <r>
    <n v="3506"/>
    <n v="49"/>
    <s v="Female"/>
    <x v="0"/>
    <s v="Sunglasses"/>
    <n v="41.27"/>
    <x v="0"/>
    <s v="Card"/>
    <n v="2.1"/>
    <n v="4"/>
    <n v="2"/>
    <n v="39.619199999999999"/>
    <x v="0"/>
    <x v="0"/>
    <s v="Returning"/>
  </r>
  <r>
    <n v="3507"/>
    <n v="70"/>
    <s v="Male"/>
    <x v="5"/>
    <s v="Smart Watch"/>
    <n v="2742.82"/>
    <x v="3"/>
    <s v="Card"/>
    <n v="4"/>
    <n v="22"/>
    <n v="6"/>
    <n v="2139.3996000000002"/>
    <x v="2"/>
    <x v="0"/>
    <s v="Returning"/>
  </r>
  <r>
    <n v="3508"/>
    <n v="32"/>
    <s v="Female"/>
    <x v="4"/>
    <s v="Beverages"/>
    <n v="9.6999999999999993"/>
    <x v="1"/>
    <s v="Card"/>
    <n v="4.4000000000000004"/>
    <n v="10"/>
    <n v="5"/>
    <n v="8.73"/>
    <x v="4"/>
    <x v="0"/>
    <s v="Returning"/>
  </r>
  <r>
    <n v="3509"/>
    <n v="65"/>
    <s v="Female"/>
    <x v="0"/>
    <s v="Sunglasses"/>
    <n v="34.49"/>
    <x v="1"/>
    <s v="Card"/>
    <n v="3.1"/>
    <n v="22"/>
    <n v="6"/>
    <n v="26.902200000000004"/>
    <x v="2"/>
    <x v="0"/>
    <s v="Returning"/>
  </r>
  <r>
    <n v="3510"/>
    <n v="39"/>
    <s v="Male"/>
    <x v="1"/>
    <s v="Jeans"/>
    <n v="84.03"/>
    <x v="2"/>
    <s v="Cash on Delivery"/>
    <n v="4"/>
    <n v="11"/>
    <n v="3"/>
    <n v="74.786699999999996"/>
    <x v="1"/>
    <x v="0"/>
    <s v="Returning"/>
  </r>
  <r>
    <n v="3511"/>
    <n v="58"/>
    <s v="Male"/>
    <x v="1"/>
    <s v="Shirt"/>
    <n v="147.16999999999999"/>
    <x v="2"/>
    <s v="Card"/>
    <n v="4.5"/>
    <n v="6"/>
    <n v="3"/>
    <n v="138.33979999999997"/>
    <x v="0"/>
    <x v="0"/>
    <s v="Returning"/>
  </r>
  <r>
    <n v="3512"/>
    <n v="44"/>
    <s v="Female"/>
    <x v="4"/>
    <s v="Cooking Oil"/>
    <n v="29.29"/>
    <x v="3"/>
    <s v="Cash on Delivery"/>
    <n v="4.8"/>
    <n v="9"/>
    <n v="2"/>
    <n v="26.6539"/>
    <x v="1"/>
    <x v="0"/>
    <s v="Returning"/>
  </r>
  <r>
    <n v="3513"/>
    <n v="38"/>
    <s v="Male"/>
    <x v="3"/>
    <s v="Lamp"/>
    <n v="180.38"/>
    <x v="0"/>
    <s v="Card"/>
    <n v="2.9"/>
    <n v="14"/>
    <n v="7"/>
    <n v="155.1268"/>
    <x v="1"/>
    <x v="0"/>
    <s v="Returning"/>
  </r>
  <r>
    <n v="3514"/>
    <n v="65"/>
    <s v="Male"/>
    <x v="5"/>
    <s v="Headphones"/>
    <n v="1279.3"/>
    <x v="0"/>
    <s v="Card"/>
    <n v="4.4000000000000004"/>
    <n v="11"/>
    <n v="3"/>
    <n v="1138.577"/>
    <x v="2"/>
    <x v="0"/>
    <s v="Returning"/>
  </r>
  <r>
    <n v="3515"/>
    <n v="23"/>
    <s v="Female"/>
    <x v="8"/>
    <s v="Skirt"/>
    <n v="31.4"/>
    <x v="3"/>
    <s v="Cash on Delivery"/>
    <n v="3"/>
    <n v="8"/>
    <n v="4"/>
    <n v="28.888000000000002"/>
    <x v="3"/>
    <x v="0"/>
    <s v="Returning"/>
  </r>
  <r>
    <n v="3516"/>
    <n v="20"/>
    <s v="Female"/>
    <x v="4"/>
    <s v="Beverages"/>
    <n v="47.95"/>
    <x v="1"/>
    <s v="Card"/>
    <n v="4.3"/>
    <n v="24"/>
    <n v="7"/>
    <n v="36.442"/>
    <x v="3"/>
    <x v="0"/>
    <s v="Returning"/>
  </r>
  <r>
    <n v="3517"/>
    <n v="36"/>
    <s v="Female"/>
    <x v="8"/>
    <s v="Top"/>
    <n v="98.93"/>
    <x v="1"/>
    <s v="Card"/>
    <n v="4.4000000000000004"/>
    <n v="10"/>
    <n v="5"/>
    <n v="89.037000000000006"/>
    <x v="1"/>
    <x v="0"/>
    <s v="Returning"/>
  </r>
  <r>
    <n v="3518"/>
    <n v="46"/>
    <s v="Female"/>
    <x v="8"/>
    <s v="Top"/>
    <n v="84.09"/>
    <x v="3"/>
    <s v="Card"/>
    <n v="3.4"/>
    <n v="4"/>
    <n v="2"/>
    <n v="80.726399999999998"/>
    <x v="0"/>
    <x v="0"/>
    <s v="Returning"/>
  </r>
  <r>
    <n v="3519"/>
    <n v="45"/>
    <s v="Male"/>
    <x v="7"/>
    <s v="Sandals"/>
    <n v="174.22"/>
    <x v="3"/>
    <s v="Card"/>
    <n v="4"/>
    <n v="13"/>
    <n v="4"/>
    <n v="151.57140000000001"/>
    <x v="1"/>
    <x v="0"/>
    <s v="Returning"/>
  </r>
  <r>
    <n v="3520"/>
    <n v="62"/>
    <s v="Male"/>
    <x v="2"/>
    <s v="Yoga Mat"/>
    <n v="50.18"/>
    <x v="1"/>
    <s v="Card"/>
    <n v="3.4"/>
    <n v="24"/>
    <n v="7"/>
    <n v="38.136800000000001"/>
    <x v="2"/>
    <x v="0"/>
    <s v="Returning"/>
  </r>
  <r>
    <n v="3521"/>
    <n v="66"/>
    <s v="Male"/>
    <x v="5"/>
    <s v="Smart Watch"/>
    <n v="2988.75"/>
    <x v="1"/>
    <s v="Card"/>
    <n v="4.0999999999999996"/>
    <n v="8"/>
    <n v="4"/>
    <n v="2749.65"/>
    <x v="2"/>
    <x v="0"/>
    <s v="Returning"/>
  </r>
  <r>
    <n v="3522"/>
    <n v="25"/>
    <s v="Male"/>
    <x v="7"/>
    <s v="Sandals"/>
    <n v="91.39"/>
    <x v="2"/>
    <s v="Cash on Delivery"/>
    <n v="4.5999999999999996"/>
    <n v="21"/>
    <n v="8"/>
    <n v="72.198099999999997"/>
    <x v="3"/>
    <x v="0"/>
    <s v="Returning"/>
  </r>
  <r>
    <n v="3523"/>
    <n v="63"/>
    <s v="Male"/>
    <x v="7"/>
    <s v="Formal Shoes"/>
    <n v="148.77000000000001"/>
    <x v="2"/>
    <s v="Card"/>
    <n v="3.7"/>
    <n v="4"/>
    <n v="2"/>
    <n v="142.8192"/>
    <x v="2"/>
    <x v="0"/>
    <s v="Returning"/>
  </r>
  <r>
    <n v="3524"/>
    <n v="68"/>
    <s v="Female"/>
    <x v="2"/>
    <s v="Dumbbells"/>
    <n v="208.26"/>
    <x v="0"/>
    <s v="Card"/>
    <n v="3.3"/>
    <n v="6"/>
    <n v="3"/>
    <n v="195.76439999999997"/>
    <x v="2"/>
    <x v="0"/>
    <s v="Returning"/>
  </r>
  <r>
    <n v="3525"/>
    <n v="41"/>
    <s v="Male"/>
    <x v="4"/>
    <s v="Snacks"/>
    <n v="75.680000000000007"/>
    <x v="0"/>
    <s v="Cash on Delivery"/>
    <n v="4.7"/>
    <n v="12"/>
    <n v="1"/>
    <n v="66.598400000000012"/>
    <x v="1"/>
    <x v="0"/>
    <s v="Returning"/>
  </r>
  <r>
    <n v="3526"/>
    <n v="42"/>
    <s v="Female"/>
    <x v="8"/>
    <s v="Top"/>
    <n v="195.75"/>
    <x v="3"/>
    <s v="Card"/>
    <n v="2.7"/>
    <n v="15"/>
    <n v="5"/>
    <n v="166.38749999999999"/>
    <x v="1"/>
    <x v="0"/>
    <s v="Returning"/>
  </r>
  <r>
    <n v="3527"/>
    <n v="20"/>
    <s v="Female"/>
    <x v="8"/>
    <s v="Skirt"/>
    <n v="101.76"/>
    <x v="0"/>
    <s v="Card"/>
    <n v="3.6"/>
    <n v="4"/>
    <n v="2"/>
    <n v="97.689599999999999"/>
    <x v="3"/>
    <x v="0"/>
    <s v="Returning"/>
  </r>
  <r>
    <n v="3528"/>
    <n v="62"/>
    <s v="Male"/>
    <x v="7"/>
    <s v="Formal Shoes"/>
    <n v="162.80000000000001"/>
    <x v="0"/>
    <s v="Card"/>
    <n v="4.3"/>
    <n v="22"/>
    <n v="6"/>
    <n v="126.98400000000001"/>
    <x v="2"/>
    <x v="0"/>
    <s v="Returning"/>
  </r>
  <r>
    <n v="3529"/>
    <n v="67"/>
    <s v="Female"/>
    <x v="8"/>
    <s v="Dress"/>
    <n v="184.18"/>
    <x v="0"/>
    <s v="Card"/>
    <n v="3.2"/>
    <n v="14"/>
    <n v="2"/>
    <n v="158.3948"/>
    <x v="2"/>
    <x v="0"/>
    <s v="Returning"/>
  </r>
  <r>
    <n v="3530"/>
    <n v="27"/>
    <s v="Female"/>
    <x v="6"/>
    <s v="Skincare Kit"/>
    <n v="92.28"/>
    <x v="2"/>
    <s v="Cash on Delivery"/>
    <n v="4.2"/>
    <n v="14"/>
    <n v="2"/>
    <n v="79.360799999999998"/>
    <x v="4"/>
    <x v="0"/>
    <s v="Returning"/>
  </r>
  <r>
    <n v="3531"/>
    <n v="27"/>
    <s v="Male"/>
    <x v="3"/>
    <s v="Lamp"/>
    <n v="90.91"/>
    <x v="1"/>
    <s v="Card"/>
    <n v="3.6"/>
    <n v="10"/>
    <n v="5"/>
    <n v="81.819000000000003"/>
    <x v="4"/>
    <x v="0"/>
    <s v="Returning"/>
  </r>
  <r>
    <n v="3532"/>
    <n v="69"/>
    <s v="Male"/>
    <x v="2"/>
    <s v="Yoga Mat"/>
    <n v="213.7"/>
    <x v="3"/>
    <s v="Card"/>
    <n v="3.7"/>
    <n v="6"/>
    <n v="3"/>
    <n v="200.87799999999999"/>
    <x v="2"/>
    <x v="0"/>
    <s v="Returning"/>
  </r>
  <r>
    <n v="3533"/>
    <n v="40"/>
    <s v="Male"/>
    <x v="5"/>
    <s v="Laptop"/>
    <n v="2397"/>
    <x v="2"/>
    <s v="Card"/>
    <n v="4"/>
    <n v="32"/>
    <n v="11"/>
    <n v="1629.9599999999998"/>
    <x v="1"/>
    <x v="0"/>
    <s v="Returning"/>
  </r>
  <r>
    <n v="3534"/>
    <n v="64"/>
    <s v="Female"/>
    <x v="0"/>
    <s v="Handbag"/>
    <n v="174.66"/>
    <x v="0"/>
    <s v="Card"/>
    <n v="5"/>
    <n v="24"/>
    <n v="7"/>
    <n v="132.74160000000001"/>
    <x v="2"/>
    <x v="0"/>
    <s v="Returning"/>
  </r>
  <r>
    <n v="3535"/>
    <n v="34"/>
    <s v="Male"/>
    <x v="5"/>
    <s v="Smart Watch"/>
    <n v="2047.74"/>
    <x v="0"/>
    <s v="Card"/>
    <n v="4"/>
    <n v="22"/>
    <n v="6"/>
    <n v="1597.2372"/>
    <x v="4"/>
    <x v="0"/>
    <s v="Returning"/>
  </r>
  <r>
    <n v="3536"/>
    <n v="67"/>
    <s v="Female"/>
    <x v="8"/>
    <s v="Skirt"/>
    <n v="148.32"/>
    <x v="1"/>
    <s v="Card"/>
    <n v="4.5"/>
    <n v="20"/>
    <n v="5"/>
    <n v="118.65600000000001"/>
    <x v="2"/>
    <x v="0"/>
    <s v="Returning"/>
  </r>
  <r>
    <n v="3537"/>
    <n v="27"/>
    <s v="Male"/>
    <x v="2"/>
    <s v="Football"/>
    <n v="118.03"/>
    <x v="1"/>
    <s v="Card"/>
    <n v="4"/>
    <n v="19"/>
    <n v="7"/>
    <n v="95.604300000000009"/>
    <x v="4"/>
    <x v="0"/>
    <s v="Returning"/>
  </r>
  <r>
    <n v="3538"/>
    <n v="33"/>
    <s v="Female"/>
    <x v="6"/>
    <s v="Skincare Kit"/>
    <n v="55.18"/>
    <x v="2"/>
    <s v="Card"/>
    <n v="3.4"/>
    <n v="13"/>
    <n v="4"/>
    <n v="48.006599999999999"/>
    <x v="4"/>
    <x v="0"/>
    <s v="Returning"/>
  </r>
  <r>
    <n v="3539"/>
    <n v="57"/>
    <s v="Female"/>
    <x v="0"/>
    <s v="Wallet"/>
    <n v="39.68"/>
    <x v="3"/>
    <s v="Cash on Delivery"/>
    <n v="3.4"/>
    <n v="10"/>
    <n v="5"/>
    <n v="35.712000000000003"/>
    <x v="0"/>
    <x v="0"/>
    <s v="Returning"/>
  </r>
  <r>
    <n v="3540"/>
    <n v="47"/>
    <s v="Male"/>
    <x v="7"/>
    <s v="Formal Shoes"/>
    <n v="138.35"/>
    <x v="0"/>
    <s v="Card"/>
    <n v="4.5999999999999996"/>
    <n v="15"/>
    <n v="5"/>
    <n v="117.5975"/>
    <x v="0"/>
    <x v="0"/>
    <s v="Returning"/>
  </r>
  <r>
    <n v="3541"/>
    <n v="20"/>
    <s v="Female"/>
    <x v="7"/>
    <s v="Formal Shoes"/>
    <n v="80.11"/>
    <x v="2"/>
    <s v="Card"/>
    <n v="4.5999999999999996"/>
    <n v="10"/>
    <n v="5"/>
    <n v="72.099000000000004"/>
    <x v="3"/>
    <x v="0"/>
    <s v="Returning"/>
  </r>
  <r>
    <n v="3542"/>
    <n v="58"/>
    <s v="Female"/>
    <x v="0"/>
    <s v="Handbag"/>
    <n v="97.52"/>
    <x v="1"/>
    <s v="Cash on Delivery"/>
    <n v="2.8"/>
    <n v="10"/>
    <n v="5"/>
    <n v="87.768000000000001"/>
    <x v="0"/>
    <x v="0"/>
    <s v="Returning"/>
  </r>
  <r>
    <n v="3543"/>
    <n v="29"/>
    <s v="Female"/>
    <x v="0"/>
    <s v="Wallet"/>
    <n v="135.41999999999999"/>
    <x v="1"/>
    <s v="Card"/>
    <n v="3.7"/>
    <n v="10"/>
    <n v="5"/>
    <n v="121.87799999999999"/>
    <x v="4"/>
    <x v="0"/>
    <s v="Returning"/>
  </r>
  <r>
    <n v="3544"/>
    <n v="68"/>
    <s v="Male"/>
    <x v="1"/>
    <s v="Shirt"/>
    <n v="95.18"/>
    <x v="0"/>
    <s v="Card"/>
    <n v="4.4000000000000004"/>
    <n v="17"/>
    <n v="6"/>
    <n v="78.999400000000009"/>
    <x v="2"/>
    <x v="0"/>
    <s v="Returning"/>
  </r>
  <r>
    <n v="3545"/>
    <n v="50"/>
    <s v="Female"/>
    <x v="6"/>
    <s v="Skincare Kit"/>
    <n v="121.73"/>
    <x v="2"/>
    <s v="Card"/>
    <n v="4.0999999999999996"/>
    <n v="28"/>
    <n v="9"/>
    <n v="87.645600000000002"/>
    <x v="0"/>
    <x v="0"/>
    <s v="Returning"/>
  </r>
  <r>
    <n v="3546"/>
    <n v="21"/>
    <s v="Female"/>
    <x v="8"/>
    <s v="Dress"/>
    <n v="155.07"/>
    <x v="3"/>
    <s v="Card"/>
    <n v="3"/>
    <n v="13"/>
    <n v="4"/>
    <n v="134.9109"/>
    <x v="3"/>
    <x v="0"/>
    <s v="Returning"/>
  </r>
  <r>
    <n v="3547"/>
    <n v="65"/>
    <s v="Male"/>
    <x v="1"/>
    <s v="Shirt"/>
    <n v="146.36000000000001"/>
    <x v="3"/>
    <s v="Card"/>
    <n v="2.5"/>
    <n v="2"/>
    <n v="1"/>
    <n v="143.43280000000001"/>
    <x v="2"/>
    <x v="0"/>
    <s v="Returning"/>
  </r>
  <r>
    <n v="3548"/>
    <n v="67"/>
    <s v="Male"/>
    <x v="2"/>
    <s v="Yoga Mat"/>
    <n v="222.83"/>
    <x v="3"/>
    <s v="Card"/>
    <n v="4.8"/>
    <n v="13"/>
    <n v="4"/>
    <n v="193.8621"/>
    <x v="2"/>
    <x v="0"/>
    <s v="Returning"/>
  </r>
  <r>
    <n v="3549"/>
    <n v="28"/>
    <s v="Female"/>
    <x v="7"/>
    <s v="Sandals"/>
    <n v="237.96"/>
    <x v="0"/>
    <s v="Card"/>
    <n v="4.7"/>
    <n v="9"/>
    <n v="2"/>
    <n v="216.54360000000003"/>
    <x v="4"/>
    <x v="0"/>
    <s v="Returning"/>
  </r>
  <r>
    <n v="3550"/>
    <n v="53"/>
    <s v="Female"/>
    <x v="8"/>
    <s v="Dress"/>
    <n v="182.1"/>
    <x v="0"/>
    <s v="Card"/>
    <n v="2.8"/>
    <n v="13"/>
    <n v="4"/>
    <n v="158.42699999999999"/>
    <x v="0"/>
    <x v="0"/>
    <s v="Returning"/>
  </r>
  <r>
    <n v="3551"/>
    <n v="53"/>
    <s v="Male"/>
    <x v="5"/>
    <s v="Headphones"/>
    <n v="2807.25"/>
    <x v="3"/>
    <s v="Card"/>
    <n v="2.7"/>
    <n v="22"/>
    <n v="6"/>
    <n v="2189.6550000000002"/>
    <x v="0"/>
    <x v="0"/>
    <s v="Returning"/>
  </r>
  <r>
    <n v="3552"/>
    <n v="24"/>
    <s v="Male"/>
    <x v="2"/>
    <s v="Dumbbells"/>
    <n v="140.57"/>
    <x v="0"/>
    <s v="Card"/>
    <n v="4.0999999999999996"/>
    <n v="10"/>
    <n v="5"/>
    <n v="126.51299999999999"/>
    <x v="3"/>
    <x v="0"/>
    <s v="Returning"/>
  </r>
  <r>
    <n v="3553"/>
    <n v="68"/>
    <s v="Male"/>
    <x v="4"/>
    <s v="Beverages"/>
    <n v="77.77"/>
    <x v="2"/>
    <s v="Cash on Delivery"/>
    <n v="3.6"/>
    <n v="10"/>
    <n v="5"/>
    <n v="69.992999999999995"/>
    <x v="2"/>
    <x v="0"/>
    <s v="Returning"/>
  </r>
  <r>
    <n v="3554"/>
    <n v="70"/>
    <s v="Female"/>
    <x v="7"/>
    <s v="Formal Shoes"/>
    <n v="165.35"/>
    <x v="0"/>
    <s v="Card"/>
    <n v="4.0999999999999996"/>
    <n v="6"/>
    <n v="3"/>
    <n v="155.42899999999997"/>
    <x v="2"/>
    <x v="0"/>
    <s v="Returning"/>
  </r>
  <r>
    <n v="3555"/>
    <n v="43"/>
    <s v="Male"/>
    <x v="2"/>
    <s v="Yoga Mat"/>
    <n v="246.24"/>
    <x v="2"/>
    <s v="Card"/>
    <n v="4.5"/>
    <n v="14"/>
    <n v="2"/>
    <n v="211.7664"/>
    <x v="1"/>
    <x v="0"/>
    <s v="Returning"/>
  </r>
  <r>
    <n v="3556"/>
    <n v="26"/>
    <s v="Female"/>
    <x v="6"/>
    <s v="Makeup Set"/>
    <n v="121.85"/>
    <x v="3"/>
    <s v="Card"/>
    <n v="4.0999999999999996"/>
    <n v="11"/>
    <n v="3"/>
    <n v="108.4465"/>
    <x v="4"/>
    <x v="0"/>
    <s v="Returning"/>
  </r>
  <r>
    <n v="3557"/>
    <n v="21"/>
    <s v="Male"/>
    <x v="2"/>
    <s v="Dumbbells"/>
    <n v="244.91"/>
    <x v="2"/>
    <s v="Card"/>
    <n v="2.9"/>
    <n v="6"/>
    <n v="3"/>
    <n v="230.21539999999999"/>
    <x v="3"/>
    <x v="0"/>
    <s v="Returning"/>
  </r>
  <r>
    <n v="3558"/>
    <n v="68"/>
    <s v="Female"/>
    <x v="6"/>
    <s v="Makeup Set"/>
    <n v="116.21"/>
    <x v="0"/>
    <s v="Card"/>
    <n v="3.3"/>
    <n v="28"/>
    <n v="9"/>
    <n v="83.671199999999999"/>
    <x v="2"/>
    <x v="0"/>
    <s v="Returning"/>
  </r>
  <r>
    <n v="3559"/>
    <n v="65"/>
    <s v="Male"/>
    <x v="4"/>
    <s v="Cooking Oil"/>
    <n v="31.66"/>
    <x v="0"/>
    <s v="Cash on Delivery"/>
    <n v="2.4"/>
    <n v="14"/>
    <n v="7"/>
    <n v="27.227599999999999"/>
    <x v="2"/>
    <x v="0"/>
    <s v="Returning"/>
  </r>
  <r>
    <n v="3560"/>
    <n v="42"/>
    <s v="Male"/>
    <x v="2"/>
    <s v="Dumbbells"/>
    <n v="150.72"/>
    <x v="3"/>
    <s v="Card"/>
    <n v="4.3"/>
    <n v="17"/>
    <n v="6"/>
    <n v="125.0976"/>
    <x v="1"/>
    <x v="0"/>
    <s v="Returning"/>
  </r>
  <r>
    <n v="3561"/>
    <n v="40"/>
    <s v="Female"/>
    <x v="7"/>
    <s v="Sandals"/>
    <n v="169.6"/>
    <x v="3"/>
    <s v="Card"/>
    <n v="3"/>
    <n v="13"/>
    <n v="4"/>
    <n v="147.55199999999999"/>
    <x v="1"/>
    <x v="0"/>
    <s v="Returning"/>
  </r>
  <r>
    <n v="3562"/>
    <n v="47"/>
    <s v="Female"/>
    <x v="2"/>
    <s v="Football"/>
    <n v="58.39"/>
    <x v="0"/>
    <s v="Cash on Delivery"/>
    <n v="4.4000000000000004"/>
    <n v="16"/>
    <n v="3"/>
    <n v="49.047599999999996"/>
    <x v="0"/>
    <x v="0"/>
    <s v="Returning"/>
  </r>
  <r>
    <n v="3563"/>
    <n v="53"/>
    <s v="Female"/>
    <x v="6"/>
    <s v="Skincare Kit"/>
    <n v="68.14"/>
    <x v="0"/>
    <s v="Cash on Delivery"/>
    <n v="3.3"/>
    <n v="10"/>
    <n v="5"/>
    <n v="61.326000000000001"/>
    <x v="0"/>
    <x v="0"/>
    <s v="Returning"/>
  </r>
  <r>
    <n v="3564"/>
    <n v="48"/>
    <s v="Male"/>
    <x v="7"/>
    <s v="Sneakers"/>
    <n v="179.68"/>
    <x v="0"/>
    <s v="Card"/>
    <n v="4.9000000000000004"/>
    <n v="28"/>
    <n v="9"/>
    <n v="129.36959999999999"/>
    <x v="0"/>
    <x v="0"/>
    <s v="Returning"/>
  </r>
  <r>
    <n v="3565"/>
    <n v="33"/>
    <s v="Male"/>
    <x v="5"/>
    <s v="Laptop"/>
    <n v="2844.72"/>
    <x v="3"/>
    <s v="Card"/>
    <n v="3.9"/>
    <n v="8"/>
    <n v="4"/>
    <n v="2617.1423999999997"/>
    <x v="4"/>
    <x v="0"/>
    <s v="Returning"/>
  </r>
  <r>
    <n v="3566"/>
    <n v="42"/>
    <s v="Female"/>
    <x v="7"/>
    <s v="Sneakers"/>
    <n v="125.92"/>
    <x v="3"/>
    <s v="Card"/>
    <n v="2.8"/>
    <n v="10"/>
    <n v="5"/>
    <n v="113.328"/>
    <x v="1"/>
    <x v="0"/>
    <s v="Returning"/>
  </r>
  <r>
    <n v="3567"/>
    <n v="45"/>
    <s v="Female"/>
    <x v="6"/>
    <s v="Skincare Kit"/>
    <n v="21.56"/>
    <x v="1"/>
    <s v="Cash on Delivery"/>
    <n v="3.4"/>
    <n v="9"/>
    <n v="2"/>
    <n v="19.619599999999998"/>
    <x v="1"/>
    <x v="0"/>
    <s v="Returning"/>
  </r>
  <r>
    <n v="3568"/>
    <n v="42"/>
    <s v="Male"/>
    <x v="4"/>
    <s v="Beverages"/>
    <n v="65.64"/>
    <x v="2"/>
    <s v="Cash on Delivery"/>
    <n v="2.8"/>
    <n v="10"/>
    <n v="5"/>
    <n v="59.076000000000001"/>
    <x v="1"/>
    <x v="0"/>
    <s v="Returning"/>
  </r>
  <r>
    <n v="3569"/>
    <n v="56"/>
    <s v="Female"/>
    <x v="0"/>
    <s v="Wallet"/>
    <n v="110.86"/>
    <x v="0"/>
    <s v="Card"/>
    <n v="4"/>
    <n v="22"/>
    <n v="6"/>
    <n v="86.470799999999997"/>
    <x v="0"/>
    <x v="0"/>
    <s v="Returning"/>
  </r>
  <r>
    <n v="3570"/>
    <n v="37"/>
    <s v="Female"/>
    <x v="0"/>
    <s v="Handbag"/>
    <n v="35.340000000000003"/>
    <x v="0"/>
    <s v="Cash on Delivery"/>
    <n v="3.5"/>
    <n v="13"/>
    <n v="4"/>
    <n v="30.745800000000003"/>
    <x v="1"/>
    <x v="0"/>
    <s v="Returning"/>
  </r>
  <r>
    <n v="3571"/>
    <n v="34"/>
    <s v="Female"/>
    <x v="7"/>
    <s v="Sandals"/>
    <n v="41.87"/>
    <x v="1"/>
    <s v="Card"/>
    <n v="4"/>
    <n v="8"/>
    <n v="4"/>
    <n v="38.520400000000002"/>
    <x v="4"/>
    <x v="0"/>
    <s v="Returning"/>
  </r>
  <r>
    <n v="3572"/>
    <n v="61"/>
    <s v="Male"/>
    <x v="2"/>
    <s v="Football"/>
    <n v="43.84"/>
    <x v="3"/>
    <s v="Cash on Delivery"/>
    <n v="3.3"/>
    <n v="20"/>
    <n v="5"/>
    <n v="35.072000000000003"/>
    <x v="2"/>
    <x v="0"/>
    <s v="Returning"/>
  </r>
  <r>
    <n v="3573"/>
    <n v="34"/>
    <s v="Male"/>
    <x v="7"/>
    <s v="Sandals"/>
    <n v="186.06"/>
    <x v="0"/>
    <s v="Card"/>
    <n v="3.8"/>
    <n v="16"/>
    <n v="3"/>
    <n v="156.29040000000001"/>
    <x v="4"/>
    <x v="0"/>
    <s v="Returning"/>
  </r>
  <r>
    <n v="3574"/>
    <n v="42"/>
    <s v="Male"/>
    <x v="1"/>
    <s v="Jacket"/>
    <n v="183.14"/>
    <x v="2"/>
    <s v="Card"/>
    <n v="3.1"/>
    <n v="12"/>
    <n v="6"/>
    <n v="161.16319999999999"/>
    <x v="1"/>
    <x v="0"/>
    <s v="Returning"/>
  </r>
  <r>
    <n v="3575"/>
    <n v="38"/>
    <s v="Female"/>
    <x v="0"/>
    <s v="Wallet"/>
    <n v="114.51"/>
    <x v="1"/>
    <s v="Card"/>
    <n v="2.7"/>
    <n v="19"/>
    <n v="7"/>
    <n v="92.753100000000003"/>
    <x v="1"/>
    <x v="0"/>
    <s v="Returning"/>
  </r>
  <r>
    <n v="3576"/>
    <n v="58"/>
    <s v="Female"/>
    <x v="7"/>
    <s v="Formal Shoes"/>
    <n v="201.39"/>
    <x v="1"/>
    <s v="Card"/>
    <n v="3.7"/>
    <n v="14"/>
    <n v="7"/>
    <n v="173.19539999999998"/>
    <x v="0"/>
    <x v="0"/>
    <s v="Returning"/>
  </r>
  <r>
    <n v="3577"/>
    <n v="31"/>
    <s v="Male"/>
    <x v="7"/>
    <s v="Formal Shoes"/>
    <n v="141.51"/>
    <x v="2"/>
    <s v="Card"/>
    <n v="3.7"/>
    <n v="30"/>
    <n v="10"/>
    <n v="99.056999999999988"/>
    <x v="4"/>
    <x v="0"/>
    <s v="Returning"/>
  </r>
  <r>
    <n v="3578"/>
    <n v="22"/>
    <s v="Male"/>
    <x v="1"/>
    <s v="Shirt"/>
    <n v="61.09"/>
    <x v="0"/>
    <s v="Card"/>
    <n v="3.2"/>
    <n v="8"/>
    <n v="4"/>
    <n v="56.202800000000003"/>
    <x v="3"/>
    <x v="0"/>
    <s v="Returning"/>
  </r>
  <r>
    <n v="3579"/>
    <n v="54"/>
    <s v="Female"/>
    <x v="8"/>
    <s v="Top"/>
    <n v="80.7"/>
    <x v="3"/>
    <s v="Cash on Delivery"/>
    <n v="3.7"/>
    <n v="21"/>
    <n v="8"/>
    <n v="63.753000000000007"/>
    <x v="0"/>
    <x v="0"/>
    <s v="Returning"/>
  </r>
  <r>
    <n v="3580"/>
    <n v="63"/>
    <s v="Female"/>
    <x v="0"/>
    <s v="Sunglasses"/>
    <n v="88.07"/>
    <x v="0"/>
    <s v="Cash on Delivery"/>
    <n v="3.4"/>
    <n v="28"/>
    <n v="9"/>
    <n v="63.410399999999996"/>
    <x v="2"/>
    <x v="0"/>
    <s v="Returning"/>
  </r>
  <r>
    <n v="3581"/>
    <n v="47"/>
    <s v="Male"/>
    <x v="5"/>
    <s v="Headphones"/>
    <n v="1425.23"/>
    <x v="0"/>
    <s v="Card"/>
    <n v="3.5"/>
    <n v="24"/>
    <n v="7"/>
    <n v="1083.1748"/>
    <x v="0"/>
    <x v="0"/>
    <s v="Returning"/>
  </r>
  <r>
    <n v="3582"/>
    <n v="36"/>
    <s v="Male"/>
    <x v="1"/>
    <s v="Jacket"/>
    <n v="76.67"/>
    <x v="0"/>
    <s v="Cash on Delivery"/>
    <n v="2.8"/>
    <n v="12"/>
    <n v="6"/>
    <n v="67.4696"/>
    <x v="1"/>
    <x v="0"/>
    <s v="Returning"/>
  </r>
  <r>
    <n v="3583"/>
    <n v="47"/>
    <s v="Female"/>
    <x v="4"/>
    <s v="Rice Pack"/>
    <n v="46.13"/>
    <x v="0"/>
    <s v="Card"/>
    <n v="3.4"/>
    <n v="14"/>
    <n v="7"/>
    <n v="39.671800000000005"/>
    <x v="0"/>
    <x v="0"/>
    <s v="Returning"/>
  </r>
  <r>
    <n v="3584"/>
    <n v="54"/>
    <s v="Male"/>
    <x v="1"/>
    <s v="Jeans"/>
    <n v="42.34"/>
    <x v="0"/>
    <s v="Card"/>
    <n v="4.2"/>
    <n v="22"/>
    <n v="6"/>
    <n v="33.025200000000005"/>
    <x v="0"/>
    <x v="0"/>
    <s v="Returning"/>
  </r>
  <r>
    <n v="3585"/>
    <n v="46"/>
    <s v="Male"/>
    <x v="2"/>
    <s v="Football"/>
    <n v="62.68"/>
    <x v="1"/>
    <s v="Card"/>
    <n v="2.2999999999999998"/>
    <n v="13"/>
    <n v="4"/>
    <n v="54.531599999999997"/>
    <x v="0"/>
    <x v="0"/>
    <s v="Returning"/>
  </r>
  <r>
    <n v="3586"/>
    <n v="38"/>
    <s v="Male"/>
    <x v="5"/>
    <s v="Smart Watch"/>
    <n v="2478.7399999999998"/>
    <x v="1"/>
    <s v="Card"/>
    <n v="4.9000000000000004"/>
    <n v="32"/>
    <n v="11"/>
    <n v="1685.5431999999996"/>
    <x v="1"/>
    <x v="0"/>
    <s v="Returning"/>
  </r>
  <r>
    <n v="3587"/>
    <n v="25"/>
    <s v="Female"/>
    <x v="0"/>
    <s v="Wallet"/>
    <n v="84.07"/>
    <x v="1"/>
    <s v="Cash on Delivery"/>
    <n v="3.7"/>
    <n v="20"/>
    <n v="5"/>
    <n v="67.256"/>
    <x v="3"/>
    <x v="0"/>
    <s v="Returning"/>
  </r>
  <r>
    <n v="3588"/>
    <n v="68"/>
    <s v="Male"/>
    <x v="5"/>
    <s v="Headphones"/>
    <n v="2454.39"/>
    <x v="0"/>
    <s v="Card"/>
    <n v="4.0999999999999996"/>
    <n v="20"/>
    <n v="5"/>
    <n v="1963.5119999999999"/>
    <x v="2"/>
    <x v="0"/>
    <s v="Returning"/>
  </r>
  <r>
    <n v="3589"/>
    <n v="56"/>
    <s v="Male"/>
    <x v="5"/>
    <s v="Smart Watch"/>
    <n v="1041.3399999999999"/>
    <x v="0"/>
    <s v="Card"/>
    <n v="3.4"/>
    <n v="15"/>
    <n v="5"/>
    <n v="885.1389999999999"/>
    <x v="0"/>
    <x v="0"/>
    <s v="Returning"/>
  </r>
  <r>
    <n v="3590"/>
    <n v="56"/>
    <s v="Male"/>
    <x v="2"/>
    <s v="Dumbbells"/>
    <n v="235.44"/>
    <x v="3"/>
    <s v="Card"/>
    <n v="2.4"/>
    <n v="15"/>
    <n v="5"/>
    <n v="200.124"/>
    <x v="0"/>
    <x v="0"/>
    <s v="Returning"/>
  </r>
  <r>
    <n v="3591"/>
    <n v="35"/>
    <s v="Female"/>
    <x v="6"/>
    <s v="Makeup Set"/>
    <n v="35.72"/>
    <x v="0"/>
    <s v="Card"/>
    <n v="4.3"/>
    <n v="8"/>
    <n v="4"/>
    <n v="32.862400000000001"/>
    <x v="4"/>
    <x v="0"/>
    <s v="Returning"/>
  </r>
  <r>
    <n v="3592"/>
    <n v="27"/>
    <s v="Male"/>
    <x v="1"/>
    <s v="Shirt"/>
    <n v="134.71"/>
    <x v="1"/>
    <s v="Card"/>
    <n v="3.2"/>
    <n v="16"/>
    <n v="3"/>
    <n v="113.1564"/>
    <x v="4"/>
    <x v="0"/>
    <s v="Returning"/>
  </r>
  <r>
    <n v="3593"/>
    <n v="33"/>
    <s v="Female"/>
    <x v="7"/>
    <s v="Sandals"/>
    <n v="148.91999999999999"/>
    <x v="2"/>
    <s v="Card"/>
    <n v="4.0999999999999996"/>
    <n v="4"/>
    <n v="2"/>
    <n v="142.96319999999997"/>
    <x v="4"/>
    <x v="0"/>
    <s v="Returning"/>
  </r>
  <r>
    <n v="3594"/>
    <n v="30"/>
    <s v="Male"/>
    <x v="1"/>
    <s v="Jacket"/>
    <n v="104.95"/>
    <x v="3"/>
    <s v="Card"/>
    <n v="3.9"/>
    <n v="22"/>
    <n v="6"/>
    <n v="81.861000000000004"/>
    <x v="4"/>
    <x v="0"/>
    <s v="Returning"/>
  </r>
  <r>
    <n v="3595"/>
    <n v="49"/>
    <s v="Female"/>
    <x v="0"/>
    <s v="Handbag"/>
    <n v="103.47"/>
    <x v="3"/>
    <s v="Card"/>
    <n v="3.5"/>
    <n v="26"/>
    <n v="8"/>
    <n v="76.567799999999991"/>
    <x v="0"/>
    <x v="0"/>
    <s v="Returning"/>
  </r>
  <r>
    <n v="3596"/>
    <n v="55"/>
    <s v="Female"/>
    <x v="3"/>
    <s v="Lamp"/>
    <n v="298.60000000000002"/>
    <x v="0"/>
    <s v="Card"/>
    <n v="4.7"/>
    <n v="17"/>
    <n v="6"/>
    <n v="247.83799999999999"/>
    <x v="0"/>
    <x v="0"/>
    <s v="Returning"/>
  </r>
  <r>
    <n v="3597"/>
    <n v="51"/>
    <s v="Male"/>
    <x v="2"/>
    <s v="Yoga Mat"/>
    <n v="39.06"/>
    <x v="1"/>
    <s v="Card"/>
    <n v="3.7"/>
    <n v="20"/>
    <n v="5"/>
    <n v="31.248000000000005"/>
    <x v="0"/>
    <x v="0"/>
    <s v="Returning"/>
  </r>
  <r>
    <n v="3598"/>
    <n v="40"/>
    <s v="Male"/>
    <x v="1"/>
    <s v="Shirt"/>
    <n v="133.24"/>
    <x v="3"/>
    <s v="Card"/>
    <n v="3.8"/>
    <n v="17"/>
    <n v="6"/>
    <n v="110.58920000000001"/>
    <x v="1"/>
    <x v="0"/>
    <s v="Returning"/>
  </r>
  <r>
    <n v="3599"/>
    <n v="42"/>
    <s v="Male"/>
    <x v="5"/>
    <s v="Mobile Phone"/>
    <n v="897.41"/>
    <x v="0"/>
    <s v="Card"/>
    <n v="3.8"/>
    <n v="19"/>
    <n v="7"/>
    <n v="726.90210000000002"/>
    <x v="1"/>
    <x v="0"/>
    <s v="Returning"/>
  </r>
  <r>
    <n v="3600"/>
    <n v="52"/>
    <s v="Male"/>
    <x v="7"/>
    <s v="Sneakers"/>
    <n v="86.48"/>
    <x v="2"/>
    <s v="Cash on Delivery"/>
    <n v="3.2"/>
    <n v="22"/>
    <n v="6"/>
    <n v="67.454400000000007"/>
    <x v="0"/>
    <x v="0"/>
    <s v="Returning"/>
  </r>
  <r>
    <n v="3601"/>
    <n v="56"/>
    <s v="Female"/>
    <x v="7"/>
    <s v="Sandals"/>
    <n v="125.07"/>
    <x v="0"/>
    <s v="Card"/>
    <n v="2.8"/>
    <n v="18"/>
    <n v="4"/>
    <n v="102.5574"/>
    <x v="0"/>
    <x v="0"/>
    <s v="Returning"/>
  </r>
  <r>
    <n v="3602"/>
    <n v="46"/>
    <s v="Male"/>
    <x v="2"/>
    <s v="Yoga Mat"/>
    <n v="216.22"/>
    <x v="2"/>
    <s v="Card"/>
    <n v="3.2"/>
    <n v="22"/>
    <n v="6"/>
    <n v="168.6516"/>
    <x v="0"/>
    <x v="0"/>
    <s v="Returning"/>
  </r>
  <r>
    <n v="3603"/>
    <n v="55"/>
    <s v="Female"/>
    <x v="6"/>
    <s v="Makeup Set"/>
    <n v="29.52"/>
    <x v="1"/>
    <s v="Cash on Delivery"/>
    <n v="3.8"/>
    <n v="4"/>
    <n v="2"/>
    <n v="28.339199999999998"/>
    <x v="0"/>
    <x v="0"/>
    <s v="Returning"/>
  </r>
  <r>
    <n v="3604"/>
    <n v="39"/>
    <s v="Female"/>
    <x v="8"/>
    <s v="Top"/>
    <n v="174.95"/>
    <x v="0"/>
    <s v="Card"/>
    <n v="2.9"/>
    <n v="13"/>
    <n v="4"/>
    <n v="152.20649999999998"/>
    <x v="1"/>
    <x v="0"/>
    <s v="Returning"/>
  </r>
  <r>
    <n v="3605"/>
    <n v="49"/>
    <s v="Male"/>
    <x v="1"/>
    <s v="Shirt"/>
    <n v="101.38"/>
    <x v="1"/>
    <s v="Card"/>
    <n v="3.3"/>
    <n v="12"/>
    <n v="6"/>
    <n v="89.214399999999998"/>
    <x v="0"/>
    <x v="0"/>
    <s v="Returning"/>
  </r>
  <r>
    <n v="3606"/>
    <n v="53"/>
    <s v="Male"/>
    <x v="2"/>
    <s v="Dumbbells"/>
    <n v="61.95"/>
    <x v="2"/>
    <s v="Card"/>
    <n v="5"/>
    <n v="28"/>
    <n v="9"/>
    <n v="44.603999999999999"/>
    <x v="0"/>
    <x v="0"/>
    <s v="Returning"/>
  </r>
  <r>
    <n v="3607"/>
    <n v="34"/>
    <s v="Female"/>
    <x v="2"/>
    <s v="Dumbbells"/>
    <n v="117.57"/>
    <x v="0"/>
    <s v="Card"/>
    <n v="4.4000000000000004"/>
    <n v="16"/>
    <n v="3"/>
    <n v="98.758799999999994"/>
    <x v="4"/>
    <x v="0"/>
    <s v="Returning"/>
  </r>
  <r>
    <n v="3608"/>
    <n v="70"/>
    <s v="Female"/>
    <x v="6"/>
    <s v="Perfume"/>
    <n v="130.01"/>
    <x v="1"/>
    <s v="Card"/>
    <n v="4.3"/>
    <n v="15"/>
    <n v="5"/>
    <n v="110.50849999999998"/>
    <x v="2"/>
    <x v="0"/>
    <s v="Returning"/>
  </r>
  <r>
    <n v="3609"/>
    <n v="69"/>
    <s v="Male"/>
    <x v="2"/>
    <s v="Yoga Mat"/>
    <n v="225.9"/>
    <x v="2"/>
    <s v="Card"/>
    <n v="3.8"/>
    <n v="22"/>
    <n v="6"/>
    <n v="176.202"/>
    <x v="2"/>
    <x v="0"/>
    <s v="Returning"/>
  </r>
  <r>
    <n v="3610"/>
    <n v="27"/>
    <s v="Male"/>
    <x v="2"/>
    <s v="Dumbbells"/>
    <n v="165.66"/>
    <x v="3"/>
    <s v="Card"/>
    <n v="3.4"/>
    <n v="14"/>
    <n v="2"/>
    <n v="142.4676"/>
    <x v="4"/>
    <x v="0"/>
    <s v="Returning"/>
  </r>
  <r>
    <n v="3611"/>
    <n v="30"/>
    <s v="Male"/>
    <x v="7"/>
    <s v="Sneakers"/>
    <n v="197.71"/>
    <x v="1"/>
    <s v="Card"/>
    <n v="3.3"/>
    <n v="17"/>
    <n v="6"/>
    <n v="164.0993"/>
    <x v="4"/>
    <x v="0"/>
    <s v="Returning"/>
  </r>
  <r>
    <n v="3612"/>
    <n v="58"/>
    <s v="Male"/>
    <x v="1"/>
    <s v="Jacket"/>
    <n v="104.05"/>
    <x v="0"/>
    <s v="Card"/>
    <n v="2.8"/>
    <n v="6"/>
    <n v="3"/>
    <n v="97.806999999999988"/>
    <x v="0"/>
    <x v="0"/>
    <s v="Returning"/>
  </r>
  <r>
    <n v="3613"/>
    <n v="32"/>
    <s v="Male"/>
    <x v="4"/>
    <s v="Snacks"/>
    <n v="77.81"/>
    <x v="0"/>
    <s v="Card"/>
    <n v="4.2"/>
    <n v="8"/>
    <n v="4"/>
    <n v="71.5852"/>
    <x v="4"/>
    <x v="0"/>
    <s v="Returning"/>
  </r>
  <r>
    <n v="3614"/>
    <n v="43"/>
    <s v="Female"/>
    <x v="7"/>
    <s v="Sneakers"/>
    <n v="117.91"/>
    <x v="1"/>
    <s v="Card"/>
    <n v="4"/>
    <n v="12"/>
    <n v="1"/>
    <n v="103.7608"/>
    <x v="1"/>
    <x v="0"/>
    <s v="Returning"/>
  </r>
  <r>
    <n v="3615"/>
    <n v="26"/>
    <s v="Male"/>
    <x v="4"/>
    <s v="Cooking Oil"/>
    <n v="70.44"/>
    <x v="2"/>
    <s v="Card"/>
    <n v="2.5"/>
    <n v="19"/>
    <n v="7"/>
    <n v="57.056400000000004"/>
    <x v="4"/>
    <x v="0"/>
    <s v="Returning"/>
  </r>
  <r>
    <n v="3616"/>
    <n v="60"/>
    <s v="Female"/>
    <x v="0"/>
    <s v="Wallet"/>
    <n v="104.64"/>
    <x v="0"/>
    <s v="Card"/>
    <n v="3.7"/>
    <n v="17"/>
    <n v="6"/>
    <n v="86.851199999999992"/>
    <x v="0"/>
    <x v="0"/>
    <s v="Returning"/>
  </r>
  <r>
    <n v="3617"/>
    <n v="64"/>
    <s v="Female"/>
    <x v="6"/>
    <s v="Makeup Set"/>
    <n v="71.510000000000005"/>
    <x v="2"/>
    <s v="Cash on Delivery"/>
    <n v="2.9"/>
    <n v="28"/>
    <n v="9"/>
    <n v="51.487200000000001"/>
    <x v="2"/>
    <x v="0"/>
    <s v="Returning"/>
  </r>
  <r>
    <n v="3618"/>
    <n v="53"/>
    <s v="Female"/>
    <x v="6"/>
    <s v="Skincare Kit"/>
    <n v="51.04"/>
    <x v="0"/>
    <s v="Card"/>
    <n v="4.4000000000000004"/>
    <n v="19"/>
    <n v="7"/>
    <n v="41.342400000000005"/>
    <x v="0"/>
    <x v="0"/>
    <s v="Returning"/>
  </r>
  <r>
    <n v="3619"/>
    <n v="23"/>
    <s v="Male"/>
    <x v="1"/>
    <s v="Jeans"/>
    <n v="76.95"/>
    <x v="2"/>
    <s v="Card"/>
    <n v="3.8"/>
    <n v="8"/>
    <n v="4"/>
    <n v="70.794000000000011"/>
    <x v="3"/>
    <x v="0"/>
    <s v="Returning"/>
  </r>
  <r>
    <n v="3620"/>
    <n v="32"/>
    <s v="Male"/>
    <x v="1"/>
    <s v="Jeans"/>
    <n v="81.88"/>
    <x v="3"/>
    <s v="Card"/>
    <n v="3.9"/>
    <n v="8"/>
    <n v="4"/>
    <n v="75.329599999999999"/>
    <x v="4"/>
    <x v="0"/>
    <s v="Returning"/>
  </r>
  <r>
    <n v="3621"/>
    <n v="66"/>
    <s v="Male"/>
    <x v="2"/>
    <s v="Dumbbells"/>
    <n v="65.33"/>
    <x v="1"/>
    <s v="Card"/>
    <n v="3.2"/>
    <n v="20"/>
    <n v="5"/>
    <n v="52.264000000000003"/>
    <x v="2"/>
    <x v="0"/>
    <s v="Returning"/>
  </r>
  <r>
    <n v="3622"/>
    <n v="47"/>
    <s v="Female"/>
    <x v="8"/>
    <s v="Top"/>
    <n v="52.4"/>
    <x v="2"/>
    <s v="Cash on Delivery"/>
    <n v="3.7"/>
    <n v="24"/>
    <n v="7"/>
    <n v="39.823999999999998"/>
    <x v="0"/>
    <x v="0"/>
    <s v="Returning"/>
  </r>
  <r>
    <n v="3623"/>
    <n v="20"/>
    <s v="Male"/>
    <x v="7"/>
    <s v="Formal Shoes"/>
    <n v="205.07"/>
    <x v="1"/>
    <s v="Card"/>
    <n v="4.2"/>
    <n v="17"/>
    <n v="6"/>
    <n v="170.20809999999997"/>
    <x v="3"/>
    <x v="0"/>
    <s v="Returning"/>
  </r>
  <r>
    <n v="3624"/>
    <n v="50"/>
    <s v="Female"/>
    <x v="6"/>
    <s v="Skincare Kit"/>
    <n v="29.83"/>
    <x v="2"/>
    <s v="Card"/>
    <n v="2.4"/>
    <n v="18"/>
    <n v="4"/>
    <n v="24.460599999999999"/>
    <x v="0"/>
    <x v="0"/>
    <s v="Returning"/>
  </r>
  <r>
    <n v="3625"/>
    <n v="68"/>
    <s v="Female"/>
    <x v="2"/>
    <s v="Football"/>
    <n v="151.76"/>
    <x v="0"/>
    <s v="Card"/>
    <n v="4.0999999999999996"/>
    <n v="14"/>
    <n v="7"/>
    <n v="130.5136"/>
    <x v="2"/>
    <x v="0"/>
    <s v="Returning"/>
  </r>
  <r>
    <n v="3626"/>
    <n v="47"/>
    <s v="Male"/>
    <x v="4"/>
    <s v="Beverages"/>
    <n v="56.84"/>
    <x v="3"/>
    <s v="Card"/>
    <n v="3.7"/>
    <n v="10"/>
    <n v="5"/>
    <n v="51.156000000000006"/>
    <x v="0"/>
    <x v="0"/>
    <s v="Returning"/>
  </r>
  <r>
    <n v="3627"/>
    <n v="66"/>
    <s v="Female"/>
    <x v="7"/>
    <s v="Sandals"/>
    <n v="228.84"/>
    <x v="1"/>
    <s v="Card"/>
    <n v="4.0999999999999996"/>
    <n v="14"/>
    <n v="2"/>
    <n v="196.80240000000001"/>
    <x v="2"/>
    <x v="0"/>
    <s v="Returning"/>
  </r>
  <r>
    <n v="3628"/>
    <n v="53"/>
    <s v="Female"/>
    <x v="7"/>
    <s v="Sneakers"/>
    <n v="130.81"/>
    <x v="3"/>
    <s v="Card"/>
    <n v="3.8"/>
    <n v="16"/>
    <n v="8"/>
    <n v="109.88039999999999"/>
    <x v="0"/>
    <x v="0"/>
    <s v="Returning"/>
  </r>
  <r>
    <n v="3629"/>
    <n v="57"/>
    <s v="Male"/>
    <x v="7"/>
    <s v="Formal Shoes"/>
    <n v="65.53"/>
    <x v="3"/>
    <s v="Cash on Delivery"/>
    <n v="3.9"/>
    <n v="17"/>
    <n v="6"/>
    <n v="54.389899999999997"/>
    <x v="0"/>
    <x v="0"/>
    <s v="Returning"/>
  </r>
  <r>
    <n v="3630"/>
    <n v="60"/>
    <s v="Female"/>
    <x v="0"/>
    <s v="Sunglasses"/>
    <n v="86.31"/>
    <x v="1"/>
    <s v="Card"/>
    <n v="4.4000000000000004"/>
    <n v="13"/>
    <n v="4"/>
    <n v="75.089700000000008"/>
    <x v="0"/>
    <x v="0"/>
    <s v="Returning"/>
  </r>
  <r>
    <n v="3631"/>
    <n v="31"/>
    <s v="Male"/>
    <x v="2"/>
    <s v="Yoga Mat"/>
    <n v="204.19"/>
    <x v="2"/>
    <s v="Card"/>
    <n v="3.4"/>
    <n v="18"/>
    <n v="4"/>
    <n v="167.4358"/>
    <x v="4"/>
    <x v="0"/>
    <s v="Returning"/>
  </r>
  <r>
    <n v="3632"/>
    <n v="68"/>
    <s v="Male"/>
    <x v="3"/>
    <s v="Curtains"/>
    <n v="289.19"/>
    <x v="2"/>
    <s v="Card"/>
    <n v="3.5"/>
    <n v="9"/>
    <n v="2"/>
    <n v="263.16289999999998"/>
    <x v="2"/>
    <x v="0"/>
    <s v="Returning"/>
  </r>
  <r>
    <n v="3633"/>
    <n v="54"/>
    <s v="Male"/>
    <x v="2"/>
    <s v="Football"/>
    <n v="158.37"/>
    <x v="3"/>
    <s v="Card"/>
    <n v="2.2999999999999998"/>
    <n v="12"/>
    <n v="6"/>
    <n v="139.3656"/>
    <x v="0"/>
    <x v="0"/>
    <s v="Returning"/>
  </r>
  <r>
    <n v="3634"/>
    <n v="47"/>
    <s v="Female"/>
    <x v="8"/>
    <s v="Dress"/>
    <n v="71.25"/>
    <x v="3"/>
    <s v="Cash on Delivery"/>
    <n v="3.8"/>
    <n v="26"/>
    <n v="8"/>
    <n v="52.725000000000001"/>
    <x v="0"/>
    <x v="0"/>
    <s v="Returning"/>
  </r>
  <r>
    <n v="3635"/>
    <n v="62"/>
    <s v="Female"/>
    <x v="0"/>
    <s v="Handbag"/>
    <n v="176.49"/>
    <x v="0"/>
    <s v="Card"/>
    <n v="3.4"/>
    <n v="16"/>
    <n v="8"/>
    <n v="148.2516"/>
    <x v="2"/>
    <x v="0"/>
    <s v="Returning"/>
  </r>
  <r>
    <n v="3636"/>
    <n v="33"/>
    <s v="Female"/>
    <x v="7"/>
    <s v="Sandals"/>
    <n v="60.85"/>
    <x v="0"/>
    <s v="Cash on Delivery"/>
    <n v="3.3"/>
    <n v="12"/>
    <n v="6"/>
    <n v="53.548000000000002"/>
    <x v="4"/>
    <x v="0"/>
    <s v="Returning"/>
  </r>
  <r>
    <n v="3637"/>
    <n v="40"/>
    <s v="Male"/>
    <x v="7"/>
    <s v="Formal Shoes"/>
    <n v="235.85"/>
    <x v="0"/>
    <s v="Card"/>
    <n v="4.0999999999999996"/>
    <n v="30"/>
    <n v="10"/>
    <n v="165.095"/>
    <x v="1"/>
    <x v="0"/>
    <s v="Returning"/>
  </r>
  <r>
    <n v="3638"/>
    <n v="66"/>
    <s v="Male"/>
    <x v="5"/>
    <s v="Smart Watch"/>
    <n v="1417.24"/>
    <x v="2"/>
    <s v="Card"/>
    <n v="3.3"/>
    <n v="23"/>
    <n v="9"/>
    <n v="1091.2748000000001"/>
    <x v="2"/>
    <x v="0"/>
    <s v="Returning"/>
  </r>
  <r>
    <n v="3639"/>
    <n v="39"/>
    <s v="Female"/>
    <x v="8"/>
    <s v="Jeans"/>
    <n v="119.67"/>
    <x v="2"/>
    <s v="Card"/>
    <n v="4.3"/>
    <n v="13"/>
    <n v="4"/>
    <n v="104.1129"/>
    <x v="1"/>
    <x v="0"/>
    <s v="Returning"/>
  </r>
  <r>
    <n v="3640"/>
    <n v="63"/>
    <s v="Female"/>
    <x v="8"/>
    <s v="Dress"/>
    <n v="77.59"/>
    <x v="3"/>
    <s v="Card"/>
    <n v="4.5"/>
    <n v="18"/>
    <n v="4"/>
    <n v="63.62380000000001"/>
    <x v="2"/>
    <x v="0"/>
    <s v="Returning"/>
  </r>
  <r>
    <n v="3641"/>
    <n v="57"/>
    <s v="Female"/>
    <x v="7"/>
    <s v="Sneakers"/>
    <n v="176.39"/>
    <x v="2"/>
    <s v="Card"/>
    <n v="5"/>
    <n v="6"/>
    <n v="3"/>
    <n v="165.80659999999997"/>
    <x v="0"/>
    <x v="0"/>
    <s v="Returning"/>
  </r>
  <r>
    <n v="3642"/>
    <n v="50"/>
    <s v="Male"/>
    <x v="5"/>
    <s v="Headphones"/>
    <n v="2463.27"/>
    <x v="0"/>
    <s v="Card"/>
    <n v="3.7"/>
    <n v="20"/>
    <n v="5"/>
    <n v="1970.616"/>
    <x v="0"/>
    <x v="0"/>
    <s v="Returning"/>
  </r>
  <r>
    <n v="3643"/>
    <n v="65"/>
    <s v="Male"/>
    <x v="2"/>
    <s v="Football"/>
    <n v="210.26"/>
    <x v="3"/>
    <s v="Card"/>
    <n v="4.5"/>
    <n v="19"/>
    <n v="7"/>
    <n v="170.31059999999999"/>
    <x v="2"/>
    <x v="0"/>
    <s v="Returning"/>
  </r>
  <r>
    <n v="3644"/>
    <n v="43"/>
    <s v="Male"/>
    <x v="7"/>
    <s v="Sneakers"/>
    <n v="43.08"/>
    <x v="0"/>
    <s v="Cash on Delivery"/>
    <n v="3.3"/>
    <n v="24"/>
    <n v="7"/>
    <n v="32.7408"/>
    <x v="1"/>
    <x v="0"/>
    <s v="Returning"/>
  </r>
  <r>
    <n v="3645"/>
    <n v="66"/>
    <s v="Male"/>
    <x v="5"/>
    <s v="Laptop"/>
    <n v="2061.67"/>
    <x v="2"/>
    <s v="Card"/>
    <n v="3.8"/>
    <n v="11"/>
    <n v="3"/>
    <n v="1834.8863000000001"/>
    <x v="2"/>
    <x v="0"/>
    <s v="Returning"/>
  </r>
  <r>
    <n v="3646"/>
    <n v="54"/>
    <s v="Female"/>
    <x v="6"/>
    <s v="Skincare Kit"/>
    <n v="116.1"/>
    <x v="0"/>
    <s v="Card"/>
    <n v="3.3"/>
    <n v="11"/>
    <n v="3"/>
    <n v="103.32899999999999"/>
    <x v="0"/>
    <x v="0"/>
    <s v="Returning"/>
  </r>
  <r>
    <n v="3647"/>
    <n v="21"/>
    <s v="Female"/>
    <x v="0"/>
    <s v="Wallet"/>
    <n v="74.010000000000005"/>
    <x v="0"/>
    <s v="Card"/>
    <n v="4.0999999999999996"/>
    <n v="22"/>
    <n v="6"/>
    <n v="57.727800000000009"/>
    <x v="3"/>
    <x v="0"/>
    <s v="Returning"/>
  </r>
  <r>
    <n v="3648"/>
    <n v="49"/>
    <s v="Female"/>
    <x v="4"/>
    <s v="Snacks"/>
    <n v="63.04"/>
    <x v="2"/>
    <s v="Card"/>
    <n v="3.5"/>
    <n v="22"/>
    <n v="6"/>
    <n v="49.171199999999999"/>
    <x v="0"/>
    <x v="0"/>
    <s v="Returning"/>
  </r>
  <r>
    <n v="3649"/>
    <n v="41"/>
    <s v="Male"/>
    <x v="1"/>
    <s v="Jeans"/>
    <n v="52.63"/>
    <x v="2"/>
    <s v="Cash on Delivery"/>
    <n v="4.4000000000000004"/>
    <n v="16"/>
    <n v="3"/>
    <n v="44.209200000000003"/>
    <x v="1"/>
    <x v="0"/>
    <s v="Returning"/>
  </r>
  <r>
    <n v="3650"/>
    <n v="51"/>
    <s v="Male"/>
    <x v="1"/>
    <s v="Shirt"/>
    <n v="159.5"/>
    <x v="1"/>
    <s v="Card"/>
    <n v="4.3"/>
    <n v="22"/>
    <n v="6"/>
    <n v="124.41000000000001"/>
    <x v="0"/>
    <x v="0"/>
    <s v="Returning"/>
  </r>
  <r>
    <n v="3651"/>
    <n v="63"/>
    <s v="Female"/>
    <x v="8"/>
    <s v="Skirt"/>
    <n v="128.85"/>
    <x v="2"/>
    <s v="Card"/>
    <n v="2.9"/>
    <n v="11"/>
    <n v="3"/>
    <n v="114.67649999999999"/>
    <x v="2"/>
    <x v="0"/>
    <s v="Returning"/>
  </r>
  <r>
    <n v="3652"/>
    <n v="29"/>
    <s v="Male"/>
    <x v="2"/>
    <s v="Dumbbells"/>
    <n v="206.04"/>
    <x v="3"/>
    <s v="Card"/>
    <n v="3.5"/>
    <n v="20"/>
    <n v="5"/>
    <n v="164.83199999999999"/>
    <x v="4"/>
    <x v="0"/>
    <s v="Returning"/>
  </r>
  <r>
    <n v="3653"/>
    <n v="68"/>
    <s v="Female"/>
    <x v="7"/>
    <s v="Sandals"/>
    <n v="86.55"/>
    <x v="3"/>
    <s v="Card"/>
    <n v="5"/>
    <n v="28"/>
    <n v="9"/>
    <n v="62.315999999999995"/>
    <x v="2"/>
    <x v="0"/>
    <s v="Returning"/>
  </r>
  <r>
    <n v="3654"/>
    <n v="63"/>
    <s v="Male"/>
    <x v="2"/>
    <s v="Yoga Mat"/>
    <n v="138.76"/>
    <x v="1"/>
    <s v="Card"/>
    <n v="3.5"/>
    <n v="17"/>
    <n v="6"/>
    <n v="115.17079999999999"/>
    <x v="2"/>
    <x v="0"/>
    <s v="Returning"/>
  </r>
  <r>
    <n v="3655"/>
    <n v="49"/>
    <s v="Female"/>
    <x v="8"/>
    <s v="Skirt"/>
    <n v="45.93"/>
    <x v="1"/>
    <s v="Card"/>
    <n v="5"/>
    <n v="22"/>
    <n v="6"/>
    <n v="35.825400000000002"/>
    <x v="0"/>
    <x v="0"/>
    <s v="Returning"/>
  </r>
  <r>
    <n v="3656"/>
    <n v="56"/>
    <s v="Female"/>
    <x v="8"/>
    <s v="Jeans"/>
    <n v="80.56"/>
    <x v="0"/>
    <s v="Card"/>
    <n v="3.5"/>
    <n v="14"/>
    <n v="7"/>
    <n v="69.281599999999997"/>
    <x v="0"/>
    <x v="0"/>
    <s v="Returning"/>
  </r>
  <r>
    <n v="3657"/>
    <n v="42"/>
    <s v="Male"/>
    <x v="3"/>
    <s v="Kitchen Set"/>
    <n v="133.91"/>
    <x v="3"/>
    <s v="Card"/>
    <n v="3.9"/>
    <n v="18"/>
    <n v="4"/>
    <n v="109.8062"/>
    <x v="1"/>
    <x v="0"/>
    <s v="Returning"/>
  </r>
  <r>
    <n v="3658"/>
    <n v="34"/>
    <s v="Male"/>
    <x v="5"/>
    <s v="Laptop"/>
    <n v="739.02"/>
    <x v="0"/>
    <s v="Card"/>
    <n v="4.3"/>
    <n v="30"/>
    <n v="10"/>
    <n v="517.31399999999996"/>
    <x v="4"/>
    <x v="0"/>
    <s v="Returning"/>
  </r>
  <r>
    <n v="3659"/>
    <n v="49"/>
    <s v="Male"/>
    <x v="2"/>
    <s v="Football"/>
    <n v="245.64"/>
    <x v="2"/>
    <s v="Card"/>
    <n v="4.0999999999999996"/>
    <n v="15"/>
    <n v="5"/>
    <n v="208.79399999999998"/>
    <x v="0"/>
    <x v="0"/>
    <s v="Returning"/>
  </r>
  <r>
    <n v="3660"/>
    <n v="38"/>
    <s v="Male"/>
    <x v="1"/>
    <s v="Jeans"/>
    <n v="75.67"/>
    <x v="2"/>
    <s v="Cash on Delivery"/>
    <n v="3.8"/>
    <n v="15"/>
    <n v="5"/>
    <n v="64.319500000000005"/>
    <x v="1"/>
    <x v="0"/>
    <s v="Returning"/>
  </r>
  <r>
    <n v="3661"/>
    <n v="51"/>
    <s v="Female"/>
    <x v="0"/>
    <s v="Wallet"/>
    <n v="102.13"/>
    <x v="3"/>
    <s v="Card"/>
    <n v="4.0999999999999996"/>
    <n v="12"/>
    <n v="6"/>
    <n v="89.874399999999994"/>
    <x v="0"/>
    <x v="0"/>
    <s v="Returning"/>
  </r>
  <r>
    <n v="3662"/>
    <n v="50"/>
    <s v="Female"/>
    <x v="8"/>
    <s v="Jeans"/>
    <n v="193.62"/>
    <x v="0"/>
    <s v="Card"/>
    <n v="2.9"/>
    <n v="19"/>
    <n v="7"/>
    <n v="156.8322"/>
    <x v="0"/>
    <x v="0"/>
    <s v="Returning"/>
  </r>
  <r>
    <n v="3663"/>
    <n v="27"/>
    <s v="Male"/>
    <x v="1"/>
    <s v="Jacket"/>
    <n v="154.24"/>
    <x v="3"/>
    <s v="Card"/>
    <n v="4.2"/>
    <n v="22"/>
    <n v="6"/>
    <n v="120.30720000000001"/>
    <x v="4"/>
    <x v="0"/>
    <s v="Returning"/>
  </r>
  <r>
    <n v="3664"/>
    <n v="40"/>
    <s v="Male"/>
    <x v="7"/>
    <s v="Formal Shoes"/>
    <n v="70.38"/>
    <x v="3"/>
    <s v="Card"/>
    <n v="4.3"/>
    <n v="21"/>
    <n v="8"/>
    <n v="55.600200000000001"/>
    <x v="1"/>
    <x v="0"/>
    <s v="Returning"/>
  </r>
  <r>
    <n v="3665"/>
    <n v="43"/>
    <s v="Female"/>
    <x v="4"/>
    <s v="Cooking Oil"/>
    <n v="42.5"/>
    <x v="3"/>
    <s v="Cash on Delivery"/>
    <n v="2.4"/>
    <n v="9"/>
    <n v="2"/>
    <n v="38.675000000000004"/>
    <x v="1"/>
    <x v="0"/>
    <s v="Returning"/>
  </r>
  <r>
    <n v="3666"/>
    <n v="57"/>
    <s v="Female"/>
    <x v="7"/>
    <s v="Sneakers"/>
    <n v="185.73"/>
    <x v="1"/>
    <s v="Card"/>
    <n v="5"/>
    <n v="17"/>
    <n v="6"/>
    <n v="154.15589999999997"/>
    <x v="0"/>
    <x v="0"/>
    <s v="Returning"/>
  </r>
  <r>
    <n v="3667"/>
    <n v="20"/>
    <s v="Male"/>
    <x v="5"/>
    <s v="Laptop"/>
    <n v="1838.94"/>
    <x v="2"/>
    <s v="Card"/>
    <n v="3.8"/>
    <n v="10"/>
    <n v="5"/>
    <n v="1655.046"/>
    <x v="3"/>
    <x v="0"/>
    <s v="Returning"/>
  </r>
  <r>
    <n v="3668"/>
    <n v="25"/>
    <s v="Male"/>
    <x v="2"/>
    <s v="Yoga Mat"/>
    <n v="224.19"/>
    <x v="0"/>
    <s v="Card"/>
    <n v="3.3"/>
    <n v="18"/>
    <n v="4"/>
    <n v="183.83580000000001"/>
    <x v="3"/>
    <x v="0"/>
    <s v="Returning"/>
  </r>
  <r>
    <n v="3669"/>
    <n v="64"/>
    <s v="Male"/>
    <x v="1"/>
    <s v="Jacket"/>
    <n v="64.53"/>
    <x v="3"/>
    <s v="Cash on Delivery"/>
    <n v="3.8"/>
    <n v="22"/>
    <n v="6"/>
    <n v="50.333400000000005"/>
    <x v="2"/>
    <x v="0"/>
    <s v="Returning"/>
  </r>
  <r>
    <n v="3670"/>
    <n v="43"/>
    <s v="Male"/>
    <x v="5"/>
    <s v="Headphones"/>
    <n v="907.49"/>
    <x v="2"/>
    <s v="Card"/>
    <n v="4.3"/>
    <n v="8"/>
    <n v="4"/>
    <n v="834.89080000000001"/>
    <x v="1"/>
    <x v="0"/>
    <s v="Returning"/>
  </r>
  <r>
    <n v="3671"/>
    <n v="56"/>
    <s v="Female"/>
    <x v="6"/>
    <s v="Makeup Set"/>
    <n v="91.75"/>
    <x v="0"/>
    <s v="Card"/>
    <n v="3.3"/>
    <n v="13"/>
    <n v="4"/>
    <n v="79.822500000000005"/>
    <x v="0"/>
    <x v="0"/>
    <s v="Returning"/>
  </r>
  <r>
    <n v="3672"/>
    <n v="67"/>
    <s v="Male"/>
    <x v="1"/>
    <s v="Jacket"/>
    <n v="51.17"/>
    <x v="3"/>
    <s v="Cash on Delivery"/>
    <n v="4"/>
    <n v="14"/>
    <n v="2"/>
    <n v="44.0062"/>
    <x v="2"/>
    <x v="0"/>
    <s v="Returning"/>
  </r>
  <r>
    <n v="3673"/>
    <n v="60"/>
    <s v="Female"/>
    <x v="0"/>
    <s v="Handbag"/>
    <n v="58.89"/>
    <x v="3"/>
    <s v="Card"/>
    <n v="4.9000000000000004"/>
    <n v="12"/>
    <n v="1"/>
    <n v="51.8232"/>
    <x v="0"/>
    <x v="0"/>
    <s v="Returning"/>
  </r>
  <r>
    <n v="3674"/>
    <n v="35"/>
    <s v="Male"/>
    <x v="3"/>
    <s v="Kitchen Set"/>
    <n v="118.44"/>
    <x v="2"/>
    <s v="Card"/>
    <n v="4.7"/>
    <n v="28"/>
    <n v="9"/>
    <n v="85.276799999999994"/>
    <x v="4"/>
    <x v="0"/>
    <s v="Returning"/>
  </r>
  <r>
    <n v="3675"/>
    <n v="35"/>
    <s v="Female"/>
    <x v="0"/>
    <s v="Handbag"/>
    <n v="130.35"/>
    <x v="1"/>
    <s v="Card"/>
    <n v="3.8"/>
    <n v="24"/>
    <n v="7"/>
    <n v="99.066000000000003"/>
    <x v="4"/>
    <x v="0"/>
    <s v="Returning"/>
  </r>
  <r>
    <n v="3676"/>
    <n v="44"/>
    <s v="Female"/>
    <x v="4"/>
    <s v="Rice Pack"/>
    <n v="53.11"/>
    <x v="2"/>
    <s v="Cash on Delivery"/>
    <n v="3.9"/>
    <n v="15"/>
    <n v="5"/>
    <n v="45.143499999999996"/>
    <x v="1"/>
    <x v="0"/>
    <s v="Returning"/>
  </r>
  <r>
    <n v="3677"/>
    <n v="47"/>
    <s v="Female"/>
    <x v="0"/>
    <s v="Handbag"/>
    <n v="72"/>
    <x v="1"/>
    <s v="Cash on Delivery"/>
    <n v="4.2"/>
    <n v="16"/>
    <n v="8"/>
    <n v="60.48"/>
    <x v="0"/>
    <x v="0"/>
    <s v="Returning"/>
  </r>
  <r>
    <n v="3678"/>
    <n v="54"/>
    <s v="Male"/>
    <x v="2"/>
    <s v="Dumbbells"/>
    <n v="97.9"/>
    <x v="2"/>
    <s v="Card"/>
    <n v="3.7"/>
    <n v="10"/>
    <n v="5"/>
    <n v="88.110000000000014"/>
    <x v="0"/>
    <x v="0"/>
    <s v="Returning"/>
  </r>
  <r>
    <n v="3679"/>
    <n v="70"/>
    <s v="Female"/>
    <x v="8"/>
    <s v="Top"/>
    <n v="131.93"/>
    <x v="0"/>
    <s v="Card"/>
    <n v="3.3"/>
    <n v="16"/>
    <n v="3"/>
    <n v="110.8212"/>
    <x v="2"/>
    <x v="0"/>
    <s v="Returning"/>
  </r>
  <r>
    <n v="3680"/>
    <n v="56"/>
    <s v="Female"/>
    <x v="8"/>
    <s v="Jeans"/>
    <n v="184.09"/>
    <x v="0"/>
    <s v="Card"/>
    <n v="3.4"/>
    <n v="22"/>
    <n v="6"/>
    <n v="143.59020000000001"/>
    <x v="0"/>
    <x v="0"/>
    <s v="Returning"/>
  </r>
  <r>
    <n v="3681"/>
    <n v="20"/>
    <s v="Female"/>
    <x v="6"/>
    <s v="Perfume"/>
    <n v="58.16"/>
    <x v="1"/>
    <s v="Cash on Delivery"/>
    <n v="4.5"/>
    <n v="11"/>
    <n v="3"/>
    <n v="51.7624"/>
    <x v="3"/>
    <x v="0"/>
    <s v="Returning"/>
  </r>
  <r>
    <n v="3682"/>
    <n v="25"/>
    <s v="Female"/>
    <x v="0"/>
    <s v="Sunglasses"/>
    <n v="20.67"/>
    <x v="3"/>
    <s v="Card"/>
    <n v="5"/>
    <n v="8"/>
    <n v="4"/>
    <n v="19.016400000000001"/>
    <x v="3"/>
    <x v="0"/>
    <s v="Returning"/>
  </r>
  <r>
    <n v="3683"/>
    <n v="57"/>
    <s v="Female"/>
    <x v="6"/>
    <s v="Perfume"/>
    <n v="93.07"/>
    <x v="1"/>
    <s v="Card"/>
    <n v="3.4"/>
    <n v="14"/>
    <n v="2"/>
    <n v="80.040199999999999"/>
    <x v="0"/>
    <x v="0"/>
    <s v="Returning"/>
  </r>
  <r>
    <n v="3684"/>
    <n v="30"/>
    <s v="Female"/>
    <x v="0"/>
    <s v="Sunglasses"/>
    <n v="95.38"/>
    <x v="1"/>
    <s v="Card"/>
    <n v="5"/>
    <n v="10"/>
    <n v="5"/>
    <n v="85.841999999999999"/>
    <x v="4"/>
    <x v="0"/>
    <s v="Returning"/>
  </r>
  <r>
    <n v="3685"/>
    <n v="20"/>
    <s v="Male"/>
    <x v="2"/>
    <s v="Football"/>
    <n v="167.54"/>
    <x v="2"/>
    <s v="Card"/>
    <n v="3.8"/>
    <n v="20"/>
    <n v="5"/>
    <n v="134.03200000000001"/>
    <x v="3"/>
    <x v="0"/>
    <s v="Returning"/>
  </r>
  <r>
    <n v="3686"/>
    <n v="70"/>
    <s v="Male"/>
    <x v="1"/>
    <s v="Jacket"/>
    <n v="78.89"/>
    <x v="3"/>
    <s v="Card"/>
    <n v="3.9"/>
    <n v="8"/>
    <n v="4"/>
    <n v="72.578800000000001"/>
    <x v="2"/>
    <x v="0"/>
    <s v="Returning"/>
  </r>
  <r>
    <n v="3687"/>
    <n v="28"/>
    <s v="Male"/>
    <x v="2"/>
    <s v="Football"/>
    <n v="39.159999999999997"/>
    <x v="3"/>
    <s v="Cash on Delivery"/>
    <n v="3.9"/>
    <n v="13"/>
    <n v="4"/>
    <n v="34.069199999999995"/>
    <x v="4"/>
    <x v="0"/>
    <s v="Returning"/>
  </r>
  <r>
    <n v="3688"/>
    <n v="35"/>
    <s v="Female"/>
    <x v="3"/>
    <s v="Curtains"/>
    <n v="299.25"/>
    <x v="2"/>
    <s v="Card"/>
    <n v="3.4"/>
    <n v="10"/>
    <n v="5"/>
    <n v="269.32499999999999"/>
    <x v="4"/>
    <x v="0"/>
    <s v="Returning"/>
  </r>
  <r>
    <n v="3689"/>
    <n v="29"/>
    <s v="Female"/>
    <x v="4"/>
    <s v="Snacks"/>
    <n v="70.760000000000005"/>
    <x v="0"/>
    <s v="Card"/>
    <n v="3.8"/>
    <n v="13"/>
    <n v="4"/>
    <n v="61.561200000000007"/>
    <x v="4"/>
    <x v="0"/>
    <s v="Returning"/>
  </r>
  <r>
    <n v="3690"/>
    <n v="40"/>
    <s v="Female"/>
    <x v="8"/>
    <s v="Skirt"/>
    <n v="191.37"/>
    <x v="1"/>
    <s v="Card"/>
    <n v="4.0999999999999996"/>
    <n v="16"/>
    <n v="3"/>
    <n v="160.7508"/>
    <x v="1"/>
    <x v="0"/>
    <s v="Returning"/>
  </r>
  <r>
    <n v="3691"/>
    <n v="34"/>
    <s v="Female"/>
    <x v="7"/>
    <s v="Sneakers"/>
    <n v="240.46"/>
    <x v="3"/>
    <s v="Card"/>
    <n v="5"/>
    <n v="18"/>
    <n v="9"/>
    <n v="197.17720000000003"/>
    <x v="4"/>
    <x v="0"/>
    <s v="Returning"/>
  </r>
  <r>
    <n v="3692"/>
    <n v="57"/>
    <s v="Female"/>
    <x v="6"/>
    <s v="Makeup Set"/>
    <n v="134.16"/>
    <x v="3"/>
    <s v="Card"/>
    <n v="4"/>
    <n v="12"/>
    <n v="6"/>
    <n v="118.0608"/>
    <x v="0"/>
    <x v="0"/>
    <s v="Returning"/>
  </r>
  <r>
    <n v="3693"/>
    <n v="50"/>
    <s v="Female"/>
    <x v="6"/>
    <s v="Skincare Kit"/>
    <n v="92.73"/>
    <x v="0"/>
    <s v="Card"/>
    <n v="4.2"/>
    <n v="26"/>
    <n v="8"/>
    <n v="68.620199999999997"/>
    <x v="0"/>
    <x v="0"/>
    <s v="Returning"/>
  </r>
  <r>
    <n v="3694"/>
    <n v="60"/>
    <s v="Female"/>
    <x v="8"/>
    <s v="Top"/>
    <n v="169.58"/>
    <x v="0"/>
    <s v="Card"/>
    <n v="4.8"/>
    <n v="23"/>
    <n v="9"/>
    <n v="130.57660000000001"/>
    <x v="0"/>
    <x v="0"/>
    <s v="Returning"/>
  </r>
  <r>
    <n v="3695"/>
    <n v="70"/>
    <s v="Female"/>
    <x v="8"/>
    <s v="Skirt"/>
    <n v="51.99"/>
    <x v="0"/>
    <s v="Cash on Delivery"/>
    <n v="3.4"/>
    <n v="24"/>
    <n v="7"/>
    <n v="39.5124"/>
    <x v="2"/>
    <x v="0"/>
    <s v="Returning"/>
  </r>
  <r>
    <n v="3696"/>
    <n v="35"/>
    <s v="Female"/>
    <x v="7"/>
    <s v="Sandals"/>
    <n v="220.75"/>
    <x v="3"/>
    <s v="Card"/>
    <n v="3.7"/>
    <n v="14"/>
    <n v="7"/>
    <n v="189.845"/>
    <x v="4"/>
    <x v="0"/>
    <s v="Returning"/>
  </r>
  <r>
    <n v="3697"/>
    <n v="31"/>
    <s v="Female"/>
    <x v="3"/>
    <s v="Curtains"/>
    <n v="86.63"/>
    <x v="0"/>
    <s v="Cash on Delivery"/>
    <n v="4.5"/>
    <n v="20"/>
    <n v="10"/>
    <n v="69.304000000000002"/>
    <x v="4"/>
    <x v="0"/>
    <s v="Returning"/>
  </r>
  <r>
    <n v="3698"/>
    <n v="37"/>
    <s v="Male"/>
    <x v="4"/>
    <s v="Rice Pack"/>
    <n v="43.63"/>
    <x v="0"/>
    <s v="Card"/>
    <n v="4.5999999999999996"/>
    <n v="16"/>
    <n v="3"/>
    <n v="36.6492"/>
    <x v="1"/>
    <x v="0"/>
    <s v="Returning"/>
  </r>
  <r>
    <n v="3699"/>
    <n v="63"/>
    <s v="Male"/>
    <x v="7"/>
    <s v="Sneakers"/>
    <n v="173.53"/>
    <x v="1"/>
    <s v="Card"/>
    <n v="4.4000000000000004"/>
    <n v="16"/>
    <n v="3"/>
    <n v="145.76519999999999"/>
    <x v="2"/>
    <x v="0"/>
    <s v="Returning"/>
  </r>
  <r>
    <n v="3700"/>
    <n v="46"/>
    <s v="Male"/>
    <x v="3"/>
    <s v="Curtains"/>
    <n v="162.93"/>
    <x v="0"/>
    <s v="Card"/>
    <n v="4.7"/>
    <n v="18"/>
    <n v="4"/>
    <n v="133.60260000000002"/>
    <x v="0"/>
    <x v="0"/>
    <s v="Returning"/>
  </r>
  <r>
    <n v="3701"/>
    <n v="35"/>
    <s v="Female"/>
    <x v="6"/>
    <s v="Skincare Kit"/>
    <n v="75.510000000000005"/>
    <x v="1"/>
    <s v="Card"/>
    <n v="4.0999999999999996"/>
    <n v="17"/>
    <n v="6"/>
    <n v="62.673300000000005"/>
    <x v="4"/>
    <x v="0"/>
    <s v="Returning"/>
  </r>
  <r>
    <n v="3702"/>
    <n v="42"/>
    <s v="Female"/>
    <x v="7"/>
    <s v="Sneakers"/>
    <n v="148.02000000000001"/>
    <x v="2"/>
    <s v="Card"/>
    <n v="2.7"/>
    <n v="12"/>
    <n v="6"/>
    <n v="130.2576"/>
    <x v="1"/>
    <x v="0"/>
    <s v="Returning"/>
  </r>
  <r>
    <n v="3703"/>
    <n v="47"/>
    <s v="Female"/>
    <x v="6"/>
    <s v="Makeup Set"/>
    <n v="31.89"/>
    <x v="2"/>
    <s v="Cash on Delivery"/>
    <n v="4.3"/>
    <n v="13"/>
    <n v="4"/>
    <n v="27.744299999999999"/>
    <x v="0"/>
    <x v="0"/>
    <s v="Returning"/>
  </r>
  <r>
    <n v="3704"/>
    <n v="62"/>
    <s v="Male"/>
    <x v="3"/>
    <s v="Lamp"/>
    <n v="36.04"/>
    <x v="2"/>
    <s v="Cash on Delivery"/>
    <n v="3.7"/>
    <n v="18"/>
    <n v="4"/>
    <n v="29.552800000000001"/>
    <x v="2"/>
    <x v="0"/>
    <s v="Returning"/>
  </r>
  <r>
    <n v="3705"/>
    <n v="47"/>
    <s v="Female"/>
    <x v="6"/>
    <s v="Makeup Set"/>
    <n v="110.64"/>
    <x v="2"/>
    <s v="Card"/>
    <n v="4.0999999999999996"/>
    <n v="10"/>
    <n v="5"/>
    <n v="99.576000000000008"/>
    <x v="0"/>
    <x v="0"/>
    <s v="Returning"/>
  </r>
  <r>
    <n v="3706"/>
    <n v="70"/>
    <s v="Female"/>
    <x v="8"/>
    <s v="Skirt"/>
    <n v="166.68"/>
    <x v="1"/>
    <s v="Card"/>
    <n v="3.5"/>
    <n v="2"/>
    <n v="1"/>
    <n v="163.34640000000002"/>
    <x v="2"/>
    <x v="0"/>
    <s v="Returning"/>
  </r>
  <r>
    <n v="3707"/>
    <n v="56"/>
    <s v="Female"/>
    <x v="7"/>
    <s v="Formal Shoes"/>
    <n v="239.19"/>
    <x v="1"/>
    <s v="Card"/>
    <n v="5"/>
    <n v="20"/>
    <n v="5"/>
    <n v="191.352"/>
    <x v="0"/>
    <x v="0"/>
    <s v="Returning"/>
  </r>
  <r>
    <n v="3708"/>
    <n v="38"/>
    <s v="Male"/>
    <x v="1"/>
    <s v="Shirt"/>
    <n v="51.09"/>
    <x v="3"/>
    <s v="Cash on Delivery"/>
    <n v="4.5999999999999996"/>
    <n v="6"/>
    <n v="3"/>
    <n v="48.0246"/>
    <x v="1"/>
    <x v="0"/>
    <s v="Returning"/>
  </r>
  <r>
    <n v="3709"/>
    <n v="67"/>
    <s v="Male"/>
    <x v="5"/>
    <s v="Laptop"/>
    <n v="2033.97"/>
    <x v="0"/>
    <s v="Card"/>
    <n v="4.3"/>
    <n v="20"/>
    <n v="5"/>
    <n v="1627.1760000000002"/>
    <x v="2"/>
    <x v="0"/>
    <s v="Returning"/>
  </r>
  <r>
    <n v="3710"/>
    <n v="32"/>
    <s v="Female"/>
    <x v="6"/>
    <s v="Perfume"/>
    <n v="25.5"/>
    <x v="1"/>
    <s v="Card"/>
    <n v="4.3"/>
    <n v="21"/>
    <n v="8"/>
    <n v="20.145"/>
    <x v="4"/>
    <x v="0"/>
    <s v="Returning"/>
  </r>
  <r>
    <n v="3711"/>
    <n v="41"/>
    <s v="Female"/>
    <x v="7"/>
    <s v="Sandals"/>
    <n v="194.63"/>
    <x v="0"/>
    <s v="Card"/>
    <n v="3.6"/>
    <n v="15"/>
    <n v="5"/>
    <n v="165.43549999999999"/>
    <x v="1"/>
    <x v="0"/>
    <s v="Returning"/>
  </r>
  <r>
    <n v="3712"/>
    <n v="65"/>
    <s v="Male"/>
    <x v="4"/>
    <s v="Beverages"/>
    <n v="56.5"/>
    <x v="3"/>
    <s v="Card"/>
    <n v="3.4"/>
    <n v="20"/>
    <n v="5"/>
    <n v="45.2"/>
    <x v="2"/>
    <x v="0"/>
    <s v="Returning"/>
  </r>
  <r>
    <n v="3713"/>
    <n v="46"/>
    <s v="Female"/>
    <x v="0"/>
    <s v="Wallet"/>
    <n v="118.52"/>
    <x v="1"/>
    <s v="Card"/>
    <n v="5"/>
    <n v="26"/>
    <n v="8"/>
    <n v="87.704799999999992"/>
    <x v="0"/>
    <x v="0"/>
    <s v="Returning"/>
  </r>
  <r>
    <n v="3714"/>
    <n v="50"/>
    <s v="Male"/>
    <x v="4"/>
    <s v="Beverages"/>
    <n v="30.62"/>
    <x v="0"/>
    <s v="Card"/>
    <n v="4.2"/>
    <n v="26"/>
    <n v="8"/>
    <n v="22.658799999999999"/>
    <x v="0"/>
    <x v="0"/>
    <s v="Returning"/>
  </r>
  <r>
    <n v="3715"/>
    <n v="21"/>
    <s v="Female"/>
    <x v="7"/>
    <s v="Sandals"/>
    <n v="225.81"/>
    <x v="2"/>
    <s v="Card"/>
    <n v="3.2"/>
    <n v="17"/>
    <n v="6"/>
    <n v="187.42230000000001"/>
    <x v="3"/>
    <x v="0"/>
    <s v="Returning"/>
  </r>
  <r>
    <n v="3716"/>
    <n v="38"/>
    <s v="Male"/>
    <x v="2"/>
    <s v="Yoga Mat"/>
    <n v="42.08"/>
    <x v="0"/>
    <s v="Cash on Delivery"/>
    <n v="4.0999999999999996"/>
    <n v="6"/>
    <n v="3"/>
    <n v="39.555199999999999"/>
    <x v="1"/>
    <x v="0"/>
    <s v="Returning"/>
  </r>
  <r>
    <n v="3717"/>
    <n v="22"/>
    <s v="Male"/>
    <x v="2"/>
    <s v="Dumbbells"/>
    <n v="78.2"/>
    <x v="1"/>
    <s v="Cash on Delivery"/>
    <n v="4.0999999999999996"/>
    <n v="15"/>
    <n v="5"/>
    <n v="66.47"/>
    <x v="3"/>
    <x v="0"/>
    <s v="Returning"/>
  </r>
  <r>
    <n v="3718"/>
    <n v="51"/>
    <s v="Male"/>
    <x v="2"/>
    <s v="Yoga Mat"/>
    <n v="238.8"/>
    <x v="2"/>
    <s v="Card"/>
    <n v="3.2"/>
    <n v="10"/>
    <n v="5"/>
    <n v="214.92000000000002"/>
    <x v="0"/>
    <x v="0"/>
    <s v="Returning"/>
  </r>
  <r>
    <n v="3719"/>
    <n v="29"/>
    <s v="Female"/>
    <x v="7"/>
    <s v="Formal Shoes"/>
    <n v="232.13"/>
    <x v="0"/>
    <s v="Card"/>
    <n v="3.8"/>
    <n v="16"/>
    <n v="8"/>
    <n v="194.98919999999998"/>
    <x v="4"/>
    <x v="0"/>
    <s v="Returning"/>
  </r>
  <r>
    <n v="3720"/>
    <n v="43"/>
    <s v="Male"/>
    <x v="1"/>
    <s v="Shirt"/>
    <n v="63.05"/>
    <x v="2"/>
    <s v="Card"/>
    <n v="3.6"/>
    <n v="9"/>
    <n v="2"/>
    <n v="57.375500000000002"/>
    <x v="1"/>
    <x v="0"/>
    <s v="Returning"/>
  </r>
  <r>
    <n v="3721"/>
    <n v="58"/>
    <s v="Male"/>
    <x v="2"/>
    <s v="Football"/>
    <n v="103.55"/>
    <x v="0"/>
    <s v="Card"/>
    <n v="3.3"/>
    <n v="11"/>
    <n v="3"/>
    <n v="92.159499999999994"/>
    <x v="0"/>
    <x v="0"/>
    <s v="Returning"/>
  </r>
  <r>
    <n v="3722"/>
    <n v="62"/>
    <s v="Male"/>
    <x v="4"/>
    <s v="Cooking Oil"/>
    <n v="21.14"/>
    <x v="0"/>
    <s v="Cash on Delivery"/>
    <n v="4.0999999999999996"/>
    <n v="11"/>
    <n v="3"/>
    <n v="18.814600000000002"/>
    <x v="2"/>
    <x v="0"/>
    <s v="Returning"/>
  </r>
  <r>
    <n v="3723"/>
    <n v="69"/>
    <s v="Female"/>
    <x v="0"/>
    <s v="Sunglasses"/>
    <n v="175.97"/>
    <x v="2"/>
    <s v="Card"/>
    <n v="3.4"/>
    <n v="8"/>
    <n v="4"/>
    <n v="161.89240000000001"/>
    <x v="2"/>
    <x v="0"/>
    <s v="Returning"/>
  </r>
  <r>
    <n v="3724"/>
    <n v="37"/>
    <s v="Female"/>
    <x v="0"/>
    <s v="Sunglasses"/>
    <n v="175.84"/>
    <x v="1"/>
    <s v="Card"/>
    <n v="3.9"/>
    <n v="15"/>
    <n v="5"/>
    <n v="149.464"/>
    <x v="1"/>
    <x v="0"/>
    <s v="Returning"/>
  </r>
  <r>
    <n v="3725"/>
    <n v="44"/>
    <s v="Male"/>
    <x v="7"/>
    <s v="Sandals"/>
    <n v="199.68"/>
    <x v="3"/>
    <s v="Card"/>
    <n v="4.5999999999999996"/>
    <n v="12"/>
    <n v="6"/>
    <n v="175.7184"/>
    <x v="1"/>
    <x v="0"/>
    <s v="Returning"/>
  </r>
  <r>
    <n v="3726"/>
    <n v="56"/>
    <s v="Female"/>
    <x v="0"/>
    <s v="Wallet"/>
    <n v="121.61"/>
    <x v="2"/>
    <s v="Card"/>
    <n v="3.8"/>
    <n v="8"/>
    <n v="4"/>
    <n v="111.88120000000001"/>
    <x v="0"/>
    <x v="0"/>
    <s v="Returning"/>
  </r>
  <r>
    <n v="3727"/>
    <n v="35"/>
    <s v="Male"/>
    <x v="5"/>
    <s v="Smart Watch"/>
    <n v="2019.58"/>
    <x v="0"/>
    <s v="Card"/>
    <n v="3"/>
    <n v="17"/>
    <n v="6"/>
    <n v="1676.2513999999999"/>
    <x v="4"/>
    <x v="0"/>
    <s v="Returning"/>
  </r>
  <r>
    <n v="3728"/>
    <n v="35"/>
    <s v="Female"/>
    <x v="6"/>
    <s v="Skincare Kit"/>
    <n v="53.04"/>
    <x v="1"/>
    <s v="Card"/>
    <n v="3.5"/>
    <n v="20"/>
    <n v="5"/>
    <n v="42.432000000000002"/>
    <x v="4"/>
    <x v="0"/>
    <s v="Returning"/>
  </r>
  <r>
    <n v="3729"/>
    <n v="62"/>
    <s v="Female"/>
    <x v="8"/>
    <s v="Top"/>
    <n v="149.16"/>
    <x v="0"/>
    <s v="Card"/>
    <n v="3.5"/>
    <n v="20"/>
    <n v="5"/>
    <n v="119.328"/>
    <x v="2"/>
    <x v="0"/>
    <s v="Returning"/>
  </r>
  <r>
    <n v="3730"/>
    <n v="48"/>
    <s v="Female"/>
    <x v="7"/>
    <s v="Sandals"/>
    <n v="165.93"/>
    <x v="0"/>
    <s v="Card"/>
    <n v="3"/>
    <n v="16"/>
    <n v="3"/>
    <n v="139.38120000000001"/>
    <x v="0"/>
    <x v="0"/>
    <s v="Returning"/>
  </r>
  <r>
    <n v="3731"/>
    <n v="38"/>
    <s v="Female"/>
    <x v="7"/>
    <s v="Sandals"/>
    <n v="138.47"/>
    <x v="0"/>
    <s v="Card"/>
    <n v="4.0999999999999996"/>
    <n v="20"/>
    <n v="5"/>
    <n v="110.77600000000001"/>
    <x v="1"/>
    <x v="0"/>
    <s v="Returning"/>
  </r>
  <r>
    <n v="3732"/>
    <n v="49"/>
    <s v="Female"/>
    <x v="8"/>
    <s v="Jeans"/>
    <n v="61.75"/>
    <x v="3"/>
    <s v="Cash on Delivery"/>
    <n v="2.9"/>
    <n v="4"/>
    <n v="2"/>
    <n v="59.28"/>
    <x v="0"/>
    <x v="0"/>
    <s v="Returning"/>
  </r>
  <r>
    <n v="3733"/>
    <n v="25"/>
    <s v="Male"/>
    <x v="1"/>
    <s v="T-Shirt"/>
    <n v="186.83"/>
    <x v="3"/>
    <s v="Card"/>
    <n v="3.3"/>
    <n v="20"/>
    <n v="5"/>
    <n v="149.46400000000003"/>
    <x v="3"/>
    <x v="0"/>
    <s v="Returning"/>
  </r>
  <r>
    <n v="3734"/>
    <n v="32"/>
    <s v="Female"/>
    <x v="3"/>
    <s v="Lamp"/>
    <n v="161.13"/>
    <x v="0"/>
    <s v="Card"/>
    <n v="4.5999999999999996"/>
    <n v="24"/>
    <n v="7"/>
    <n v="122.4588"/>
    <x v="4"/>
    <x v="0"/>
    <s v="Returning"/>
  </r>
  <r>
    <n v="3735"/>
    <n v="24"/>
    <s v="Female"/>
    <x v="4"/>
    <s v="Snacks"/>
    <n v="34.75"/>
    <x v="2"/>
    <s v="Cash on Delivery"/>
    <n v="3.1"/>
    <n v="20"/>
    <n v="5"/>
    <n v="27.8"/>
    <x v="3"/>
    <x v="0"/>
    <s v="Returning"/>
  </r>
  <r>
    <n v="3736"/>
    <n v="52"/>
    <s v="Male"/>
    <x v="2"/>
    <s v="Dumbbells"/>
    <n v="40.54"/>
    <x v="0"/>
    <s v="Card"/>
    <n v="5"/>
    <n v="15"/>
    <n v="5"/>
    <n v="34.458999999999996"/>
    <x v="0"/>
    <x v="0"/>
    <s v="Returning"/>
  </r>
  <r>
    <n v="3737"/>
    <n v="38"/>
    <s v="Male"/>
    <x v="1"/>
    <s v="T-Shirt"/>
    <n v="156.15"/>
    <x v="2"/>
    <s v="Card"/>
    <n v="4.9000000000000004"/>
    <n v="18"/>
    <n v="4"/>
    <n v="128.04300000000001"/>
    <x v="1"/>
    <x v="0"/>
    <s v="Returning"/>
  </r>
  <r>
    <n v="3738"/>
    <n v="30"/>
    <s v="Female"/>
    <x v="8"/>
    <s v="Top"/>
    <n v="53.27"/>
    <x v="0"/>
    <s v="Cash on Delivery"/>
    <n v="3.2"/>
    <n v="22"/>
    <n v="6"/>
    <n v="41.550600000000003"/>
    <x v="4"/>
    <x v="0"/>
    <s v="Returning"/>
  </r>
  <r>
    <n v="3739"/>
    <n v="70"/>
    <s v="Female"/>
    <x v="8"/>
    <s v="Skirt"/>
    <n v="90.81"/>
    <x v="1"/>
    <s v="Cash on Delivery"/>
    <n v="4"/>
    <n v="8"/>
    <n v="4"/>
    <n v="83.545200000000008"/>
    <x v="2"/>
    <x v="0"/>
    <s v="Returning"/>
  </r>
  <r>
    <n v="3740"/>
    <n v="23"/>
    <s v="Female"/>
    <x v="8"/>
    <s v="Top"/>
    <n v="101.78"/>
    <x v="2"/>
    <s v="Card"/>
    <n v="2.4"/>
    <n v="16"/>
    <n v="3"/>
    <n v="85.495199999999997"/>
    <x v="3"/>
    <x v="0"/>
    <s v="Returning"/>
  </r>
  <r>
    <n v="3741"/>
    <n v="52"/>
    <s v="Male"/>
    <x v="7"/>
    <s v="Formal Shoes"/>
    <n v="83.51"/>
    <x v="0"/>
    <s v="Card"/>
    <n v="3.5"/>
    <n v="15"/>
    <n v="5"/>
    <n v="70.983500000000006"/>
    <x v="0"/>
    <x v="0"/>
    <s v="Returning"/>
  </r>
  <r>
    <n v="3742"/>
    <n v="35"/>
    <s v="Female"/>
    <x v="8"/>
    <s v="Top"/>
    <n v="156.25"/>
    <x v="3"/>
    <s v="Card"/>
    <n v="4.0999999999999996"/>
    <n v="15"/>
    <n v="5"/>
    <n v="132.8125"/>
    <x v="4"/>
    <x v="0"/>
    <s v="Returning"/>
  </r>
  <r>
    <n v="3743"/>
    <n v="61"/>
    <s v="Female"/>
    <x v="7"/>
    <s v="Sandals"/>
    <n v="240.97"/>
    <x v="1"/>
    <s v="Card"/>
    <n v="4"/>
    <n v="26"/>
    <n v="8"/>
    <n v="178.31780000000001"/>
    <x v="2"/>
    <x v="0"/>
    <s v="Returning"/>
  </r>
  <r>
    <n v="3744"/>
    <n v="25"/>
    <s v="Female"/>
    <x v="7"/>
    <s v="Sneakers"/>
    <n v="161.52000000000001"/>
    <x v="3"/>
    <s v="Card"/>
    <n v="4.2"/>
    <n v="10"/>
    <n v="5"/>
    <n v="145.36800000000002"/>
    <x v="3"/>
    <x v="0"/>
    <s v="Returning"/>
  </r>
  <r>
    <n v="3745"/>
    <n v="60"/>
    <s v="Male"/>
    <x v="3"/>
    <s v="Lamp"/>
    <n v="52.07"/>
    <x v="2"/>
    <s v="Card"/>
    <n v="5"/>
    <n v="18"/>
    <n v="4"/>
    <n v="42.697400000000002"/>
    <x v="0"/>
    <x v="0"/>
    <s v="Returning"/>
  </r>
  <r>
    <n v="3746"/>
    <n v="21"/>
    <s v="Female"/>
    <x v="6"/>
    <s v="Skincare Kit"/>
    <n v="41.3"/>
    <x v="0"/>
    <s v="Cash on Delivery"/>
    <n v="3.8"/>
    <n v="8"/>
    <n v="4"/>
    <n v="37.996000000000002"/>
    <x v="3"/>
    <x v="0"/>
    <s v="Returning"/>
  </r>
  <r>
    <n v="3747"/>
    <n v="59"/>
    <s v="Female"/>
    <x v="0"/>
    <s v="Sunglasses"/>
    <n v="77.78"/>
    <x v="3"/>
    <s v="Cash on Delivery"/>
    <n v="4"/>
    <n v="13"/>
    <n v="4"/>
    <n v="67.668599999999998"/>
    <x v="0"/>
    <x v="0"/>
    <s v="Returning"/>
  </r>
  <r>
    <n v="3748"/>
    <n v="51"/>
    <s v="Female"/>
    <x v="3"/>
    <s v="Curtains"/>
    <n v="74.72"/>
    <x v="1"/>
    <s v="Card"/>
    <n v="4"/>
    <n v="8"/>
    <n v="4"/>
    <n v="68.742400000000004"/>
    <x v="0"/>
    <x v="0"/>
    <s v="Returning"/>
  </r>
  <r>
    <n v="3749"/>
    <n v="39"/>
    <s v="Female"/>
    <x v="7"/>
    <s v="Formal Shoes"/>
    <n v="88.03"/>
    <x v="0"/>
    <s v="Cash on Delivery"/>
    <n v="4"/>
    <n v="10"/>
    <n v="5"/>
    <n v="79.227000000000004"/>
    <x v="1"/>
    <x v="0"/>
    <s v="Returning"/>
  </r>
  <r>
    <n v="3750"/>
    <n v="23"/>
    <s v="Female"/>
    <x v="8"/>
    <s v="Jeans"/>
    <n v="83.7"/>
    <x v="1"/>
    <s v="Cash on Delivery"/>
    <n v="3.3"/>
    <n v="20"/>
    <n v="5"/>
    <n v="66.960000000000008"/>
    <x v="3"/>
    <x v="0"/>
    <s v="Returning"/>
  </r>
  <r>
    <n v="3751"/>
    <n v="43"/>
    <s v="Female"/>
    <x v="8"/>
    <s v="Dress"/>
    <n v="87.63"/>
    <x v="0"/>
    <s v="Cash on Delivery"/>
    <n v="4.5999999999999996"/>
    <n v="4"/>
    <n v="2"/>
    <n v="84.124799999999993"/>
    <x v="1"/>
    <x v="0"/>
    <s v="Returning"/>
  </r>
  <r>
    <n v="3752"/>
    <n v="53"/>
    <s v="Female"/>
    <x v="6"/>
    <s v="Perfume"/>
    <n v="78.650000000000006"/>
    <x v="0"/>
    <s v="Card"/>
    <n v="3.6"/>
    <n v="12"/>
    <n v="6"/>
    <n v="69.212000000000003"/>
    <x v="0"/>
    <x v="0"/>
    <s v="Returning"/>
  </r>
  <r>
    <n v="3753"/>
    <n v="37"/>
    <s v="Female"/>
    <x v="0"/>
    <s v="Wallet"/>
    <n v="29.21"/>
    <x v="3"/>
    <s v="Card"/>
    <n v="4.0999999999999996"/>
    <n v="11"/>
    <n v="3"/>
    <n v="25.9969"/>
    <x v="1"/>
    <x v="0"/>
    <s v="Returning"/>
  </r>
  <r>
    <n v="3754"/>
    <n v="54"/>
    <s v="Female"/>
    <x v="2"/>
    <s v="Dumbbells"/>
    <n v="107.34"/>
    <x v="3"/>
    <s v="Card"/>
    <n v="3.5"/>
    <n v="19"/>
    <n v="7"/>
    <n v="86.945400000000006"/>
    <x v="0"/>
    <x v="0"/>
    <s v="Returning"/>
  </r>
  <r>
    <n v="3755"/>
    <n v="56"/>
    <s v="Male"/>
    <x v="7"/>
    <s v="Sneakers"/>
    <n v="241.91"/>
    <x v="3"/>
    <s v="Card"/>
    <n v="3.5"/>
    <n v="16"/>
    <n v="3"/>
    <n v="203.20439999999999"/>
    <x v="0"/>
    <x v="0"/>
    <s v="Returning"/>
  </r>
  <r>
    <n v="3756"/>
    <n v="31"/>
    <s v="Female"/>
    <x v="6"/>
    <s v="Skincare Kit"/>
    <n v="105.94"/>
    <x v="3"/>
    <s v="Card"/>
    <n v="3.3"/>
    <n v="16"/>
    <n v="3"/>
    <n v="88.989599999999996"/>
    <x v="4"/>
    <x v="0"/>
    <s v="Returning"/>
  </r>
  <r>
    <n v="3757"/>
    <n v="47"/>
    <s v="Male"/>
    <x v="1"/>
    <s v="Jacket"/>
    <n v="100.06"/>
    <x v="0"/>
    <s v="Card"/>
    <n v="3.7"/>
    <n v="18"/>
    <n v="4"/>
    <n v="82.049200000000013"/>
    <x v="0"/>
    <x v="0"/>
    <s v="Returning"/>
  </r>
  <r>
    <n v="3758"/>
    <n v="41"/>
    <s v="Female"/>
    <x v="2"/>
    <s v="Dumbbells"/>
    <n v="53.69"/>
    <x v="1"/>
    <s v="Cash on Delivery"/>
    <n v="3.7"/>
    <n v="21"/>
    <n v="8"/>
    <n v="42.415100000000002"/>
    <x v="1"/>
    <x v="0"/>
    <s v="Returning"/>
  </r>
  <r>
    <n v="3759"/>
    <n v="69"/>
    <s v="Male"/>
    <x v="1"/>
    <s v="Jacket"/>
    <n v="95.85"/>
    <x v="0"/>
    <s v="Card"/>
    <n v="4.3"/>
    <n v="12"/>
    <n v="6"/>
    <n v="84.347999999999999"/>
    <x v="2"/>
    <x v="0"/>
    <s v="Returning"/>
  </r>
  <r>
    <n v="3760"/>
    <n v="25"/>
    <s v="Female"/>
    <x v="0"/>
    <s v="Handbag"/>
    <n v="177.89"/>
    <x v="1"/>
    <s v="Card"/>
    <n v="3.7"/>
    <n v="16"/>
    <n v="8"/>
    <n v="149.42759999999998"/>
    <x v="3"/>
    <x v="0"/>
    <s v="Returning"/>
  </r>
  <r>
    <n v="3761"/>
    <n v="57"/>
    <s v="Female"/>
    <x v="0"/>
    <s v="Sunglasses"/>
    <n v="97"/>
    <x v="2"/>
    <s v="Cash on Delivery"/>
    <n v="4.0999999999999996"/>
    <n v="24"/>
    <n v="7"/>
    <n v="73.72"/>
    <x v="0"/>
    <x v="0"/>
    <s v="Returning"/>
  </r>
  <r>
    <n v="3762"/>
    <n v="43"/>
    <s v="Male"/>
    <x v="7"/>
    <s v="Sneakers"/>
    <n v="135.26"/>
    <x v="1"/>
    <s v="Card"/>
    <n v="4.3"/>
    <n v="28"/>
    <n v="9"/>
    <n v="97.387199999999993"/>
    <x v="1"/>
    <x v="0"/>
    <s v="Returning"/>
  </r>
  <r>
    <n v="3763"/>
    <n v="55"/>
    <s v="Male"/>
    <x v="2"/>
    <s v="Dumbbells"/>
    <n v="153.94999999999999"/>
    <x v="1"/>
    <s v="Card"/>
    <n v="3.4"/>
    <n v="13"/>
    <n v="4"/>
    <n v="133.9365"/>
    <x v="0"/>
    <x v="0"/>
    <s v="Returning"/>
  </r>
  <r>
    <n v="3764"/>
    <n v="55"/>
    <s v="Male"/>
    <x v="2"/>
    <s v="Dumbbells"/>
    <n v="73.22"/>
    <x v="1"/>
    <s v="Cash on Delivery"/>
    <n v="3"/>
    <n v="17"/>
    <n v="6"/>
    <n v="60.772599999999997"/>
    <x v="0"/>
    <x v="0"/>
    <s v="Returning"/>
  </r>
  <r>
    <n v="3765"/>
    <n v="59"/>
    <s v="Female"/>
    <x v="8"/>
    <s v="Skirt"/>
    <n v="78.739999999999995"/>
    <x v="0"/>
    <s v="Card"/>
    <n v="3.9"/>
    <n v="17"/>
    <n v="6"/>
    <n v="65.354199999999992"/>
    <x v="0"/>
    <x v="0"/>
    <s v="Returning"/>
  </r>
  <r>
    <n v="3766"/>
    <n v="59"/>
    <s v="Male"/>
    <x v="2"/>
    <s v="Dumbbells"/>
    <n v="193.24"/>
    <x v="0"/>
    <s v="Card"/>
    <n v="4.0999999999999996"/>
    <n v="8"/>
    <n v="4"/>
    <n v="177.78080000000003"/>
    <x v="0"/>
    <x v="0"/>
    <s v="Returning"/>
  </r>
  <r>
    <n v="3767"/>
    <n v="58"/>
    <s v="Female"/>
    <x v="8"/>
    <s v="Dress"/>
    <n v="123.99"/>
    <x v="3"/>
    <s v="Card"/>
    <n v="4.3"/>
    <n v="12"/>
    <n v="6"/>
    <n v="109.1112"/>
    <x v="0"/>
    <x v="0"/>
    <s v="Returning"/>
  </r>
  <r>
    <n v="3768"/>
    <n v="31"/>
    <s v="Female"/>
    <x v="0"/>
    <s v="Handbag"/>
    <n v="127.18"/>
    <x v="3"/>
    <s v="Card"/>
    <n v="3.3"/>
    <n v="10"/>
    <n v="5"/>
    <n v="114.462"/>
    <x v="4"/>
    <x v="0"/>
    <s v="Returning"/>
  </r>
  <r>
    <n v="3769"/>
    <n v="42"/>
    <s v="Male"/>
    <x v="5"/>
    <s v="Laptop"/>
    <n v="2662.7"/>
    <x v="3"/>
    <s v="Card"/>
    <n v="3.6"/>
    <n v="19"/>
    <n v="7"/>
    <n v="2156.7869999999998"/>
    <x v="1"/>
    <x v="0"/>
    <s v="Returning"/>
  </r>
  <r>
    <n v="3770"/>
    <n v="68"/>
    <s v="Male"/>
    <x v="7"/>
    <s v="Formal Shoes"/>
    <n v="207"/>
    <x v="3"/>
    <s v="Card"/>
    <n v="5"/>
    <n v="26"/>
    <n v="8"/>
    <n v="153.18"/>
    <x v="2"/>
    <x v="0"/>
    <s v="Returning"/>
  </r>
  <r>
    <n v="3771"/>
    <n v="54"/>
    <s v="Female"/>
    <x v="0"/>
    <s v="Handbag"/>
    <n v="148.96"/>
    <x v="0"/>
    <s v="Card"/>
    <n v="4"/>
    <n v="22"/>
    <n v="6"/>
    <n v="116.18880000000001"/>
    <x v="0"/>
    <x v="0"/>
    <s v="Returning"/>
  </r>
  <r>
    <n v="3772"/>
    <n v="33"/>
    <s v="Male"/>
    <x v="1"/>
    <s v="Jacket"/>
    <n v="91.42"/>
    <x v="0"/>
    <s v="Cash on Delivery"/>
    <n v="4.5"/>
    <n v="14"/>
    <n v="2"/>
    <n v="78.621200000000002"/>
    <x v="4"/>
    <x v="0"/>
    <s v="Returning"/>
  </r>
  <r>
    <n v="3773"/>
    <n v="45"/>
    <s v="Female"/>
    <x v="7"/>
    <s v="Sandals"/>
    <n v="153.68"/>
    <x v="1"/>
    <s v="Card"/>
    <n v="4"/>
    <n v="20"/>
    <n v="5"/>
    <n v="122.94400000000002"/>
    <x v="1"/>
    <x v="0"/>
    <s v="Returning"/>
  </r>
  <r>
    <n v="3774"/>
    <n v="68"/>
    <s v="Male"/>
    <x v="2"/>
    <s v="Dumbbells"/>
    <n v="110.62"/>
    <x v="0"/>
    <s v="Card"/>
    <n v="3.9"/>
    <n v="15"/>
    <n v="5"/>
    <n v="94.027000000000001"/>
    <x v="2"/>
    <x v="0"/>
    <s v="Returning"/>
  </r>
  <r>
    <n v="3775"/>
    <n v="43"/>
    <s v="Female"/>
    <x v="0"/>
    <s v="Wallet"/>
    <n v="178.57"/>
    <x v="0"/>
    <s v="Card"/>
    <n v="3.2"/>
    <n v="16"/>
    <n v="3"/>
    <n v="149.99879999999999"/>
    <x v="1"/>
    <x v="0"/>
    <s v="Returning"/>
  </r>
  <r>
    <n v="3776"/>
    <n v="23"/>
    <s v="Male"/>
    <x v="1"/>
    <s v="Jacket"/>
    <n v="84.91"/>
    <x v="2"/>
    <s v="Card"/>
    <n v="2.6"/>
    <n v="18"/>
    <n v="9"/>
    <n v="69.626199999999997"/>
    <x v="3"/>
    <x v="0"/>
    <s v="Returning"/>
  </r>
  <r>
    <n v="3777"/>
    <n v="59"/>
    <s v="Female"/>
    <x v="0"/>
    <s v="Sunglasses"/>
    <n v="95.39"/>
    <x v="0"/>
    <s v="Card"/>
    <n v="5"/>
    <n v="9"/>
    <n v="2"/>
    <n v="86.804900000000004"/>
    <x v="0"/>
    <x v="0"/>
    <s v="Returning"/>
  </r>
  <r>
    <n v="3778"/>
    <n v="21"/>
    <s v="Male"/>
    <x v="5"/>
    <s v="Smart Watch"/>
    <n v="1512.5"/>
    <x v="1"/>
    <s v="Card"/>
    <n v="4"/>
    <n v="15"/>
    <n v="5"/>
    <n v="1285.625"/>
    <x v="3"/>
    <x v="0"/>
    <s v="Returning"/>
  </r>
  <r>
    <n v="3779"/>
    <n v="35"/>
    <s v="Female"/>
    <x v="7"/>
    <s v="Sandals"/>
    <n v="68.790000000000006"/>
    <x v="1"/>
    <s v="Cash on Delivery"/>
    <n v="5"/>
    <n v="20"/>
    <n v="5"/>
    <n v="55.032000000000011"/>
    <x v="4"/>
    <x v="0"/>
    <s v="Returning"/>
  </r>
  <r>
    <n v="3780"/>
    <n v="26"/>
    <s v="Female"/>
    <x v="6"/>
    <s v="Skincare Kit"/>
    <n v="30.17"/>
    <x v="1"/>
    <s v="Card"/>
    <n v="2.8"/>
    <n v="13"/>
    <n v="4"/>
    <n v="26.247900000000001"/>
    <x v="4"/>
    <x v="0"/>
    <s v="Returning"/>
  </r>
  <r>
    <n v="3781"/>
    <n v="40"/>
    <s v="Male"/>
    <x v="2"/>
    <s v="Yoga Mat"/>
    <n v="199.87"/>
    <x v="0"/>
    <s v="Card"/>
    <n v="3.1"/>
    <n v="7"/>
    <n v="1"/>
    <n v="185.87909999999999"/>
    <x v="1"/>
    <x v="0"/>
    <s v="Returning"/>
  </r>
  <r>
    <n v="3782"/>
    <n v="24"/>
    <s v="Female"/>
    <x v="6"/>
    <s v="Skincare Kit"/>
    <n v="47.98"/>
    <x v="3"/>
    <s v="Card"/>
    <n v="4.5999999999999996"/>
    <n v="4"/>
    <n v="2"/>
    <n v="46.060799999999993"/>
    <x v="3"/>
    <x v="0"/>
    <s v="Returning"/>
  </r>
  <r>
    <n v="3783"/>
    <n v="68"/>
    <s v="Female"/>
    <x v="8"/>
    <s v="Top"/>
    <n v="184.65"/>
    <x v="3"/>
    <s v="Card"/>
    <n v="3.4"/>
    <n v="14"/>
    <n v="2"/>
    <n v="158.79900000000001"/>
    <x v="2"/>
    <x v="0"/>
    <s v="Returning"/>
  </r>
  <r>
    <n v="3784"/>
    <n v="39"/>
    <s v="Female"/>
    <x v="2"/>
    <s v="Football"/>
    <n v="101.5"/>
    <x v="3"/>
    <s v="Card"/>
    <n v="4.5"/>
    <n v="20"/>
    <n v="5"/>
    <n v="81.2"/>
    <x v="1"/>
    <x v="0"/>
    <s v="Returning"/>
  </r>
  <r>
    <n v="3785"/>
    <n v="27"/>
    <s v="Male"/>
    <x v="5"/>
    <s v="Mobile Phone"/>
    <n v="502.45"/>
    <x v="2"/>
    <s v="Card"/>
    <n v="5"/>
    <n v="16"/>
    <n v="3"/>
    <n v="422.05799999999999"/>
    <x v="4"/>
    <x v="0"/>
    <s v="Returning"/>
  </r>
  <r>
    <n v="3786"/>
    <n v="29"/>
    <s v="Female"/>
    <x v="6"/>
    <s v="Skincare Kit"/>
    <n v="137"/>
    <x v="0"/>
    <s v="Card"/>
    <n v="4.7"/>
    <n v="22"/>
    <n v="6"/>
    <n v="106.86"/>
    <x v="4"/>
    <x v="0"/>
    <s v="Returning"/>
  </r>
  <r>
    <n v="3787"/>
    <n v="21"/>
    <s v="Male"/>
    <x v="2"/>
    <s v="Dumbbells"/>
    <n v="137.18"/>
    <x v="3"/>
    <s v="Card"/>
    <n v="2.8"/>
    <n v="12"/>
    <n v="6"/>
    <n v="120.7184"/>
    <x v="3"/>
    <x v="0"/>
    <s v="Returning"/>
  </r>
  <r>
    <n v="3788"/>
    <n v="52"/>
    <s v="Female"/>
    <x v="2"/>
    <s v="Football"/>
    <n v="129.61000000000001"/>
    <x v="0"/>
    <s v="Card"/>
    <n v="3.8"/>
    <n v="11"/>
    <n v="3"/>
    <n v="115.35290000000002"/>
    <x v="0"/>
    <x v="0"/>
    <s v="Returning"/>
  </r>
  <r>
    <n v="3789"/>
    <n v="39"/>
    <s v="Female"/>
    <x v="7"/>
    <s v="Sneakers"/>
    <n v="129.19"/>
    <x v="1"/>
    <s v="Card"/>
    <n v="3.5"/>
    <n v="11"/>
    <n v="3"/>
    <n v="114.9791"/>
    <x v="1"/>
    <x v="0"/>
    <s v="Returning"/>
  </r>
  <r>
    <n v="3790"/>
    <n v="65"/>
    <s v="Male"/>
    <x v="2"/>
    <s v="Football"/>
    <n v="154.65"/>
    <x v="2"/>
    <s v="Card"/>
    <n v="3.1"/>
    <n v="18"/>
    <n v="4"/>
    <n v="126.81300000000002"/>
    <x v="2"/>
    <x v="0"/>
    <s v="Returning"/>
  </r>
  <r>
    <n v="3791"/>
    <n v="67"/>
    <s v="Female"/>
    <x v="8"/>
    <s v="Jeans"/>
    <n v="54.55"/>
    <x v="0"/>
    <s v="Card"/>
    <n v="4.7"/>
    <n v="19"/>
    <n v="7"/>
    <n v="44.185499999999998"/>
    <x v="2"/>
    <x v="0"/>
    <s v="Returning"/>
  </r>
  <r>
    <n v="3792"/>
    <n v="21"/>
    <s v="Male"/>
    <x v="2"/>
    <s v="Yoga Mat"/>
    <n v="77.209999999999994"/>
    <x v="1"/>
    <s v="Card"/>
    <n v="4.3"/>
    <n v="19"/>
    <n v="7"/>
    <n v="62.540100000000002"/>
    <x v="3"/>
    <x v="0"/>
    <s v="Returning"/>
  </r>
  <r>
    <n v="3793"/>
    <n v="62"/>
    <s v="Male"/>
    <x v="5"/>
    <s v="Laptop"/>
    <n v="1865.21"/>
    <x v="2"/>
    <s v="Card"/>
    <n v="3.9"/>
    <n v="14"/>
    <n v="2"/>
    <n v="1604.0806"/>
    <x v="2"/>
    <x v="0"/>
    <s v="Returning"/>
  </r>
  <r>
    <n v="3794"/>
    <n v="52"/>
    <s v="Female"/>
    <x v="6"/>
    <s v="Skincare Kit"/>
    <n v="97.56"/>
    <x v="3"/>
    <s v="Card"/>
    <n v="3.6"/>
    <n v="15"/>
    <n v="5"/>
    <n v="82.926000000000002"/>
    <x v="0"/>
    <x v="0"/>
    <s v="Returning"/>
  </r>
  <r>
    <n v="3795"/>
    <n v="28"/>
    <s v="Male"/>
    <x v="5"/>
    <s v="Smart Watch"/>
    <n v="2248.23"/>
    <x v="1"/>
    <s v="Card"/>
    <n v="3.6"/>
    <n v="23"/>
    <n v="9"/>
    <n v="1731.1371000000001"/>
    <x v="4"/>
    <x v="0"/>
    <s v="Returning"/>
  </r>
  <r>
    <n v="3796"/>
    <n v="59"/>
    <s v="Female"/>
    <x v="4"/>
    <s v="Cooking Oil"/>
    <n v="26.78"/>
    <x v="2"/>
    <s v="Card"/>
    <n v="5"/>
    <n v="19"/>
    <n v="7"/>
    <n v="21.691800000000001"/>
    <x v="0"/>
    <x v="0"/>
    <s v="Returning"/>
  </r>
  <r>
    <n v="3797"/>
    <n v="67"/>
    <s v="Female"/>
    <x v="6"/>
    <s v="Perfume"/>
    <n v="99.35"/>
    <x v="0"/>
    <s v="Cash on Delivery"/>
    <n v="4"/>
    <n v="15"/>
    <n v="5"/>
    <n v="84.447499999999991"/>
    <x v="2"/>
    <x v="0"/>
    <s v="Returning"/>
  </r>
  <r>
    <n v="3798"/>
    <n v="35"/>
    <s v="Male"/>
    <x v="5"/>
    <s v="Smart Watch"/>
    <n v="1797.25"/>
    <x v="2"/>
    <s v="Card"/>
    <n v="4.5"/>
    <n v="8"/>
    <n v="4"/>
    <n v="1653.47"/>
    <x v="4"/>
    <x v="0"/>
    <s v="Returning"/>
  </r>
  <r>
    <n v="3799"/>
    <n v="68"/>
    <s v="Male"/>
    <x v="5"/>
    <s v="Headphones"/>
    <n v="2202.2600000000002"/>
    <x v="1"/>
    <s v="Card"/>
    <n v="3.9"/>
    <n v="15"/>
    <n v="5"/>
    <n v="1871.921"/>
    <x v="2"/>
    <x v="0"/>
    <s v="Returning"/>
  </r>
  <r>
    <n v="3800"/>
    <n v="43"/>
    <s v="Female"/>
    <x v="0"/>
    <s v="Wallet"/>
    <n v="109.12"/>
    <x v="2"/>
    <s v="Card"/>
    <n v="3.6"/>
    <n v="16"/>
    <n v="3"/>
    <n v="91.660799999999995"/>
    <x v="1"/>
    <x v="0"/>
    <s v="Returning"/>
  </r>
  <r>
    <n v="3801"/>
    <n v="21"/>
    <s v="Female"/>
    <x v="6"/>
    <s v="Skincare Kit"/>
    <n v="76.900000000000006"/>
    <x v="1"/>
    <s v="Card"/>
    <n v="4.9000000000000004"/>
    <n v="17"/>
    <n v="6"/>
    <n v="63.826999999999998"/>
    <x v="3"/>
    <x v="0"/>
    <s v="Returning"/>
  </r>
  <r>
    <n v="3802"/>
    <n v="51"/>
    <s v="Female"/>
    <x v="0"/>
    <s v="Wallet"/>
    <n v="99.61"/>
    <x v="2"/>
    <s v="Card"/>
    <n v="3.8"/>
    <n v="20"/>
    <n v="10"/>
    <n v="79.688000000000002"/>
    <x v="0"/>
    <x v="0"/>
    <s v="Returning"/>
  </r>
  <r>
    <n v="3803"/>
    <n v="64"/>
    <s v="Female"/>
    <x v="6"/>
    <s v="Perfume"/>
    <n v="81.88"/>
    <x v="0"/>
    <s v="Cash on Delivery"/>
    <n v="4.5999999999999996"/>
    <n v="18"/>
    <n v="4"/>
    <n v="67.141599999999997"/>
    <x v="2"/>
    <x v="0"/>
    <s v="Returning"/>
  </r>
  <r>
    <n v="3804"/>
    <n v="38"/>
    <s v="Female"/>
    <x v="2"/>
    <s v="Yoga Mat"/>
    <n v="211.85"/>
    <x v="3"/>
    <s v="Card"/>
    <n v="4.5"/>
    <n v="2"/>
    <n v="1"/>
    <n v="207.613"/>
    <x v="1"/>
    <x v="0"/>
    <s v="Returning"/>
  </r>
  <r>
    <n v="3805"/>
    <n v="60"/>
    <s v="Female"/>
    <x v="6"/>
    <s v="Makeup Set"/>
    <n v="72.84"/>
    <x v="1"/>
    <s v="Card"/>
    <n v="4.5"/>
    <n v="13"/>
    <n v="4"/>
    <n v="63.370800000000003"/>
    <x v="0"/>
    <x v="0"/>
    <s v="Returning"/>
  </r>
  <r>
    <n v="3806"/>
    <n v="33"/>
    <s v="Female"/>
    <x v="0"/>
    <s v="Wallet"/>
    <n v="126.38"/>
    <x v="2"/>
    <s v="Card"/>
    <n v="2.8"/>
    <n v="12"/>
    <n v="6"/>
    <n v="111.2144"/>
    <x v="4"/>
    <x v="0"/>
    <s v="Returning"/>
  </r>
  <r>
    <n v="3807"/>
    <n v="25"/>
    <s v="Female"/>
    <x v="2"/>
    <s v="Dumbbells"/>
    <n v="91.07"/>
    <x v="3"/>
    <s v="Card"/>
    <n v="4.0999999999999996"/>
    <n v="30"/>
    <n v="10"/>
    <n v="63.748999999999988"/>
    <x v="3"/>
    <x v="0"/>
    <s v="Returning"/>
  </r>
  <r>
    <n v="3808"/>
    <n v="42"/>
    <s v="Male"/>
    <x v="1"/>
    <s v="Jacket"/>
    <n v="104.3"/>
    <x v="3"/>
    <s v="Card"/>
    <n v="4.7"/>
    <n v="11"/>
    <n v="3"/>
    <n v="92.826999999999998"/>
    <x v="1"/>
    <x v="0"/>
    <s v="Returning"/>
  </r>
  <r>
    <n v="3809"/>
    <n v="36"/>
    <s v="Female"/>
    <x v="7"/>
    <s v="Formal Shoes"/>
    <n v="142.78"/>
    <x v="1"/>
    <s v="Card"/>
    <n v="3.7"/>
    <n v="24"/>
    <n v="7"/>
    <n v="108.5128"/>
    <x v="1"/>
    <x v="0"/>
    <s v="Returning"/>
  </r>
  <r>
    <n v="3810"/>
    <n v="64"/>
    <s v="Female"/>
    <x v="8"/>
    <s v="Skirt"/>
    <n v="152.88"/>
    <x v="0"/>
    <s v="Card"/>
    <n v="4"/>
    <n v="12"/>
    <n v="6"/>
    <n v="134.53440000000001"/>
    <x v="2"/>
    <x v="0"/>
    <s v="Returning"/>
  </r>
  <r>
    <n v="3811"/>
    <n v="33"/>
    <s v="Female"/>
    <x v="0"/>
    <s v="Wallet"/>
    <n v="92.62"/>
    <x v="0"/>
    <s v="Card"/>
    <n v="3.4"/>
    <n v="10"/>
    <n v="5"/>
    <n v="83.358000000000004"/>
    <x v="4"/>
    <x v="0"/>
    <s v="Returning"/>
  </r>
  <r>
    <n v="3812"/>
    <n v="24"/>
    <s v="Female"/>
    <x v="6"/>
    <s v="Makeup Set"/>
    <n v="35.21"/>
    <x v="3"/>
    <s v="Card"/>
    <n v="3.5"/>
    <n v="7"/>
    <n v="1"/>
    <n v="32.7453"/>
    <x v="3"/>
    <x v="0"/>
    <s v="Returning"/>
  </r>
  <r>
    <n v="3813"/>
    <n v="55"/>
    <s v="Female"/>
    <x v="6"/>
    <s v="Makeup Set"/>
    <n v="63.85"/>
    <x v="2"/>
    <s v="Card"/>
    <n v="4"/>
    <n v="17"/>
    <n v="6"/>
    <n v="52.9955"/>
    <x v="0"/>
    <x v="0"/>
    <s v="Returning"/>
  </r>
  <r>
    <n v="3814"/>
    <n v="31"/>
    <s v="Male"/>
    <x v="5"/>
    <s v="Smart Watch"/>
    <n v="1015.78"/>
    <x v="0"/>
    <s v="Card"/>
    <n v="3.7"/>
    <n v="12"/>
    <n v="6"/>
    <n v="893.88639999999998"/>
    <x v="4"/>
    <x v="0"/>
    <s v="Returning"/>
  </r>
  <r>
    <n v="3815"/>
    <n v="49"/>
    <s v="Male"/>
    <x v="1"/>
    <s v="Jeans"/>
    <n v="60.79"/>
    <x v="0"/>
    <s v="Card"/>
    <n v="3.9"/>
    <n v="4"/>
    <n v="2"/>
    <n v="58.358399999999996"/>
    <x v="0"/>
    <x v="0"/>
    <s v="Returning"/>
  </r>
  <r>
    <n v="3816"/>
    <n v="61"/>
    <s v="Female"/>
    <x v="8"/>
    <s v="Dress"/>
    <n v="189.41"/>
    <x v="2"/>
    <s v="Card"/>
    <n v="3.2"/>
    <n v="6"/>
    <n v="3"/>
    <n v="178.0454"/>
    <x v="2"/>
    <x v="0"/>
    <s v="Returning"/>
  </r>
  <r>
    <n v="3817"/>
    <n v="24"/>
    <s v="Male"/>
    <x v="4"/>
    <s v="Beverages"/>
    <n v="38.06"/>
    <x v="1"/>
    <s v="Cash on Delivery"/>
    <n v="4.7"/>
    <n v="20"/>
    <n v="5"/>
    <n v="30.448000000000004"/>
    <x v="3"/>
    <x v="0"/>
    <s v="Returning"/>
  </r>
  <r>
    <n v="3818"/>
    <n v="32"/>
    <s v="Female"/>
    <x v="6"/>
    <s v="Skincare Kit"/>
    <n v="148.62"/>
    <x v="0"/>
    <s v="Card"/>
    <n v="3.1"/>
    <n v="4"/>
    <n v="2"/>
    <n v="142.67519999999999"/>
    <x v="4"/>
    <x v="0"/>
    <s v="Returning"/>
  </r>
  <r>
    <n v="3819"/>
    <n v="39"/>
    <s v="Male"/>
    <x v="4"/>
    <s v="Rice Pack"/>
    <n v="70.510000000000005"/>
    <x v="3"/>
    <s v="Card"/>
    <n v="4.0999999999999996"/>
    <n v="18"/>
    <n v="4"/>
    <n v="57.818200000000012"/>
    <x v="1"/>
    <x v="0"/>
    <s v="Returning"/>
  </r>
  <r>
    <n v="3820"/>
    <n v="47"/>
    <s v="Male"/>
    <x v="1"/>
    <s v="T-Shirt"/>
    <n v="86.22"/>
    <x v="0"/>
    <s v="Cash on Delivery"/>
    <n v="5"/>
    <n v="28"/>
    <n v="9"/>
    <n v="62.078399999999995"/>
    <x v="0"/>
    <x v="0"/>
    <s v="Returning"/>
  </r>
  <r>
    <n v="3821"/>
    <n v="41"/>
    <s v="Male"/>
    <x v="4"/>
    <s v="Cooking Oil"/>
    <n v="14.42"/>
    <x v="3"/>
    <s v="Cash on Delivery"/>
    <n v="3.8"/>
    <n v="16"/>
    <n v="3"/>
    <n v="12.1128"/>
    <x v="1"/>
    <x v="0"/>
    <s v="Returning"/>
  </r>
  <r>
    <n v="3822"/>
    <n v="70"/>
    <s v="Male"/>
    <x v="1"/>
    <s v="Jacket"/>
    <n v="189.46"/>
    <x v="3"/>
    <s v="Card"/>
    <n v="4.3"/>
    <n v="20"/>
    <n v="5"/>
    <n v="151.56800000000001"/>
    <x v="2"/>
    <x v="0"/>
    <s v="Returning"/>
  </r>
  <r>
    <n v="3823"/>
    <n v="56"/>
    <s v="Female"/>
    <x v="6"/>
    <s v="Perfume"/>
    <n v="68.849999999999994"/>
    <x v="0"/>
    <s v="Cash on Delivery"/>
    <n v="5"/>
    <n v="10"/>
    <n v="5"/>
    <n v="61.964999999999996"/>
    <x v="0"/>
    <x v="0"/>
    <s v="Returning"/>
  </r>
  <r>
    <n v="3824"/>
    <n v="30"/>
    <s v="Male"/>
    <x v="5"/>
    <s v="Mobile Phone"/>
    <n v="1289.45"/>
    <x v="1"/>
    <s v="Card"/>
    <n v="3.9"/>
    <n v="24"/>
    <n v="7"/>
    <n v="979.98200000000008"/>
    <x v="4"/>
    <x v="0"/>
    <s v="Returning"/>
  </r>
  <r>
    <n v="3825"/>
    <n v="37"/>
    <s v="Male"/>
    <x v="2"/>
    <s v="Dumbbells"/>
    <n v="152.16"/>
    <x v="0"/>
    <s v="Card"/>
    <n v="2.9"/>
    <n v="18"/>
    <n v="4"/>
    <n v="124.77120000000001"/>
    <x v="1"/>
    <x v="0"/>
    <s v="Returning"/>
  </r>
  <r>
    <n v="3826"/>
    <n v="37"/>
    <s v="Female"/>
    <x v="0"/>
    <s v="Handbag"/>
    <n v="108.77"/>
    <x v="3"/>
    <s v="Card"/>
    <n v="4.2"/>
    <n v="12"/>
    <n v="6"/>
    <n v="95.71759999999999"/>
    <x v="1"/>
    <x v="0"/>
    <s v="Returning"/>
  </r>
  <r>
    <n v="3827"/>
    <n v="57"/>
    <s v="Male"/>
    <x v="2"/>
    <s v="Yoga Mat"/>
    <n v="102.42"/>
    <x v="0"/>
    <s v="Card"/>
    <n v="3.5"/>
    <n v="2"/>
    <n v="1"/>
    <n v="100.3716"/>
    <x v="0"/>
    <x v="0"/>
    <s v="Returning"/>
  </r>
  <r>
    <n v="3828"/>
    <n v="35"/>
    <s v="Female"/>
    <x v="0"/>
    <s v="Wallet"/>
    <n v="89.77"/>
    <x v="1"/>
    <s v="Card"/>
    <n v="3.6"/>
    <n v="6"/>
    <n v="3"/>
    <n v="84.383799999999994"/>
    <x v="4"/>
    <x v="0"/>
    <s v="Returning"/>
  </r>
  <r>
    <n v="3829"/>
    <n v="66"/>
    <s v="Male"/>
    <x v="5"/>
    <s v="Laptop"/>
    <n v="2342.16"/>
    <x v="3"/>
    <s v="Card"/>
    <n v="3.7"/>
    <n v="23"/>
    <n v="9"/>
    <n v="1803.4631999999999"/>
    <x v="2"/>
    <x v="0"/>
    <s v="Returning"/>
  </r>
  <r>
    <n v="3830"/>
    <n v="54"/>
    <s v="Female"/>
    <x v="6"/>
    <s v="Makeup Set"/>
    <n v="101.65"/>
    <x v="3"/>
    <s v="Card"/>
    <n v="3.9"/>
    <n v="12"/>
    <n v="6"/>
    <n v="89.452000000000012"/>
    <x v="0"/>
    <x v="0"/>
    <s v="Returning"/>
  </r>
  <r>
    <n v="3831"/>
    <n v="57"/>
    <s v="Female"/>
    <x v="2"/>
    <s v="Dumbbells"/>
    <n v="194.84"/>
    <x v="1"/>
    <s v="Card"/>
    <n v="4.7"/>
    <n v="22"/>
    <n v="6"/>
    <n v="151.9752"/>
    <x v="0"/>
    <x v="0"/>
    <s v="Returning"/>
  </r>
  <r>
    <n v="3832"/>
    <n v="27"/>
    <s v="Male"/>
    <x v="5"/>
    <s v="Smart Watch"/>
    <n v="1483.08"/>
    <x v="1"/>
    <s v="Card"/>
    <n v="4.0999999999999996"/>
    <n v="16"/>
    <n v="3"/>
    <n v="1245.7872"/>
    <x v="4"/>
    <x v="0"/>
    <s v="Returning"/>
  </r>
  <r>
    <n v="3833"/>
    <n v="66"/>
    <s v="Female"/>
    <x v="4"/>
    <s v="Beverages"/>
    <n v="16.63"/>
    <x v="1"/>
    <s v="Cash on Delivery"/>
    <n v="3"/>
    <n v="15"/>
    <n v="5"/>
    <n v="14.135499999999999"/>
    <x v="2"/>
    <x v="0"/>
    <s v="Returning"/>
  </r>
  <r>
    <n v="3834"/>
    <n v="45"/>
    <s v="Male"/>
    <x v="2"/>
    <s v="Football"/>
    <n v="191.91"/>
    <x v="2"/>
    <s v="Card"/>
    <n v="3"/>
    <n v="8"/>
    <n v="4"/>
    <n v="176.55719999999999"/>
    <x v="1"/>
    <x v="0"/>
    <s v="Returning"/>
  </r>
  <r>
    <n v="3835"/>
    <n v="48"/>
    <s v="Male"/>
    <x v="1"/>
    <s v="Jacket"/>
    <n v="114.46"/>
    <x v="0"/>
    <s v="Card"/>
    <n v="3.5"/>
    <n v="7"/>
    <n v="1"/>
    <n v="106.44779999999999"/>
    <x v="0"/>
    <x v="0"/>
    <s v="Returning"/>
  </r>
  <r>
    <n v="3836"/>
    <n v="44"/>
    <s v="Male"/>
    <x v="3"/>
    <s v="Curtains"/>
    <n v="194.94"/>
    <x v="0"/>
    <s v="Card"/>
    <n v="2.6"/>
    <n v="20"/>
    <n v="5"/>
    <n v="155.952"/>
    <x v="1"/>
    <x v="0"/>
    <s v="Returning"/>
  </r>
  <r>
    <n v="3837"/>
    <n v="42"/>
    <s v="Female"/>
    <x v="8"/>
    <s v="Dress"/>
    <n v="161.16999999999999"/>
    <x v="1"/>
    <s v="Card"/>
    <n v="3.2"/>
    <n v="10"/>
    <n v="5"/>
    <n v="145.053"/>
    <x v="1"/>
    <x v="0"/>
    <s v="Returning"/>
  </r>
  <r>
    <n v="3838"/>
    <n v="21"/>
    <s v="Female"/>
    <x v="6"/>
    <s v="Makeup Set"/>
    <n v="128.63"/>
    <x v="1"/>
    <s v="Card"/>
    <n v="3.7"/>
    <n v="16"/>
    <n v="3"/>
    <n v="108.0492"/>
    <x v="3"/>
    <x v="0"/>
    <s v="Returning"/>
  </r>
  <r>
    <n v="3839"/>
    <n v="42"/>
    <s v="Male"/>
    <x v="5"/>
    <s v="Mobile Phone"/>
    <n v="1995.79"/>
    <x v="3"/>
    <s v="Card"/>
    <n v="3"/>
    <n v="4"/>
    <n v="2"/>
    <n v="1915.9584"/>
    <x v="1"/>
    <x v="0"/>
    <s v="Returning"/>
  </r>
  <r>
    <n v="3840"/>
    <n v="57"/>
    <s v="Male"/>
    <x v="7"/>
    <s v="Sneakers"/>
    <n v="184.11"/>
    <x v="1"/>
    <s v="Card"/>
    <n v="3.4"/>
    <n v="17"/>
    <n v="6"/>
    <n v="152.81130000000002"/>
    <x v="0"/>
    <x v="0"/>
    <s v="Returning"/>
  </r>
  <r>
    <n v="3841"/>
    <n v="31"/>
    <s v="Female"/>
    <x v="8"/>
    <s v="Top"/>
    <n v="42.28"/>
    <x v="0"/>
    <s v="Card"/>
    <n v="4.2"/>
    <n v="8"/>
    <n v="4"/>
    <n v="38.897600000000004"/>
    <x v="4"/>
    <x v="0"/>
    <s v="Returning"/>
  </r>
  <r>
    <n v="3842"/>
    <n v="34"/>
    <s v="Female"/>
    <x v="4"/>
    <s v="Rice Pack"/>
    <n v="32.97"/>
    <x v="1"/>
    <s v="Cash on Delivery"/>
    <n v="2.2000000000000002"/>
    <n v="22"/>
    <n v="6"/>
    <n v="25.7166"/>
    <x v="4"/>
    <x v="0"/>
    <s v="Returning"/>
  </r>
  <r>
    <n v="3843"/>
    <n v="36"/>
    <s v="Male"/>
    <x v="1"/>
    <s v="Jeans"/>
    <n v="177.58"/>
    <x v="0"/>
    <s v="Card"/>
    <n v="5"/>
    <n v="20"/>
    <n v="5"/>
    <n v="142.06400000000002"/>
    <x v="1"/>
    <x v="0"/>
    <s v="Returning"/>
  </r>
  <r>
    <n v="3844"/>
    <n v="52"/>
    <s v="Male"/>
    <x v="4"/>
    <s v="Rice Pack"/>
    <n v="28.33"/>
    <x v="3"/>
    <s v="Card"/>
    <n v="2.6"/>
    <n v="10"/>
    <n v="5"/>
    <n v="25.497"/>
    <x v="0"/>
    <x v="0"/>
    <s v="Returning"/>
  </r>
  <r>
    <n v="3845"/>
    <n v="56"/>
    <s v="Male"/>
    <x v="5"/>
    <s v="Headphones"/>
    <n v="1509.77"/>
    <x v="1"/>
    <s v="Card"/>
    <n v="4.0999999999999996"/>
    <n v="8"/>
    <n v="4"/>
    <n v="1388.9884"/>
    <x v="0"/>
    <x v="0"/>
    <s v="Returning"/>
  </r>
  <r>
    <n v="3846"/>
    <n v="22"/>
    <s v="Male"/>
    <x v="7"/>
    <s v="Formal Shoes"/>
    <n v="221.34"/>
    <x v="3"/>
    <s v="Card"/>
    <n v="3"/>
    <n v="9"/>
    <n v="2"/>
    <n v="201.4194"/>
    <x v="3"/>
    <x v="0"/>
    <s v="Returning"/>
  </r>
  <r>
    <n v="3847"/>
    <n v="25"/>
    <s v="Male"/>
    <x v="7"/>
    <s v="Formal Shoes"/>
    <n v="129.19999999999999"/>
    <x v="2"/>
    <s v="Card"/>
    <n v="3.8"/>
    <n v="11"/>
    <n v="3"/>
    <n v="114.98799999999999"/>
    <x v="3"/>
    <x v="0"/>
    <s v="Returning"/>
  </r>
  <r>
    <n v="3848"/>
    <n v="33"/>
    <s v="Female"/>
    <x v="6"/>
    <s v="Makeup Set"/>
    <n v="33.51"/>
    <x v="2"/>
    <s v="Card"/>
    <n v="3.8"/>
    <n v="16"/>
    <n v="8"/>
    <n v="28.148399999999999"/>
    <x v="4"/>
    <x v="0"/>
    <s v="Returning"/>
  </r>
  <r>
    <n v="3849"/>
    <n v="60"/>
    <s v="Female"/>
    <x v="8"/>
    <s v="Jeans"/>
    <n v="73.260000000000005"/>
    <x v="2"/>
    <s v="Card"/>
    <n v="3"/>
    <n v="9"/>
    <n v="2"/>
    <n v="66.666600000000003"/>
    <x v="0"/>
    <x v="0"/>
    <s v="Returning"/>
  </r>
  <r>
    <n v="3850"/>
    <n v="22"/>
    <s v="Male"/>
    <x v="5"/>
    <s v="Headphones"/>
    <n v="2440.87"/>
    <x v="3"/>
    <s v="Card"/>
    <n v="3.7"/>
    <n v="22"/>
    <n v="6"/>
    <n v="1903.8786"/>
    <x v="3"/>
    <x v="0"/>
    <s v="Returning"/>
  </r>
  <r>
    <n v="3851"/>
    <n v="35"/>
    <s v="Female"/>
    <x v="3"/>
    <s v="Kitchen Set"/>
    <n v="164.39"/>
    <x v="3"/>
    <s v="Card"/>
    <n v="3.9"/>
    <n v="15"/>
    <n v="5"/>
    <n v="139.73149999999998"/>
    <x v="4"/>
    <x v="0"/>
    <s v="Returning"/>
  </r>
  <r>
    <n v="3852"/>
    <n v="35"/>
    <s v="Female"/>
    <x v="0"/>
    <s v="Handbag"/>
    <n v="72.819999999999993"/>
    <x v="1"/>
    <s v="Cash on Delivery"/>
    <n v="5"/>
    <n v="24"/>
    <n v="7"/>
    <n v="55.343199999999996"/>
    <x v="4"/>
    <x v="0"/>
    <s v="Returning"/>
  </r>
  <r>
    <n v="3853"/>
    <n v="22"/>
    <s v="Female"/>
    <x v="7"/>
    <s v="Sandals"/>
    <n v="195.2"/>
    <x v="3"/>
    <s v="Card"/>
    <n v="3.6"/>
    <n v="17"/>
    <n v="6"/>
    <n v="162.01599999999999"/>
    <x v="3"/>
    <x v="0"/>
    <s v="Returning"/>
  </r>
  <r>
    <n v="3854"/>
    <n v="52"/>
    <s v="Female"/>
    <x v="7"/>
    <s v="Sandals"/>
    <n v="165.9"/>
    <x v="1"/>
    <s v="Card"/>
    <n v="3.3"/>
    <n v="7"/>
    <n v="1"/>
    <n v="154.28700000000001"/>
    <x v="0"/>
    <x v="0"/>
    <s v="Returning"/>
  </r>
  <r>
    <n v="3855"/>
    <n v="57"/>
    <s v="Male"/>
    <x v="2"/>
    <s v="Yoga Mat"/>
    <n v="53.33"/>
    <x v="0"/>
    <s v="Card"/>
    <n v="3.7"/>
    <n v="15"/>
    <n v="5"/>
    <n v="45.330500000000001"/>
    <x v="0"/>
    <x v="0"/>
    <s v="Returning"/>
  </r>
  <r>
    <n v="3856"/>
    <n v="43"/>
    <s v="Male"/>
    <x v="2"/>
    <s v="Yoga Mat"/>
    <n v="186.13"/>
    <x v="3"/>
    <s v="Card"/>
    <n v="2.7"/>
    <n v="8"/>
    <n v="4"/>
    <n v="171.2396"/>
    <x v="1"/>
    <x v="0"/>
    <s v="Returning"/>
  </r>
  <r>
    <n v="3857"/>
    <n v="51"/>
    <s v="Male"/>
    <x v="1"/>
    <s v="T-Shirt"/>
    <n v="71.650000000000006"/>
    <x v="3"/>
    <s v="Cash on Delivery"/>
    <n v="4.2"/>
    <n v="19"/>
    <n v="7"/>
    <n v="58.036500000000011"/>
    <x v="0"/>
    <x v="0"/>
    <s v="Returning"/>
  </r>
  <r>
    <n v="3858"/>
    <n v="55"/>
    <s v="Male"/>
    <x v="2"/>
    <s v="Yoga Mat"/>
    <n v="128.66999999999999"/>
    <x v="1"/>
    <s v="Card"/>
    <n v="4.0999999999999996"/>
    <n v="20"/>
    <n v="5"/>
    <n v="102.93599999999999"/>
    <x v="0"/>
    <x v="0"/>
    <s v="Returning"/>
  </r>
  <r>
    <n v="3859"/>
    <n v="68"/>
    <s v="Female"/>
    <x v="6"/>
    <s v="Makeup Set"/>
    <n v="72.5"/>
    <x v="0"/>
    <s v="Cash on Delivery"/>
    <n v="3"/>
    <n v="28"/>
    <n v="9"/>
    <n v="52.199999999999996"/>
    <x v="2"/>
    <x v="0"/>
    <s v="Returning"/>
  </r>
  <r>
    <n v="3860"/>
    <n v="61"/>
    <s v="Female"/>
    <x v="4"/>
    <s v="Cooking Oil"/>
    <n v="25.6"/>
    <x v="1"/>
    <s v="Cash on Delivery"/>
    <n v="4"/>
    <n v="13"/>
    <n v="4"/>
    <n v="22.272000000000002"/>
    <x v="2"/>
    <x v="0"/>
    <s v="Returning"/>
  </r>
  <r>
    <n v="3861"/>
    <n v="54"/>
    <s v="Female"/>
    <x v="8"/>
    <s v="Jeans"/>
    <n v="48.92"/>
    <x v="3"/>
    <s v="Card"/>
    <n v="4.2"/>
    <n v="22"/>
    <n v="6"/>
    <n v="38.157600000000002"/>
    <x v="0"/>
    <x v="0"/>
    <s v="Returning"/>
  </r>
  <r>
    <n v="3862"/>
    <n v="65"/>
    <s v="Female"/>
    <x v="0"/>
    <s v="Handbag"/>
    <n v="82.14"/>
    <x v="3"/>
    <s v="Cash on Delivery"/>
    <n v="3.3"/>
    <n v="17"/>
    <n v="6"/>
    <n v="68.176199999999994"/>
    <x v="2"/>
    <x v="0"/>
    <s v="Returning"/>
  </r>
  <r>
    <n v="3863"/>
    <n v="42"/>
    <s v="Male"/>
    <x v="7"/>
    <s v="Formal Shoes"/>
    <n v="74.959999999999994"/>
    <x v="2"/>
    <s v="Cash on Delivery"/>
    <n v="2.4"/>
    <n v="22"/>
    <n v="6"/>
    <n v="58.468799999999995"/>
    <x v="1"/>
    <x v="0"/>
    <s v="Returning"/>
  </r>
  <r>
    <n v="3864"/>
    <n v="53"/>
    <s v="Female"/>
    <x v="4"/>
    <s v="Rice Pack"/>
    <n v="36.549999999999997"/>
    <x v="1"/>
    <s v="Card"/>
    <n v="3.8"/>
    <n v="15"/>
    <n v="5"/>
    <n v="31.067499999999995"/>
    <x v="0"/>
    <x v="0"/>
    <s v="Returning"/>
  </r>
  <r>
    <n v="3865"/>
    <n v="25"/>
    <s v="Male"/>
    <x v="2"/>
    <s v="Football"/>
    <n v="162.61000000000001"/>
    <x v="2"/>
    <s v="Card"/>
    <n v="4.7"/>
    <n v="16"/>
    <n v="3"/>
    <n v="136.5924"/>
    <x v="3"/>
    <x v="0"/>
    <s v="Returning"/>
  </r>
  <r>
    <n v="3866"/>
    <n v="49"/>
    <s v="Male"/>
    <x v="2"/>
    <s v="Football"/>
    <n v="75.87"/>
    <x v="1"/>
    <s v="Cash on Delivery"/>
    <n v="3"/>
    <n v="11"/>
    <n v="3"/>
    <n v="67.524300000000011"/>
    <x v="0"/>
    <x v="0"/>
    <s v="Returning"/>
  </r>
  <r>
    <n v="3867"/>
    <n v="59"/>
    <s v="Female"/>
    <x v="4"/>
    <s v="Rice Pack"/>
    <n v="16.71"/>
    <x v="3"/>
    <s v="Card"/>
    <n v="3.9"/>
    <n v="17"/>
    <n v="6"/>
    <n v="13.869300000000001"/>
    <x v="0"/>
    <x v="0"/>
    <s v="Returning"/>
  </r>
  <r>
    <n v="3868"/>
    <n v="66"/>
    <s v="Female"/>
    <x v="0"/>
    <s v="Handbag"/>
    <n v="118.57"/>
    <x v="0"/>
    <s v="Card"/>
    <n v="2.9"/>
    <n v="15"/>
    <n v="5"/>
    <n v="100.78449999999999"/>
    <x v="2"/>
    <x v="0"/>
    <s v="Returning"/>
  </r>
  <r>
    <n v="3869"/>
    <n v="26"/>
    <s v="Female"/>
    <x v="8"/>
    <s v="Jeans"/>
    <n v="71.72"/>
    <x v="1"/>
    <s v="Card"/>
    <n v="3.5"/>
    <n v="21"/>
    <n v="8"/>
    <n v="56.658799999999999"/>
    <x v="4"/>
    <x v="0"/>
    <s v="Returning"/>
  </r>
  <r>
    <n v="3870"/>
    <n v="64"/>
    <s v="Female"/>
    <x v="3"/>
    <s v="Kitchen Set"/>
    <n v="280.58999999999997"/>
    <x v="3"/>
    <s v="Card"/>
    <n v="4.9000000000000004"/>
    <n v="17"/>
    <n v="6"/>
    <n v="232.88969999999998"/>
    <x v="2"/>
    <x v="0"/>
    <s v="Returning"/>
  </r>
  <r>
    <n v="3871"/>
    <n v="46"/>
    <s v="Female"/>
    <x v="8"/>
    <s v="Jeans"/>
    <n v="121.97"/>
    <x v="3"/>
    <s v="Card"/>
    <n v="4.5999999999999996"/>
    <n v="26"/>
    <n v="8"/>
    <n v="90.257800000000003"/>
    <x v="0"/>
    <x v="0"/>
    <s v="Returning"/>
  </r>
  <r>
    <n v="3872"/>
    <n v="62"/>
    <s v="Male"/>
    <x v="2"/>
    <s v="Dumbbells"/>
    <n v="125.84"/>
    <x v="0"/>
    <s v="Card"/>
    <n v="3.9"/>
    <n v="8"/>
    <n v="4"/>
    <n v="115.7728"/>
    <x v="2"/>
    <x v="0"/>
    <s v="Returning"/>
  </r>
  <r>
    <n v="3873"/>
    <n v="43"/>
    <s v="Male"/>
    <x v="2"/>
    <s v="Dumbbells"/>
    <n v="199.76"/>
    <x v="3"/>
    <s v="Card"/>
    <n v="2.4"/>
    <n v="24"/>
    <n v="7"/>
    <n v="151.8176"/>
    <x v="1"/>
    <x v="0"/>
    <s v="Returning"/>
  </r>
  <r>
    <n v="3874"/>
    <n v="63"/>
    <s v="Male"/>
    <x v="2"/>
    <s v="Football"/>
    <n v="245.47"/>
    <x v="1"/>
    <s v="Card"/>
    <n v="4.0999999999999996"/>
    <n v="12"/>
    <n v="6"/>
    <n v="216.0136"/>
    <x v="2"/>
    <x v="0"/>
    <s v="Returning"/>
  </r>
  <r>
    <n v="3875"/>
    <n v="36"/>
    <s v="Female"/>
    <x v="6"/>
    <s v="Makeup Set"/>
    <n v="63.27"/>
    <x v="3"/>
    <s v="Card"/>
    <n v="2.8"/>
    <n v="12"/>
    <n v="6"/>
    <n v="55.677600000000005"/>
    <x v="1"/>
    <x v="0"/>
    <s v="Returning"/>
  </r>
  <r>
    <n v="3876"/>
    <n v="48"/>
    <s v="Female"/>
    <x v="7"/>
    <s v="Sandals"/>
    <n v="71.12"/>
    <x v="0"/>
    <s v="Card"/>
    <n v="4.2"/>
    <n v="18"/>
    <n v="4"/>
    <n v="58.318400000000011"/>
    <x v="0"/>
    <x v="0"/>
    <s v="Returning"/>
  </r>
  <r>
    <n v="3877"/>
    <n v="52"/>
    <s v="Female"/>
    <x v="3"/>
    <s v="Lamp"/>
    <n v="71.95"/>
    <x v="3"/>
    <s v="Cash on Delivery"/>
    <n v="3.6"/>
    <n v="21"/>
    <n v="8"/>
    <n v="56.840500000000006"/>
    <x v="0"/>
    <x v="0"/>
    <s v="Returning"/>
  </r>
  <r>
    <n v="3878"/>
    <n v="34"/>
    <s v="Male"/>
    <x v="3"/>
    <s v="Kitchen Set"/>
    <n v="199.66"/>
    <x v="2"/>
    <s v="Card"/>
    <n v="3.3"/>
    <n v="8"/>
    <n v="4"/>
    <n v="183.68720000000002"/>
    <x v="4"/>
    <x v="0"/>
    <s v="Returning"/>
  </r>
  <r>
    <n v="3879"/>
    <n v="46"/>
    <s v="Female"/>
    <x v="0"/>
    <s v="Handbag"/>
    <n v="52.31"/>
    <x v="2"/>
    <s v="Cash on Delivery"/>
    <n v="5"/>
    <n v="22"/>
    <n v="6"/>
    <n v="40.8018"/>
    <x v="0"/>
    <x v="0"/>
    <s v="Returning"/>
  </r>
  <r>
    <n v="3880"/>
    <n v="35"/>
    <s v="Female"/>
    <x v="6"/>
    <s v="Skincare Kit"/>
    <n v="92"/>
    <x v="3"/>
    <s v="Cash on Delivery"/>
    <n v="4.8"/>
    <n v="30"/>
    <n v="10"/>
    <n v="64.399999999999991"/>
    <x v="4"/>
    <x v="0"/>
    <s v="Returning"/>
  </r>
  <r>
    <n v="3881"/>
    <n v="39"/>
    <s v="Female"/>
    <x v="0"/>
    <s v="Wallet"/>
    <n v="41.86"/>
    <x v="1"/>
    <s v="Card"/>
    <n v="2.8"/>
    <n v="18"/>
    <n v="4"/>
    <n v="34.325200000000002"/>
    <x v="1"/>
    <x v="0"/>
    <s v="Returning"/>
  </r>
  <r>
    <n v="3882"/>
    <n v="67"/>
    <s v="Female"/>
    <x v="7"/>
    <s v="Sneakers"/>
    <n v="134.68"/>
    <x v="3"/>
    <s v="Card"/>
    <n v="4.0999999999999996"/>
    <n v="15"/>
    <n v="5"/>
    <n v="114.47800000000001"/>
    <x v="2"/>
    <x v="0"/>
    <s v="Returning"/>
  </r>
  <r>
    <n v="3883"/>
    <n v="52"/>
    <s v="Male"/>
    <x v="2"/>
    <s v="Football"/>
    <n v="91.41"/>
    <x v="0"/>
    <s v="Cash on Delivery"/>
    <n v="2.9"/>
    <n v="6"/>
    <n v="3"/>
    <n v="85.925399999999996"/>
    <x v="0"/>
    <x v="0"/>
    <s v="Returning"/>
  </r>
  <r>
    <n v="3884"/>
    <n v="29"/>
    <s v="Female"/>
    <x v="4"/>
    <s v="Rice Pack"/>
    <n v="29.99"/>
    <x v="3"/>
    <s v="Card"/>
    <n v="4.5"/>
    <n v="17"/>
    <n v="6"/>
    <n v="24.891699999999997"/>
    <x v="4"/>
    <x v="0"/>
    <s v="Returning"/>
  </r>
  <r>
    <n v="3885"/>
    <n v="55"/>
    <s v="Male"/>
    <x v="3"/>
    <s v="Lamp"/>
    <n v="261.19"/>
    <x v="1"/>
    <s v="Card"/>
    <n v="3.2"/>
    <n v="24"/>
    <n v="7"/>
    <n v="198.5044"/>
    <x v="0"/>
    <x v="0"/>
    <s v="Returning"/>
  </r>
  <r>
    <n v="3886"/>
    <n v="70"/>
    <s v="Male"/>
    <x v="7"/>
    <s v="Sandals"/>
    <n v="87.98"/>
    <x v="1"/>
    <s v="Card"/>
    <n v="3.2"/>
    <n v="12"/>
    <n v="6"/>
    <n v="77.42240000000001"/>
    <x v="2"/>
    <x v="0"/>
    <s v="Returning"/>
  </r>
  <r>
    <n v="3887"/>
    <n v="41"/>
    <s v="Male"/>
    <x v="1"/>
    <s v="T-Shirt"/>
    <n v="152.87"/>
    <x v="3"/>
    <s v="Card"/>
    <n v="4.5"/>
    <n v="12"/>
    <n v="6"/>
    <n v="134.5256"/>
    <x v="1"/>
    <x v="0"/>
    <s v="Returning"/>
  </r>
  <r>
    <n v="3888"/>
    <n v="24"/>
    <s v="Male"/>
    <x v="3"/>
    <s v="Kitchen Set"/>
    <n v="160.16999999999999"/>
    <x v="1"/>
    <s v="Card"/>
    <n v="3.7"/>
    <n v="18"/>
    <n v="4"/>
    <n v="131.33940000000001"/>
    <x v="3"/>
    <x v="0"/>
    <s v="Returning"/>
  </r>
  <r>
    <n v="3889"/>
    <n v="61"/>
    <s v="Male"/>
    <x v="2"/>
    <s v="Football"/>
    <n v="92.21"/>
    <x v="1"/>
    <s v="Card"/>
    <n v="4.2"/>
    <n v="10"/>
    <n v="5"/>
    <n v="82.98899999999999"/>
    <x v="2"/>
    <x v="0"/>
    <s v="Returning"/>
  </r>
  <r>
    <n v="3890"/>
    <n v="55"/>
    <s v="Female"/>
    <x v="8"/>
    <s v="Dress"/>
    <n v="68.75"/>
    <x v="3"/>
    <s v="Card"/>
    <n v="4.9000000000000004"/>
    <n v="9"/>
    <n v="2"/>
    <n v="62.5625"/>
    <x v="0"/>
    <x v="0"/>
    <s v="Returning"/>
  </r>
  <r>
    <n v="3891"/>
    <n v="36"/>
    <s v="Male"/>
    <x v="5"/>
    <s v="Smart Watch"/>
    <n v="2199.9299999999998"/>
    <x v="2"/>
    <s v="Card"/>
    <n v="4.3"/>
    <n v="17"/>
    <n v="6"/>
    <n v="1825.9418999999998"/>
    <x v="1"/>
    <x v="0"/>
    <s v="Returning"/>
  </r>
  <r>
    <n v="3892"/>
    <n v="67"/>
    <s v="Female"/>
    <x v="7"/>
    <s v="Sandals"/>
    <n v="191.36"/>
    <x v="2"/>
    <s v="Card"/>
    <n v="4.0999999999999996"/>
    <n v="18"/>
    <n v="4"/>
    <n v="156.91520000000003"/>
    <x v="2"/>
    <x v="0"/>
    <s v="Returning"/>
  </r>
  <r>
    <n v="3893"/>
    <n v="50"/>
    <s v="Male"/>
    <x v="3"/>
    <s v="Kitchen Set"/>
    <n v="55.82"/>
    <x v="1"/>
    <s v="Cash on Delivery"/>
    <n v="3.7"/>
    <n v="16"/>
    <n v="3"/>
    <n v="46.888799999999996"/>
    <x v="0"/>
    <x v="0"/>
    <s v="Returning"/>
  </r>
  <r>
    <n v="3894"/>
    <n v="33"/>
    <s v="Female"/>
    <x v="7"/>
    <s v="Formal Shoes"/>
    <n v="222.12"/>
    <x v="2"/>
    <s v="Card"/>
    <n v="4.0999999999999996"/>
    <n v="10"/>
    <n v="5"/>
    <n v="199.90800000000002"/>
    <x v="4"/>
    <x v="0"/>
    <s v="Returning"/>
  </r>
  <r>
    <n v="3895"/>
    <n v="33"/>
    <s v="Female"/>
    <x v="4"/>
    <s v="Rice Pack"/>
    <n v="78.680000000000007"/>
    <x v="3"/>
    <s v="Card"/>
    <n v="3.4"/>
    <n v="6"/>
    <n v="3"/>
    <n v="73.959199999999996"/>
    <x v="4"/>
    <x v="0"/>
    <s v="Returning"/>
  </r>
  <r>
    <n v="3896"/>
    <n v="53"/>
    <s v="Female"/>
    <x v="7"/>
    <s v="Formal Shoes"/>
    <n v="151.9"/>
    <x v="3"/>
    <s v="Card"/>
    <n v="3.5"/>
    <n v="7"/>
    <n v="1"/>
    <n v="141.267"/>
    <x v="0"/>
    <x v="0"/>
    <s v="Returning"/>
  </r>
  <r>
    <n v="3897"/>
    <n v="41"/>
    <s v="Female"/>
    <x v="8"/>
    <s v="Top"/>
    <n v="34.340000000000003"/>
    <x v="0"/>
    <s v="Cash on Delivery"/>
    <n v="3.7"/>
    <n v="24"/>
    <n v="7"/>
    <n v="26.098400000000002"/>
    <x v="1"/>
    <x v="0"/>
    <s v="Returning"/>
  </r>
  <r>
    <n v="3898"/>
    <n v="44"/>
    <s v="Male"/>
    <x v="3"/>
    <s v="Kitchen Set"/>
    <n v="193.78"/>
    <x v="0"/>
    <s v="Card"/>
    <n v="3.9"/>
    <n v="11"/>
    <n v="3"/>
    <n v="172.46420000000001"/>
    <x v="1"/>
    <x v="0"/>
    <s v="Returning"/>
  </r>
  <r>
    <n v="3899"/>
    <n v="44"/>
    <s v="Female"/>
    <x v="7"/>
    <s v="Sneakers"/>
    <n v="165.49"/>
    <x v="2"/>
    <s v="Card"/>
    <n v="3.8"/>
    <n v="20"/>
    <n v="5"/>
    <n v="132.39200000000002"/>
    <x v="1"/>
    <x v="0"/>
    <s v="Returning"/>
  </r>
  <r>
    <n v="3900"/>
    <n v="26"/>
    <s v="Female"/>
    <x v="8"/>
    <s v="Dress"/>
    <n v="98.13"/>
    <x v="3"/>
    <s v="Cash on Delivery"/>
    <n v="3"/>
    <n v="15"/>
    <n v="5"/>
    <n v="83.410499999999999"/>
    <x v="4"/>
    <x v="0"/>
    <s v="Returning"/>
  </r>
  <r>
    <n v="3901"/>
    <n v="60"/>
    <s v="Male"/>
    <x v="1"/>
    <s v="Shirt"/>
    <n v="101.85"/>
    <x v="2"/>
    <s v="Card"/>
    <n v="4.4000000000000004"/>
    <n v="10"/>
    <n v="5"/>
    <n v="91.664999999999992"/>
    <x v="0"/>
    <x v="0"/>
    <s v="Returning"/>
  </r>
  <r>
    <n v="3902"/>
    <n v="20"/>
    <s v="Female"/>
    <x v="6"/>
    <s v="Skincare Kit"/>
    <n v="140.1"/>
    <x v="3"/>
    <s v="Card"/>
    <n v="3.7"/>
    <n v="4"/>
    <n v="2"/>
    <n v="134.49599999999998"/>
    <x v="3"/>
    <x v="0"/>
    <s v="Returning"/>
  </r>
  <r>
    <n v="3903"/>
    <n v="45"/>
    <s v="Male"/>
    <x v="4"/>
    <s v="Rice Pack"/>
    <n v="8.33"/>
    <x v="1"/>
    <s v="Card"/>
    <n v="2.7"/>
    <n v="12"/>
    <n v="6"/>
    <n v="7.3304"/>
    <x v="1"/>
    <x v="0"/>
    <s v="Returning"/>
  </r>
  <r>
    <n v="3904"/>
    <n v="41"/>
    <s v="Male"/>
    <x v="5"/>
    <s v="Mobile Phone"/>
    <n v="2137.8000000000002"/>
    <x v="2"/>
    <s v="Card"/>
    <n v="2.9"/>
    <n v="11"/>
    <n v="3"/>
    <n v="1902.6420000000003"/>
    <x v="1"/>
    <x v="0"/>
    <s v="Returning"/>
  </r>
  <r>
    <n v="3905"/>
    <n v="24"/>
    <s v="Male"/>
    <x v="5"/>
    <s v="Laptop"/>
    <n v="1012.48"/>
    <x v="2"/>
    <s v="Card"/>
    <n v="5"/>
    <n v="12"/>
    <n v="6"/>
    <n v="890.98239999999998"/>
    <x v="3"/>
    <x v="0"/>
    <s v="Returning"/>
  </r>
  <r>
    <n v="3906"/>
    <n v="23"/>
    <s v="Male"/>
    <x v="7"/>
    <s v="Formal Shoes"/>
    <n v="159.02000000000001"/>
    <x v="1"/>
    <s v="Card"/>
    <n v="3.4"/>
    <n v="6"/>
    <n v="3"/>
    <n v="149.47880000000001"/>
    <x v="3"/>
    <x v="0"/>
    <s v="Returning"/>
  </r>
  <r>
    <n v="3907"/>
    <n v="70"/>
    <s v="Female"/>
    <x v="6"/>
    <s v="Perfume"/>
    <n v="65.099999999999994"/>
    <x v="2"/>
    <s v="Cash on Delivery"/>
    <n v="3.5"/>
    <n v="11"/>
    <n v="3"/>
    <n v="57.938999999999993"/>
    <x v="2"/>
    <x v="0"/>
    <s v="Returning"/>
  </r>
  <r>
    <n v="3908"/>
    <n v="45"/>
    <s v="Male"/>
    <x v="5"/>
    <s v="Headphones"/>
    <n v="1162.1500000000001"/>
    <x v="1"/>
    <s v="Card"/>
    <n v="3.9"/>
    <n v="9"/>
    <n v="2"/>
    <n v="1057.5565000000001"/>
    <x v="1"/>
    <x v="0"/>
    <s v="Returning"/>
  </r>
  <r>
    <n v="3909"/>
    <n v="51"/>
    <s v="Male"/>
    <x v="7"/>
    <s v="Formal Shoes"/>
    <n v="226.35"/>
    <x v="3"/>
    <s v="Card"/>
    <n v="4.2"/>
    <n v="20"/>
    <n v="10"/>
    <n v="181.08"/>
    <x v="0"/>
    <x v="0"/>
    <s v="Returning"/>
  </r>
  <r>
    <n v="3910"/>
    <n v="38"/>
    <s v="Male"/>
    <x v="5"/>
    <s v="Laptop"/>
    <n v="1523"/>
    <x v="3"/>
    <s v="Card"/>
    <n v="5"/>
    <n v="32"/>
    <n v="11"/>
    <n v="1035.6399999999999"/>
    <x v="1"/>
    <x v="0"/>
    <s v="Returning"/>
  </r>
  <r>
    <n v="3911"/>
    <n v="59"/>
    <s v="Male"/>
    <x v="3"/>
    <s v="Kitchen Set"/>
    <n v="152.75"/>
    <x v="0"/>
    <s v="Card"/>
    <n v="3.6"/>
    <n v="30"/>
    <n v="10"/>
    <n v="106.925"/>
    <x v="0"/>
    <x v="0"/>
    <s v="Returning"/>
  </r>
  <r>
    <n v="3912"/>
    <n v="42"/>
    <s v="Male"/>
    <x v="2"/>
    <s v="Yoga Mat"/>
    <n v="243.12"/>
    <x v="0"/>
    <s v="Card"/>
    <n v="5"/>
    <n v="14"/>
    <n v="7"/>
    <n v="209.08320000000001"/>
    <x v="1"/>
    <x v="0"/>
    <s v="Returning"/>
  </r>
  <r>
    <n v="3913"/>
    <n v="64"/>
    <s v="Male"/>
    <x v="4"/>
    <s v="Snacks"/>
    <n v="11.97"/>
    <x v="3"/>
    <s v="Card"/>
    <n v="4"/>
    <n v="9"/>
    <n v="2"/>
    <n v="10.892700000000001"/>
    <x v="2"/>
    <x v="0"/>
    <s v="Returning"/>
  </r>
  <r>
    <n v="3914"/>
    <n v="23"/>
    <s v="Male"/>
    <x v="7"/>
    <s v="Sandals"/>
    <n v="75.64"/>
    <x v="0"/>
    <s v="Card"/>
    <n v="2.8"/>
    <n v="22"/>
    <n v="6"/>
    <n v="58.999200000000002"/>
    <x v="3"/>
    <x v="0"/>
    <s v="Returning"/>
  </r>
  <r>
    <n v="3915"/>
    <n v="31"/>
    <s v="Male"/>
    <x v="2"/>
    <s v="Football"/>
    <n v="107.78"/>
    <x v="0"/>
    <s v="Card"/>
    <n v="3.5"/>
    <n v="15"/>
    <n v="5"/>
    <n v="91.613"/>
    <x v="4"/>
    <x v="0"/>
    <s v="Returning"/>
  </r>
  <r>
    <n v="3916"/>
    <n v="64"/>
    <s v="Male"/>
    <x v="2"/>
    <s v="Football"/>
    <n v="170.99"/>
    <x v="3"/>
    <s v="Card"/>
    <n v="3.7"/>
    <n v="14"/>
    <n v="7"/>
    <n v="147.0514"/>
    <x v="2"/>
    <x v="0"/>
    <s v="Returning"/>
  </r>
  <r>
    <n v="3917"/>
    <n v="61"/>
    <s v="Female"/>
    <x v="0"/>
    <s v="Wallet"/>
    <n v="171.53"/>
    <x v="3"/>
    <s v="Card"/>
    <n v="3.5"/>
    <n v="16"/>
    <n v="3"/>
    <n v="144.08519999999999"/>
    <x v="2"/>
    <x v="0"/>
    <s v="Returning"/>
  </r>
  <r>
    <n v="3918"/>
    <n v="27"/>
    <s v="Female"/>
    <x v="6"/>
    <s v="Skincare Kit"/>
    <n v="76.489999999999995"/>
    <x v="1"/>
    <s v="Card"/>
    <n v="4.3"/>
    <n v="9"/>
    <n v="2"/>
    <n v="69.605899999999991"/>
    <x v="4"/>
    <x v="0"/>
    <s v="Returning"/>
  </r>
  <r>
    <n v="3919"/>
    <n v="22"/>
    <s v="Female"/>
    <x v="8"/>
    <s v="Jeans"/>
    <n v="180.68"/>
    <x v="2"/>
    <s v="Card"/>
    <n v="4.5"/>
    <n v="21"/>
    <n v="8"/>
    <n v="142.7372"/>
    <x v="3"/>
    <x v="0"/>
    <s v="Returning"/>
  </r>
  <r>
    <n v="3920"/>
    <n v="69"/>
    <s v="Male"/>
    <x v="2"/>
    <s v="Dumbbells"/>
    <n v="51.3"/>
    <x v="0"/>
    <s v="Cash on Delivery"/>
    <n v="2.5"/>
    <n v="9"/>
    <n v="2"/>
    <n v="46.683"/>
    <x v="2"/>
    <x v="0"/>
    <s v="Returning"/>
  </r>
  <r>
    <n v="3921"/>
    <n v="66"/>
    <s v="Male"/>
    <x v="1"/>
    <s v="Jeans"/>
    <n v="40.06"/>
    <x v="3"/>
    <s v="Cash on Delivery"/>
    <n v="3.1"/>
    <n v="20"/>
    <n v="5"/>
    <n v="32.048000000000002"/>
    <x v="2"/>
    <x v="0"/>
    <s v="Returning"/>
  </r>
  <r>
    <n v="3922"/>
    <n v="39"/>
    <s v="Male"/>
    <x v="2"/>
    <s v="Dumbbells"/>
    <n v="149.28"/>
    <x v="2"/>
    <s v="Card"/>
    <n v="2.9"/>
    <n v="15"/>
    <n v="5"/>
    <n v="126.88799999999999"/>
    <x v="1"/>
    <x v="0"/>
    <s v="Returning"/>
  </r>
  <r>
    <n v="3923"/>
    <n v="22"/>
    <s v="Male"/>
    <x v="7"/>
    <s v="Sandals"/>
    <n v="168.49"/>
    <x v="1"/>
    <s v="Card"/>
    <n v="4.9000000000000004"/>
    <n v="19"/>
    <n v="7"/>
    <n v="136.47690000000003"/>
    <x v="3"/>
    <x v="0"/>
    <s v="Returning"/>
  </r>
  <r>
    <n v="3924"/>
    <n v="53"/>
    <s v="Female"/>
    <x v="7"/>
    <s v="Sandals"/>
    <n v="141.58000000000001"/>
    <x v="1"/>
    <s v="Card"/>
    <n v="1.7"/>
    <n v="10"/>
    <n v="5"/>
    <n v="127.42200000000001"/>
    <x v="0"/>
    <x v="0"/>
    <s v="Returning"/>
  </r>
  <r>
    <n v="3925"/>
    <n v="50"/>
    <s v="Female"/>
    <x v="7"/>
    <s v="Sandals"/>
    <n v="227.28"/>
    <x v="1"/>
    <s v="Card"/>
    <n v="3.8"/>
    <n v="16"/>
    <n v="3"/>
    <n v="190.9152"/>
    <x v="0"/>
    <x v="0"/>
    <s v="Returning"/>
  </r>
  <r>
    <n v="3926"/>
    <n v="45"/>
    <s v="Male"/>
    <x v="1"/>
    <s v="Shirt"/>
    <n v="49.65"/>
    <x v="3"/>
    <s v="Card"/>
    <n v="4.9000000000000004"/>
    <n v="26"/>
    <n v="8"/>
    <n v="36.741"/>
    <x v="1"/>
    <x v="0"/>
    <s v="Returning"/>
  </r>
  <r>
    <n v="3927"/>
    <n v="54"/>
    <s v="Male"/>
    <x v="1"/>
    <s v="Jacket"/>
    <n v="48.95"/>
    <x v="2"/>
    <s v="Card"/>
    <n v="2.6"/>
    <n v="13"/>
    <n v="4"/>
    <n v="42.586500000000001"/>
    <x v="0"/>
    <x v="0"/>
    <s v="Returning"/>
  </r>
  <r>
    <n v="3928"/>
    <n v="38"/>
    <s v="Female"/>
    <x v="3"/>
    <s v="Lamp"/>
    <n v="289.17"/>
    <x v="2"/>
    <s v="Card"/>
    <n v="3.9"/>
    <n v="6"/>
    <n v="3"/>
    <n v="271.81979999999999"/>
    <x v="1"/>
    <x v="0"/>
    <s v="Returning"/>
  </r>
  <r>
    <n v="3929"/>
    <n v="45"/>
    <s v="Female"/>
    <x v="0"/>
    <s v="Wallet"/>
    <n v="51.88"/>
    <x v="2"/>
    <s v="Card"/>
    <n v="4.5999999999999996"/>
    <n v="8"/>
    <n v="4"/>
    <n v="47.729600000000005"/>
    <x v="1"/>
    <x v="0"/>
    <s v="Returning"/>
  </r>
  <r>
    <n v="3930"/>
    <n v="36"/>
    <s v="Female"/>
    <x v="8"/>
    <s v="Top"/>
    <n v="70.98"/>
    <x v="2"/>
    <s v="Cash on Delivery"/>
    <n v="3.4"/>
    <n v="6"/>
    <n v="3"/>
    <n v="66.721199999999996"/>
    <x v="1"/>
    <x v="0"/>
    <s v="Returning"/>
  </r>
  <r>
    <n v="3931"/>
    <n v="34"/>
    <s v="Male"/>
    <x v="1"/>
    <s v="T-Shirt"/>
    <n v="63.17"/>
    <x v="3"/>
    <s v="Card"/>
    <n v="3.6"/>
    <n v="20"/>
    <n v="10"/>
    <n v="50.536000000000001"/>
    <x v="4"/>
    <x v="0"/>
    <s v="Returning"/>
  </r>
  <r>
    <n v="3932"/>
    <n v="69"/>
    <s v="Male"/>
    <x v="2"/>
    <s v="Yoga Mat"/>
    <n v="235.79"/>
    <x v="2"/>
    <s v="Card"/>
    <n v="3.7"/>
    <n v="11"/>
    <n v="3"/>
    <n v="209.85309999999998"/>
    <x v="2"/>
    <x v="0"/>
    <s v="Returning"/>
  </r>
  <r>
    <n v="3933"/>
    <n v="25"/>
    <s v="Male"/>
    <x v="2"/>
    <s v="Dumbbells"/>
    <n v="156.57"/>
    <x v="2"/>
    <s v="Card"/>
    <n v="3.5"/>
    <n v="17"/>
    <n v="6"/>
    <n v="129.95309999999998"/>
    <x v="3"/>
    <x v="0"/>
    <s v="Returning"/>
  </r>
  <r>
    <n v="3934"/>
    <n v="70"/>
    <s v="Female"/>
    <x v="4"/>
    <s v="Snacks"/>
    <n v="58.72"/>
    <x v="1"/>
    <s v="Card"/>
    <n v="4.5"/>
    <n v="26"/>
    <n v="8"/>
    <n v="43.452799999999996"/>
    <x v="2"/>
    <x v="0"/>
    <s v="Returning"/>
  </r>
  <r>
    <n v="3935"/>
    <n v="26"/>
    <s v="Male"/>
    <x v="1"/>
    <s v="Jeans"/>
    <n v="148.72999999999999"/>
    <x v="2"/>
    <s v="Card"/>
    <n v="3.5"/>
    <n v="20"/>
    <n v="5"/>
    <n v="118.98399999999999"/>
    <x v="4"/>
    <x v="0"/>
    <s v="Returning"/>
  </r>
  <r>
    <n v="3936"/>
    <n v="41"/>
    <s v="Male"/>
    <x v="5"/>
    <s v="Headphones"/>
    <n v="560.16"/>
    <x v="0"/>
    <s v="Card"/>
    <n v="3.4"/>
    <n v="8"/>
    <n v="4"/>
    <n v="515.34720000000004"/>
    <x v="1"/>
    <x v="0"/>
    <s v="Returning"/>
  </r>
  <r>
    <n v="3937"/>
    <n v="70"/>
    <s v="Female"/>
    <x v="6"/>
    <s v="Makeup Set"/>
    <n v="57.57"/>
    <x v="1"/>
    <s v="Card"/>
    <n v="4.2"/>
    <n v="28"/>
    <n v="9"/>
    <n v="41.450400000000002"/>
    <x v="2"/>
    <x v="0"/>
    <s v="Returning"/>
  </r>
  <r>
    <n v="3938"/>
    <n v="67"/>
    <s v="Male"/>
    <x v="2"/>
    <s v="Football"/>
    <n v="177.81"/>
    <x v="3"/>
    <s v="Card"/>
    <n v="4.4000000000000004"/>
    <n v="24"/>
    <n v="7"/>
    <n v="135.13560000000001"/>
    <x v="2"/>
    <x v="0"/>
    <s v="Returning"/>
  </r>
  <r>
    <n v="3939"/>
    <n v="51"/>
    <s v="Female"/>
    <x v="2"/>
    <s v="Football"/>
    <n v="184.15"/>
    <x v="0"/>
    <s v="Card"/>
    <n v="4.5"/>
    <n v="19"/>
    <n v="7"/>
    <n v="149.16150000000002"/>
    <x v="0"/>
    <x v="0"/>
    <s v="Returning"/>
  </r>
  <r>
    <n v="3940"/>
    <n v="57"/>
    <s v="Female"/>
    <x v="6"/>
    <s v="Makeup Set"/>
    <n v="113.42"/>
    <x v="2"/>
    <s v="Card"/>
    <n v="5"/>
    <n v="24"/>
    <n v="7"/>
    <n v="86.199200000000005"/>
    <x v="0"/>
    <x v="0"/>
    <s v="Returning"/>
  </r>
  <r>
    <n v="3941"/>
    <n v="43"/>
    <s v="Male"/>
    <x v="1"/>
    <s v="Shirt"/>
    <n v="73.540000000000006"/>
    <x v="0"/>
    <s v="Cash on Delivery"/>
    <n v="2.4"/>
    <n v="11"/>
    <n v="3"/>
    <n v="65.450600000000009"/>
    <x v="1"/>
    <x v="0"/>
    <s v="Returning"/>
  </r>
  <r>
    <n v="3942"/>
    <n v="63"/>
    <s v="Female"/>
    <x v="0"/>
    <s v="Handbag"/>
    <n v="83.01"/>
    <x v="3"/>
    <s v="Card"/>
    <n v="2.9"/>
    <n v="20"/>
    <n v="5"/>
    <n v="66.408000000000001"/>
    <x v="2"/>
    <x v="0"/>
    <s v="Returning"/>
  </r>
  <r>
    <n v="3943"/>
    <n v="42"/>
    <s v="Female"/>
    <x v="0"/>
    <s v="Wallet"/>
    <n v="136.71"/>
    <x v="2"/>
    <s v="Card"/>
    <n v="2.2999999999999998"/>
    <n v="16"/>
    <n v="3"/>
    <n v="114.8364"/>
    <x v="1"/>
    <x v="0"/>
    <s v="Returning"/>
  </r>
  <r>
    <n v="3944"/>
    <n v="46"/>
    <s v="Male"/>
    <x v="5"/>
    <s v="Smart Watch"/>
    <n v="1464.71"/>
    <x v="0"/>
    <s v="Card"/>
    <n v="2.2999999999999998"/>
    <n v="12"/>
    <n v="6"/>
    <n v="1288.9448"/>
    <x v="0"/>
    <x v="0"/>
    <s v="Returning"/>
  </r>
  <r>
    <n v="3945"/>
    <n v="69"/>
    <s v="Male"/>
    <x v="1"/>
    <s v="Jacket"/>
    <n v="173.52"/>
    <x v="3"/>
    <s v="Card"/>
    <n v="3.2"/>
    <n v="10"/>
    <n v="5"/>
    <n v="156.16800000000001"/>
    <x v="2"/>
    <x v="0"/>
    <s v="Returning"/>
  </r>
  <r>
    <n v="3946"/>
    <n v="49"/>
    <s v="Male"/>
    <x v="5"/>
    <s v="Headphones"/>
    <n v="1875.63"/>
    <x v="2"/>
    <s v="Card"/>
    <n v="3.5"/>
    <n v="18"/>
    <n v="4"/>
    <n v="1538.0166000000002"/>
    <x v="0"/>
    <x v="0"/>
    <s v="Returning"/>
  </r>
  <r>
    <n v="3947"/>
    <n v="36"/>
    <s v="Female"/>
    <x v="6"/>
    <s v="Skincare Kit"/>
    <n v="149.27000000000001"/>
    <x v="2"/>
    <s v="Card"/>
    <n v="3.2"/>
    <n v="6"/>
    <n v="3"/>
    <n v="140.31380000000001"/>
    <x v="1"/>
    <x v="0"/>
    <s v="Returning"/>
  </r>
  <r>
    <n v="3948"/>
    <n v="37"/>
    <s v="Female"/>
    <x v="7"/>
    <s v="Sandals"/>
    <n v="116.16"/>
    <x v="0"/>
    <s v="Card"/>
    <n v="4.7"/>
    <n v="20"/>
    <n v="5"/>
    <n v="92.927999999999997"/>
    <x v="1"/>
    <x v="0"/>
    <s v="Returning"/>
  </r>
  <r>
    <n v="3949"/>
    <n v="21"/>
    <s v="Female"/>
    <x v="0"/>
    <s v="Handbag"/>
    <n v="159.82"/>
    <x v="0"/>
    <s v="Card"/>
    <n v="3.9"/>
    <n v="4"/>
    <n v="2"/>
    <n v="153.4272"/>
    <x v="3"/>
    <x v="0"/>
    <s v="Returning"/>
  </r>
  <r>
    <n v="3950"/>
    <n v="70"/>
    <s v="Female"/>
    <x v="8"/>
    <s v="Top"/>
    <n v="53.66"/>
    <x v="3"/>
    <s v="Cash on Delivery"/>
    <n v="2.6"/>
    <n v="20"/>
    <n v="5"/>
    <n v="42.927999999999997"/>
    <x v="2"/>
    <x v="0"/>
    <s v="Returning"/>
  </r>
  <r>
    <n v="3951"/>
    <n v="40"/>
    <s v="Female"/>
    <x v="8"/>
    <s v="Skirt"/>
    <n v="180.23"/>
    <x v="1"/>
    <s v="Card"/>
    <n v="3.8"/>
    <n v="13"/>
    <n v="4"/>
    <n v="156.80009999999999"/>
    <x v="1"/>
    <x v="0"/>
    <s v="Returning"/>
  </r>
  <r>
    <n v="3952"/>
    <n v="65"/>
    <s v="Male"/>
    <x v="2"/>
    <s v="Dumbbells"/>
    <n v="177.72"/>
    <x v="2"/>
    <s v="Card"/>
    <n v="3.6"/>
    <n v="21"/>
    <n v="8"/>
    <n v="140.39879999999999"/>
    <x v="2"/>
    <x v="0"/>
    <s v="Returning"/>
  </r>
  <r>
    <n v="3953"/>
    <n v="65"/>
    <s v="Male"/>
    <x v="5"/>
    <s v="Smart Watch"/>
    <n v="2849.33"/>
    <x v="1"/>
    <s v="Card"/>
    <n v="4.5999999999999996"/>
    <n v="18"/>
    <n v="4"/>
    <n v="2336.4506000000001"/>
    <x v="2"/>
    <x v="0"/>
    <s v="Returning"/>
  </r>
  <r>
    <n v="3954"/>
    <n v="34"/>
    <s v="Male"/>
    <x v="4"/>
    <s v="Beverages"/>
    <n v="5.92"/>
    <x v="1"/>
    <s v="Card"/>
    <n v="4.2"/>
    <n v="15"/>
    <n v="5"/>
    <n v="5.032"/>
    <x v="4"/>
    <x v="0"/>
    <s v="Returning"/>
  </r>
  <r>
    <n v="3955"/>
    <n v="37"/>
    <s v="Male"/>
    <x v="2"/>
    <s v="Football"/>
    <n v="120"/>
    <x v="1"/>
    <s v="Card"/>
    <n v="2.8"/>
    <n v="15"/>
    <n v="5"/>
    <n v="102"/>
    <x v="1"/>
    <x v="0"/>
    <s v="Returning"/>
  </r>
  <r>
    <n v="3956"/>
    <n v="35"/>
    <s v="Male"/>
    <x v="7"/>
    <s v="Formal Shoes"/>
    <n v="151.72999999999999"/>
    <x v="3"/>
    <s v="Card"/>
    <n v="3.3"/>
    <n v="8"/>
    <n v="4"/>
    <n v="139.5916"/>
    <x v="4"/>
    <x v="0"/>
    <s v="Returning"/>
  </r>
  <r>
    <n v="3957"/>
    <n v="66"/>
    <s v="Male"/>
    <x v="1"/>
    <s v="T-Shirt"/>
    <n v="188.31"/>
    <x v="2"/>
    <s v="Card"/>
    <n v="5"/>
    <n v="6"/>
    <n v="3"/>
    <n v="177.01139999999998"/>
    <x v="2"/>
    <x v="0"/>
    <s v="Returning"/>
  </r>
  <r>
    <n v="3958"/>
    <n v="63"/>
    <s v="Female"/>
    <x v="3"/>
    <s v="Kitchen Set"/>
    <n v="96.14"/>
    <x v="1"/>
    <s v="Cash on Delivery"/>
    <n v="4.9000000000000004"/>
    <n v="24"/>
    <n v="7"/>
    <n v="73.066400000000002"/>
    <x v="2"/>
    <x v="0"/>
    <s v="Returning"/>
  </r>
  <r>
    <n v="3959"/>
    <n v="68"/>
    <s v="Female"/>
    <x v="2"/>
    <s v="Dumbbells"/>
    <n v="57.13"/>
    <x v="0"/>
    <s v="Cash on Delivery"/>
    <n v="3.9"/>
    <n v="18"/>
    <n v="9"/>
    <n v="46.846600000000002"/>
    <x v="2"/>
    <x v="0"/>
    <s v="Returning"/>
  </r>
  <r>
    <n v="3960"/>
    <n v="58"/>
    <s v="Male"/>
    <x v="3"/>
    <s v="Kitchen Set"/>
    <n v="53.9"/>
    <x v="2"/>
    <s v="Cash on Delivery"/>
    <n v="4.4000000000000004"/>
    <n v="24"/>
    <n v="7"/>
    <n v="40.963999999999999"/>
    <x v="0"/>
    <x v="0"/>
    <s v="Returning"/>
  </r>
  <r>
    <n v="3961"/>
    <n v="48"/>
    <s v="Female"/>
    <x v="8"/>
    <s v="Dress"/>
    <n v="108.03"/>
    <x v="1"/>
    <s v="Card"/>
    <n v="2.9"/>
    <n v="13"/>
    <n v="4"/>
    <n v="93.986100000000008"/>
    <x v="0"/>
    <x v="0"/>
    <s v="Returning"/>
  </r>
  <r>
    <n v="3962"/>
    <n v="33"/>
    <s v="Female"/>
    <x v="0"/>
    <s v="Handbag"/>
    <n v="37.950000000000003"/>
    <x v="2"/>
    <s v="Cash on Delivery"/>
    <n v="4.5"/>
    <n v="14"/>
    <n v="7"/>
    <n v="32.637"/>
    <x v="4"/>
    <x v="0"/>
    <s v="Returning"/>
  </r>
  <r>
    <n v="3963"/>
    <n v="61"/>
    <s v="Male"/>
    <x v="2"/>
    <s v="Dumbbells"/>
    <n v="105.24"/>
    <x v="3"/>
    <s v="Card"/>
    <n v="4.5999999999999996"/>
    <n v="12"/>
    <n v="6"/>
    <n v="92.611199999999997"/>
    <x v="2"/>
    <x v="0"/>
    <s v="Returning"/>
  </r>
  <r>
    <n v="3964"/>
    <n v="39"/>
    <s v="Male"/>
    <x v="5"/>
    <s v="Laptop"/>
    <n v="1041.0999999999999"/>
    <x v="2"/>
    <s v="Card"/>
    <n v="3.4"/>
    <n v="19"/>
    <n v="7"/>
    <n v="843.29099999999994"/>
    <x v="1"/>
    <x v="0"/>
    <s v="Returning"/>
  </r>
  <r>
    <n v="3965"/>
    <n v="41"/>
    <s v="Male"/>
    <x v="2"/>
    <s v="Dumbbells"/>
    <n v="171.63"/>
    <x v="2"/>
    <s v="Card"/>
    <n v="4.4000000000000004"/>
    <n v="16"/>
    <n v="3"/>
    <n v="144.16919999999999"/>
    <x v="1"/>
    <x v="0"/>
    <s v="Returning"/>
  </r>
  <r>
    <n v="3966"/>
    <n v="60"/>
    <s v="Female"/>
    <x v="7"/>
    <s v="Sneakers"/>
    <n v="234.84"/>
    <x v="3"/>
    <s v="Card"/>
    <n v="5"/>
    <n v="29"/>
    <n v="12"/>
    <n v="166.7364"/>
    <x v="0"/>
    <x v="0"/>
    <s v="Returning"/>
  </r>
  <r>
    <n v="3967"/>
    <n v="38"/>
    <s v="Female"/>
    <x v="7"/>
    <s v="Sandals"/>
    <n v="68.16"/>
    <x v="2"/>
    <s v="Card"/>
    <n v="4.3"/>
    <n v="22"/>
    <n v="6"/>
    <n v="53.1648"/>
    <x v="1"/>
    <x v="0"/>
    <s v="Returning"/>
  </r>
  <r>
    <n v="3968"/>
    <n v="21"/>
    <s v="Male"/>
    <x v="7"/>
    <s v="Formal Shoes"/>
    <n v="245.4"/>
    <x v="2"/>
    <s v="Card"/>
    <n v="3.9"/>
    <n v="4"/>
    <n v="2"/>
    <n v="235.584"/>
    <x v="3"/>
    <x v="0"/>
    <s v="Returning"/>
  </r>
  <r>
    <n v="3969"/>
    <n v="56"/>
    <s v="Female"/>
    <x v="6"/>
    <s v="Perfume"/>
    <n v="79.16"/>
    <x v="2"/>
    <s v="Cash on Delivery"/>
    <n v="3"/>
    <n v="9"/>
    <n v="2"/>
    <n v="72.035600000000002"/>
    <x v="0"/>
    <x v="0"/>
    <s v="Returning"/>
  </r>
  <r>
    <n v="3970"/>
    <n v="51"/>
    <s v="Female"/>
    <x v="7"/>
    <s v="Sandals"/>
    <n v="88.4"/>
    <x v="0"/>
    <s v="Cash on Delivery"/>
    <n v="4"/>
    <n v="6"/>
    <n v="3"/>
    <n v="83.096000000000004"/>
    <x v="0"/>
    <x v="0"/>
    <s v="Returning"/>
  </r>
  <r>
    <n v="3971"/>
    <n v="27"/>
    <s v="Female"/>
    <x v="3"/>
    <s v="Curtains"/>
    <n v="271.83999999999997"/>
    <x v="1"/>
    <s v="Card"/>
    <n v="3.5"/>
    <n v="12"/>
    <n v="6"/>
    <n v="239.21919999999997"/>
    <x v="4"/>
    <x v="0"/>
    <s v="Returning"/>
  </r>
  <r>
    <n v="3972"/>
    <n v="68"/>
    <s v="Female"/>
    <x v="0"/>
    <s v="Handbag"/>
    <n v="119.54"/>
    <x v="2"/>
    <s v="Card"/>
    <n v="3.8"/>
    <n v="4"/>
    <n v="2"/>
    <n v="114.75840000000001"/>
    <x v="2"/>
    <x v="0"/>
    <s v="Returning"/>
  </r>
  <r>
    <n v="3973"/>
    <n v="20"/>
    <s v="Male"/>
    <x v="7"/>
    <s v="Sneakers"/>
    <n v="99.98"/>
    <x v="0"/>
    <s v="Cash on Delivery"/>
    <n v="4.3"/>
    <n v="4"/>
    <n v="2"/>
    <n v="95.980800000000002"/>
    <x v="3"/>
    <x v="0"/>
    <s v="Returning"/>
  </r>
  <r>
    <n v="3974"/>
    <n v="51"/>
    <s v="Female"/>
    <x v="6"/>
    <s v="Perfume"/>
    <n v="98.45"/>
    <x v="2"/>
    <s v="Cash on Delivery"/>
    <n v="4"/>
    <n v="20"/>
    <n v="5"/>
    <n v="78.760000000000005"/>
    <x v="0"/>
    <x v="0"/>
    <s v="Returning"/>
  </r>
  <r>
    <n v="3975"/>
    <n v="52"/>
    <s v="Male"/>
    <x v="7"/>
    <s v="Formal Shoes"/>
    <n v="152.72"/>
    <x v="0"/>
    <s v="Card"/>
    <n v="3.6"/>
    <n v="19"/>
    <n v="7"/>
    <n v="123.70320000000001"/>
    <x v="0"/>
    <x v="0"/>
    <s v="Returning"/>
  </r>
  <r>
    <n v="3976"/>
    <n v="36"/>
    <s v="Male"/>
    <x v="7"/>
    <s v="Sandals"/>
    <n v="149.22999999999999"/>
    <x v="2"/>
    <s v="Card"/>
    <n v="4.2"/>
    <n v="13"/>
    <n v="4"/>
    <n v="129.83009999999999"/>
    <x v="1"/>
    <x v="0"/>
    <s v="Returning"/>
  </r>
  <r>
    <n v="3977"/>
    <n v="57"/>
    <s v="Female"/>
    <x v="7"/>
    <s v="Formal Shoes"/>
    <n v="222.63"/>
    <x v="0"/>
    <s v="Card"/>
    <n v="3.9"/>
    <n v="14"/>
    <n v="2"/>
    <n v="191.46179999999998"/>
    <x v="0"/>
    <x v="0"/>
    <s v="Returning"/>
  </r>
  <r>
    <n v="3978"/>
    <n v="60"/>
    <s v="Female"/>
    <x v="7"/>
    <s v="Sneakers"/>
    <n v="180.72"/>
    <x v="3"/>
    <s v="Card"/>
    <n v="3.7"/>
    <n v="4"/>
    <n v="2"/>
    <n v="173.49119999999999"/>
    <x v="0"/>
    <x v="0"/>
    <s v="Returning"/>
  </r>
  <r>
    <n v="3979"/>
    <n v="61"/>
    <s v="Male"/>
    <x v="7"/>
    <s v="Sandals"/>
    <n v="223.63"/>
    <x v="1"/>
    <s v="Card"/>
    <n v="2.4"/>
    <n v="10"/>
    <n v="5"/>
    <n v="201.267"/>
    <x v="2"/>
    <x v="0"/>
    <s v="Returning"/>
  </r>
  <r>
    <n v="3980"/>
    <n v="43"/>
    <s v="Male"/>
    <x v="5"/>
    <s v="Mobile Phone"/>
    <n v="2843.54"/>
    <x v="0"/>
    <s v="Card"/>
    <n v="4.7"/>
    <n v="12"/>
    <n v="6"/>
    <n v="2502.3152"/>
    <x v="1"/>
    <x v="0"/>
    <s v="Returning"/>
  </r>
  <r>
    <n v="3981"/>
    <n v="21"/>
    <s v="Male"/>
    <x v="2"/>
    <s v="Football"/>
    <n v="84.88"/>
    <x v="0"/>
    <s v="Cash on Delivery"/>
    <n v="3.5"/>
    <n v="12"/>
    <n v="6"/>
    <n v="74.694400000000002"/>
    <x v="3"/>
    <x v="0"/>
    <s v="Returning"/>
  </r>
  <r>
    <n v="3982"/>
    <n v="31"/>
    <s v="Male"/>
    <x v="5"/>
    <s v="Mobile Phone"/>
    <n v="2371.4899999999998"/>
    <x v="2"/>
    <s v="Card"/>
    <n v="4.5"/>
    <n v="8"/>
    <n v="4"/>
    <n v="2181.7707999999998"/>
    <x v="4"/>
    <x v="0"/>
    <s v="Returning"/>
  </r>
  <r>
    <n v="3983"/>
    <n v="62"/>
    <s v="Male"/>
    <x v="2"/>
    <s v="Dumbbells"/>
    <n v="150.02000000000001"/>
    <x v="0"/>
    <s v="Card"/>
    <n v="3.8"/>
    <n v="20"/>
    <n v="10"/>
    <n v="120.01600000000002"/>
    <x v="2"/>
    <x v="0"/>
    <s v="Returning"/>
  </r>
  <r>
    <n v="3984"/>
    <n v="63"/>
    <s v="Male"/>
    <x v="1"/>
    <s v="Jeans"/>
    <n v="136.77000000000001"/>
    <x v="2"/>
    <s v="Card"/>
    <n v="4.5"/>
    <n v="14"/>
    <n v="2"/>
    <n v="117.62220000000001"/>
    <x v="2"/>
    <x v="0"/>
    <s v="Returning"/>
  </r>
  <r>
    <n v="3985"/>
    <n v="66"/>
    <s v="Male"/>
    <x v="5"/>
    <s v="Smart Watch"/>
    <n v="2709.03"/>
    <x v="3"/>
    <s v="Card"/>
    <n v="2"/>
    <n v="20"/>
    <n v="10"/>
    <n v="2167.2240000000002"/>
    <x v="2"/>
    <x v="0"/>
    <s v="Returning"/>
  </r>
  <r>
    <n v="3986"/>
    <n v="31"/>
    <s v="Female"/>
    <x v="8"/>
    <s v="Skirt"/>
    <n v="147.94999999999999"/>
    <x v="1"/>
    <s v="Card"/>
    <n v="3.5"/>
    <n v="17"/>
    <n v="6"/>
    <n v="122.79849999999999"/>
    <x v="4"/>
    <x v="0"/>
    <s v="Returning"/>
  </r>
  <r>
    <n v="3987"/>
    <n v="42"/>
    <s v="Male"/>
    <x v="2"/>
    <s v="Football"/>
    <n v="114.5"/>
    <x v="1"/>
    <s v="Card"/>
    <n v="2.8"/>
    <n v="14"/>
    <n v="2"/>
    <n v="98.47"/>
    <x v="1"/>
    <x v="0"/>
    <s v="Returning"/>
  </r>
  <r>
    <n v="3988"/>
    <n v="34"/>
    <s v="Male"/>
    <x v="2"/>
    <s v="Dumbbells"/>
    <n v="238.61"/>
    <x v="3"/>
    <s v="Card"/>
    <n v="3.9"/>
    <n v="11"/>
    <n v="3"/>
    <n v="212.36290000000002"/>
    <x v="4"/>
    <x v="0"/>
    <s v="Returning"/>
  </r>
  <r>
    <n v="3989"/>
    <n v="61"/>
    <s v="Male"/>
    <x v="5"/>
    <s v="Mobile Phone"/>
    <n v="2513.3200000000002"/>
    <x v="2"/>
    <s v="Card"/>
    <n v="3.6"/>
    <n v="6"/>
    <n v="3"/>
    <n v="2362.5208000000002"/>
    <x v="2"/>
    <x v="0"/>
    <s v="Returning"/>
  </r>
  <r>
    <n v="3990"/>
    <n v="47"/>
    <s v="Male"/>
    <x v="2"/>
    <s v="Yoga Mat"/>
    <n v="221.85"/>
    <x v="1"/>
    <s v="Card"/>
    <n v="4.4000000000000004"/>
    <n v="16"/>
    <n v="3"/>
    <n v="186.35399999999998"/>
    <x v="0"/>
    <x v="0"/>
    <s v="Returning"/>
  </r>
  <r>
    <n v="3991"/>
    <n v="39"/>
    <s v="Male"/>
    <x v="7"/>
    <s v="Sneakers"/>
    <n v="217.91"/>
    <x v="1"/>
    <s v="Card"/>
    <n v="3"/>
    <n v="20"/>
    <n v="5"/>
    <n v="174.328"/>
    <x v="1"/>
    <x v="0"/>
    <s v="Returning"/>
  </r>
  <r>
    <n v="3992"/>
    <n v="29"/>
    <s v="Male"/>
    <x v="7"/>
    <s v="Sneakers"/>
    <n v="88.9"/>
    <x v="3"/>
    <s v="Cash on Delivery"/>
    <n v="2.8"/>
    <n v="15"/>
    <n v="5"/>
    <n v="75.564999999999998"/>
    <x v="4"/>
    <x v="0"/>
    <s v="Returning"/>
  </r>
  <r>
    <n v="3993"/>
    <n v="49"/>
    <s v="Female"/>
    <x v="3"/>
    <s v="Curtains"/>
    <n v="248.98"/>
    <x v="1"/>
    <s v="Card"/>
    <n v="3.8"/>
    <n v="23"/>
    <n v="9"/>
    <n v="191.71459999999999"/>
    <x v="0"/>
    <x v="0"/>
    <s v="Returning"/>
  </r>
  <r>
    <n v="3994"/>
    <n v="28"/>
    <s v="Female"/>
    <x v="3"/>
    <s v="Curtains"/>
    <n v="225.31"/>
    <x v="2"/>
    <s v="Card"/>
    <n v="3.9"/>
    <n v="10"/>
    <n v="5"/>
    <n v="202.779"/>
    <x v="4"/>
    <x v="0"/>
    <s v="Returning"/>
  </r>
  <r>
    <n v="3995"/>
    <n v="23"/>
    <s v="Female"/>
    <x v="0"/>
    <s v="Handbag"/>
    <n v="163.88"/>
    <x v="1"/>
    <s v="Card"/>
    <n v="4.7"/>
    <n v="12"/>
    <n v="6"/>
    <n v="144.21439999999998"/>
    <x v="3"/>
    <x v="0"/>
    <s v="Returning"/>
  </r>
  <r>
    <n v="3996"/>
    <n v="28"/>
    <s v="Female"/>
    <x v="0"/>
    <s v="Handbag"/>
    <n v="139.87"/>
    <x v="3"/>
    <s v="Card"/>
    <n v="4.8"/>
    <n v="15"/>
    <n v="5"/>
    <n v="118.8895"/>
    <x v="4"/>
    <x v="0"/>
    <s v="Returning"/>
  </r>
  <r>
    <n v="3997"/>
    <n v="67"/>
    <s v="Female"/>
    <x v="0"/>
    <s v="Handbag"/>
    <n v="133.21"/>
    <x v="3"/>
    <s v="Card"/>
    <n v="4.5999999999999996"/>
    <n v="12"/>
    <n v="6"/>
    <n v="117.2248"/>
    <x v="2"/>
    <x v="0"/>
    <s v="Returning"/>
  </r>
  <r>
    <n v="3998"/>
    <n v="63"/>
    <s v="Female"/>
    <x v="0"/>
    <s v="Handbag"/>
    <n v="138.94"/>
    <x v="3"/>
    <s v="Card"/>
    <n v="3.8"/>
    <n v="18"/>
    <n v="9"/>
    <n v="113.9308"/>
    <x v="2"/>
    <x v="0"/>
    <s v="Returning"/>
  </r>
  <r>
    <n v="3999"/>
    <n v="38"/>
    <s v="Female"/>
    <x v="2"/>
    <s v="Dumbbells"/>
    <n v="52.35"/>
    <x v="1"/>
    <s v="Card"/>
    <n v="4.0999999999999996"/>
    <n v="21"/>
    <n v="8"/>
    <n v="41.356500000000004"/>
    <x v="1"/>
    <x v="0"/>
    <s v="Returning"/>
  </r>
  <r>
    <n v="4000"/>
    <n v="41"/>
    <s v="Male"/>
    <x v="1"/>
    <s v="Jeans"/>
    <n v="36.25"/>
    <x v="0"/>
    <s v="Cash on Delivery"/>
    <n v="4.5999999999999996"/>
    <n v="18"/>
    <n v="4"/>
    <n v="29.725000000000001"/>
    <x v="1"/>
    <x v="0"/>
    <s v="Returning"/>
  </r>
  <r>
    <n v="4001"/>
    <n v="50"/>
    <s v="Male"/>
    <x v="1"/>
    <s v="T-Shirt"/>
    <n v="96.94"/>
    <x v="3"/>
    <s v="Cash on Delivery"/>
    <n v="3.6"/>
    <n v="6"/>
    <n v="3"/>
    <n v="91.123599999999996"/>
    <x v="0"/>
    <x v="0"/>
    <s v="Returning"/>
  </r>
  <r>
    <n v="4002"/>
    <n v="65"/>
    <s v="Female"/>
    <x v="8"/>
    <s v="Jeans"/>
    <n v="170.25"/>
    <x v="0"/>
    <s v="Card"/>
    <n v="4.7"/>
    <n v="26"/>
    <n v="8"/>
    <n v="125.985"/>
    <x v="2"/>
    <x v="0"/>
    <s v="Returning"/>
  </r>
  <r>
    <n v="4003"/>
    <n v="49"/>
    <s v="Male"/>
    <x v="2"/>
    <s v="Dumbbells"/>
    <n v="190.85"/>
    <x v="1"/>
    <s v="Card"/>
    <n v="4"/>
    <n v="14"/>
    <n v="7"/>
    <n v="164.131"/>
    <x v="0"/>
    <x v="0"/>
    <s v="Returning"/>
  </r>
  <r>
    <n v="4004"/>
    <n v="41"/>
    <s v="Male"/>
    <x v="1"/>
    <s v="Shirt"/>
    <n v="106.08"/>
    <x v="0"/>
    <s v="Card"/>
    <n v="4.0999999999999996"/>
    <n v="9"/>
    <n v="2"/>
    <n v="96.532800000000009"/>
    <x v="1"/>
    <x v="0"/>
    <s v="Returning"/>
  </r>
  <r>
    <n v="4005"/>
    <n v="24"/>
    <s v="Female"/>
    <x v="6"/>
    <s v="Makeup Set"/>
    <n v="124.83"/>
    <x v="2"/>
    <s v="Card"/>
    <n v="2.6"/>
    <n v="12"/>
    <n v="1"/>
    <n v="109.85039999999999"/>
    <x v="3"/>
    <x v="0"/>
    <s v="Returning"/>
  </r>
  <r>
    <n v="4006"/>
    <n v="27"/>
    <s v="Female"/>
    <x v="6"/>
    <s v="Skincare Kit"/>
    <n v="140.07"/>
    <x v="3"/>
    <s v="Card"/>
    <n v="3.2"/>
    <n v="11"/>
    <n v="3"/>
    <n v="124.6623"/>
    <x v="4"/>
    <x v="0"/>
    <s v="Returning"/>
  </r>
  <r>
    <n v="4007"/>
    <n v="50"/>
    <s v="Female"/>
    <x v="4"/>
    <s v="Snacks"/>
    <n v="72.930000000000007"/>
    <x v="2"/>
    <s v="Cash on Delivery"/>
    <n v="3.8"/>
    <n v="10"/>
    <n v="5"/>
    <n v="65.637000000000015"/>
    <x v="0"/>
    <x v="0"/>
    <s v="Returning"/>
  </r>
  <r>
    <n v="4008"/>
    <n v="36"/>
    <s v="Female"/>
    <x v="6"/>
    <s v="Makeup Set"/>
    <n v="122.19"/>
    <x v="2"/>
    <s v="Card"/>
    <n v="3.8"/>
    <n v="12"/>
    <n v="6"/>
    <n v="107.52719999999999"/>
    <x v="1"/>
    <x v="0"/>
    <s v="Returning"/>
  </r>
  <r>
    <n v="4009"/>
    <n v="52"/>
    <s v="Male"/>
    <x v="5"/>
    <s v="Smart Watch"/>
    <n v="1169.3900000000001"/>
    <x v="3"/>
    <s v="Card"/>
    <n v="3"/>
    <n v="20"/>
    <n v="10"/>
    <n v="935.51200000000017"/>
    <x v="0"/>
    <x v="0"/>
    <s v="Returning"/>
  </r>
  <r>
    <n v="4010"/>
    <n v="66"/>
    <s v="Female"/>
    <x v="2"/>
    <s v="Football"/>
    <n v="195.24"/>
    <x v="2"/>
    <s v="Card"/>
    <n v="5"/>
    <n v="18"/>
    <n v="4"/>
    <n v="160.09680000000003"/>
    <x v="2"/>
    <x v="0"/>
    <s v="Returning"/>
  </r>
  <r>
    <n v="4011"/>
    <n v="70"/>
    <s v="Female"/>
    <x v="8"/>
    <s v="Skirt"/>
    <n v="199.98"/>
    <x v="1"/>
    <s v="Card"/>
    <n v="4"/>
    <n v="13"/>
    <n v="4"/>
    <n v="173.98259999999999"/>
    <x v="2"/>
    <x v="0"/>
    <s v="Returning"/>
  </r>
  <r>
    <n v="4012"/>
    <n v="44"/>
    <s v="Female"/>
    <x v="8"/>
    <s v="Skirt"/>
    <n v="81.96"/>
    <x v="0"/>
    <s v="Cash on Delivery"/>
    <n v="2.7"/>
    <n v="10"/>
    <n v="5"/>
    <n v="73.763999999999996"/>
    <x v="1"/>
    <x v="0"/>
    <s v="Returning"/>
  </r>
  <r>
    <n v="4013"/>
    <n v="64"/>
    <s v="Female"/>
    <x v="8"/>
    <s v="Top"/>
    <n v="168.24"/>
    <x v="2"/>
    <s v="Card"/>
    <n v="3.1"/>
    <n v="4"/>
    <n v="2"/>
    <n v="161.5104"/>
    <x v="2"/>
    <x v="0"/>
    <s v="Returning"/>
  </r>
  <r>
    <n v="4014"/>
    <n v="37"/>
    <s v="Female"/>
    <x v="6"/>
    <s v="Perfume"/>
    <n v="38"/>
    <x v="0"/>
    <s v="Card"/>
    <n v="4"/>
    <n v="16"/>
    <n v="8"/>
    <n v="31.919999999999998"/>
    <x v="1"/>
    <x v="0"/>
    <s v="Returning"/>
  </r>
  <r>
    <n v="4015"/>
    <n v="36"/>
    <s v="Male"/>
    <x v="2"/>
    <s v="Football"/>
    <n v="37.32"/>
    <x v="2"/>
    <s v="Card"/>
    <n v="5"/>
    <n v="23"/>
    <n v="9"/>
    <n v="28.7364"/>
    <x v="1"/>
    <x v="0"/>
    <s v="Returning"/>
  </r>
  <r>
    <n v="4016"/>
    <n v="58"/>
    <s v="Female"/>
    <x v="0"/>
    <s v="Wallet"/>
    <n v="152.99"/>
    <x v="3"/>
    <s v="Card"/>
    <n v="3.2"/>
    <n v="17"/>
    <n v="6"/>
    <n v="126.9817"/>
    <x v="0"/>
    <x v="0"/>
    <s v="Returning"/>
  </r>
  <r>
    <n v="4017"/>
    <n v="65"/>
    <s v="Female"/>
    <x v="0"/>
    <s v="Wallet"/>
    <n v="88.31"/>
    <x v="0"/>
    <s v="Card"/>
    <n v="3.8"/>
    <n v="18"/>
    <n v="4"/>
    <n v="72.414200000000008"/>
    <x v="2"/>
    <x v="0"/>
    <s v="Returning"/>
  </r>
  <r>
    <n v="4018"/>
    <n v="35"/>
    <s v="Male"/>
    <x v="1"/>
    <s v="Shirt"/>
    <n v="49.5"/>
    <x v="1"/>
    <s v="Cash on Delivery"/>
    <n v="4.5999999999999996"/>
    <n v="18"/>
    <n v="4"/>
    <n v="40.590000000000003"/>
    <x v="4"/>
    <x v="0"/>
    <s v="Returning"/>
  </r>
  <r>
    <n v="4019"/>
    <n v="41"/>
    <s v="Male"/>
    <x v="2"/>
    <s v="Football"/>
    <n v="201"/>
    <x v="3"/>
    <s v="Card"/>
    <n v="4.5999999999999996"/>
    <n v="4"/>
    <n v="2"/>
    <n v="192.95999999999998"/>
    <x v="1"/>
    <x v="0"/>
    <s v="Returning"/>
  </r>
  <r>
    <n v="4020"/>
    <n v="52"/>
    <s v="Female"/>
    <x v="0"/>
    <s v="Wallet"/>
    <n v="85.67"/>
    <x v="3"/>
    <s v="Cash on Delivery"/>
    <n v="2.7"/>
    <n v="8"/>
    <n v="4"/>
    <n v="78.816400000000002"/>
    <x v="0"/>
    <x v="0"/>
    <s v="Returning"/>
  </r>
  <r>
    <n v="4021"/>
    <n v="41"/>
    <s v="Male"/>
    <x v="4"/>
    <s v="Snacks"/>
    <n v="35.58"/>
    <x v="2"/>
    <s v="Card"/>
    <n v="4.4000000000000004"/>
    <n v="24"/>
    <n v="7"/>
    <n v="27.040799999999997"/>
    <x v="1"/>
    <x v="0"/>
    <s v="Returning"/>
  </r>
  <r>
    <n v="4022"/>
    <n v="28"/>
    <s v="Female"/>
    <x v="6"/>
    <s v="Skincare Kit"/>
    <n v="132.91"/>
    <x v="1"/>
    <s v="Card"/>
    <n v="3.4"/>
    <n v="10"/>
    <n v="5"/>
    <n v="119.619"/>
    <x v="4"/>
    <x v="0"/>
    <s v="Returning"/>
  </r>
  <r>
    <n v="4023"/>
    <n v="54"/>
    <s v="Female"/>
    <x v="8"/>
    <s v="Jeans"/>
    <n v="41.9"/>
    <x v="1"/>
    <s v="Cash on Delivery"/>
    <n v="3.3"/>
    <n v="14"/>
    <n v="2"/>
    <n v="36.033999999999999"/>
    <x v="0"/>
    <x v="0"/>
    <s v="Returning"/>
  </r>
  <r>
    <n v="4024"/>
    <n v="62"/>
    <s v="Male"/>
    <x v="7"/>
    <s v="Formal Shoes"/>
    <n v="237.74"/>
    <x v="1"/>
    <s v="Card"/>
    <n v="3.1"/>
    <n v="16"/>
    <n v="8"/>
    <n v="199.70160000000001"/>
    <x v="2"/>
    <x v="0"/>
    <s v="Returning"/>
  </r>
  <r>
    <n v="4025"/>
    <n v="66"/>
    <s v="Female"/>
    <x v="6"/>
    <s v="Skincare Kit"/>
    <n v="66.59"/>
    <x v="0"/>
    <s v="Card"/>
    <n v="3.4"/>
    <n v="22"/>
    <n v="6"/>
    <n v="51.940200000000004"/>
    <x v="2"/>
    <x v="0"/>
    <s v="Returning"/>
  </r>
  <r>
    <n v="4026"/>
    <n v="35"/>
    <s v="Female"/>
    <x v="2"/>
    <s v="Dumbbells"/>
    <n v="127.31"/>
    <x v="0"/>
    <s v="Card"/>
    <n v="3.1"/>
    <n v="17"/>
    <n v="6"/>
    <n v="105.6673"/>
    <x v="4"/>
    <x v="0"/>
    <s v="Returning"/>
  </r>
  <r>
    <n v="4027"/>
    <n v="59"/>
    <s v="Female"/>
    <x v="3"/>
    <s v="Curtains"/>
    <n v="123.5"/>
    <x v="3"/>
    <s v="Card"/>
    <n v="3.3"/>
    <n v="22"/>
    <n v="11"/>
    <n v="96.33"/>
    <x v="0"/>
    <x v="0"/>
    <s v="Returning"/>
  </r>
  <r>
    <n v="4028"/>
    <n v="65"/>
    <s v="Female"/>
    <x v="7"/>
    <s v="Sandals"/>
    <n v="187.64"/>
    <x v="3"/>
    <s v="Card"/>
    <n v="4.0999999999999996"/>
    <n v="26"/>
    <n v="8"/>
    <n v="138.8536"/>
    <x v="2"/>
    <x v="0"/>
    <s v="Returning"/>
  </r>
  <r>
    <n v="4029"/>
    <n v="33"/>
    <s v="Male"/>
    <x v="7"/>
    <s v="Sneakers"/>
    <n v="156.02000000000001"/>
    <x v="1"/>
    <s v="Card"/>
    <n v="4.5999999999999996"/>
    <n v="13"/>
    <n v="4"/>
    <n v="135.73740000000001"/>
    <x v="4"/>
    <x v="0"/>
    <s v="Returning"/>
  </r>
  <r>
    <n v="4030"/>
    <n v="37"/>
    <s v="Female"/>
    <x v="6"/>
    <s v="Perfume"/>
    <n v="21.66"/>
    <x v="2"/>
    <s v="Card"/>
    <n v="2.9"/>
    <n v="10"/>
    <n v="5"/>
    <n v="19.494"/>
    <x v="1"/>
    <x v="0"/>
    <s v="Returning"/>
  </r>
  <r>
    <n v="4031"/>
    <n v="66"/>
    <s v="Female"/>
    <x v="0"/>
    <s v="Sunglasses"/>
    <n v="155.30000000000001"/>
    <x v="0"/>
    <s v="Card"/>
    <n v="2.8"/>
    <n v="10"/>
    <n v="5"/>
    <n v="139.77000000000001"/>
    <x v="2"/>
    <x v="0"/>
    <s v="Returning"/>
  </r>
  <r>
    <n v="4032"/>
    <n v="62"/>
    <s v="Female"/>
    <x v="7"/>
    <s v="Sneakers"/>
    <n v="112.89"/>
    <x v="1"/>
    <s v="Card"/>
    <n v="3.8"/>
    <n v="20"/>
    <n v="10"/>
    <n v="90.312000000000012"/>
    <x v="2"/>
    <x v="0"/>
    <s v="Returning"/>
  </r>
  <r>
    <n v="4033"/>
    <n v="22"/>
    <s v="Female"/>
    <x v="0"/>
    <s v="Handbag"/>
    <n v="66.64"/>
    <x v="2"/>
    <s v="Cash on Delivery"/>
    <n v="3"/>
    <n v="15"/>
    <n v="5"/>
    <n v="56.643999999999998"/>
    <x v="3"/>
    <x v="0"/>
    <s v="Returning"/>
  </r>
  <r>
    <n v="4034"/>
    <n v="29"/>
    <s v="Male"/>
    <x v="7"/>
    <s v="Sandals"/>
    <n v="139.43"/>
    <x v="1"/>
    <s v="Card"/>
    <n v="3.3"/>
    <n v="13"/>
    <n v="4"/>
    <n v="121.30410000000001"/>
    <x v="4"/>
    <x v="0"/>
    <s v="Returning"/>
  </r>
  <r>
    <n v="4035"/>
    <n v="52"/>
    <s v="Female"/>
    <x v="6"/>
    <s v="Skincare Kit"/>
    <n v="106.44"/>
    <x v="3"/>
    <s v="Card"/>
    <n v="4.5"/>
    <n v="18"/>
    <n v="4"/>
    <n v="87.280799999999999"/>
    <x v="0"/>
    <x v="0"/>
    <s v="Returning"/>
  </r>
  <r>
    <n v="4036"/>
    <n v="47"/>
    <s v="Female"/>
    <x v="8"/>
    <s v="Top"/>
    <n v="79.709999999999994"/>
    <x v="0"/>
    <s v="Cash on Delivery"/>
    <n v="3.3"/>
    <n v="6"/>
    <n v="3"/>
    <n v="74.927399999999992"/>
    <x v="0"/>
    <x v="0"/>
    <s v="Returning"/>
  </r>
  <r>
    <n v="4037"/>
    <n v="67"/>
    <s v="Male"/>
    <x v="1"/>
    <s v="T-Shirt"/>
    <n v="188.64"/>
    <x v="2"/>
    <s v="Card"/>
    <n v="4.5"/>
    <n v="20"/>
    <n v="5"/>
    <n v="150.91200000000001"/>
    <x v="2"/>
    <x v="0"/>
    <s v="Returning"/>
  </r>
  <r>
    <n v="4038"/>
    <n v="34"/>
    <s v="Male"/>
    <x v="3"/>
    <s v="Kitchen Set"/>
    <n v="136.71"/>
    <x v="2"/>
    <s v="Card"/>
    <n v="4"/>
    <n v="14"/>
    <n v="7"/>
    <n v="117.5706"/>
    <x v="4"/>
    <x v="0"/>
    <s v="Returning"/>
  </r>
  <r>
    <n v="4039"/>
    <n v="42"/>
    <s v="Female"/>
    <x v="7"/>
    <s v="Formal Shoes"/>
    <n v="211.73"/>
    <x v="2"/>
    <s v="Card"/>
    <n v="4.5999999999999996"/>
    <n v="17"/>
    <n v="6"/>
    <n v="175.73589999999999"/>
    <x v="1"/>
    <x v="0"/>
    <s v="Returning"/>
  </r>
  <r>
    <n v="4040"/>
    <n v="51"/>
    <s v="Female"/>
    <x v="6"/>
    <s v="Skincare Kit"/>
    <n v="86.9"/>
    <x v="3"/>
    <s v="Card"/>
    <n v="4"/>
    <n v="16"/>
    <n v="8"/>
    <n v="72.995999999999995"/>
    <x v="0"/>
    <x v="0"/>
    <s v="Returning"/>
  </r>
  <r>
    <n v="4041"/>
    <n v="51"/>
    <s v="Female"/>
    <x v="7"/>
    <s v="Sneakers"/>
    <n v="80.319999999999993"/>
    <x v="3"/>
    <s v="Cash on Delivery"/>
    <n v="4"/>
    <n v="25"/>
    <n v="10"/>
    <n v="60.239999999999995"/>
    <x v="0"/>
    <x v="0"/>
    <s v="Returning"/>
  </r>
  <r>
    <n v="4042"/>
    <n v="50"/>
    <s v="Female"/>
    <x v="8"/>
    <s v="Dress"/>
    <n v="110.41"/>
    <x v="2"/>
    <s v="Card"/>
    <n v="3"/>
    <n v="17"/>
    <n v="6"/>
    <n v="91.640299999999996"/>
    <x v="0"/>
    <x v="0"/>
    <s v="Returning"/>
  </r>
  <r>
    <n v="4043"/>
    <n v="62"/>
    <s v="Female"/>
    <x v="0"/>
    <s v="Wallet"/>
    <n v="173.41"/>
    <x v="2"/>
    <s v="Card"/>
    <n v="3.9"/>
    <n v="13"/>
    <n v="4"/>
    <n v="150.86670000000001"/>
    <x v="2"/>
    <x v="0"/>
    <s v="Returning"/>
  </r>
  <r>
    <n v="4044"/>
    <n v="41"/>
    <s v="Male"/>
    <x v="7"/>
    <s v="Formal Shoes"/>
    <n v="227.74"/>
    <x v="2"/>
    <s v="Card"/>
    <n v="3.6"/>
    <n v="8"/>
    <n v="4"/>
    <n v="209.52080000000001"/>
    <x v="1"/>
    <x v="0"/>
    <s v="Returning"/>
  </r>
  <r>
    <n v="4045"/>
    <n v="59"/>
    <s v="Male"/>
    <x v="2"/>
    <s v="Yoga Mat"/>
    <n v="63.64"/>
    <x v="2"/>
    <s v="Cash on Delivery"/>
    <n v="3.9"/>
    <n v="22"/>
    <n v="6"/>
    <n v="49.639200000000002"/>
    <x v="0"/>
    <x v="0"/>
    <s v="Returning"/>
  </r>
  <r>
    <n v="4046"/>
    <n v="39"/>
    <s v="Male"/>
    <x v="5"/>
    <s v="Headphones"/>
    <n v="2936.44"/>
    <x v="1"/>
    <s v="Card"/>
    <n v="4.3"/>
    <n v="9"/>
    <n v="2"/>
    <n v="2672.1604000000002"/>
    <x v="1"/>
    <x v="0"/>
    <s v="Returning"/>
  </r>
  <r>
    <n v="4047"/>
    <n v="48"/>
    <s v="Female"/>
    <x v="8"/>
    <s v="Dress"/>
    <n v="85.77"/>
    <x v="0"/>
    <s v="Cash on Delivery"/>
    <n v="4.2"/>
    <n v="15"/>
    <n v="5"/>
    <n v="72.904499999999999"/>
    <x v="0"/>
    <x v="0"/>
    <s v="Returning"/>
  </r>
  <r>
    <n v="4048"/>
    <n v="42"/>
    <s v="Female"/>
    <x v="8"/>
    <s v="Jeans"/>
    <n v="149.1"/>
    <x v="2"/>
    <s v="Card"/>
    <n v="4.5999999999999996"/>
    <n v="32"/>
    <n v="11"/>
    <n v="101.38799999999999"/>
    <x v="1"/>
    <x v="0"/>
    <s v="Returning"/>
  </r>
  <r>
    <n v="4049"/>
    <n v="54"/>
    <s v="Male"/>
    <x v="2"/>
    <s v="Football"/>
    <n v="231.13"/>
    <x v="3"/>
    <s v="Card"/>
    <n v="4.5999999999999996"/>
    <n v="21"/>
    <n v="8"/>
    <n v="182.59270000000001"/>
    <x v="0"/>
    <x v="0"/>
    <s v="Returning"/>
  </r>
  <r>
    <n v="4050"/>
    <n v="36"/>
    <s v="Male"/>
    <x v="2"/>
    <s v="Yoga Mat"/>
    <n v="193.53"/>
    <x v="0"/>
    <s v="Card"/>
    <n v="2.2000000000000002"/>
    <n v="10"/>
    <n v="5"/>
    <n v="174.17699999999999"/>
    <x v="1"/>
    <x v="0"/>
    <s v="Returning"/>
  </r>
  <r>
    <n v="4051"/>
    <n v="30"/>
    <s v="Male"/>
    <x v="1"/>
    <s v="Jeans"/>
    <n v="47.15"/>
    <x v="0"/>
    <s v="Cash on Delivery"/>
    <n v="4.9000000000000004"/>
    <n v="24"/>
    <n v="7"/>
    <n v="35.833999999999996"/>
    <x v="4"/>
    <x v="0"/>
    <s v="Returning"/>
  </r>
  <r>
    <n v="4052"/>
    <n v="38"/>
    <s v="Male"/>
    <x v="5"/>
    <s v="Laptop"/>
    <n v="824.08"/>
    <x v="1"/>
    <s v="Card"/>
    <n v="4.9000000000000004"/>
    <n v="12"/>
    <n v="6"/>
    <n v="725.19040000000007"/>
    <x v="1"/>
    <x v="0"/>
    <s v="Returning"/>
  </r>
  <r>
    <n v="4053"/>
    <n v="47"/>
    <s v="Female"/>
    <x v="8"/>
    <s v="Top"/>
    <n v="86.68"/>
    <x v="0"/>
    <s v="Card"/>
    <n v="4.9000000000000004"/>
    <n v="16"/>
    <n v="3"/>
    <n v="72.811199999999999"/>
    <x v="0"/>
    <x v="0"/>
    <s v="Returning"/>
  </r>
  <r>
    <n v="4054"/>
    <n v="37"/>
    <s v="Male"/>
    <x v="2"/>
    <s v="Dumbbells"/>
    <n v="218.43"/>
    <x v="0"/>
    <s v="Card"/>
    <n v="4.0999999999999996"/>
    <n v="20"/>
    <n v="5"/>
    <n v="174.74400000000003"/>
    <x v="1"/>
    <x v="0"/>
    <s v="Returning"/>
  </r>
  <r>
    <n v="4055"/>
    <n v="68"/>
    <s v="Male"/>
    <x v="4"/>
    <s v="Rice Pack"/>
    <n v="21.72"/>
    <x v="2"/>
    <s v="Cash on Delivery"/>
    <n v="3.1"/>
    <n v="18"/>
    <n v="4"/>
    <n v="17.810400000000001"/>
    <x v="2"/>
    <x v="0"/>
    <s v="Returning"/>
  </r>
  <r>
    <n v="4056"/>
    <n v="21"/>
    <s v="Female"/>
    <x v="6"/>
    <s v="Perfume"/>
    <n v="23.57"/>
    <x v="3"/>
    <s v="Cash on Delivery"/>
    <n v="4.3"/>
    <n v="22"/>
    <n v="6"/>
    <n v="18.384600000000002"/>
    <x v="3"/>
    <x v="0"/>
    <s v="Returning"/>
  </r>
  <r>
    <n v="4057"/>
    <n v="70"/>
    <s v="Male"/>
    <x v="3"/>
    <s v="Curtains"/>
    <n v="177.36"/>
    <x v="0"/>
    <s v="Card"/>
    <n v="3.2"/>
    <n v="22"/>
    <n v="6"/>
    <n v="138.3408"/>
    <x v="2"/>
    <x v="0"/>
    <s v="Returning"/>
  </r>
  <r>
    <n v="4058"/>
    <n v="49"/>
    <s v="Female"/>
    <x v="8"/>
    <s v="Dress"/>
    <n v="125.76"/>
    <x v="1"/>
    <s v="Card"/>
    <n v="3.6"/>
    <n v="16"/>
    <n v="3"/>
    <n v="105.6384"/>
    <x v="0"/>
    <x v="0"/>
    <s v="Returning"/>
  </r>
  <r>
    <n v="4059"/>
    <n v="70"/>
    <s v="Male"/>
    <x v="3"/>
    <s v="Curtains"/>
    <n v="118.9"/>
    <x v="0"/>
    <s v="Card"/>
    <n v="4.5"/>
    <n v="8"/>
    <n v="4"/>
    <n v="109.38800000000001"/>
    <x v="2"/>
    <x v="0"/>
    <s v="Returning"/>
  </r>
  <r>
    <n v="4060"/>
    <n v="60"/>
    <s v="Male"/>
    <x v="2"/>
    <s v="Yoga Mat"/>
    <n v="103.3"/>
    <x v="2"/>
    <s v="Card"/>
    <n v="3.2"/>
    <n v="26"/>
    <n v="8"/>
    <n v="76.441999999999993"/>
    <x v="0"/>
    <x v="0"/>
    <s v="Returning"/>
  </r>
  <r>
    <n v="4061"/>
    <n v="22"/>
    <s v="Female"/>
    <x v="8"/>
    <s v="Skirt"/>
    <n v="34.979999999999997"/>
    <x v="1"/>
    <s v="Card"/>
    <n v="3.9"/>
    <n v="4"/>
    <n v="2"/>
    <n v="33.580799999999996"/>
    <x v="3"/>
    <x v="0"/>
    <s v="Returning"/>
  </r>
  <r>
    <n v="4062"/>
    <n v="44"/>
    <s v="Male"/>
    <x v="1"/>
    <s v="Jacket"/>
    <n v="193.69"/>
    <x v="3"/>
    <s v="Card"/>
    <n v="2.8"/>
    <n v="17"/>
    <n v="6"/>
    <n v="160.7627"/>
    <x v="1"/>
    <x v="0"/>
    <s v="Returning"/>
  </r>
  <r>
    <n v="4063"/>
    <n v="29"/>
    <s v="Male"/>
    <x v="2"/>
    <s v="Dumbbells"/>
    <n v="40.36"/>
    <x v="2"/>
    <s v="Cash on Delivery"/>
    <n v="3.5"/>
    <n v="7"/>
    <n v="1"/>
    <n v="37.534799999999997"/>
    <x v="4"/>
    <x v="0"/>
    <s v="Returning"/>
  </r>
  <r>
    <n v="4064"/>
    <n v="66"/>
    <s v="Male"/>
    <x v="5"/>
    <s v="Mobile Phone"/>
    <n v="1248.04"/>
    <x v="3"/>
    <s v="Card"/>
    <n v="3.8"/>
    <n v="20"/>
    <n v="5"/>
    <n v="998.43200000000002"/>
    <x v="2"/>
    <x v="0"/>
    <s v="Returning"/>
  </r>
  <r>
    <n v="4065"/>
    <n v="64"/>
    <s v="Male"/>
    <x v="2"/>
    <s v="Dumbbells"/>
    <n v="176.11"/>
    <x v="0"/>
    <s v="Card"/>
    <n v="3.5"/>
    <n v="10"/>
    <n v="5"/>
    <n v="158.49900000000002"/>
    <x v="2"/>
    <x v="0"/>
    <s v="Returning"/>
  </r>
  <r>
    <n v="4066"/>
    <n v="56"/>
    <s v="Male"/>
    <x v="2"/>
    <s v="Football"/>
    <n v="165.49"/>
    <x v="0"/>
    <s v="Card"/>
    <n v="3.8"/>
    <n v="22"/>
    <n v="6"/>
    <n v="129.0822"/>
    <x v="0"/>
    <x v="0"/>
    <s v="Returning"/>
  </r>
  <r>
    <n v="4067"/>
    <n v="65"/>
    <s v="Male"/>
    <x v="2"/>
    <s v="Yoga Mat"/>
    <n v="147.71"/>
    <x v="0"/>
    <s v="Card"/>
    <n v="3.4"/>
    <n v="13"/>
    <n v="4"/>
    <n v="128.5077"/>
    <x v="2"/>
    <x v="0"/>
    <s v="Returning"/>
  </r>
  <r>
    <n v="4068"/>
    <n v="26"/>
    <s v="Female"/>
    <x v="7"/>
    <s v="Sandals"/>
    <n v="167.62"/>
    <x v="3"/>
    <s v="Card"/>
    <n v="3.4"/>
    <n v="30"/>
    <n v="10"/>
    <n v="117.33399999999999"/>
    <x v="4"/>
    <x v="0"/>
    <s v="Returning"/>
  </r>
  <r>
    <n v="4069"/>
    <n v="53"/>
    <s v="Male"/>
    <x v="3"/>
    <s v="Kitchen Set"/>
    <n v="103.21"/>
    <x v="2"/>
    <s v="Card"/>
    <n v="3.3"/>
    <n v="11"/>
    <n v="3"/>
    <n v="91.856899999999996"/>
    <x v="0"/>
    <x v="0"/>
    <s v="Returning"/>
  </r>
  <r>
    <n v="4070"/>
    <n v="70"/>
    <s v="Male"/>
    <x v="7"/>
    <s v="Sneakers"/>
    <n v="56.28"/>
    <x v="3"/>
    <s v="Card"/>
    <n v="2.9"/>
    <n v="10"/>
    <n v="5"/>
    <n v="50.652000000000001"/>
    <x v="2"/>
    <x v="0"/>
    <s v="Returning"/>
  </r>
  <r>
    <n v="4071"/>
    <n v="48"/>
    <s v="Male"/>
    <x v="2"/>
    <s v="Yoga Mat"/>
    <n v="136.24"/>
    <x v="3"/>
    <s v="Card"/>
    <n v="3.3"/>
    <n v="14"/>
    <n v="7"/>
    <n v="117.16640000000001"/>
    <x v="0"/>
    <x v="0"/>
    <s v="Returning"/>
  </r>
  <r>
    <n v="4072"/>
    <n v="53"/>
    <s v="Female"/>
    <x v="6"/>
    <s v="Skincare Kit"/>
    <n v="125.77"/>
    <x v="1"/>
    <s v="Card"/>
    <n v="3.4"/>
    <n v="10"/>
    <n v="5"/>
    <n v="113.193"/>
    <x v="0"/>
    <x v="0"/>
    <s v="Returning"/>
  </r>
  <r>
    <n v="4073"/>
    <n v="26"/>
    <s v="Female"/>
    <x v="0"/>
    <s v="Sunglasses"/>
    <n v="62.53"/>
    <x v="3"/>
    <s v="Cash on Delivery"/>
    <n v="3.8"/>
    <n v="16"/>
    <n v="8"/>
    <n v="52.525199999999998"/>
    <x v="4"/>
    <x v="0"/>
    <s v="Returning"/>
  </r>
  <r>
    <n v="4074"/>
    <n v="28"/>
    <s v="Female"/>
    <x v="7"/>
    <s v="Sneakers"/>
    <n v="205.3"/>
    <x v="0"/>
    <s v="Card"/>
    <n v="4.8"/>
    <n v="10"/>
    <n v="5"/>
    <n v="184.77"/>
    <x v="4"/>
    <x v="0"/>
    <s v="Returning"/>
  </r>
  <r>
    <n v="4075"/>
    <n v="39"/>
    <s v="Female"/>
    <x v="6"/>
    <s v="Makeup Set"/>
    <n v="99.04"/>
    <x v="0"/>
    <s v="Card"/>
    <n v="4.5"/>
    <n v="26"/>
    <n v="8"/>
    <n v="73.289600000000007"/>
    <x v="1"/>
    <x v="0"/>
    <s v="Returning"/>
  </r>
  <r>
    <n v="4076"/>
    <n v="33"/>
    <s v="Male"/>
    <x v="2"/>
    <s v="Yoga Mat"/>
    <n v="123.12"/>
    <x v="2"/>
    <s v="Card"/>
    <n v="4"/>
    <n v="18"/>
    <n v="9"/>
    <n v="100.95840000000001"/>
    <x v="4"/>
    <x v="0"/>
    <s v="Returning"/>
  </r>
  <r>
    <n v="4077"/>
    <n v="40"/>
    <s v="Male"/>
    <x v="5"/>
    <s v="Laptop"/>
    <n v="1512.28"/>
    <x v="1"/>
    <s v="Card"/>
    <n v="3.8"/>
    <n v="15"/>
    <n v="5"/>
    <n v="1285.4379999999999"/>
    <x v="1"/>
    <x v="0"/>
    <s v="Returning"/>
  </r>
  <r>
    <n v="4078"/>
    <n v="62"/>
    <s v="Male"/>
    <x v="1"/>
    <s v="T-Shirt"/>
    <n v="71.94"/>
    <x v="3"/>
    <s v="Card"/>
    <n v="4.9000000000000004"/>
    <n v="17"/>
    <n v="6"/>
    <n v="59.710199999999993"/>
    <x v="2"/>
    <x v="0"/>
    <s v="Returning"/>
  </r>
  <r>
    <n v="4079"/>
    <n v="28"/>
    <s v="Male"/>
    <x v="2"/>
    <s v="Football"/>
    <n v="153.12"/>
    <x v="2"/>
    <s v="Card"/>
    <n v="4.4000000000000004"/>
    <n v="9"/>
    <n v="2"/>
    <n v="139.33920000000001"/>
    <x v="4"/>
    <x v="0"/>
    <s v="Returning"/>
  </r>
  <r>
    <n v="4080"/>
    <n v="43"/>
    <s v="Female"/>
    <x v="0"/>
    <s v="Sunglasses"/>
    <n v="74.33"/>
    <x v="0"/>
    <s v="Card"/>
    <n v="3.6"/>
    <n v="11"/>
    <n v="3"/>
    <n v="66.153700000000001"/>
    <x v="1"/>
    <x v="0"/>
    <s v="Returning"/>
  </r>
  <r>
    <n v="4081"/>
    <n v="22"/>
    <s v="Female"/>
    <x v="0"/>
    <s v="Sunglasses"/>
    <n v="100.98"/>
    <x v="1"/>
    <s v="Card"/>
    <n v="4.3"/>
    <n v="13"/>
    <n v="4"/>
    <n v="87.85260000000001"/>
    <x v="3"/>
    <x v="0"/>
    <s v="Returning"/>
  </r>
  <r>
    <n v="4082"/>
    <n v="51"/>
    <s v="Male"/>
    <x v="5"/>
    <s v="Laptop"/>
    <n v="2199.5100000000002"/>
    <x v="1"/>
    <s v="Card"/>
    <n v="3.6"/>
    <n v="15"/>
    <n v="5"/>
    <n v="1869.5835000000002"/>
    <x v="0"/>
    <x v="0"/>
    <s v="Returning"/>
  </r>
  <r>
    <n v="4083"/>
    <n v="53"/>
    <s v="Male"/>
    <x v="2"/>
    <s v="Dumbbells"/>
    <n v="74.23"/>
    <x v="2"/>
    <s v="Card"/>
    <n v="2.2000000000000002"/>
    <n v="19"/>
    <n v="7"/>
    <n v="60.126300000000008"/>
    <x v="0"/>
    <x v="0"/>
    <s v="Returning"/>
  </r>
  <r>
    <n v="4084"/>
    <n v="36"/>
    <s v="Male"/>
    <x v="5"/>
    <s v="Laptop"/>
    <n v="2049.23"/>
    <x v="1"/>
    <s v="Card"/>
    <n v="3"/>
    <n v="22"/>
    <n v="6"/>
    <n v="1598.3994"/>
    <x v="1"/>
    <x v="0"/>
    <s v="Returning"/>
  </r>
  <r>
    <n v="4085"/>
    <n v="68"/>
    <s v="Male"/>
    <x v="5"/>
    <s v="Mobile Phone"/>
    <n v="2813.71"/>
    <x v="3"/>
    <s v="Card"/>
    <n v="4.0999999999999996"/>
    <n v="13"/>
    <n v="4"/>
    <n v="2447.9277000000002"/>
    <x v="2"/>
    <x v="0"/>
    <s v="Returning"/>
  </r>
  <r>
    <n v="4086"/>
    <n v="53"/>
    <s v="Female"/>
    <x v="8"/>
    <s v="Skirt"/>
    <n v="81.17"/>
    <x v="2"/>
    <s v="Cash on Delivery"/>
    <n v="5"/>
    <n v="20"/>
    <n v="5"/>
    <n v="64.936000000000007"/>
    <x v="0"/>
    <x v="0"/>
    <s v="Returning"/>
  </r>
  <r>
    <n v="4087"/>
    <n v="46"/>
    <s v="Male"/>
    <x v="1"/>
    <s v="Jeans"/>
    <n v="30.78"/>
    <x v="2"/>
    <s v="Card"/>
    <n v="5"/>
    <n v="12"/>
    <n v="6"/>
    <n v="27.086400000000001"/>
    <x v="0"/>
    <x v="0"/>
    <s v="Returning"/>
  </r>
  <r>
    <n v="4088"/>
    <n v="66"/>
    <s v="Male"/>
    <x v="2"/>
    <s v="Dumbbells"/>
    <n v="181.35"/>
    <x v="1"/>
    <s v="Card"/>
    <n v="4"/>
    <n v="23"/>
    <n v="9"/>
    <n v="139.6395"/>
    <x v="2"/>
    <x v="0"/>
    <s v="Returning"/>
  </r>
  <r>
    <n v="4089"/>
    <n v="68"/>
    <s v="Male"/>
    <x v="5"/>
    <s v="Laptop"/>
    <n v="2171.9299999999998"/>
    <x v="1"/>
    <s v="Card"/>
    <n v="3.8"/>
    <n v="14"/>
    <n v="2"/>
    <n v="1867.8597999999997"/>
    <x v="2"/>
    <x v="0"/>
    <s v="Returning"/>
  </r>
  <r>
    <n v="4090"/>
    <n v="24"/>
    <s v="Female"/>
    <x v="2"/>
    <s v="Yoga Mat"/>
    <n v="164.57"/>
    <x v="1"/>
    <s v="Card"/>
    <n v="3"/>
    <n v="14"/>
    <n v="7"/>
    <n v="141.53019999999998"/>
    <x v="3"/>
    <x v="0"/>
    <s v="Returning"/>
  </r>
  <r>
    <n v="4091"/>
    <n v="37"/>
    <s v="Male"/>
    <x v="4"/>
    <s v="Cooking Oil"/>
    <n v="18.23"/>
    <x v="0"/>
    <s v="Card"/>
    <n v="3.5"/>
    <n v="10"/>
    <n v="5"/>
    <n v="16.407"/>
    <x v="1"/>
    <x v="0"/>
    <s v="Returning"/>
  </r>
  <r>
    <n v="4092"/>
    <n v="64"/>
    <s v="Female"/>
    <x v="6"/>
    <s v="Skincare Kit"/>
    <n v="73.92"/>
    <x v="2"/>
    <s v="Card"/>
    <n v="3.1"/>
    <n v="7"/>
    <n v="1"/>
    <n v="68.745599999999996"/>
    <x v="2"/>
    <x v="0"/>
    <s v="Returning"/>
  </r>
  <r>
    <n v="4093"/>
    <n v="43"/>
    <s v="Male"/>
    <x v="2"/>
    <s v="Football"/>
    <n v="221.83"/>
    <x v="0"/>
    <s v="Card"/>
    <n v="4.3"/>
    <n v="21"/>
    <n v="8"/>
    <n v="175.24570000000003"/>
    <x v="1"/>
    <x v="0"/>
    <s v="Returning"/>
  </r>
  <r>
    <n v="4094"/>
    <n v="68"/>
    <s v="Female"/>
    <x v="6"/>
    <s v="Makeup Set"/>
    <n v="100.18"/>
    <x v="0"/>
    <s v="Card"/>
    <n v="3.3"/>
    <n v="18"/>
    <n v="4"/>
    <n v="82.147600000000011"/>
    <x v="2"/>
    <x v="0"/>
    <s v="Returning"/>
  </r>
  <r>
    <n v="4095"/>
    <n v="41"/>
    <s v="Male"/>
    <x v="2"/>
    <s v="Football"/>
    <n v="70.849999999999994"/>
    <x v="3"/>
    <s v="Cash on Delivery"/>
    <n v="5"/>
    <n v="18"/>
    <n v="4"/>
    <n v="58.097000000000001"/>
    <x v="1"/>
    <x v="0"/>
    <s v="Returning"/>
  </r>
  <r>
    <n v="4096"/>
    <n v="26"/>
    <s v="Female"/>
    <x v="3"/>
    <s v="Curtains"/>
    <n v="209.2"/>
    <x v="1"/>
    <s v="Card"/>
    <n v="4.3"/>
    <n v="6"/>
    <n v="3"/>
    <n v="196.64799999999997"/>
    <x v="4"/>
    <x v="0"/>
    <s v="Returning"/>
  </r>
  <r>
    <n v="4097"/>
    <n v="30"/>
    <s v="Female"/>
    <x v="8"/>
    <s v="Skirt"/>
    <n v="186.87"/>
    <x v="2"/>
    <s v="Card"/>
    <n v="2.6"/>
    <n v="4"/>
    <n v="2"/>
    <n v="179.39519999999999"/>
    <x v="4"/>
    <x v="0"/>
    <s v="Returning"/>
  </r>
  <r>
    <n v="4098"/>
    <n v="68"/>
    <s v="Female"/>
    <x v="0"/>
    <s v="Wallet"/>
    <n v="150.12"/>
    <x v="2"/>
    <s v="Card"/>
    <n v="2.9"/>
    <n v="6"/>
    <n v="3"/>
    <n v="141.11279999999999"/>
    <x v="2"/>
    <x v="0"/>
    <s v="Returning"/>
  </r>
  <r>
    <n v="4099"/>
    <n v="26"/>
    <s v="Male"/>
    <x v="1"/>
    <s v="Jeans"/>
    <n v="119.13"/>
    <x v="0"/>
    <s v="Card"/>
    <n v="4.5"/>
    <n v="6"/>
    <n v="3"/>
    <n v="111.98219999999999"/>
    <x v="4"/>
    <x v="0"/>
    <s v="Returning"/>
  </r>
  <r>
    <n v="4100"/>
    <n v="40"/>
    <s v="Male"/>
    <x v="5"/>
    <s v="Laptop"/>
    <n v="2011.55"/>
    <x v="2"/>
    <s v="Card"/>
    <n v="3.8"/>
    <n v="10"/>
    <n v="5"/>
    <n v="1810.395"/>
    <x v="1"/>
    <x v="0"/>
    <s v="Returning"/>
  </r>
  <r>
    <n v="4101"/>
    <n v="65"/>
    <s v="Female"/>
    <x v="0"/>
    <s v="Sunglasses"/>
    <n v="98.52"/>
    <x v="3"/>
    <s v="Cash on Delivery"/>
    <n v="5"/>
    <n v="12"/>
    <n v="6"/>
    <n v="86.697599999999994"/>
    <x v="2"/>
    <x v="0"/>
    <s v="Returning"/>
  </r>
  <r>
    <n v="4102"/>
    <n v="53"/>
    <s v="Male"/>
    <x v="2"/>
    <s v="Football"/>
    <n v="138.94"/>
    <x v="0"/>
    <s v="Card"/>
    <n v="3.6"/>
    <n v="10"/>
    <n v="5"/>
    <n v="125.04600000000001"/>
    <x v="0"/>
    <x v="0"/>
    <s v="Returning"/>
  </r>
  <r>
    <n v="4103"/>
    <n v="60"/>
    <s v="Female"/>
    <x v="0"/>
    <s v="Handbag"/>
    <n v="84.56"/>
    <x v="1"/>
    <s v="Cash on Delivery"/>
    <n v="3.5"/>
    <n v="22"/>
    <n v="6"/>
    <n v="65.956800000000001"/>
    <x v="0"/>
    <x v="0"/>
    <s v="Returning"/>
  </r>
  <r>
    <n v="4104"/>
    <n v="58"/>
    <s v="Female"/>
    <x v="8"/>
    <s v="Dress"/>
    <n v="71.760000000000005"/>
    <x v="1"/>
    <s v="Card"/>
    <n v="5"/>
    <n v="9"/>
    <n v="2"/>
    <n v="65.301600000000008"/>
    <x v="0"/>
    <x v="0"/>
    <s v="Returning"/>
  </r>
  <r>
    <n v="4105"/>
    <n v="47"/>
    <s v="Male"/>
    <x v="5"/>
    <s v="Laptop"/>
    <n v="2924.57"/>
    <x v="2"/>
    <s v="Card"/>
    <n v="3.5"/>
    <n v="13"/>
    <n v="4"/>
    <n v="2544.3759"/>
    <x v="0"/>
    <x v="0"/>
    <s v="Returning"/>
  </r>
  <r>
    <n v="4106"/>
    <n v="57"/>
    <s v="Female"/>
    <x v="0"/>
    <s v="Handbag"/>
    <n v="96.5"/>
    <x v="1"/>
    <s v="Card"/>
    <n v="2.9"/>
    <n v="13"/>
    <n v="4"/>
    <n v="83.954999999999998"/>
    <x v="0"/>
    <x v="0"/>
    <s v="Returning"/>
  </r>
  <r>
    <n v="4107"/>
    <n v="62"/>
    <s v="Female"/>
    <x v="7"/>
    <s v="Sneakers"/>
    <n v="93.71"/>
    <x v="3"/>
    <s v="Card"/>
    <n v="3.4"/>
    <n v="14"/>
    <n v="7"/>
    <n v="80.590599999999995"/>
    <x v="2"/>
    <x v="0"/>
    <s v="Returning"/>
  </r>
  <r>
    <n v="4108"/>
    <n v="59"/>
    <s v="Female"/>
    <x v="8"/>
    <s v="Dress"/>
    <n v="107.94"/>
    <x v="2"/>
    <s v="Card"/>
    <n v="3.5"/>
    <n v="10"/>
    <n v="5"/>
    <n v="97.146000000000001"/>
    <x v="0"/>
    <x v="0"/>
    <s v="Returning"/>
  </r>
  <r>
    <n v="4109"/>
    <n v="29"/>
    <s v="Male"/>
    <x v="7"/>
    <s v="Sneakers"/>
    <n v="75.989999999999995"/>
    <x v="1"/>
    <s v="Cash on Delivery"/>
    <n v="4.5999999999999996"/>
    <n v="18"/>
    <n v="4"/>
    <n v="62.311799999999998"/>
    <x v="4"/>
    <x v="0"/>
    <s v="Returning"/>
  </r>
  <r>
    <n v="4110"/>
    <n v="39"/>
    <s v="Female"/>
    <x v="8"/>
    <s v="Dress"/>
    <n v="154.16999999999999"/>
    <x v="0"/>
    <s v="Card"/>
    <n v="4"/>
    <n v="23"/>
    <n v="9"/>
    <n v="118.7109"/>
    <x v="1"/>
    <x v="0"/>
    <s v="Returning"/>
  </r>
  <r>
    <n v="4111"/>
    <n v="23"/>
    <s v="Female"/>
    <x v="0"/>
    <s v="Handbag"/>
    <n v="100.67"/>
    <x v="3"/>
    <s v="Card"/>
    <n v="3.7"/>
    <n v="18"/>
    <n v="4"/>
    <n v="82.549400000000006"/>
    <x v="3"/>
    <x v="0"/>
    <s v="Returning"/>
  </r>
  <r>
    <n v="4112"/>
    <n v="63"/>
    <s v="Female"/>
    <x v="7"/>
    <s v="Sandals"/>
    <n v="116.77"/>
    <x v="3"/>
    <s v="Card"/>
    <n v="4.3"/>
    <n v="26"/>
    <n v="8"/>
    <n v="86.40979999999999"/>
    <x v="2"/>
    <x v="0"/>
    <s v="Returning"/>
  </r>
  <r>
    <n v="4113"/>
    <n v="38"/>
    <s v="Male"/>
    <x v="7"/>
    <s v="Sandals"/>
    <n v="157.97999999999999"/>
    <x v="3"/>
    <s v="Card"/>
    <n v="4.9000000000000004"/>
    <n v="22"/>
    <n v="6"/>
    <n v="123.2244"/>
    <x v="1"/>
    <x v="0"/>
    <s v="Returning"/>
  </r>
  <r>
    <n v="4114"/>
    <n v="63"/>
    <s v="Female"/>
    <x v="2"/>
    <s v="Football"/>
    <n v="108.5"/>
    <x v="0"/>
    <s v="Card"/>
    <n v="3.5"/>
    <n v="17"/>
    <n v="6"/>
    <n v="90.054999999999993"/>
    <x v="2"/>
    <x v="0"/>
    <s v="Returning"/>
  </r>
  <r>
    <n v="4115"/>
    <n v="44"/>
    <s v="Male"/>
    <x v="7"/>
    <s v="Sneakers"/>
    <n v="45.36"/>
    <x v="3"/>
    <s v="Card"/>
    <n v="3"/>
    <n v="28"/>
    <n v="9"/>
    <n v="32.659199999999998"/>
    <x v="1"/>
    <x v="0"/>
    <s v="Returning"/>
  </r>
  <r>
    <n v="4116"/>
    <n v="68"/>
    <s v="Male"/>
    <x v="1"/>
    <s v="Jeans"/>
    <n v="185.02"/>
    <x v="0"/>
    <s v="Card"/>
    <n v="3.8"/>
    <n v="14"/>
    <n v="2"/>
    <n v="159.1172"/>
    <x v="2"/>
    <x v="0"/>
    <s v="Returning"/>
  </r>
  <r>
    <n v="4117"/>
    <n v="63"/>
    <s v="Female"/>
    <x v="8"/>
    <s v="Jeans"/>
    <n v="44.04"/>
    <x v="2"/>
    <s v="Card"/>
    <n v="5"/>
    <n v="16"/>
    <n v="3"/>
    <n v="36.993600000000001"/>
    <x v="2"/>
    <x v="0"/>
    <s v="Returning"/>
  </r>
  <r>
    <n v="4118"/>
    <n v="27"/>
    <s v="Male"/>
    <x v="2"/>
    <s v="Dumbbells"/>
    <n v="100.08"/>
    <x v="1"/>
    <s v="Card"/>
    <n v="3.6"/>
    <n v="5"/>
    <n v="0"/>
    <n v="95.075999999999993"/>
    <x v="4"/>
    <x v="0"/>
    <s v="New"/>
  </r>
  <r>
    <n v="4119"/>
    <n v="49"/>
    <s v="Female"/>
    <x v="2"/>
    <s v="Yoga Mat"/>
    <n v="107.29"/>
    <x v="2"/>
    <s v="Card"/>
    <n v="3.8"/>
    <n v="16"/>
    <n v="8"/>
    <n v="90.123599999999996"/>
    <x v="0"/>
    <x v="0"/>
    <s v="Returning"/>
  </r>
  <r>
    <n v="4120"/>
    <n v="43"/>
    <s v="Female"/>
    <x v="3"/>
    <s v="Kitchen Set"/>
    <n v="163.18"/>
    <x v="3"/>
    <s v="Card"/>
    <n v="5"/>
    <n v="6"/>
    <n v="3"/>
    <n v="153.38919999999999"/>
    <x v="1"/>
    <x v="0"/>
    <s v="Returning"/>
  </r>
  <r>
    <n v="4121"/>
    <n v="67"/>
    <s v="Female"/>
    <x v="6"/>
    <s v="Perfume"/>
    <n v="58.38"/>
    <x v="3"/>
    <s v="Card"/>
    <n v="4"/>
    <n v="12"/>
    <n v="6"/>
    <n v="51.374400000000001"/>
    <x v="2"/>
    <x v="0"/>
    <s v="Returning"/>
  </r>
  <r>
    <n v="4122"/>
    <n v="69"/>
    <s v="Male"/>
    <x v="2"/>
    <s v="Football"/>
    <n v="169.84"/>
    <x v="1"/>
    <s v="Card"/>
    <n v="3.5"/>
    <n v="18"/>
    <n v="4"/>
    <n v="139.26880000000003"/>
    <x v="2"/>
    <x v="0"/>
    <s v="Returning"/>
  </r>
  <r>
    <n v="4123"/>
    <n v="20"/>
    <s v="Female"/>
    <x v="0"/>
    <s v="Sunglasses"/>
    <n v="145.22"/>
    <x v="0"/>
    <s v="Card"/>
    <n v="3.8"/>
    <n v="20"/>
    <n v="5"/>
    <n v="116.176"/>
    <x v="3"/>
    <x v="0"/>
    <s v="Returning"/>
  </r>
  <r>
    <n v="4124"/>
    <n v="31"/>
    <s v="Male"/>
    <x v="2"/>
    <s v="Football"/>
    <n v="117.9"/>
    <x v="2"/>
    <s v="Card"/>
    <n v="4.5999999999999996"/>
    <n v="24"/>
    <n v="7"/>
    <n v="89.603999999999999"/>
    <x v="4"/>
    <x v="0"/>
    <s v="Returning"/>
  </r>
  <r>
    <n v="4125"/>
    <n v="23"/>
    <s v="Female"/>
    <x v="7"/>
    <s v="Sandals"/>
    <n v="92.07"/>
    <x v="1"/>
    <s v="Card"/>
    <n v="3.2"/>
    <n v="18"/>
    <n v="4"/>
    <n v="75.497399999999999"/>
    <x v="3"/>
    <x v="0"/>
    <s v="Returning"/>
  </r>
  <r>
    <n v="4126"/>
    <n v="33"/>
    <s v="Female"/>
    <x v="8"/>
    <s v="Skirt"/>
    <n v="133.31"/>
    <x v="3"/>
    <s v="Card"/>
    <n v="2.9"/>
    <n v="4"/>
    <n v="2"/>
    <n v="127.9776"/>
    <x v="4"/>
    <x v="0"/>
    <s v="Returning"/>
  </r>
  <r>
    <n v="4127"/>
    <n v="22"/>
    <s v="Female"/>
    <x v="0"/>
    <s v="Wallet"/>
    <n v="77.069999999999993"/>
    <x v="1"/>
    <s v="Card"/>
    <n v="4.7"/>
    <n v="18"/>
    <n v="4"/>
    <n v="63.197400000000002"/>
    <x v="3"/>
    <x v="0"/>
    <s v="Returning"/>
  </r>
  <r>
    <n v="4128"/>
    <n v="45"/>
    <s v="Female"/>
    <x v="4"/>
    <s v="Cooking Oil"/>
    <n v="60.2"/>
    <x v="2"/>
    <s v="Card"/>
    <n v="3.3"/>
    <n v="10"/>
    <n v="5"/>
    <n v="54.180000000000007"/>
    <x v="1"/>
    <x v="0"/>
    <s v="Returning"/>
  </r>
  <r>
    <n v="4129"/>
    <n v="39"/>
    <s v="Female"/>
    <x v="7"/>
    <s v="Formal Shoes"/>
    <n v="113.87"/>
    <x v="1"/>
    <s v="Card"/>
    <n v="4.3"/>
    <n v="8"/>
    <n v="4"/>
    <n v="104.7604"/>
    <x v="1"/>
    <x v="0"/>
    <s v="Returning"/>
  </r>
  <r>
    <n v="4130"/>
    <n v="43"/>
    <s v="Male"/>
    <x v="1"/>
    <s v="T-Shirt"/>
    <n v="143.99"/>
    <x v="2"/>
    <s v="Card"/>
    <n v="4"/>
    <n v="23"/>
    <n v="9"/>
    <n v="110.87230000000001"/>
    <x v="1"/>
    <x v="0"/>
    <s v="Returning"/>
  </r>
  <r>
    <n v="4131"/>
    <n v="50"/>
    <s v="Male"/>
    <x v="1"/>
    <s v="Shirt"/>
    <n v="131.03"/>
    <x v="0"/>
    <s v="Card"/>
    <n v="3.3"/>
    <n v="24"/>
    <n v="7"/>
    <n v="99.582800000000006"/>
    <x v="0"/>
    <x v="0"/>
    <s v="Returning"/>
  </r>
  <r>
    <n v="4132"/>
    <n v="54"/>
    <s v="Female"/>
    <x v="8"/>
    <s v="Dress"/>
    <n v="197.73"/>
    <x v="3"/>
    <s v="Card"/>
    <n v="5"/>
    <n v="10"/>
    <n v="5"/>
    <n v="177.95699999999999"/>
    <x v="0"/>
    <x v="0"/>
    <s v="Returning"/>
  </r>
  <r>
    <n v="4133"/>
    <n v="46"/>
    <s v="Female"/>
    <x v="7"/>
    <s v="Sandals"/>
    <n v="40.76"/>
    <x v="0"/>
    <s v="Cash on Delivery"/>
    <n v="4.7"/>
    <n v="2"/>
    <n v="1"/>
    <n v="39.944800000000001"/>
    <x v="0"/>
    <x v="0"/>
    <s v="Returning"/>
  </r>
  <r>
    <n v="4134"/>
    <n v="65"/>
    <s v="Female"/>
    <x v="6"/>
    <s v="Makeup Set"/>
    <n v="74.680000000000007"/>
    <x v="1"/>
    <s v="Card"/>
    <n v="4.0999999999999996"/>
    <n v="18"/>
    <n v="9"/>
    <n v="61.237600000000008"/>
    <x v="2"/>
    <x v="0"/>
    <s v="Returning"/>
  </r>
  <r>
    <n v="4135"/>
    <n v="27"/>
    <s v="Female"/>
    <x v="6"/>
    <s v="Makeup Set"/>
    <n v="117.55"/>
    <x v="0"/>
    <s v="Card"/>
    <n v="3.2"/>
    <n v="11"/>
    <n v="3"/>
    <n v="104.6195"/>
    <x v="4"/>
    <x v="0"/>
    <s v="Returning"/>
  </r>
  <r>
    <n v="4136"/>
    <n v="44"/>
    <s v="Female"/>
    <x v="3"/>
    <s v="Curtains"/>
    <n v="211.32"/>
    <x v="0"/>
    <s v="Card"/>
    <n v="4.5"/>
    <n v="16"/>
    <n v="8"/>
    <n v="177.50879999999998"/>
    <x v="1"/>
    <x v="0"/>
    <s v="Returning"/>
  </r>
  <r>
    <n v="4137"/>
    <n v="29"/>
    <s v="Male"/>
    <x v="1"/>
    <s v="T-Shirt"/>
    <n v="32.81"/>
    <x v="1"/>
    <s v="Cash on Delivery"/>
    <n v="3.8"/>
    <n v="9"/>
    <n v="2"/>
    <n v="29.857100000000003"/>
    <x v="4"/>
    <x v="0"/>
    <s v="Returning"/>
  </r>
  <r>
    <n v="4138"/>
    <n v="41"/>
    <s v="Male"/>
    <x v="7"/>
    <s v="Formal Shoes"/>
    <n v="104.2"/>
    <x v="2"/>
    <s v="Card"/>
    <n v="4.0999999999999996"/>
    <n v="11"/>
    <n v="3"/>
    <n v="92.738"/>
    <x v="1"/>
    <x v="0"/>
    <s v="Returning"/>
  </r>
  <r>
    <n v="4139"/>
    <n v="25"/>
    <s v="Male"/>
    <x v="5"/>
    <s v="Smart Watch"/>
    <n v="991.14"/>
    <x v="2"/>
    <s v="Card"/>
    <n v="2.1"/>
    <n v="4"/>
    <n v="2"/>
    <n v="951.49439999999993"/>
    <x v="3"/>
    <x v="0"/>
    <s v="Returning"/>
  </r>
  <r>
    <n v="4140"/>
    <n v="34"/>
    <s v="Female"/>
    <x v="3"/>
    <s v="Kitchen Set"/>
    <n v="138.43"/>
    <x v="2"/>
    <s v="Card"/>
    <n v="4.0999999999999996"/>
    <n v="12"/>
    <n v="1"/>
    <n v="121.81840000000001"/>
    <x v="4"/>
    <x v="0"/>
    <s v="Returning"/>
  </r>
  <r>
    <n v="4141"/>
    <n v="61"/>
    <s v="Male"/>
    <x v="2"/>
    <s v="Dumbbells"/>
    <n v="176.45"/>
    <x v="0"/>
    <s v="Card"/>
    <n v="3.9"/>
    <n v="6"/>
    <n v="3"/>
    <n v="165.86299999999997"/>
    <x v="2"/>
    <x v="0"/>
    <s v="Returning"/>
  </r>
  <r>
    <n v="4142"/>
    <n v="56"/>
    <s v="Male"/>
    <x v="1"/>
    <s v="T-Shirt"/>
    <n v="156.69"/>
    <x v="3"/>
    <s v="Card"/>
    <n v="3.7"/>
    <n v="11"/>
    <n v="3"/>
    <n v="139.45410000000001"/>
    <x v="0"/>
    <x v="0"/>
    <s v="Returning"/>
  </r>
  <r>
    <n v="4143"/>
    <n v="34"/>
    <s v="Male"/>
    <x v="5"/>
    <s v="Headphones"/>
    <n v="1532.93"/>
    <x v="2"/>
    <s v="Card"/>
    <n v="3.8"/>
    <n v="24"/>
    <n v="7"/>
    <n v="1165.0268000000001"/>
    <x v="4"/>
    <x v="0"/>
    <s v="Returning"/>
  </r>
  <r>
    <n v="4144"/>
    <n v="24"/>
    <s v="Female"/>
    <x v="6"/>
    <s v="Perfume"/>
    <n v="37.85"/>
    <x v="1"/>
    <s v="Cash on Delivery"/>
    <n v="3.7"/>
    <n v="18"/>
    <n v="4"/>
    <n v="31.037000000000003"/>
    <x v="3"/>
    <x v="0"/>
    <s v="Returning"/>
  </r>
  <r>
    <n v="4145"/>
    <n v="49"/>
    <s v="Male"/>
    <x v="1"/>
    <s v="Jeans"/>
    <n v="132.37"/>
    <x v="3"/>
    <s v="Card"/>
    <n v="2.9"/>
    <n v="13"/>
    <n v="4"/>
    <n v="115.1619"/>
    <x v="0"/>
    <x v="0"/>
    <s v="Returning"/>
  </r>
  <r>
    <n v="4146"/>
    <n v="40"/>
    <s v="Male"/>
    <x v="2"/>
    <s v="Football"/>
    <n v="42.76"/>
    <x v="0"/>
    <s v="Cash on Delivery"/>
    <n v="2.7"/>
    <n v="8"/>
    <n v="4"/>
    <n v="39.339199999999998"/>
    <x v="1"/>
    <x v="0"/>
    <s v="Returning"/>
  </r>
  <r>
    <n v="4147"/>
    <n v="39"/>
    <s v="Female"/>
    <x v="6"/>
    <s v="Makeup Set"/>
    <n v="28.3"/>
    <x v="1"/>
    <s v="Card"/>
    <n v="3.9"/>
    <n v="28"/>
    <n v="9"/>
    <n v="20.376000000000001"/>
    <x v="1"/>
    <x v="0"/>
    <s v="Returning"/>
  </r>
  <r>
    <n v="4148"/>
    <n v="27"/>
    <s v="Male"/>
    <x v="5"/>
    <s v="Laptop"/>
    <n v="2662.63"/>
    <x v="1"/>
    <s v="Card"/>
    <n v="3.4"/>
    <n v="15"/>
    <n v="5"/>
    <n v="2263.2355000000002"/>
    <x v="4"/>
    <x v="0"/>
    <s v="Returning"/>
  </r>
  <r>
    <n v="4149"/>
    <n v="63"/>
    <s v="Male"/>
    <x v="5"/>
    <s v="Headphones"/>
    <n v="783.46"/>
    <x v="1"/>
    <s v="Card"/>
    <n v="2.9"/>
    <n v="16"/>
    <n v="8"/>
    <n v="658.10640000000001"/>
    <x v="2"/>
    <x v="0"/>
    <s v="Returning"/>
  </r>
  <r>
    <n v="4150"/>
    <n v="40"/>
    <s v="Female"/>
    <x v="0"/>
    <s v="Sunglasses"/>
    <n v="28.71"/>
    <x v="2"/>
    <s v="Cash on Delivery"/>
    <n v="2.5"/>
    <n v="16"/>
    <n v="8"/>
    <n v="24.116399999999999"/>
    <x v="1"/>
    <x v="0"/>
    <s v="Returning"/>
  </r>
  <r>
    <n v="4151"/>
    <n v="29"/>
    <s v="Male"/>
    <x v="2"/>
    <s v="Dumbbells"/>
    <n v="103"/>
    <x v="3"/>
    <s v="Card"/>
    <n v="2.9"/>
    <n v="23"/>
    <n v="9"/>
    <n v="79.31"/>
    <x v="4"/>
    <x v="0"/>
    <s v="Returning"/>
  </r>
  <r>
    <n v="4152"/>
    <n v="48"/>
    <s v="Male"/>
    <x v="1"/>
    <s v="Jacket"/>
    <n v="121.26"/>
    <x v="3"/>
    <s v="Card"/>
    <n v="1.9"/>
    <n v="12"/>
    <n v="6"/>
    <n v="106.70880000000001"/>
    <x v="0"/>
    <x v="0"/>
    <s v="Returning"/>
  </r>
  <r>
    <n v="4153"/>
    <n v="30"/>
    <s v="Male"/>
    <x v="4"/>
    <s v="Beverages"/>
    <n v="5.89"/>
    <x v="3"/>
    <s v="Cash on Delivery"/>
    <n v="3.2"/>
    <n v="17"/>
    <n v="6"/>
    <n v="4.8886999999999992"/>
    <x v="4"/>
    <x v="0"/>
    <s v="Returning"/>
  </r>
  <r>
    <n v="4154"/>
    <n v="35"/>
    <s v="Male"/>
    <x v="7"/>
    <s v="Sandals"/>
    <n v="240.97"/>
    <x v="3"/>
    <s v="Card"/>
    <n v="2.8"/>
    <n v="22"/>
    <n v="6"/>
    <n v="187.95660000000001"/>
    <x v="4"/>
    <x v="0"/>
    <s v="Returning"/>
  </r>
  <r>
    <n v="4155"/>
    <n v="62"/>
    <s v="Female"/>
    <x v="6"/>
    <s v="Makeup Set"/>
    <n v="140.77000000000001"/>
    <x v="3"/>
    <s v="Card"/>
    <n v="2.7"/>
    <n v="6"/>
    <n v="3"/>
    <n v="132.32380000000001"/>
    <x v="2"/>
    <x v="0"/>
    <s v="Returning"/>
  </r>
  <r>
    <n v="4156"/>
    <n v="21"/>
    <s v="Male"/>
    <x v="5"/>
    <s v="Headphones"/>
    <n v="1584.57"/>
    <x v="2"/>
    <s v="Card"/>
    <n v="3.6"/>
    <n v="15"/>
    <n v="5"/>
    <n v="1346.8844999999999"/>
    <x v="3"/>
    <x v="0"/>
    <s v="Returning"/>
  </r>
  <r>
    <n v="4157"/>
    <n v="56"/>
    <s v="Female"/>
    <x v="8"/>
    <s v="Top"/>
    <n v="123.71"/>
    <x v="0"/>
    <s v="Card"/>
    <n v="3.2"/>
    <n v="11"/>
    <n v="3"/>
    <n v="110.1019"/>
    <x v="0"/>
    <x v="0"/>
    <s v="Returning"/>
  </r>
  <r>
    <n v="4158"/>
    <n v="20"/>
    <s v="Female"/>
    <x v="0"/>
    <s v="Wallet"/>
    <n v="127.91"/>
    <x v="1"/>
    <s v="Card"/>
    <n v="2.9"/>
    <n v="17"/>
    <n v="6"/>
    <n v="106.16529999999999"/>
    <x v="3"/>
    <x v="0"/>
    <s v="Returning"/>
  </r>
  <r>
    <n v="4159"/>
    <n v="22"/>
    <s v="Female"/>
    <x v="4"/>
    <s v="Snacks"/>
    <n v="23.75"/>
    <x v="1"/>
    <s v="Card"/>
    <n v="3.7"/>
    <n v="18"/>
    <n v="4"/>
    <n v="19.475000000000001"/>
    <x v="3"/>
    <x v="0"/>
    <s v="Returning"/>
  </r>
  <r>
    <n v="4160"/>
    <n v="47"/>
    <s v="Male"/>
    <x v="7"/>
    <s v="Sandals"/>
    <n v="71.63"/>
    <x v="0"/>
    <s v="Cash on Delivery"/>
    <n v="3.2"/>
    <n v="15"/>
    <n v="5"/>
    <n v="60.885499999999993"/>
    <x v="0"/>
    <x v="0"/>
    <s v="Returning"/>
  </r>
  <r>
    <n v="4161"/>
    <n v="44"/>
    <s v="Female"/>
    <x v="0"/>
    <s v="Wallet"/>
    <n v="132.41999999999999"/>
    <x v="0"/>
    <s v="Card"/>
    <n v="3.7"/>
    <n v="15"/>
    <n v="5"/>
    <n v="112.55699999999999"/>
    <x v="1"/>
    <x v="0"/>
    <s v="Returning"/>
  </r>
  <r>
    <n v="4162"/>
    <n v="50"/>
    <s v="Female"/>
    <x v="6"/>
    <s v="Skincare Kit"/>
    <n v="128.51"/>
    <x v="1"/>
    <s v="Card"/>
    <n v="3.8"/>
    <n v="16"/>
    <n v="8"/>
    <n v="107.94839999999999"/>
    <x v="0"/>
    <x v="0"/>
    <s v="Returning"/>
  </r>
  <r>
    <n v="4163"/>
    <n v="39"/>
    <s v="Male"/>
    <x v="1"/>
    <s v="Jacket"/>
    <n v="143.5"/>
    <x v="2"/>
    <s v="Card"/>
    <n v="4.9000000000000004"/>
    <n v="19"/>
    <n v="7"/>
    <n v="116.23500000000001"/>
    <x v="1"/>
    <x v="0"/>
    <s v="Returning"/>
  </r>
  <r>
    <n v="4164"/>
    <n v="64"/>
    <s v="Female"/>
    <x v="7"/>
    <s v="Sneakers"/>
    <n v="162.31"/>
    <x v="3"/>
    <s v="Card"/>
    <n v="3.7"/>
    <n v="14"/>
    <n v="7"/>
    <n v="139.5866"/>
    <x v="2"/>
    <x v="0"/>
    <s v="Returning"/>
  </r>
  <r>
    <n v="4165"/>
    <n v="67"/>
    <s v="Female"/>
    <x v="7"/>
    <s v="Sandals"/>
    <n v="210.1"/>
    <x v="0"/>
    <s v="Card"/>
    <n v="3.9"/>
    <n v="4"/>
    <n v="2"/>
    <n v="201.696"/>
    <x v="2"/>
    <x v="0"/>
    <s v="Returning"/>
  </r>
  <r>
    <n v="4166"/>
    <n v="48"/>
    <s v="Male"/>
    <x v="5"/>
    <s v="Mobile Phone"/>
    <n v="1794.93"/>
    <x v="1"/>
    <s v="Card"/>
    <n v="4.5999999999999996"/>
    <n v="16"/>
    <n v="8"/>
    <n v="1507.7411999999999"/>
    <x v="0"/>
    <x v="0"/>
    <s v="Returning"/>
  </r>
  <r>
    <n v="4167"/>
    <n v="26"/>
    <s v="Male"/>
    <x v="1"/>
    <s v="T-Shirt"/>
    <n v="52.64"/>
    <x v="0"/>
    <s v="Cash on Delivery"/>
    <n v="4.5"/>
    <n v="9"/>
    <n v="2"/>
    <n v="47.9024"/>
    <x v="4"/>
    <x v="0"/>
    <s v="Returning"/>
  </r>
  <r>
    <n v="4168"/>
    <n v="46"/>
    <s v="Male"/>
    <x v="2"/>
    <s v="Dumbbells"/>
    <n v="119.62"/>
    <x v="0"/>
    <s v="Card"/>
    <n v="4.5"/>
    <n v="15"/>
    <n v="5"/>
    <n v="101.67700000000001"/>
    <x v="0"/>
    <x v="0"/>
    <s v="Returning"/>
  </r>
  <r>
    <n v="4169"/>
    <n v="26"/>
    <s v="Female"/>
    <x v="7"/>
    <s v="Sandals"/>
    <n v="230.19"/>
    <x v="2"/>
    <s v="Card"/>
    <n v="3.9"/>
    <n v="22"/>
    <n v="6"/>
    <n v="179.54820000000001"/>
    <x v="4"/>
    <x v="0"/>
    <s v="Returning"/>
  </r>
  <r>
    <n v="4170"/>
    <n v="50"/>
    <s v="Female"/>
    <x v="3"/>
    <s v="Curtains"/>
    <n v="58.78"/>
    <x v="2"/>
    <s v="Cash on Delivery"/>
    <n v="4.8"/>
    <n v="16"/>
    <n v="3"/>
    <n v="49.3752"/>
    <x v="0"/>
    <x v="0"/>
    <s v="Returning"/>
  </r>
  <r>
    <n v="4171"/>
    <n v="36"/>
    <s v="Male"/>
    <x v="5"/>
    <s v="Headphones"/>
    <n v="2331.58"/>
    <x v="2"/>
    <s v="Card"/>
    <n v="3"/>
    <n v="8"/>
    <n v="4"/>
    <n v="2145.0536000000002"/>
    <x v="1"/>
    <x v="0"/>
    <s v="Returning"/>
  </r>
  <r>
    <n v="4172"/>
    <n v="36"/>
    <s v="Male"/>
    <x v="2"/>
    <s v="Dumbbells"/>
    <n v="149.44"/>
    <x v="0"/>
    <s v="Card"/>
    <n v="3.6"/>
    <n v="20"/>
    <n v="5"/>
    <n v="119.55200000000001"/>
    <x v="1"/>
    <x v="0"/>
    <s v="Returning"/>
  </r>
  <r>
    <n v="4173"/>
    <n v="64"/>
    <s v="Male"/>
    <x v="5"/>
    <s v="Headphones"/>
    <n v="2758.3"/>
    <x v="1"/>
    <s v="Card"/>
    <n v="3.4"/>
    <n v="17"/>
    <n v="6"/>
    <n v="2289.3890000000001"/>
    <x v="2"/>
    <x v="0"/>
    <s v="Returning"/>
  </r>
  <r>
    <n v="4174"/>
    <n v="69"/>
    <s v="Female"/>
    <x v="6"/>
    <s v="Makeup Set"/>
    <n v="87.77"/>
    <x v="0"/>
    <s v="Cash on Delivery"/>
    <n v="3.9"/>
    <n v="9"/>
    <n v="2"/>
    <n v="79.870699999999999"/>
    <x v="2"/>
    <x v="0"/>
    <s v="Returning"/>
  </r>
  <r>
    <n v="4175"/>
    <n v="41"/>
    <s v="Male"/>
    <x v="1"/>
    <s v="Shirt"/>
    <n v="199.07"/>
    <x v="2"/>
    <s v="Card"/>
    <n v="3.1"/>
    <n v="6"/>
    <n v="3"/>
    <n v="187.12579999999997"/>
    <x v="1"/>
    <x v="0"/>
    <s v="Returning"/>
  </r>
  <r>
    <n v="4176"/>
    <n v="39"/>
    <s v="Male"/>
    <x v="1"/>
    <s v="Shirt"/>
    <n v="145.5"/>
    <x v="0"/>
    <s v="Card"/>
    <n v="3.8"/>
    <n v="4"/>
    <n v="2"/>
    <n v="139.68"/>
    <x v="1"/>
    <x v="0"/>
    <s v="Returning"/>
  </r>
  <r>
    <n v="4177"/>
    <n v="62"/>
    <s v="Female"/>
    <x v="6"/>
    <s v="Makeup Set"/>
    <n v="145.38999999999999"/>
    <x v="3"/>
    <s v="Card"/>
    <n v="3.8"/>
    <n v="13"/>
    <n v="4"/>
    <n v="126.48929999999999"/>
    <x v="2"/>
    <x v="0"/>
    <s v="Returning"/>
  </r>
  <r>
    <n v="4178"/>
    <n v="47"/>
    <s v="Male"/>
    <x v="5"/>
    <s v="Mobile Phone"/>
    <n v="1665.59"/>
    <x v="3"/>
    <s v="Card"/>
    <n v="3.9"/>
    <n v="17"/>
    <n v="6"/>
    <n v="1382.4396999999999"/>
    <x v="0"/>
    <x v="0"/>
    <s v="Returning"/>
  </r>
  <r>
    <n v="4179"/>
    <n v="46"/>
    <s v="Female"/>
    <x v="7"/>
    <s v="Sandals"/>
    <n v="89.47"/>
    <x v="1"/>
    <s v="Cash on Delivery"/>
    <n v="4.3"/>
    <n v="17"/>
    <n v="6"/>
    <n v="74.260099999999994"/>
    <x v="0"/>
    <x v="0"/>
    <s v="Returning"/>
  </r>
  <r>
    <n v="4180"/>
    <n v="56"/>
    <s v="Male"/>
    <x v="1"/>
    <s v="Shirt"/>
    <n v="153.46"/>
    <x v="1"/>
    <s v="Card"/>
    <n v="3.2"/>
    <n v="11"/>
    <n v="3"/>
    <n v="136.57940000000002"/>
    <x v="0"/>
    <x v="0"/>
    <s v="Returning"/>
  </r>
  <r>
    <n v="4181"/>
    <n v="32"/>
    <s v="Female"/>
    <x v="0"/>
    <s v="Sunglasses"/>
    <n v="156.18"/>
    <x v="2"/>
    <s v="Card"/>
    <n v="2.6"/>
    <n v="12"/>
    <n v="6"/>
    <n v="137.4384"/>
    <x v="4"/>
    <x v="0"/>
    <s v="Returning"/>
  </r>
  <r>
    <n v="4182"/>
    <n v="50"/>
    <s v="Male"/>
    <x v="2"/>
    <s v="Dumbbells"/>
    <n v="83.36"/>
    <x v="3"/>
    <s v="Card"/>
    <n v="3.4"/>
    <n v="10"/>
    <n v="5"/>
    <n v="75.024000000000001"/>
    <x v="0"/>
    <x v="0"/>
    <s v="Returning"/>
  </r>
  <r>
    <n v="4183"/>
    <n v="58"/>
    <s v="Male"/>
    <x v="1"/>
    <s v="T-Shirt"/>
    <n v="171.56"/>
    <x v="3"/>
    <s v="Card"/>
    <n v="3.9"/>
    <n v="8"/>
    <n v="4"/>
    <n v="157.83520000000001"/>
    <x v="0"/>
    <x v="0"/>
    <s v="Returning"/>
  </r>
  <r>
    <n v="4184"/>
    <n v="26"/>
    <s v="Female"/>
    <x v="8"/>
    <s v="Top"/>
    <n v="31.99"/>
    <x v="2"/>
    <s v="Cash on Delivery"/>
    <n v="3.4"/>
    <n v="23"/>
    <n v="9"/>
    <n v="24.632300000000001"/>
    <x v="4"/>
    <x v="0"/>
    <s v="Returning"/>
  </r>
  <r>
    <n v="4185"/>
    <n v="58"/>
    <s v="Female"/>
    <x v="8"/>
    <s v="Top"/>
    <n v="199.24"/>
    <x v="2"/>
    <s v="Card"/>
    <n v="3.3"/>
    <n v="15"/>
    <n v="5"/>
    <n v="169.35400000000001"/>
    <x v="0"/>
    <x v="0"/>
    <s v="Returning"/>
  </r>
  <r>
    <n v="4186"/>
    <n v="24"/>
    <s v="Female"/>
    <x v="8"/>
    <s v="Top"/>
    <n v="80.739999999999995"/>
    <x v="1"/>
    <s v="Card"/>
    <n v="3.4"/>
    <n v="24"/>
    <n v="7"/>
    <n v="61.362399999999994"/>
    <x v="3"/>
    <x v="0"/>
    <s v="Returning"/>
  </r>
  <r>
    <n v="4187"/>
    <n v="65"/>
    <s v="Female"/>
    <x v="7"/>
    <s v="Sandals"/>
    <n v="231.77"/>
    <x v="0"/>
    <s v="Card"/>
    <n v="3.5"/>
    <n v="22"/>
    <n v="6"/>
    <n v="180.78060000000002"/>
    <x v="2"/>
    <x v="0"/>
    <s v="Returning"/>
  </r>
  <r>
    <n v="4188"/>
    <n v="46"/>
    <s v="Male"/>
    <x v="1"/>
    <s v="T-Shirt"/>
    <n v="79.069999999999993"/>
    <x v="0"/>
    <s v="Card"/>
    <n v="4.3"/>
    <n v="14"/>
    <n v="2"/>
    <n v="68.000199999999992"/>
    <x v="0"/>
    <x v="0"/>
    <s v="Returning"/>
  </r>
  <r>
    <n v="4189"/>
    <n v="57"/>
    <s v="Female"/>
    <x v="4"/>
    <s v="Rice Pack"/>
    <n v="13.76"/>
    <x v="2"/>
    <s v="Card"/>
    <n v="4.4000000000000004"/>
    <n v="7"/>
    <n v="1"/>
    <n v="12.796799999999999"/>
    <x v="0"/>
    <x v="0"/>
    <s v="Returning"/>
  </r>
  <r>
    <n v="4190"/>
    <n v="27"/>
    <s v="Female"/>
    <x v="6"/>
    <s v="Perfume"/>
    <n v="113.95"/>
    <x v="1"/>
    <s v="Card"/>
    <n v="3.7"/>
    <n v="11"/>
    <n v="3"/>
    <n v="101.41550000000001"/>
    <x v="4"/>
    <x v="0"/>
    <s v="Returning"/>
  </r>
  <r>
    <n v="4191"/>
    <n v="41"/>
    <s v="Female"/>
    <x v="7"/>
    <s v="Formal Shoes"/>
    <n v="216.85"/>
    <x v="1"/>
    <s v="Card"/>
    <n v="3.3"/>
    <n v="21"/>
    <n v="8"/>
    <n v="171.3115"/>
    <x v="1"/>
    <x v="0"/>
    <s v="Returning"/>
  </r>
  <r>
    <n v="4192"/>
    <n v="40"/>
    <s v="Female"/>
    <x v="6"/>
    <s v="Perfume"/>
    <n v="58.55"/>
    <x v="1"/>
    <s v="Cash on Delivery"/>
    <n v="4.8"/>
    <n v="6"/>
    <n v="3"/>
    <n v="55.036999999999992"/>
    <x v="1"/>
    <x v="0"/>
    <s v="Returning"/>
  </r>
  <r>
    <n v="4193"/>
    <n v="43"/>
    <s v="Male"/>
    <x v="2"/>
    <s v="Yoga Mat"/>
    <n v="188.28"/>
    <x v="2"/>
    <s v="Card"/>
    <n v="4.4000000000000004"/>
    <n v="19"/>
    <n v="7"/>
    <n v="152.5068"/>
    <x v="1"/>
    <x v="0"/>
    <s v="Returning"/>
  </r>
  <r>
    <n v="4194"/>
    <n v="37"/>
    <s v="Female"/>
    <x v="8"/>
    <s v="Skirt"/>
    <n v="116.17"/>
    <x v="0"/>
    <s v="Card"/>
    <n v="4.4000000000000004"/>
    <n v="22"/>
    <n v="6"/>
    <n v="90.6126"/>
    <x v="1"/>
    <x v="0"/>
    <s v="Returning"/>
  </r>
  <r>
    <n v="4195"/>
    <n v="34"/>
    <s v="Female"/>
    <x v="3"/>
    <s v="Curtains"/>
    <n v="142.76"/>
    <x v="3"/>
    <s v="Card"/>
    <n v="4.5999999999999996"/>
    <n v="19"/>
    <n v="7"/>
    <n v="115.6356"/>
    <x v="4"/>
    <x v="0"/>
    <s v="Returning"/>
  </r>
  <r>
    <n v="4196"/>
    <n v="43"/>
    <s v="Male"/>
    <x v="7"/>
    <s v="Sneakers"/>
    <n v="158.75"/>
    <x v="2"/>
    <s v="Card"/>
    <n v="4.5"/>
    <n v="16"/>
    <n v="8"/>
    <n v="133.35"/>
    <x v="1"/>
    <x v="0"/>
    <s v="Returning"/>
  </r>
  <r>
    <n v="4197"/>
    <n v="49"/>
    <s v="Female"/>
    <x v="4"/>
    <s v="Cooking Oil"/>
    <n v="43.81"/>
    <x v="1"/>
    <s v="Cash on Delivery"/>
    <n v="4"/>
    <n v="12"/>
    <n v="6"/>
    <n v="38.552800000000005"/>
    <x v="0"/>
    <x v="0"/>
    <s v="Returning"/>
  </r>
  <r>
    <n v="4198"/>
    <n v="57"/>
    <s v="Male"/>
    <x v="2"/>
    <s v="Football"/>
    <n v="66.09"/>
    <x v="1"/>
    <s v="Cash on Delivery"/>
    <n v="3.6"/>
    <n v="11"/>
    <n v="3"/>
    <n v="58.820100000000004"/>
    <x v="0"/>
    <x v="0"/>
    <s v="Returning"/>
  </r>
  <r>
    <n v="4199"/>
    <n v="60"/>
    <s v="Male"/>
    <x v="5"/>
    <s v="Laptop"/>
    <n v="2585.88"/>
    <x v="2"/>
    <s v="Card"/>
    <n v="3.1"/>
    <n v="15"/>
    <n v="5"/>
    <n v="2197.998"/>
    <x v="0"/>
    <x v="0"/>
    <s v="Returning"/>
  </r>
  <r>
    <n v="4200"/>
    <n v="45"/>
    <s v="Male"/>
    <x v="5"/>
    <s v="Laptop"/>
    <n v="2462.83"/>
    <x v="1"/>
    <s v="Card"/>
    <n v="4.5"/>
    <n v="12"/>
    <n v="6"/>
    <n v="2167.2903999999999"/>
    <x v="1"/>
    <x v="0"/>
    <s v="Returning"/>
  </r>
  <r>
    <n v="4201"/>
    <n v="38"/>
    <s v="Male"/>
    <x v="2"/>
    <s v="Yoga Mat"/>
    <n v="92.59"/>
    <x v="1"/>
    <s v="Card"/>
    <n v="4.5999999999999996"/>
    <n v="19"/>
    <n v="7"/>
    <n v="74.997900000000001"/>
    <x v="1"/>
    <x v="0"/>
    <s v="Returning"/>
  </r>
  <r>
    <n v="4202"/>
    <n v="52"/>
    <s v="Female"/>
    <x v="8"/>
    <s v="Jeans"/>
    <n v="132.66999999999999"/>
    <x v="0"/>
    <s v="Card"/>
    <n v="5"/>
    <n v="13"/>
    <n v="4"/>
    <n v="115.42289999999998"/>
    <x v="0"/>
    <x v="0"/>
    <s v="Returning"/>
  </r>
  <r>
    <n v="4203"/>
    <n v="49"/>
    <s v="Female"/>
    <x v="4"/>
    <s v="Cooking Oil"/>
    <n v="44.3"/>
    <x v="2"/>
    <s v="Card"/>
    <n v="4.3"/>
    <n v="17"/>
    <n v="6"/>
    <n v="36.768999999999998"/>
    <x v="0"/>
    <x v="0"/>
    <s v="Returning"/>
  </r>
  <r>
    <n v="4204"/>
    <n v="26"/>
    <s v="Female"/>
    <x v="6"/>
    <s v="Perfume"/>
    <n v="76.87"/>
    <x v="1"/>
    <s v="Card"/>
    <n v="3"/>
    <n v="10"/>
    <n v="5"/>
    <n v="69.183000000000007"/>
    <x v="4"/>
    <x v="0"/>
    <s v="Returning"/>
  </r>
  <r>
    <n v="4205"/>
    <n v="58"/>
    <s v="Male"/>
    <x v="1"/>
    <s v="Jacket"/>
    <n v="53.51"/>
    <x v="1"/>
    <s v="Card"/>
    <n v="4.4000000000000004"/>
    <n v="12"/>
    <n v="6"/>
    <n v="47.088799999999999"/>
    <x v="0"/>
    <x v="0"/>
    <s v="Returning"/>
  </r>
  <r>
    <n v="4206"/>
    <n v="52"/>
    <s v="Male"/>
    <x v="2"/>
    <s v="Dumbbells"/>
    <n v="103.02"/>
    <x v="0"/>
    <s v="Card"/>
    <n v="3.6"/>
    <n v="14"/>
    <n v="7"/>
    <n v="88.597200000000001"/>
    <x v="0"/>
    <x v="0"/>
    <s v="Returning"/>
  </r>
  <r>
    <n v="4207"/>
    <n v="64"/>
    <s v="Male"/>
    <x v="7"/>
    <s v="Sneakers"/>
    <n v="184.26"/>
    <x v="2"/>
    <s v="Card"/>
    <n v="4.5999999999999996"/>
    <n v="12"/>
    <n v="1"/>
    <n v="162.14879999999999"/>
    <x v="2"/>
    <x v="0"/>
    <s v="Returning"/>
  </r>
  <r>
    <n v="4208"/>
    <n v="55"/>
    <s v="Female"/>
    <x v="7"/>
    <s v="Sneakers"/>
    <n v="171.05"/>
    <x v="0"/>
    <s v="Card"/>
    <n v="3.8"/>
    <n v="12"/>
    <n v="6"/>
    <n v="150.524"/>
    <x v="0"/>
    <x v="0"/>
    <s v="Returning"/>
  </r>
  <r>
    <n v="4209"/>
    <n v="67"/>
    <s v="Female"/>
    <x v="0"/>
    <s v="Wallet"/>
    <n v="37.770000000000003"/>
    <x v="2"/>
    <s v="Cash on Delivery"/>
    <n v="4.5"/>
    <n v="20"/>
    <n v="5"/>
    <n v="30.216000000000005"/>
    <x v="2"/>
    <x v="0"/>
    <s v="Returning"/>
  </r>
  <r>
    <n v="4210"/>
    <n v="41"/>
    <s v="Male"/>
    <x v="3"/>
    <s v="Lamp"/>
    <n v="170.89"/>
    <x v="0"/>
    <s v="Card"/>
    <n v="4.7"/>
    <n v="24"/>
    <n v="7"/>
    <n v="129.87639999999999"/>
    <x v="1"/>
    <x v="0"/>
    <s v="Returning"/>
  </r>
  <r>
    <n v="4211"/>
    <n v="23"/>
    <s v="Male"/>
    <x v="7"/>
    <s v="Formal Shoes"/>
    <n v="249.42"/>
    <x v="1"/>
    <s v="Card"/>
    <n v="2.7"/>
    <n v="23"/>
    <n v="9"/>
    <n v="192.05339999999998"/>
    <x v="3"/>
    <x v="0"/>
    <s v="Returning"/>
  </r>
  <r>
    <n v="4212"/>
    <n v="66"/>
    <s v="Female"/>
    <x v="7"/>
    <s v="Sandals"/>
    <n v="167.08"/>
    <x v="1"/>
    <s v="Card"/>
    <n v="4.2"/>
    <n v="24"/>
    <n v="7"/>
    <n v="126.98080000000002"/>
    <x v="2"/>
    <x v="0"/>
    <s v="Returning"/>
  </r>
  <r>
    <n v="4213"/>
    <n v="26"/>
    <s v="Female"/>
    <x v="4"/>
    <s v="Cooking Oil"/>
    <n v="59.78"/>
    <x v="0"/>
    <s v="Card"/>
    <n v="4.3"/>
    <n v="15"/>
    <n v="5"/>
    <n v="50.813000000000002"/>
    <x v="4"/>
    <x v="0"/>
    <s v="Returning"/>
  </r>
  <r>
    <n v="4214"/>
    <n v="44"/>
    <s v="Female"/>
    <x v="8"/>
    <s v="Top"/>
    <n v="32"/>
    <x v="0"/>
    <s v="Card"/>
    <n v="5"/>
    <n v="14"/>
    <n v="7"/>
    <n v="27.52"/>
    <x v="1"/>
    <x v="0"/>
    <s v="Returning"/>
  </r>
  <r>
    <n v="4215"/>
    <n v="36"/>
    <s v="Male"/>
    <x v="2"/>
    <s v="Yoga Mat"/>
    <n v="46.99"/>
    <x v="1"/>
    <s v="Cash on Delivery"/>
    <n v="3.7"/>
    <n v="8"/>
    <n v="4"/>
    <n v="43.230800000000002"/>
    <x v="1"/>
    <x v="0"/>
    <s v="Returning"/>
  </r>
  <r>
    <n v="4216"/>
    <n v="31"/>
    <s v="Male"/>
    <x v="7"/>
    <s v="Sneakers"/>
    <n v="82.9"/>
    <x v="2"/>
    <s v="Card"/>
    <n v="4.2"/>
    <n v="16"/>
    <n v="3"/>
    <n v="69.635999999999996"/>
    <x v="4"/>
    <x v="0"/>
    <s v="Returning"/>
  </r>
  <r>
    <n v="4217"/>
    <n v="69"/>
    <s v="Male"/>
    <x v="7"/>
    <s v="Sneakers"/>
    <n v="245.86"/>
    <x v="2"/>
    <s v="Card"/>
    <n v="4"/>
    <n v="15"/>
    <n v="5"/>
    <n v="208.98099999999999"/>
    <x v="2"/>
    <x v="0"/>
    <s v="Returning"/>
  </r>
  <r>
    <n v="4218"/>
    <n v="48"/>
    <s v="Female"/>
    <x v="0"/>
    <s v="Handbag"/>
    <n v="94.05"/>
    <x v="1"/>
    <s v="Cash on Delivery"/>
    <n v="4.3"/>
    <n v="10"/>
    <n v="5"/>
    <n v="84.644999999999996"/>
    <x v="0"/>
    <x v="0"/>
    <s v="Returning"/>
  </r>
  <r>
    <n v="4219"/>
    <n v="31"/>
    <s v="Female"/>
    <x v="4"/>
    <s v="Rice Pack"/>
    <n v="9.39"/>
    <x v="0"/>
    <s v="Card"/>
    <n v="4.2"/>
    <n v="14"/>
    <n v="2"/>
    <n v="8.0754000000000001"/>
    <x v="4"/>
    <x v="0"/>
    <s v="Returning"/>
  </r>
  <r>
    <n v="4220"/>
    <n v="33"/>
    <s v="Female"/>
    <x v="7"/>
    <s v="Formal Shoes"/>
    <n v="115.37"/>
    <x v="2"/>
    <s v="Card"/>
    <n v="2.8"/>
    <n v="6"/>
    <n v="3"/>
    <n v="108.4478"/>
    <x v="4"/>
    <x v="0"/>
    <s v="Returning"/>
  </r>
  <r>
    <n v="4221"/>
    <n v="42"/>
    <s v="Male"/>
    <x v="3"/>
    <s v="Lamp"/>
    <n v="288.26"/>
    <x v="1"/>
    <s v="Card"/>
    <n v="4.0999999999999996"/>
    <n v="10"/>
    <n v="5"/>
    <n v="259.43400000000003"/>
    <x v="1"/>
    <x v="0"/>
    <s v="Returning"/>
  </r>
  <r>
    <n v="4222"/>
    <n v="61"/>
    <s v="Male"/>
    <x v="5"/>
    <s v="Mobile Phone"/>
    <n v="2235.09"/>
    <x v="2"/>
    <s v="Card"/>
    <n v="4.4000000000000004"/>
    <n v="14"/>
    <n v="7"/>
    <n v="1922.1774"/>
    <x v="2"/>
    <x v="0"/>
    <s v="Returning"/>
  </r>
  <r>
    <n v="4223"/>
    <n v="62"/>
    <s v="Male"/>
    <x v="2"/>
    <s v="Football"/>
    <n v="173.92"/>
    <x v="3"/>
    <s v="Card"/>
    <n v="4.2"/>
    <n v="8"/>
    <n v="4"/>
    <n v="160.00639999999999"/>
    <x v="2"/>
    <x v="0"/>
    <s v="Returning"/>
  </r>
  <r>
    <n v="4224"/>
    <n v="29"/>
    <s v="Female"/>
    <x v="6"/>
    <s v="Perfume"/>
    <n v="20.49"/>
    <x v="1"/>
    <s v="Cash on Delivery"/>
    <n v="3.7"/>
    <n v="14"/>
    <n v="7"/>
    <n v="17.621399999999998"/>
    <x v="4"/>
    <x v="0"/>
    <s v="Returning"/>
  </r>
  <r>
    <n v="4225"/>
    <n v="23"/>
    <s v="Female"/>
    <x v="6"/>
    <s v="Skincare Kit"/>
    <n v="46.62"/>
    <x v="2"/>
    <s v="Cash on Delivery"/>
    <n v="5"/>
    <n v="22"/>
    <n v="6"/>
    <n v="36.363599999999998"/>
    <x v="3"/>
    <x v="0"/>
    <s v="Returning"/>
  </r>
  <r>
    <n v="4226"/>
    <n v="49"/>
    <s v="Male"/>
    <x v="5"/>
    <s v="Mobile Phone"/>
    <n v="2552"/>
    <x v="0"/>
    <s v="Card"/>
    <n v="4.5"/>
    <n v="18"/>
    <n v="4"/>
    <n v="2092.6400000000003"/>
    <x v="0"/>
    <x v="0"/>
    <s v="Returning"/>
  </r>
  <r>
    <n v="4227"/>
    <n v="67"/>
    <s v="Male"/>
    <x v="2"/>
    <s v="Yoga Mat"/>
    <n v="123.27"/>
    <x v="3"/>
    <s v="Card"/>
    <n v="4.0999999999999996"/>
    <n v="12"/>
    <n v="6"/>
    <n v="108.4776"/>
    <x v="2"/>
    <x v="0"/>
    <s v="Returning"/>
  </r>
  <r>
    <n v="4228"/>
    <n v="65"/>
    <s v="Male"/>
    <x v="7"/>
    <s v="Formal Shoes"/>
    <n v="92.07"/>
    <x v="3"/>
    <s v="Cash on Delivery"/>
    <n v="4.2"/>
    <n v="18"/>
    <n v="4"/>
    <n v="75.497399999999999"/>
    <x v="2"/>
    <x v="0"/>
    <s v="Returning"/>
  </r>
  <r>
    <n v="4229"/>
    <n v="30"/>
    <s v="Female"/>
    <x v="0"/>
    <s v="Wallet"/>
    <n v="37.86"/>
    <x v="1"/>
    <s v="Cash on Delivery"/>
    <n v="4.9000000000000004"/>
    <n v="16"/>
    <n v="3"/>
    <n v="31.802399999999999"/>
    <x v="4"/>
    <x v="0"/>
    <s v="Returning"/>
  </r>
  <r>
    <n v="4230"/>
    <n v="52"/>
    <s v="Male"/>
    <x v="5"/>
    <s v="Smart Watch"/>
    <n v="1075.98"/>
    <x v="0"/>
    <s v="Card"/>
    <n v="4"/>
    <n v="4"/>
    <n v="2"/>
    <n v="1032.9408000000001"/>
    <x v="0"/>
    <x v="0"/>
    <s v="Returning"/>
  </r>
  <r>
    <n v="4231"/>
    <n v="70"/>
    <s v="Male"/>
    <x v="7"/>
    <s v="Formal Shoes"/>
    <n v="71.55"/>
    <x v="3"/>
    <s v="Cash on Delivery"/>
    <n v="4.5"/>
    <n v="10"/>
    <n v="5"/>
    <n v="64.394999999999996"/>
    <x v="2"/>
    <x v="0"/>
    <s v="Returning"/>
  </r>
  <r>
    <n v="4232"/>
    <n v="27"/>
    <s v="Male"/>
    <x v="5"/>
    <s v="Headphones"/>
    <n v="2020.46"/>
    <x v="0"/>
    <s v="Card"/>
    <n v="5"/>
    <n v="23"/>
    <n v="9"/>
    <n v="1555.7542000000001"/>
    <x v="4"/>
    <x v="0"/>
    <s v="Returning"/>
  </r>
  <r>
    <n v="4233"/>
    <n v="41"/>
    <s v="Female"/>
    <x v="0"/>
    <s v="Handbag"/>
    <n v="55.11"/>
    <x v="1"/>
    <s v="Card"/>
    <n v="3.2"/>
    <n v="15"/>
    <n v="5"/>
    <n v="46.843499999999999"/>
    <x v="1"/>
    <x v="0"/>
    <s v="Returning"/>
  </r>
  <r>
    <n v="4234"/>
    <n v="22"/>
    <s v="Female"/>
    <x v="6"/>
    <s v="Makeup Set"/>
    <n v="120.3"/>
    <x v="1"/>
    <s v="Card"/>
    <n v="3.3"/>
    <n v="11"/>
    <n v="3"/>
    <n v="107.06699999999999"/>
    <x v="3"/>
    <x v="0"/>
    <s v="Returning"/>
  </r>
  <r>
    <n v="4235"/>
    <n v="50"/>
    <s v="Female"/>
    <x v="0"/>
    <s v="Wallet"/>
    <n v="69.930000000000007"/>
    <x v="0"/>
    <s v="Cash on Delivery"/>
    <n v="3.9"/>
    <n v="13"/>
    <n v="4"/>
    <n v="60.839100000000009"/>
    <x v="0"/>
    <x v="0"/>
    <s v="Returning"/>
  </r>
  <r>
    <n v="4236"/>
    <n v="27"/>
    <s v="Female"/>
    <x v="8"/>
    <s v="Top"/>
    <n v="185.32"/>
    <x v="3"/>
    <s v="Card"/>
    <n v="4.5"/>
    <n v="19"/>
    <n v="7"/>
    <n v="150.10920000000002"/>
    <x v="4"/>
    <x v="0"/>
    <s v="Returning"/>
  </r>
  <r>
    <n v="4237"/>
    <n v="28"/>
    <s v="Female"/>
    <x v="0"/>
    <s v="Handbag"/>
    <n v="123.5"/>
    <x v="1"/>
    <s v="Card"/>
    <n v="3"/>
    <n v="14"/>
    <n v="2"/>
    <n v="106.21"/>
    <x v="4"/>
    <x v="0"/>
    <s v="Returning"/>
  </r>
  <r>
    <n v="4238"/>
    <n v="52"/>
    <s v="Male"/>
    <x v="7"/>
    <s v="Formal Shoes"/>
    <n v="56.61"/>
    <x v="3"/>
    <s v="Cash on Delivery"/>
    <n v="2.9"/>
    <n v="15"/>
    <n v="5"/>
    <n v="48.118499999999997"/>
    <x v="0"/>
    <x v="0"/>
    <s v="Returning"/>
  </r>
  <r>
    <n v="4239"/>
    <n v="32"/>
    <s v="Female"/>
    <x v="8"/>
    <s v="Top"/>
    <n v="60.63"/>
    <x v="2"/>
    <s v="Cash on Delivery"/>
    <n v="3.6"/>
    <n v="12"/>
    <n v="6"/>
    <n v="53.354400000000005"/>
    <x v="4"/>
    <x v="0"/>
    <s v="Returning"/>
  </r>
  <r>
    <n v="4240"/>
    <n v="68"/>
    <s v="Female"/>
    <x v="0"/>
    <s v="Wallet"/>
    <n v="80.92"/>
    <x v="1"/>
    <s v="Card"/>
    <n v="4"/>
    <n v="16"/>
    <n v="3"/>
    <n v="67.972799999999992"/>
    <x v="2"/>
    <x v="0"/>
    <s v="Returning"/>
  </r>
  <r>
    <n v="4241"/>
    <n v="52"/>
    <s v="Female"/>
    <x v="0"/>
    <s v="Handbag"/>
    <n v="152.85"/>
    <x v="0"/>
    <s v="Card"/>
    <n v="4.5"/>
    <n v="15"/>
    <n v="5"/>
    <n v="129.92249999999999"/>
    <x v="0"/>
    <x v="0"/>
    <s v="Returning"/>
  </r>
  <r>
    <n v="4242"/>
    <n v="29"/>
    <s v="Male"/>
    <x v="5"/>
    <s v="Mobile Phone"/>
    <n v="2125.29"/>
    <x v="2"/>
    <s v="Card"/>
    <n v="3.2"/>
    <n v="15"/>
    <n v="5"/>
    <n v="1806.4965"/>
    <x v="4"/>
    <x v="0"/>
    <s v="Returning"/>
  </r>
  <r>
    <n v="4243"/>
    <n v="58"/>
    <s v="Male"/>
    <x v="1"/>
    <s v="Jacket"/>
    <n v="123.77"/>
    <x v="0"/>
    <s v="Card"/>
    <n v="3"/>
    <n v="17"/>
    <n v="6"/>
    <n v="102.72909999999999"/>
    <x v="0"/>
    <x v="0"/>
    <s v="Returning"/>
  </r>
  <r>
    <n v="4244"/>
    <n v="54"/>
    <s v="Female"/>
    <x v="7"/>
    <s v="Sandals"/>
    <n v="90.38"/>
    <x v="1"/>
    <s v="Card"/>
    <n v="2.2000000000000002"/>
    <n v="11"/>
    <n v="3"/>
    <n v="80.438199999999995"/>
    <x v="0"/>
    <x v="0"/>
    <s v="Returning"/>
  </r>
  <r>
    <n v="4245"/>
    <n v="32"/>
    <s v="Male"/>
    <x v="2"/>
    <s v="Football"/>
    <n v="76.58"/>
    <x v="3"/>
    <s v="Card"/>
    <n v="3"/>
    <n v="18"/>
    <n v="4"/>
    <n v="62.7956"/>
    <x v="4"/>
    <x v="0"/>
    <s v="Returning"/>
  </r>
  <r>
    <n v="4246"/>
    <n v="68"/>
    <s v="Female"/>
    <x v="7"/>
    <s v="Sneakers"/>
    <n v="167.65"/>
    <x v="3"/>
    <s v="Card"/>
    <n v="4.4000000000000004"/>
    <n v="15"/>
    <n v="5"/>
    <n v="142.5025"/>
    <x v="2"/>
    <x v="0"/>
    <s v="Returning"/>
  </r>
  <r>
    <n v="4247"/>
    <n v="29"/>
    <s v="Male"/>
    <x v="2"/>
    <s v="Yoga Mat"/>
    <n v="140.16999999999999"/>
    <x v="1"/>
    <s v="Card"/>
    <n v="3.1"/>
    <n v="14"/>
    <n v="2"/>
    <n v="120.54619999999998"/>
    <x v="4"/>
    <x v="0"/>
    <s v="Returning"/>
  </r>
  <r>
    <n v="4248"/>
    <n v="63"/>
    <s v="Female"/>
    <x v="0"/>
    <s v="Wallet"/>
    <n v="159.29"/>
    <x v="2"/>
    <s v="Card"/>
    <n v="5"/>
    <n v="13"/>
    <n v="4"/>
    <n v="138.5823"/>
    <x v="2"/>
    <x v="0"/>
    <s v="Returning"/>
  </r>
  <r>
    <n v="4249"/>
    <n v="51"/>
    <s v="Female"/>
    <x v="8"/>
    <s v="Top"/>
    <n v="182.14"/>
    <x v="0"/>
    <s v="Card"/>
    <n v="3.3"/>
    <n v="18"/>
    <n v="4"/>
    <n v="149.35480000000001"/>
    <x v="0"/>
    <x v="0"/>
    <s v="Returning"/>
  </r>
  <r>
    <n v="4250"/>
    <n v="43"/>
    <s v="Female"/>
    <x v="7"/>
    <s v="Formal Shoes"/>
    <n v="207.33"/>
    <x v="0"/>
    <s v="Card"/>
    <n v="3.9"/>
    <n v="10"/>
    <n v="5"/>
    <n v="186.59700000000001"/>
    <x v="1"/>
    <x v="0"/>
    <s v="Returning"/>
  </r>
  <r>
    <n v="4251"/>
    <n v="20"/>
    <s v="Female"/>
    <x v="6"/>
    <s v="Makeup Set"/>
    <n v="142.55000000000001"/>
    <x v="0"/>
    <s v="Card"/>
    <n v="3.7"/>
    <n v="14"/>
    <n v="2"/>
    <n v="122.593"/>
    <x v="3"/>
    <x v="0"/>
    <s v="Returning"/>
  </r>
  <r>
    <n v="4252"/>
    <n v="24"/>
    <s v="Male"/>
    <x v="2"/>
    <s v="Dumbbells"/>
    <n v="28.41"/>
    <x v="1"/>
    <s v="Card"/>
    <n v="3.7"/>
    <n v="18"/>
    <n v="4"/>
    <n v="23.296200000000002"/>
    <x v="3"/>
    <x v="0"/>
    <s v="Returning"/>
  </r>
  <r>
    <n v="4253"/>
    <n v="22"/>
    <s v="Female"/>
    <x v="3"/>
    <s v="Kitchen Set"/>
    <n v="53.87"/>
    <x v="3"/>
    <s v="Card"/>
    <n v="3.7"/>
    <n v="9"/>
    <n v="2"/>
    <n v="49.021700000000003"/>
    <x v="3"/>
    <x v="0"/>
    <s v="Returning"/>
  </r>
  <r>
    <n v="4254"/>
    <n v="40"/>
    <s v="Male"/>
    <x v="5"/>
    <s v="Laptop"/>
    <n v="2648.55"/>
    <x v="0"/>
    <s v="Card"/>
    <n v="5"/>
    <n v="16"/>
    <n v="8"/>
    <n v="2224.7820000000002"/>
    <x v="1"/>
    <x v="0"/>
    <s v="Returning"/>
  </r>
  <r>
    <n v="4255"/>
    <n v="56"/>
    <s v="Male"/>
    <x v="5"/>
    <s v="Headphones"/>
    <n v="2273.5300000000002"/>
    <x v="3"/>
    <s v="Card"/>
    <n v="3.9"/>
    <n v="25"/>
    <n v="10"/>
    <n v="1705.1475"/>
    <x v="0"/>
    <x v="0"/>
    <s v="Returning"/>
  </r>
  <r>
    <n v="4256"/>
    <n v="68"/>
    <s v="Female"/>
    <x v="2"/>
    <s v="Football"/>
    <n v="118.12"/>
    <x v="2"/>
    <s v="Card"/>
    <n v="3.3"/>
    <n v="22"/>
    <n v="6"/>
    <n v="92.133600000000001"/>
    <x v="2"/>
    <x v="0"/>
    <s v="Returning"/>
  </r>
  <r>
    <n v="4257"/>
    <n v="39"/>
    <s v="Female"/>
    <x v="7"/>
    <s v="Sandals"/>
    <n v="226.03"/>
    <x v="2"/>
    <s v="Card"/>
    <n v="3.8"/>
    <n v="20"/>
    <n v="5"/>
    <n v="180.82400000000001"/>
    <x v="1"/>
    <x v="0"/>
    <s v="Returning"/>
  </r>
  <r>
    <n v="4258"/>
    <n v="45"/>
    <s v="Female"/>
    <x v="8"/>
    <s v="Top"/>
    <n v="78.87"/>
    <x v="1"/>
    <s v="Cash on Delivery"/>
    <n v="3.7"/>
    <n v="18"/>
    <n v="4"/>
    <n v="64.673400000000015"/>
    <x v="1"/>
    <x v="0"/>
    <s v="Returning"/>
  </r>
  <r>
    <n v="4259"/>
    <n v="63"/>
    <s v="Male"/>
    <x v="2"/>
    <s v="Football"/>
    <n v="119.9"/>
    <x v="0"/>
    <s v="Card"/>
    <n v="4.5999999999999996"/>
    <n v="30"/>
    <n v="10"/>
    <n v="83.929999999999993"/>
    <x v="2"/>
    <x v="0"/>
    <s v="Returning"/>
  </r>
  <r>
    <n v="4260"/>
    <n v="46"/>
    <s v="Female"/>
    <x v="0"/>
    <s v="Handbag"/>
    <n v="64.95"/>
    <x v="0"/>
    <s v="Cash on Delivery"/>
    <n v="3.6"/>
    <n v="12"/>
    <n v="1"/>
    <n v="57.156000000000006"/>
    <x v="0"/>
    <x v="0"/>
    <s v="Returning"/>
  </r>
  <r>
    <n v="4261"/>
    <n v="34"/>
    <s v="Male"/>
    <x v="7"/>
    <s v="Sandals"/>
    <n v="103.26"/>
    <x v="2"/>
    <s v="Card"/>
    <n v="5"/>
    <n v="15"/>
    <n v="5"/>
    <n v="87.771000000000001"/>
    <x v="4"/>
    <x v="0"/>
    <s v="Returning"/>
  </r>
  <r>
    <n v="4262"/>
    <n v="69"/>
    <s v="Male"/>
    <x v="5"/>
    <s v="Headphones"/>
    <n v="1019.98"/>
    <x v="1"/>
    <s v="Card"/>
    <n v="4.5"/>
    <n v="18"/>
    <n v="4"/>
    <n v="836.38360000000011"/>
    <x v="2"/>
    <x v="0"/>
    <s v="Returning"/>
  </r>
  <r>
    <n v="4263"/>
    <n v="48"/>
    <s v="Female"/>
    <x v="0"/>
    <s v="Sunglasses"/>
    <n v="177.11"/>
    <x v="0"/>
    <s v="Card"/>
    <n v="4.7"/>
    <n v="6"/>
    <n v="3"/>
    <n v="166.48340000000002"/>
    <x v="0"/>
    <x v="0"/>
    <s v="Returning"/>
  </r>
  <r>
    <n v="4264"/>
    <n v="68"/>
    <s v="Female"/>
    <x v="8"/>
    <s v="Top"/>
    <n v="102.76"/>
    <x v="1"/>
    <s v="Card"/>
    <n v="3.5"/>
    <n v="17"/>
    <n v="6"/>
    <n v="85.290800000000004"/>
    <x v="2"/>
    <x v="0"/>
    <s v="Returning"/>
  </r>
  <r>
    <n v="4265"/>
    <n v="58"/>
    <s v="Male"/>
    <x v="1"/>
    <s v="T-Shirt"/>
    <n v="115.46"/>
    <x v="1"/>
    <s v="Card"/>
    <n v="5"/>
    <n v="14"/>
    <n v="7"/>
    <n v="99.295599999999993"/>
    <x v="0"/>
    <x v="0"/>
    <s v="Returning"/>
  </r>
  <r>
    <n v="4266"/>
    <n v="23"/>
    <s v="Male"/>
    <x v="1"/>
    <s v="Jacket"/>
    <n v="180.94"/>
    <x v="3"/>
    <s v="Card"/>
    <n v="3.9"/>
    <n v="14"/>
    <n v="7"/>
    <n v="155.60839999999999"/>
    <x v="3"/>
    <x v="0"/>
    <s v="Returning"/>
  </r>
  <r>
    <n v="4267"/>
    <n v="62"/>
    <s v="Female"/>
    <x v="0"/>
    <s v="Wallet"/>
    <n v="155.55000000000001"/>
    <x v="0"/>
    <s v="Card"/>
    <n v="3.9"/>
    <n v="22"/>
    <n v="6"/>
    <n v="121.32900000000001"/>
    <x v="2"/>
    <x v="0"/>
    <s v="Returning"/>
  </r>
  <r>
    <n v="4268"/>
    <n v="41"/>
    <s v="Female"/>
    <x v="4"/>
    <s v="Beverages"/>
    <n v="8.82"/>
    <x v="2"/>
    <s v="Cash on Delivery"/>
    <n v="3.6"/>
    <n v="6"/>
    <n v="3"/>
    <n v="8.2907999999999991"/>
    <x v="1"/>
    <x v="0"/>
    <s v="Returning"/>
  </r>
  <r>
    <n v="4269"/>
    <n v="38"/>
    <s v="Female"/>
    <x v="8"/>
    <s v="Skirt"/>
    <n v="87.41"/>
    <x v="1"/>
    <s v="Card"/>
    <n v="3.8"/>
    <n v="2"/>
    <n v="1"/>
    <n v="85.661799999999999"/>
    <x v="1"/>
    <x v="0"/>
    <s v="Returning"/>
  </r>
  <r>
    <n v="4270"/>
    <n v="48"/>
    <s v="Male"/>
    <x v="2"/>
    <s v="Football"/>
    <n v="134.24"/>
    <x v="0"/>
    <s v="Card"/>
    <n v="2.7"/>
    <n v="14"/>
    <n v="7"/>
    <n v="115.44640000000001"/>
    <x v="0"/>
    <x v="0"/>
    <s v="Returning"/>
  </r>
  <r>
    <n v="4271"/>
    <n v="48"/>
    <s v="Female"/>
    <x v="6"/>
    <s v="Perfume"/>
    <n v="101.02"/>
    <x v="3"/>
    <s v="Card"/>
    <n v="4"/>
    <n v="22"/>
    <n v="6"/>
    <n v="78.795599999999993"/>
    <x v="0"/>
    <x v="0"/>
    <s v="Returning"/>
  </r>
  <r>
    <n v="4272"/>
    <n v="27"/>
    <s v="Female"/>
    <x v="2"/>
    <s v="Dumbbells"/>
    <n v="83.72"/>
    <x v="1"/>
    <s v="Card"/>
    <n v="3"/>
    <n v="22"/>
    <n v="6"/>
    <n v="65.301600000000008"/>
    <x v="4"/>
    <x v="0"/>
    <s v="Returning"/>
  </r>
  <r>
    <n v="4273"/>
    <n v="64"/>
    <s v="Male"/>
    <x v="1"/>
    <s v="Jacket"/>
    <n v="71.42"/>
    <x v="1"/>
    <s v="Cash on Delivery"/>
    <n v="2.8"/>
    <n v="10"/>
    <n v="5"/>
    <n v="64.278000000000006"/>
    <x v="2"/>
    <x v="0"/>
    <s v="Returning"/>
  </r>
  <r>
    <n v="4274"/>
    <n v="62"/>
    <s v="Female"/>
    <x v="8"/>
    <s v="Skirt"/>
    <n v="89.76"/>
    <x v="0"/>
    <s v="Card"/>
    <n v="4.5999999999999996"/>
    <n v="28"/>
    <n v="9"/>
    <n v="64.627200000000002"/>
    <x v="2"/>
    <x v="0"/>
    <s v="Returning"/>
  </r>
  <r>
    <n v="4275"/>
    <n v="46"/>
    <s v="Male"/>
    <x v="5"/>
    <s v="Mobile Phone"/>
    <n v="683.7"/>
    <x v="1"/>
    <s v="Card"/>
    <n v="3.8"/>
    <n v="26"/>
    <n v="8"/>
    <n v="505.93800000000005"/>
    <x v="0"/>
    <x v="0"/>
    <s v="Returning"/>
  </r>
  <r>
    <n v="4276"/>
    <n v="58"/>
    <s v="Male"/>
    <x v="2"/>
    <s v="Dumbbells"/>
    <n v="151.74"/>
    <x v="0"/>
    <s v="Card"/>
    <n v="4.4000000000000004"/>
    <n v="16"/>
    <n v="8"/>
    <n v="127.4616"/>
    <x v="0"/>
    <x v="0"/>
    <s v="Returning"/>
  </r>
  <r>
    <n v="4277"/>
    <n v="58"/>
    <s v="Male"/>
    <x v="7"/>
    <s v="Sneakers"/>
    <n v="72.22"/>
    <x v="2"/>
    <s v="Card"/>
    <n v="2.6"/>
    <n v="16"/>
    <n v="8"/>
    <n v="60.6648"/>
    <x v="0"/>
    <x v="0"/>
    <s v="Returning"/>
  </r>
  <r>
    <n v="4278"/>
    <n v="25"/>
    <s v="Male"/>
    <x v="4"/>
    <s v="Snacks"/>
    <n v="53.37"/>
    <x v="0"/>
    <s v="Cash on Delivery"/>
    <n v="3.5"/>
    <n v="26"/>
    <n v="8"/>
    <n v="39.4938"/>
    <x v="3"/>
    <x v="0"/>
    <s v="Returning"/>
  </r>
  <r>
    <n v="4279"/>
    <n v="49"/>
    <s v="Male"/>
    <x v="2"/>
    <s v="Yoga Mat"/>
    <n v="33.07"/>
    <x v="2"/>
    <s v="Card"/>
    <n v="2.9"/>
    <n v="22"/>
    <n v="6"/>
    <n v="25.794600000000003"/>
    <x v="0"/>
    <x v="0"/>
    <s v="Returning"/>
  </r>
  <r>
    <n v="4280"/>
    <n v="33"/>
    <s v="Female"/>
    <x v="0"/>
    <s v="Sunglasses"/>
    <n v="61.92"/>
    <x v="1"/>
    <s v="Cash on Delivery"/>
    <n v="4.2"/>
    <n v="28"/>
    <n v="9"/>
    <n v="44.5824"/>
    <x v="4"/>
    <x v="0"/>
    <s v="Returning"/>
  </r>
  <r>
    <n v="4281"/>
    <n v="43"/>
    <s v="Male"/>
    <x v="2"/>
    <s v="Dumbbells"/>
    <n v="88.84"/>
    <x v="0"/>
    <s v="Card"/>
    <n v="3.5"/>
    <n v="16"/>
    <n v="8"/>
    <n v="74.625600000000006"/>
    <x v="1"/>
    <x v="0"/>
    <s v="Returning"/>
  </r>
  <r>
    <n v="4282"/>
    <n v="46"/>
    <s v="Female"/>
    <x v="7"/>
    <s v="Sneakers"/>
    <n v="213.67"/>
    <x v="3"/>
    <s v="Card"/>
    <n v="3.8"/>
    <n v="13"/>
    <n v="4"/>
    <n v="185.8929"/>
    <x v="0"/>
    <x v="0"/>
    <s v="Returning"/>
  </r>
  <r>
    <n v="4283"/>
    <n v="32"/>
    <s v="Male"/>
    <x v="5"/>
    <s v="Smart Watch"/>
    <n v="744.74"/>
    <x v="2"/>
    <s v="Card"/>
    <n v="2.9"/>
    <n v="4"/>
    <n v="2"/>
    <n v="714.95039999999995"/>
    <x v="4"/>
    <x v="0"/>
    <s v="Returning"/>
  </r>
  <r>
    <n v="4284"/>
    <n v="64"/>
    <s v="Female"/>
    <x v="8"/>
    <s v="Jeans"/>
    <n v="199.4"/>
    <x v="1"/>
    <s v="Card"/>
    <n v="3.2"/>
    <n v="11"/>
    <n v="3"/>
    <n v="177.46600000000001"/>
    <x v="2"/>
    <x v="0"/>
    <s v="Returning"/>
  </r>
  <r>
    <n v="4285"/>
    <n v="67"/>
    <s v="Female"/>
    <x v="8"/>
    <s v="Dress"/>
    <n v="122.67"/>
    <x v="0"/>
    <s v="Card"/>
    <n v="3.6"/>
    <n v="24"/>
    <n v="7"/>
    <n v="93.229200000000006"/>
    <x v="2"/>
    <x v="0"/>
    <s v="Returning"/>
  </r>
  <r>
    <n v="4286"/>
    <n v="56"/>
    <s v="Female"/>
    <x v="8"/>
    <s v="Jeans"/>
    <n v="81.62"/>
    <x v="1"/>
    <s v="Card"/>
    <n v="4.0999999999999996"/>
    <n v="22"/>
    <n v="6"/>
    <n v="63.663600000000002"/>
    <x v="0"/>
    <x v="0"/>
    <s v="Returning"/>
  </r>
  <r>
    <n v="4287"/>
    <n v="51"/>
    <s v="Female"/>
    <x v="4"/>
    <s v="Snacks"/>
    <n v="50.86"/>
    <x v="3"/>
    <s v="Cash on Delivery"/>
    <n v="3.4"/>
    <n v="20"/>
    <n v="5"/>
    <n v="40.688000000000002"/>
    <x v="0"/>
    <x v="0"/>
    <s v="Returning"/>
  </r>
  <r>
    <n v="4288"/>
    <n v="42"/>
    <s v="Female"/>
    <x v="7"/>
    <s v="Formal Shoes"/>
    <n v="50.03"/>
    <x v="1"/>
    <s v="Cash on Delivery"/>
    <n v="4.0999999999999996"/>
    <n v="12"/>
    <n v="6"/>
    <n v="44.026400000000002"/>
    <x v="1"/>
    <x v="0"/>
    <s v="Returning"/>
  </r>
  <r>
    <n v="4289"/>
    <n v="46"/>
    <s v="Male"/>
    <x v="7"/>
    <s v="Formal Shoes"/>
    <n v="140.4"/>
    <x v="2"/>
    <s v="Card"/>
    <n v="3.5"/>
    <n v="18"/>
    <n v="9"/>
    <n v="115.12800000000001"/>
    <x v="0"/>
    <x v="0"/>
    <s v="Returning"/>
  </r>
  <r>
    <n v="4290"/>
    <n v="29"/>
    <s v="Female"/>
    <x v="6"/>
    <s v="Perfume"/>
    <n v="52.2"/>
    <x v="2"/>
    <s v="Card"/>
    <n v="4.3"/>
    <n v="6"/>
    <n v="3"/>
    <n v="49.067999999999998"/>
    <x v="4"/>
    <x v="0"/>
    <s v="Returning"/>
  </r>
  <r>
    <n v="4291"/>
    <n v="67"/>
    <s v="Male"/>
    <x v="2"/>
    <s v="Dumbbells"/>
    <n v="161.66999999999999"/>
    <x v="1"/>
    <s v="Card"/>
    <n v="2.8"/>
    <n v="10"/>
    <n v="5"/>
    <n v="145.50299999999999"/>
    <x v="2"/>
    <x v="0"/>
    <s v="Returning"/>
  </r>
  <r>
    <n v="4292"/>
    <n v="61"/>
    <s v="Male"/>
    <x v="2"/>
    <s v="Dumbbells"/>
    <n v="116.32"/>
    <x v="0"/>
    <s v="Card"/>
    <n v="3.6"/>
    <n v="16"/>
    <n v="3"/>
    <n v="97.708799999999997"/>
    <x v="2"/>
    <x v="0"/>
    <s v="Returning"/>
  </r>
  <r>
    <n v="4293"/>
    <n v="63"/>
    <s v="Female"/>
    <x v="6"/>
    <s v="Skincare Kit"/>
    <n v="88.46"/>
    <x v="2"/>
    <s v="Cash on Delivery"/>
    <n v="4.2"/>
    <n v="18"/>
    <n v="4"/>
    <n v="72.537199999999999"/>
    <x v="2"/>
    <x v="0"/>
    <s v="Returning"/>
  </r>
  <r>
    <n v="4294"/>
    <n v="20"/>
    <s v="Male"/>
    <x v="1"/>
    <s v="T-Shirt"/>
    <n v="175.64"/>
    <x v="3"/>
    <s v="Card"/>
    <n v="4"/>
    <n v="21"/>
    <n v="8"/>
    <n v="138.75559999999999"/>
    <x v="3"/>
    <x v="0"/>
    <s v="Returning"/>
  </r>
  <r>
    <n v="4295"/>
    <n v="68"/>
    <s v="Female"/>
    <x v="7"/>
    <s v="Sandals"/>
    <n v="109.35"/>
    <x v="3"/>
    <s v="Card"/>
    <n v="4.2"/>
    <n v="15"/>
    <n v="5"/>
    <n v="92.947499999999991"/>
    <x v="2"/>
    <x v="0"/>
    <s v="Returning"/>
  </r>
  <r>
    <n v="4296"/>
    <n v="41"/>
    <s v="Female"/>
    <x v="3"/>
    <s v="Lamp"/>
    <n v="63.09"/>
    <x v="0"/>
    <s v="Card"/>
    <n v="4.0999999999999996"/>
    <n v="20"/>
    <n v="5"/>
    <n v="50.472000000000008"/>
    <x v="1"/>
    <x v="0"/>
    <s v="Returning"/>
  </r>
  <r>
    <n v="4297"/>
    <n v="66"/>
    <s v="Male"/>
    <x v="1"/>
    <s v="T-Shirt"/>
    <n v="177.68"/>
    <x v="2"/>
    <s v="Card"/>
    <n v="4.5999999999999996"/>
    <n v="22"/>
    <n v="6"/>
    <n v="138.59040000000002"/>
    <x v="2"/>
    <x v="0"/>
    <s v="Returning"/>
  </r>
  <r>
    <n v="4298"/>
    <n v="53"/>
    <s v="Male"/>
    <x v="2"/>
    <s v="Football"/>
    <n v="203.97"/>
    <x v="1"/>
    <s v="Card"/>
    <n v="3.8"/>
    <n v="6"/>
    <n v="3"/>
    <n v="191.73179999999999"/>
    <x v="0"/>
    <x v="0"/>
    <s v="Returning"/>
  </r>
  <r>
    <n v="4299"/>
    <n v="66"/>
    <s v="Male"/>
    <x v="7"/>
    <s v="Sandals"/>
    <n v="55.18"/>
    <x v="1"/>
    <s v="Cash on Delivery"/>
    <n v="5"/>
    <n v="16"/>
    <n v="8"/>
    <n v="46.351199999999999"/>
    <x v="2"/>
    <x v="0"/>
    <s v="Returning"/>
  </r>
  <r>
    <n v="4300"/>
    <n v="58"/>
    <s v="Female"/>
    <x v="6"/>
    <s v="Perfume"/>
    <n v="120.91"/>
    <x v="2"/>
    <s v="Card"/>
    <n v="4.2"/>
    <n v="18"/>
    <n v="4"/>
    <n v="99.146200000000007"/>
    <x v="0"/>
    <x v="0"/>
    <s v="Returning"/>
  </r>
  <r>
    <n v="4301"/>
    <n v="65"/>
    <s v="Female"/>
    <x v="7"/>
    <s v="Sneakers"/>
    <n v="107.79"/>
    <x v="3"/>
    <s v="Card"/>
    <n v="3.9"/>
    <n v="12"/>
    <n v="6"/>
    <n v="94.855200000000011"/>
    <x v="2"/>
    <x v="0"/>
    <s v="Returning"/>
  </r>
  <r>
    <n v="4302"/>
    <n v="22"/>
    <s v="Female"/>
    <x v="6"/>
    <s v="Skincare Kit"/>
    <n v="88.76"/>
    <x v="1"/>
    <s v="Card"/>
    <n v="4"/>
    <n v="21"/>
    <n v="8"/>
    <n v="70.120400000000004"/>
    <x v="3"/>
    <x v="0"/>
    <s v="Returning"/>
  </r>
  <r>
    <n v="4303"/>
    <n v="41"/>
    <s v="Male"/>
    <x v="2"/>
    <s v="Dumbbells"/>
    <n v="131.51"/>
    <x v="2"/>
    <s v="Card"/>
    <n v="3.4"/>
    <n v="14"/>
    <n v="7"/>
    <n v="113.09859999999999"/>
    <x v="1"/>
    <x v="0"/>
    <s v="Returning"/>
  </r>
  <r>
    <n v="4304"/>
    <n v="54"/>
    <s v="Male"/>
    <x v="3"/>
    <s v="Kitchen Set"/>
    <n v="58.82"/>
    <x v="3"/>
    <s v="Cash on Delivery"/>
    <n v="3.8"/>
    <n v="23"/>
    <n v="9"/>
    <n v="45.291400000000003"/>
    <x v="0"/>
    <x v="0"/>
    <s v="Returning"/>
  </r>
  <r>
    <n v="4305"/>
    <n v="62"/>
    <s v="Male"/>
    <x v="1"/>
    <s v="T-Shirt"/>
    <n v="184.53"/>
    <x v="2"/>
    <s v="Card"/>
    <n v="4.2"/>
    <n v="28"/>
    <n v="9"/>
    <n v="132.86160000000001"/>
    <x v="2"/>
    <x v="0"/>
    <s v="Returning"/>
  </r>
  <r>
    <n v="4306"/>
    <n v="65"/>
    <s v="Male"/>
    <x v="5"/>
    <s v="Smart Watch"/>
    <n v="2803.45"/>
    <x v="1"/>
    <s v="Card"/>
    <n v="3.1"/>
    <n v="12"/>
    <n v="1"/>
    <n v="2467.0360000000001"/>
    <x v="2"/>
    <x v="0"/>
    <s v="Returning"/>
  </r>
  <r>
    <n v="4307"/>
    <n v="54"/>
    <s v="Female"/>
    <x v="0"/>
    <s v="Wallet"/>
    <n v="91.94"/>
    <x v="0"/>
    <s v="Card"/>
    <n v="3.6"/>
    <n v="16"/>
    <n v="3"/>
    <n v="77.229599999999991"/>
    <x v="0"/>
    <x v="0"/>
    <s v="Returning"/>
  </r>
  <r>
    <n v="4308"/>
    <n v="45"/>
    <s v="Male"/>
    <x v="3"/>
    <s v="Curtains"/>
    <n v="130.44999999999999"/>
    <x v="2"/>
    <s v="Card"/>
    <n v="4.5"/>
    <n v="14"/>
    <n v="7"/>
    <n v="112.18699999999998"/>
    <x v="1"/>
    <x v="0"/>
    <s v="Returning"/>
  </r>
  <r>
    <n v="4309"/>
    <n v="34"/>
    <s v="Male"/>
    <x v="3"/>
    <s v="Lamp"/>
    <n v="225"/>
    <x v="3"/>
    <s v="Card"/>
    <n v="3.2"/>
    <n v="14"/>
    <n v="2"/>
    <n v="193.5"/>
    <x v="4"/>
    <x v="0"/>
    <s v="Returning"/>
  </r>
  <r>
    <n v="4310"/>
    <n v="32"/>
    <s v="Male"/>
    <x v="7"/>
    <s v="Sandals"/>
    <n v="237.39"/>
    <x v="0"/>
    <s v="Card"/>
    <n v="5"/>
    <n v="24"/>
    <n v="7"/>
    <n v="180.41639999999998"/>
    <x v="4"/>
    <x v="0"/>
    <s v="Returning"/>
  </r>
  <r>
    <n v="4311"/>
    <n v="52"/>
    <s v="Female"/>
    <x v="0"/>
    <s v="Sunglasses"/>
    <n v="36.25"/>
    <x v="2"/>
    <s v="Cash on Delivery"/>
    <n v="4"/>
    <n v="17"/>
    <n v="6"/>
    <n v="30.087499999999999"/>
    <x v="0"/>
    <x v="0"/>
    <s v="Returning"/>
  </r>
  <r>
    <n v="4312"/>
    <n v="53"/>
    <s v="Male"/>
    <x v="7"/>
    <s v="Formal Shoes"/>
    <n v="70.209999999999994"/>
    <x v="1"/>
    <s v="Card"/>
    <n v="3"/>
    <n v="8"/>
    <n v="4"/>
    <n v="64.593199999999996"/>
    <x v="0"/>
    <x v="0"/>
    <s v="Returning"/>
  </r>
  <r>
    <n v="4313"/>
    <n v="38"/>
    <s v="Female"/>
    <x v="8"/>
    <s v="Dress"/>
    <n v="136.24"/>
    <x v="2"/>
    <s v="Card"/>
    <n v="3.9"/>
    <n v="8"/>
    <n v="4"/>
    <n v="125.34080000000002"/>
    <x v="1"/>
    <x v="0"/>
    <s v="Returning"/>
  </r>
  <r>
    <n v="4314"/>
    <n v="44"/>
    <s v="Female"/>
    <x v="8"/>
    <s v="Skirt"/>
    <n v="159.32"/>
    <x v="0"/>
    <s v="Card"/>
    <n v="4.3"/>
    <n v="10"/>
    <n v="5"/>
    <n v="143.38800000000001"/>
    <x v="1"/>
    <x v="0"/>
    <s v="Returning"/>
  </r>
  <r>
    <n v="4315"/>
    <n v="27"/>
    <s v="Male"/>
    <x v="3"/>
    <s v="Curtains"/>
    <n v="105.26"/>
    <x v="2"/>
    <s v="Card"/>
    <n v="3.7"/>
    <n v="15"/>
    <n v="5"/>
    <n v="89.471000000000004"/>
    <x v="4"/>
    <x v="0"/>
    <s v="Returning"/>
  </r>
  <r>
    <n v="4316"/>
    <n v="55"/>
    <s v="Female"/>
    <x v="3"/>
    <s v="Lamp"/>
    <n v="214.41"/>
    <x v="2"/>
    <s v="Card"/>
    <n v="3.7"/>
    <n v="11"/>
    <n v="3"/>
    <n v="190.82490000000001"/>
    <x v="0"/>
    <x v="0"/>
    <s v="Returning"/>
  </r>
  <r>
    <n v="4317"/>
    <n v="42"/>
    <s v="Female"/>
    <x v="8"/>
    <s v="Skirt"/>
    <n v="101.15"/>
    <x v="0"/>
    <s v="Card"/>
    <n v="2.6"/>
    <n v="12"/>
    <n v="6"/>
    <n v="89.012"/>
    <x v="1"/>
    <x v="0"/>
    <s v="Returning"/>
  </r>
  <r>
    <n v="4318"/>
    <n v="39"/>
    <s v="Female"/>
    <x v="4"/>
    <s v="Rice Pack"/>
    <n v="23.86"/>
    <x v="3"/>
    <s v="Cash on Delivery"/>
    <n v="3.7"/>
    <n v="14"/>
    <n v="7"/>
    <n v="20.519600000000001"/>
    <x v="1"/>
    <x v="0"/>
    <s v="Returning"/>
  </r>
  <r>
    <n v="4319"/>
    <n v="38"/>
    <s v="Male"/>
    <x v="7"/>
    <s v="Sneakers"/>
    <n v="206.88"/>
    <x v="2"/>
    <s v="Card"/>
    <n v="4.5"/>
    <n v="23"/>
    <n v="9"/>
    <n v="159.29759999999999"/>
    <x v="1"/>
    <x v="0"/>
    <s v="Returning"/>
  </r>
  <r>
    <n v="4320"/>
    <n v="33"/>
    <s v="Female"/>
    <x v="8"/>
    <s v="Jeans"/>
    <n v="152.85"/>
    <x v="2"/>
    <s v="Card"/>
    <n v="2.9"/>
    <n v="17"/>
    <n v="6"/>
    <n v="126.86549999999998"/>
    <x v="4"/>
    <x v="0"/>
    <s v="Returning"/>
  </r>
  <r>
    <n v="4321"/>
    <n v="41"/>
    <s v="Female"/>
    <x v="8"/>
    <s v="Top"/>
    <n v="131.57"/>
    <x v="3"/>
    <s v="Card"/>
    <n v="5"/>
    <n v="9"/>
    <n v="2"/>
    <n v="119.7287"/>
    <x v="1"/>
    <x v="0"/>
    <s v="Returning"/>
  </r>
  <r>
    <n v="4322"/>
    <n v="46"/>
    <s v="Male"/>
    <x v="2"/>
    <s v="Football"/>
    <n v="61.71"/>
    <x v="0"/>
    <s v="Card"/>
    <n v="4.8"/>
    <n v="18"/>
    <n v="4"/>
    <n v="50.602200000000003"/>
    <x v="0"/>
    <x v="0"/>
    <s v="Returning"/>
  </r>
  <r>
    <n v="4323"/>
    <n v="33"/>
    <s v="Female"/>
    <x v="2"/>
    <s v="Yoga Mat"/>
    <n v="146.32"/>
    <x v="0"/>
    <s v="Card"/>
    <n v="3.9"/>
    <n v="14"/>
    <n v="2"/>
    <n v="125.83519999999999"/>
    <x v="4"/>
    <x v="0"/>
    <s v="Returning"/>
  </r>
  <r>
    <n v="4324"/>
    <n v="30"/>
    <s v="Male"/>
    <x v="2"/>
    <s v="Football"/>
    <n v="176.43"/>
    <x v="0"/>
    <s v="Card"/>
    <n v="3.9"/>
    <n v="10"/>
    <n v="5"/>
    <n v="158.78700000000001"/>
    <x v="4"/>
    <x v="0"/>
    <s v="Returning"/>
  </r>
  <r>
    <n v="4325"/>
    <n v="40"/>
    <s v="Male"/>
    <x v="7"/>
    <s v="Sneakers"/>
    <n v="180.35"/>
    <x v="0"/>
    <s v="Card"/>
    <n v="3.5"/>
    <n v="10"/>
    <n v="5"/>
    <n v="162.315"/>
    <x v="1"/>
    <x v="0"/>
    <s v="Returning"/>
  </r>
  <r>
    <n v="4326"/>
    <n v="31"/>
    <s v="Female"/>
    <x v="3"/>
    <s v="Lamp"/>
    <n v="46.08"/>
    <x v="0"/>
    <s v="Card"/>
    <n v="3"/>
    <n v="17"/>
    <n v="6"/>
    <n v="38.246399999999994"/>
    <x v="4"/>
    <x v="0"/>
    <s v="Returning"/>
  </r>
  <r>
    <n v="4327"/>
    <n v="52"/>
    <s v="Female"/>
    <x v="6"/>
    <s v="Makeup Set"/>
    <n v="89.09"/>
    <x v="0"/>
    <s v="Cash on Delivery"/>
    <n v="4.4000000000000004"/>
    <n v="12"/>
    <n v="6"/>
    <n v="78.399200000000008"/>
    <x v="0"/>
    <x v="0"/>
    <s v="Returning"/>
  </r>
  <r>
    <n v="4328"/>
    <n v="65"/>
    <s v="Female"/>
    <x v="2"/>
    <s v="Yoga Mat"/>
    <n v="100.42"/>
    <x v="0"/>
    <s v="Card"/>
    <n v="3.8"/>
    <n v="22"/>
    <n v="6"/>
    <n v="78.327600000000004"/>
    <x v="2"/>
    <x v="0"/>
    <s v="Returning"/>
  </r>
  <r>
    <n v="4329"/>
    <n v="48"/>
    <s v="Male"/>
    <x v="1"/>
    <s v="T-Shirt"/>
    <n v="89.83"/>
    <x v="3"/>
    <s v="Card"/>
    <n v="4.0999999999999996"/>
    <n v="20"/>
    <n v="5"/>
    <n v="71.864000000000004"/>
    <x v="0"/>
    <x v="0"/>
    <s v="Returning"/>
  </r>
  <r>
    <n v="4330"/>
    <n v="54"/>
    <s v="Male"/>
    <x v="5"/>
    <s v="Mobile Phone"/>
    <n v="970.58"/>
    <x v="3"/>
    <s v="Card"/>
    <n v="4.7"/>
    <n v="18"/>
    <n v="9"/>
    <n v="795.87560000000008"/>
    <x v="0"/>
    <x v="0"/>
    <s v="Returning"/>
  </r>
  <r>
    <n v="4331"/>
    <n v="33"/>
    <s v="Male"/>
    <x v="5"/>
    <s v="Laptop"/>
    <n v="1987.37"/>
    <x v="3"/>
    <s v="Card"/>
    <n v="3.9"/>
    <n v="14"/>
    <n v="2"/>
    <n v="1709.1381999999999"/>
    <x v="4"/>
    <x v="0"/>
    <s v="Returning"/>
  </r>
  <r>
    <n v="4332"/>
    <n v="56"/>
    <s v="Male"/>
    <x v="5"/>
    <s v="Smart Watch"/>
    <n v="2918.5"/>
    <x v="2"/>
    <s v="Card"/>
    <n v="2.8"/>
    <n v="15"/>
    <n v="5"/>
    <n v="2480.7249999999999"/>
    <x v="0"/>
    <x v="0"/>
    <s v="Returning"/>
  </r>
  <r>
    <n v="4333"/>
    <n v="41"/>
    <s v="Female"/>
    <x v="2"/>
    <s v="Yoga Mat"/>
    <n v="25.82"/>
    <x v="3"/>
    <s v="Card"/>
    <n v="4.4000000000000004"/>
    <n v="16"/>
    <n v="3"/>
    <n v="21.688800000000001"/>
    <x v="1"/>
    <x v="0"/>
    <s v="Returning"/>
  </r>
  <r>
    <n v="4334"/>
    <n v="65"/>
    <s v="Male"/>
    <x v="7"/>
    <s v="Formal Shoes"/>
    <n v="72.739999999999995"/>
    <x v="2"/>
    <s v="Card"/>
    <n v="3"/>
    <n v="12"/>
    <n v="6"/>
    <n v="64.011200000000002"/>
    <x v="2"/>
    <x v="0"/>
    <s v="Returning"/>
  </r>
  <r>
    <n v="4335"/>
    <n v="32"/>
    <s v="Female"/>
    <x v="6"/>
    <s v="Skincare Kit"/>
    <n v="139.69999999999999"/>
    <x v="3"/>
    <s v="Card"/>
    <n v="3.1"/>
    <n v="20"/>
    <n v="5"/>
    <n v="111.75999999999999"/>
    <x v="4"/>
    <x v="0"/>
    <s v="Returning"/>
  </r>
  <r>
    <n v="4336"/>
    <n v="49"/>
    <s v="Female"/>
    <x v="7"/>
    <s v="Formal Shoes"/>
    <n v="59.06"/>
    <x v="1"/>
    <s v="Cash on Delivery"/>
    <n v="2.9"/>
    <n v="14"/>
    <n v="7"/>
    <n v="50.791600000000003"/>
    <x v="0"/>
    <x v="0"/>
    <s v="Returning"/>
  </r>
  <r>
    <n v="4337"/>
    <n v="61"/>
    <s v="Male"/>
    <x v="2"/>
    <s v="Football"/>
    <n v="101.88"/>
    <x v="1"/>
    <s v="Card"/>
    <n v="3.9"/>
    <n v="11"/>
    <n v="3"/>
    <n v="90.673199999999994"/>
    <x v="2"/>
    <x v="0"/>
    <s v="Returning"/>
  </r>
  <r>
    <n v="4338"/>
    <n v="54"/>
    <s v="Male"/>
    <x v="2"/>
    <s v="Football"/>
    <n v="92.18"/>
    <x v="1"/>
    <s v="Card"/>
    <n v="3.3"/>
    <n v="11"/>
    <n v="3"/>
    <n v="82.040200000000013"/>
    <x v="0"/>
    <x v="0"/>
    <s v="Returning"/>
  </r>
  <r>
    <n v="4339"/>
    <n v="50"/>
    <s v="Female"/>
    <x v="2"/>
    <s v="Football"/>
    <n v="118.5"/>
    <x v="3"/>
    <s v="Card"/>
    <n v="4.5999999999999996"/>
    <n v="20"/>
    <n v="10"/>
    <n v="94.800000000000011"/>
    <x v="0"/>
    <x v="0"/>
    <s v="Returning"/>
  </r>
  <r>
    <n v="4340"/>
    <n v="61"/>
    <s v="Male"/>
    <x v="5"/>
    <s v="Mobile Phone"/>
    <n v="1079.3399999999999"/>
    <x v="0"/>
    <s v="Card"/>
    <n v="3.6"/>
    <n v="26"/>
    <n v="8"/>
    <n v="798.71159999999998"/>
    <x v="2"/>
    <x v="0"/>
    <s v="Returning"/>
  </r>
  <r>
    <n v="4341"/>
    <n v="60"/>
    <s v="Female"/>
    <x v="6"/>
    <s v="Perfume"/>
    <n v="65.44"/>
    <x v="0"/>
    <s v="Cash on Delivery"/>
    <n v="5"/>
    <n v="16"/>
    <n v="3"/>
    <n v="54.969599999999993"/>
    <x v="0"/>
    <x v="0"/>
    <s v="Returning"/>
  </r>
  <r>
    <n v="4342"/>
    <n v="42"/>
    <s v="Female"/>
    <x v="6"/>
    <s v="Skincare Kit"/>
    <n v="25.79"/>
    <x v="2"/>
    <s v="Cash on Delivery"/>
    <n v="4"/>
    <n v="8"/>
    <n v="4"/>
    <n v="23.726800000000001"/>
    <x v="1"/>
    <x v="0"/>
    <s v="Returning"/>
  </r>
  <r>
    <n v="4343"/>
    <n v="45"/>
    <s v="Female"/>
    <x v="7"/>
    <s v="Sandals"/>
    <n v="50.12"/>
    <x v="2"/>
    <s v="Cash on Delivery"/>
    <n v="3.3"/>
    <n v="9"/>
    <n v="2"/>
    <n v="45.609200000000001"/>
    <x v="1"/>
    <x v="0"/>
    <s v="Returning"/>
  </r>
  <r>
    <n v="4344"/>
    <n v="28"/>
    <s v="Male"/>
    <x v="2"/>
    <s v="Yoga Mat"/>
    <n v="131.99"/>
    <x v="2"/>
    <s v="Card"/>
    <n v="4"/>
    <n v="23"/>
    <n v="9"/>
    <n v="101.63230000000001"/>
    <x v="4"/>
    <x v="0"/>
    <s v="Returning"/>
  </r>
  <r>
    <n v="4345"/>
    <n v="53"/>
    <s v="Female"/>
    <x v="7"/>
    <s v="Sandals"/>
    <n v="56.27"/>
    <x v="1"/>
    <s v="Cash on Delivery"/>
    <n v="3.3"/>
    <n v="16"/>
    <n v="8"/>
    <n v="47.266800000000003"/>
    <x v="0"/>
    <x v="0"/>
    <s v="Returning"/>
  </r>
  <r>
    <n v="4346"/>
    <n v="59"/>
    <s v="Male"/>
    <x v="5"/>
    <s v="Laptop"/>
    <n v="639.16999999999996"/>
    <x v="2"/>
    <s v="Card"/>
    <n v="3.9"/>
    <n v="16"/>
    <n v="8"/>
    <n v="536.90279999999996"/>
    <x v="0"/>
    <x v="0"/>
    <s v="Returning"/>
  </r>
  <r>
    <n v="4347"/>
    <n v="42"/>
    <s v="Female"/>
    <x v="7"/>
    <s v="Formal Shoes"/>
    <n v="56.5"/>
    <x v="1"/>
    <s v="Card"/>
    <n v="4.0999999999999996"/>
    <n v="8"/>
    <n v="4"/>
    <n v="51.980000000000004"/>
    <x v="1"/>
    <x v="0"/>
    <s v="Returning"/>
  </r>
  <r>
    <n v="4348"/>
    <n v="69"/>
    <s v="Female"/>
    <x v="2"/>
    <s v="Football"/>
    <n v="49.1"/>
    <x v="3"/>
    <s v="Cash on Delivery"/>
    <n v="3"/>
    <n v="22"/>
    <n v="6"/>
    <n v="38.298000000000002"/>
    <x v="2"/>
    <x v="0"/>
    <s v="Returning"/>
  </r>
  <r>
    <n v="4349"/>
    <n v="70"/>
    <s v="Female"/>
    <x v="0"/>
    <s v="Wallet"/>
    <n v="27.04"/>
    <x v="2"/>
    <s v="Card"/>
    <n v="3.9"/>
    <n v="16"/>
    <n v="3"/>
    <n v="22.7136"/>
    <x v="2"/>
    <x v="0"/>
    <s v="Returning"/>
  </r>
  <r>
    <n v="4350"/>
    <n v="69"/>
    <s v="Male"/>
    <x v="7"/>
    <s v="Sneakers"/>
    <n v="116.04"/>
    <x v="2"/>
    <s v="Card"/>
    <n v="3.3"/>
    <n v="17"/>
    <n v="6"/>
    <n v="96.313199999999995"/>
    <x v="2"/>
    <x v="0"/>
    <s v="Returning"/>
  </r>
  <r>
    <n v="4351"/>
    <n v="21"/>
    <s v="Female"/>
    <x v="2"/>
    <s v="Yoga Mat"/>
    <n v="130.69999999999999"/>
    <x v="0"/>
    <s v="Card"/>
    <n v="3.5"/>
    <n v="10"/>
    <n v="5"/>
    <n v="117.63"/>
    <x v="3"/>
    <x v="0"/>
    <s v="Returning"/>
  </r>
  <r>
    <n v="4352"/>
    <n v="23"/>
    <s v="Male"/>
    <x v="5"/>
    <s v="Mobile Phone"/>
    <n v="1990.13"/>
    <x v="1"/>
    <s v="Card"/>
    <n v="4.0999999999999996"/>
    <n v="10"/>
    <n v="0"/>
    <n v="1791.1170000000002"/>
    <x v="3"/>
    <x v="0"/>
    <s v="New"/>
  </r>
  <r>
    <n v="4353"/>
    <n v="59"/>
    <s v="Female"/>
    <x v="7"/>
    <s v="Sneakers"/>
    <n v="198.56"/>
    <x v="3"/>
    <s v="Card"/>
    <n v="3.4"/>
    <n v="10"/>
    <n v="5"/>
    <n v="178.70400000000001"/>
    <x v="0"/>
    <x v="0"/>
    <s v="Returning"/>
  </r>
  <r>
    <n v="4354"/>
    <n v="68"/>
    <s v="Female"/>
    <x v="0"/>
    <s v="Sunglasses"/>
    <n v="116.6"/>
    <x v="2"/>
    <s v="Card"/>
    <n v="3.4"/>
    <n v="16"/>
    <n v="3"/>
    <n v="97.943999999999988"/>
    <x v="2"/>
    <x v="0"/>
    <s v="Returning"/>
  </r>
  <r>
    <n v="4355"/>
    <n v="41"/>
    <s v="Male"/>
    <x v="1"/>
    <s v="Shirt"/>
    <n v="143.78"/>
    <x v="2"/>
    <s v="Card"/>
    <n v="3.6"/>
    <n v="24"/>
    <n v="12"/>
    <n v="109.2728"/>
    <x v="1"/>
    <x v="0"/>
    <s v="Returning"/>
  </r>
  <r>
    <n v="4356"/>
    <n v="22"/>
    <s v="Male"/>
    <x v="7"/>
    <s v="Formal Shoes"/>
    <n v="72.510000000000005"/>
    <x v="1"/>
    <s v="Cash on Delivery"/>
    <n v="3.7"/>
    <n v="11"/>
    <n v="3"/>
    <n v="64.533900000000003"/>
    <x v="3"/>
    <x v="0"/>
    <s v="Returning"/>
  </r>
  <r>
    <n v="4357"/>
    <n v="20"/>
    <s v="Male"/>
    <x v="7"/>
    <s v="Formal Shoes"/>
    <n v="238.67"/>
    <x v="1"/>
    <s v="Card"/>
    <n v="4.0999999999999996"/>
    <n v="12"/>
    <n v="6"/>
    <n v="210.02959999999999"/>
    <x v="3"/>
    <x v="0"/>
    <s v="Returning"/>
  </r>
  <r>
    <n v="4358"/>
    <n v="52"/>
    <s v="Male"/>
    <x v="1"/>
    <s v="Shirt"/>
    <n v="164.35"/>
    <x v="2"/>
    <s v="Card"/>
    <n v="4.0999999999999996"/>
    <n v="4"/>
    <n v="2"/>
    <n v="157.77599999999998"/>
    <x v="0"/>
    <x v="0"/>
    <s v="Returning"/>
  </r>
  <r>
    <n v="4359"/>
    <n v="69"/>
    <s v="Male"/>
    <x v="5"/>
    <s v="Headphones"/>
    <n v="1339.11"/>
    <x v="0"/>
    <s v="Card"/>
    <n v="3.5"/>
    <n v="9"/>
    <n v="2"/>
    <n v="1218.5900999999999"/>
    <x v="2"/>
    <x v="0"/>
    <s v="Returning"/>
  </r>
  <r>
    <n v="4360"/>
    <n v="42"/>
    <s v="Male"/>
    <x v="2"/>
    <s v="Dumbbells"/>
    <n v="198.2"/>
    <x v="0"/>
    <s v="Card"/>
    <n v="3.3"/>
    <n v="8"/>
    <n v="4"/>
    <n v="182.34399999999999"/>
    <x v="1"/>
    <x v="0"/>
    <s v="Returning"/>
  </r>
  <r>
    <n v="4361"/>
    <n v="37"/>
    <s v="Male"/>
    <x v="4"/>
    <s v="Cooking Oil"/>
    <n v="62.87"/>
    <x v="3"/>
    <s v="Cash on Delivery"/>
    <n v="3.5"/>
    <n v="14"/>
    <n v="7"/>
    <n v="54.068199999999997"/>
    <x v="1"/>
    <x v="0"/>
    <s v="Returning"/>
  </r>
  <r>
    <n v="4362"/>
    <n v="29"/>
    <s v="Female"/>
    <x v="8"/>
    <s v="Dress"/>
    <n v="150.07"/>
    <x v="1"/>
    <s v="Card"/>
    <n v="3.9"/>
    <n v="19"/>
    <n v="7"/>
    <n v="121.55670000000001"/>
    <x v="4"/>
    <x v="0"/>
    <s v="Returning"/>
  </r>
  <r>
    <n v="4363"/>
    <n v="51"/>
    <s v="Male"/>
    <x v="4"/>
    <s v="Cooking Oil"/>
    <n v="71.540000000000006"/>
    <x v="2"/>
    <s v="Cash on Delivery"/>
    <n v="3.5"/>
    <n v="16"/>
    <n v="3"/>
    <n v="60.093600000000002"/>
    <x v="0"/>
    <x v="0"/>
    <s v="Returning"/>
  </r>
  <r>
    <n v="4364"/>
    <n v="26"/>
    <s v="Female"/>
    <x v="8"/>
    <s v="Skirt"/>
    <n v="43.22"/>
    <x v="1"/>
    <s v="Cash on Delivery"/>
    <n v="2.9"/>
    <n v="2"/>
    <n v="1"/>
    <n v="42.355599999999995"/>
    <x v="4"/>
    <x v="0"/>
    <s v="Returning"/>
  </r>
  <r>
    <n v="4365"/>
    <n v="49"/>
    <s v="Male"/>
    <x v="7"/>
    <s v="Sandals"/>
    <n v="173.46"/>
    <x v="0"/>
    <s v="Card"/>
    <n v="3.8"/>
    <n v="22"/>
    <n v="6"/>
    <n v="135.2988"/>
    <x v="0"/>
    <x v="0"/>
    <s v="Returning"/>
  </r>
  <r>
    <n v="4366"/>
    <n v="47"/>
    <s v="Male"/>
    <x v="3"/>
    <s v="Lamp"/>
    <n v="286.8"/>
    <x v="1"/>
    <s v="Card"/>
    <n v="5"/>
    <n v="19"/>
    <n v="7"/>
    <n v="232.30800000000002"/>
    <x v="0"/>
    <x v="0"/>
    <s v="Returning"/>
  </r>
  <r>
    <n v="4367"/>
    <n v="30"/>
    <s v="Male"/>
    <x v="1"/>
    <s v="Jacket"/>
    <n v="83.11"/>
    <x v="0"/>
    <s v="Card"/>
    <n v="3.6"/>
    <n v="14"/>
    <n v="2"/>
    <n v="71.474599999999995"/>
    <x v="4"/>
    <x v="0"/>
    <s v="Returning"/>
  </r>
  <r>
    <n v="4368"/>
    <n v="22"/>
    <s v="Female"/>
    <x v="6"/>
    <s v="Perfume"/>
    <n v="27.57"/>
    <x v="1"/>
    <s v="Cash on Delivery"/>
    <n v="4.0999999999999996"/>
    <n v="14"/>
    <n v="7"/>
    <n v="23.7102"/>
    <x v="3"/>
    <x v="0"/>
    <s v="Returning"/>
  </r>
  <r>
    <n v="4369"/>
    <n v="46"/>
    <s v="Female"/>
    <x v="7"/>
    <s v="Sneakers"/>
    <n v="208.33"/>
    <x v="2"/>
    <s v="Card"/>
    <n v="3.9"/>
    <n v="8"/>
    <n v="4"/>
    <n v="191.66360000000003"/>
    <x v="0"/>
    <x v="0"/>
    <s v="Returning"/>
  </r>
  <r>
    <n v="4370"/>
    <n v="57"/>
    <s v="Female"/>
    <x v="8"/>
    <s v="Dress"/>
    <n v="43.06"/>
    <x v="2"/>
    <s v="Card"/>
    <n v="5"/>
    <n v="20"/>
    <n v="5"/>
    <n v="34.448"/>
    <x v="0"/>
    <x v="0"/>
    <s v="Returning"/>
  </r>
  <r>
    <n v="4371"/>
    <n v="63"/>
    <s v="Female"/>
    <x v="4"/>
    <s v="Beverages"/>
    <n v="42.76"/>
    <x v="0"/>
    <s v="Cash on Delivery"/>
    <n v="4.3"/>
    <n v="24"/>
    <n v="7"/>
    <n v="32.497599999999998"/>
    <x v="2"/>
    <x v="0"/>
    <s v="Returning"/>
  </r>
  <r>
    <n v="4372"/>
    <n v="54"/>
    <s v="Male"/>
    <x v="1"/>
    <s v="Jacket"/>
    <n v="80.56"/>
    <x v="3"/>
    <s v="Card"/>
    <n v="4"/>
    <n v="26"/>
    <n v="8"/>
    <n v="59.614400000000003"/>
    <x v="0"/>
    <x v="0"/>
    <s v="Returning"/>
  </r>
  <r>
    <n v="4373"/>
    <n v="32"/>
    <s v="Female"/>
    <x v="8"/>
    <s v="Skirt"/>
    <n v="59.17"/>
    <x v="2"/>
    <s v="Card"/>
    <n v="3"/>
    <n v="12"/>
    <n v="6"/>
    <n v="52.069600000000001"/>
    <x v="4"/>
    <x v="0"/>
    <s v="Returning"/>
  </r>
  <r>
    <n v="4374"/>
    <n v="69"/>
    <s v="Male"/>
    <x v="4"/>
    <s v="Rice Pack"/>
    <n v="58.67"/>
    <x v="2"/>
    <s v="Cash on Delivery"/>
    <n v="4.7"/>
    <n v="28"/>
    <n v="9"/>
    <n v="42.242399999999996"/>
    <x v="2"/>
    <x v="0"/>
    <s v="Returning"/>
  </r>
  <r>
    <n v="4375"/>
    <n v="65"/>
    <s v="Male"/>
    <x v="5"/>
    <s v="Laptop"/>
    <n v="2600.4699999999998"/>
    <x v="0"/>
    <s v="Card"/>
    <n v="2.1"/>
    <n v="13"/>
    <n v="4"/>
    <n v="2262.4088999999999"/>
    <x v="2"/>
    <x v="0"/>
    <s v="Returning"/>
  </r>
  <r>
    <n v="4376"/>
    <n v="57"/>
    <s v="Female"/>
    <x v="8"/>
    <s v="Skirt"/>
    <n v="54.73"/>
    <x v="0"/>
    <s v="Cash on Delivery"/>
    <n v="3.7"/>
    <n v="22"/>
    <n v="11"/>
    <n v="42.689399999999999"/>
    <x v="0"/>
    <x v="0"/>
    <s v="Returning"/>
  </r>
  <r>
    <n v="4377"/>
    <n v="27"/>
    <s v="Male"/>
    <x v="7"/>
    <s v="Sandals"/>
    <n v="66.290000000000006"/>
    <x v="0"/>
    <s v="Cash on Delivery"/>
    <n v="3"/>
    <n v="11"/>
    <n v="3"/>
    <n v="58.998100000000008"/>
    <x v="4"/>
    <x v="0"/>
    <s v="Returning"/>
  </r>
  <r>
    <n v="4378"/>
    <n v="40"/>
    <s v="Female"/>
    <x v="8"/>
    <s v="Jeans"/>
    <n v="65.430000000000007"/>
    <x v="1"/>
    <s v="Card"/>
    <n v="3.6"/>
    <n v="14"/>
    <n v="2"/>
    <n v="56.269800000000004"/>
    <x v="1"/>
    <x v="0"/>
    <s v="Returning"/>
  </r>
  <r>
    <n v="4379"/>
    <n v="62"/>
    <s v="Male"/>
    <x v="2"/>
    <s v="Yoga Mat"/>
    <n v="50.26"/>
    <x v="2"/>
    <s v="Cash on Delivery"/>
    <n v="2.8"/>
    <n v="19"/>
    <n v="7"/>
    <n v="40.710599999999999"/>
    <x v="2"/>
    <x v="0"/>
    <s v="Returning"/>
  </r>
  <r>
    <n v="4380"/>
    <n v="27"/>
    <s v="Female"/>
    <x v="6"/>
    <s v="Makeup Set"/>
    <n v="125.15"/>
    <x v="3"/>
    <s v="Card"/>
    <n v="3.9"/>
    <n v="18"/>
    <n v="4"/>
    <n v="102.62300000000002"/>
    <x v="4"/>
    <x v="0"/>
    <s v="Returning"/>
  </r>
  <r>
    <n v="4381"/>
    <n v="62"/>
    <s v="Male"/>
    <x v="7"/>
    <s v="Sneakers"/>
    <n v="166.81"/>
    <x v="2"/>
    <s v="Card"/>
    <n v="4.5999999999999996"/>
    <n v="28"/>
    <n v="9"/>
    <n v="120.1032"/>
    <x v="2"/>
    <x v="0"/>
    <s v="Returning"/>
  </r>
  <r>
    <n v="4382"/>
    <n v="46"/>
    <s v="Female"/>
    <x v="8"/>
    <s v="Skirt"/>
    <n v="141.44999999999999"/>
    <x v="3"/>
    <s v="Card"/>
    <n v="5"/>
    <n v="14"/>
    <n v="7"/>
    <n v="121.64699999999999"/>
    <x v="0"/>
    <x v="0"/>
    <s v="Returning"/>
  </r>
  <r>
    <n v="4383"/>
    <n v="60"/>
    <s v="Male"/>
    <x v="7"/>
    <s v="Sneakers"/>
    <n v="167.45"/>
    <x v="1"/>
    <s v="Card"/>
    <n v="4.4000000000000004"/>
    <n v="5"/>
    <n v="0"/>
    <n v="159.07749999999999"/>
    <x v="0"/>
    <x v="0"/>
    <s v="New"/>
  </r>
  <r>
    <n v="4384"/>
    <n v="62"/>
    <s v="Male"/>
    <x v="7"/>
    <s v="Formal Shoes"/>
    <n v="151.56"/>
    <x v="1"/>
    <s v="Card"/>
    <n v="4.0999999999999996"/>
    <n v="13"/>
    <n v="4"/>
    <n v="131.85720000000001"/>
    <x v="2"/>
    <x v="0"/>
    <s v="Returning"/>
  </r>
  <r>
    <n v="4385"/>
    <n v="49"/>
    <s v="Male"/>
    <x v="1"/>
    <s v="T-Shirt"/>
    <n v="49.58"/>
    <x v="0"/>
    <s v="Cash on Delivery"/>
    <n v="4.5999999999999996"/>
    <n v="21"/>
    <n v="8"/>
    <n v="39.168199999999999"/>
    <x v="0"/>
    <x v="0"/>
    <s v="Returning"/>
  </r>
  <r>
    <n v="4386"/>
    <n v="21"/>
    <s v="Female"/>
    <x v="7"/>
    <s v="Formal Shoes"/>
    <n v="170.32"/>
    <x v="1"/>
    <s v="Card"/>
    <n v="4.8"/>
    <n v="21"/>
    <n v="8"/>
    <n v="134.55279999999999"/>
    <x v="3"/>
    <x v="0"/>
    <s v="Returning"/>
  </r>
  <r>
    <n v="4387"/>
    <n v="25"/>
    <s v="Female"/>
    <x v="0"/>
    <s v="Sunglasses"/>
    <n v="30.47"/>
    <x v="2"/>
    <s v="Card"/>
    <n v="4.5"/>
    <n v="20"/>
    <n v="5"/>
    <n v="24.376000000000001"/>
    <x v="3"/>
    <x v="0"/>
    <s v="Returning"/>
  </r>
  <r>
    <n v="4388"/>
    <n v="50"/>
    <s v="Male"/>
    <x v="4"/>
    <s v="Rice Pack"/>
    <n v="10.5"/>
    <x v="2"/>
    <s v="Cash on Delivery"/>
    <n v="4.5"/>
    <n v="26"/>
    <n v="8"/>
    <n v="7.77"/>
    <x v="0"/>
    <x v="0"/>
    <s v="Returning"/>
  </r>
  <r>
    <n v="4389"/>
    <n v="63"/>
    <s v="Male"/>
    <x v="5"/>
    <s v="Headphones"/>
    <n v="2558.44"/>
    <x v="1"/>
    <s v="Card"/>
    <n v="4.2"/>
    <n v="6"/>
    <n v="3"/>
    <n v="2404.9335999999998"/>
    <x v="2"/>
    <x v="0"/>
    <s v="Returning"/>
  </r>
  <r>
    <n v="4390"/>
    <n v="58"/>
    <s v="Female"/>
    <x v="8"/>
    <s v="Jeans"/>
    <n v="32.71"/>
    <x v="1"/>
    <s v="Cash on Delivery"/>
    <n v="3.4"/>
    <n v="17"/>
    <n v="6"/>
    <n v="27.1493"/>
    <x v="0"/>
    <x v="0"/>
    <s v="Returning"/>
  </r>
  <r>
    <n v="4391"/>
    <n v="25"/>
    <s v="Male"/>
    <x v="2"/>
    <s v="Football"/>
    <n v="203.65"/>
    <x v="3"/>
    <s v="Card"/>
    <n v="4.7"/>
    <n v="26"/>
    <n v="13"/>
    <n v="150.70099999999999"/>
    <x v="3"/>
    <x v="0"/>
    <s v="Returning"/>
  </r>
  <r>
    <n v="4392"/>
    <n v="66"/>
    <s v="Female"/>
    <x v="3"/>
    <s v="Kitchen Set"/>
    <n v="186.33"/>
    <x v="3"/>
    <s v="Card"/>
    <n v="3.9"/>
    <n v="12"/>
    <n v="6"/>
    <n v="163.97040000000001"/>
    <x v="2"/>
    <x v="0"/>
    <s v="Returning"/>
  </r>
  <r>
    <n v="4393"/>
    <n v="63"/>
    <s v="Female"/>
    <x v="2"/>
    <s v="Yoga Mat"/>
    <n v="154.41"/>
    <x v="0"/>
    <s v="Card"/>
    <n v="3.5"/>
    <n v="16"/>
    <n v="3"/>
    <n v="129.70439999999999"/>
    <x v="2"/>
    <x v="0"/>
    <s v="Returning"/>
  </r>
  <r>
    <n v="4394"/>
    <n v="70"/>
    <s v="Female"/>
    <x v="6"/>
    <s v="Perfume"/>
    <n v="105.45"/>
    <x v="0"/>
    <s v="Card"/>
    <n v="3.2"/>
    <n v="16"/>
    <n v="3"/>
    <n v="88.578000000000003"/>
    <x v="2"/>
    <x v="0"/>
    <s v="Returning"/>
  </r>
  <r>
    <n v="4395"/>
    <n v="28"/>
    <s v="Female"/>
    <x v="4"/>
    <s v="Snacks"/>
    <n v="71.260000000000005"/>
    <x v="0"/>
    <s v="Card"/>
    <n v="3.6"/>
    <n v="11"/>
    <n v="3"/>
    <n v="63.421400000000006"/>
    <x v="4"/>
    <x v="0"/>
    <s v="Returning"/>
  </r>
  <r>
    <n v="4396"/>
    <n v="28"/>
    <s v="Female"/>
    <x v="7"/>
    <s v="Sneakers"/>
    <n v="210.09"/>
    <x v="3"/>
    <s v="Card"/>
    <n v="4.4000000000000004"/>
    <n v="24"/>
    <n v="7"/>
    <n v="159.66839999999999"/>
    <x v="4"/>
    <x v="0"/>
    <s v="Returning"/>
  </r>
  <r>
    <n v="4397"/>
    <n v="36"/>
    <s v="Female"/>
    <x v="6"/>
    <s v="Perfume"/>
    <n v="28.51"/>
    <x v="1"/>
    <s v="Card"/>
    <n v="2.9"/>
    <n v="16"/>
    <n v="3"/>
    <n v="23.948399999999999"/>
    <x v="1"/>
    <x v="0"/>
    <s v="Returning"/>
  </r>
  <r>
    <n v="4398"/>
    <n v="47"/>
    <s v="Female"/>
    <x v="6"/>
    <s v="Skincare Kit"/>
    <n v="108.76"/>
    <x v="1"/>
    <s v="Card"/>
    <n v="3.7"/>
    <n v="6"/>
    <n v="3"/>
    <n v="102.23439999999999"/>
    <x v="0"/>
    <x v="0"/>
    <s v="Returning"/>
  </r>
  <r>
    <n v="4399"/>
    <n v="25"/>
    <s v="Female"/>
    <x v="7"/>
    <s v="Sneakers"/>
    <n v="248.94"/>
    <x v="0"/>
    <s v="Card"/>
    <n v="2.5"/>
    <n v="18"/>
    <n v="4"/>
    <n v="204.13080000000002"/>
    <x v="3"/>
    <x v="0"/>
    <s v="Returning"/>
  </r>
  <r>
    <n v="4400"/>
    <n v="55"/>
    <s v="Male"/>
    <x v="1"/>
    <s v="Shirt"/>
    <n v="178.99"/>
    <x v="1"/>
    <s v="Card"/>
    <n v="5"/>
    <n v="8"/>
    <n v="4"/>
    <n v="164.67080000000001"/>
    <x v="0"/>
    <x v="0"/>
    <s v="Returning"/>
  </r>
  <r>
    <n v="4401"/>
    <n v="22"/>
    <s v="Female"/>
    <x v="4"/>
    <s v="Snacks"/>
    <n v="64.91"/>
    <x v="1"/>
    <s v="Cash on Delivery"/>
    <n v="2.9"/>
    <n v="15"/>
    <n v="5"/>
    <n v="55.173499999999997"/>
    <x v="3"/>
    <x v="0"/>
    <s v="Returning"/>
  </r>
  <r>
    <n v="4402"/>
    <n v="55"/>
    <s v="Male"/>
    <x v="5"/>
    <s v="Smart Watch"/>
    <n v="1774.32"/>
    <x v="3"/>
    <s v="Card"/>
    <n v="4"/>
    <n v="26"/>
    <n v="8"/>
    <n v="1312.9967999999999"/>
    <x v="0"/>
    <x v="0"/>
    <s v="Returning"/>
  </r>
  <r>
    <n v="4403"/>
    <n v="25"/>
    <s v="Male"/>
    <x v="1"/>
    <s v="Shirt"/>
    <n v="173.88"/>
    <x v="1"/>
    <s v="Card"/>
    <n v="4.4000000000000004"/>
    <n v="21"/>
    <n v="8"/>
    <n v="137.36520000000002"/>
    <x v="3"/>
    <x v="0"/>
    <s v="Returning"/>
  </r>
  <r>
    <n v="4404"/>
    <n v="34"/>
    <s v="Male"/>
    <x v="2"/>
    <s v="Dumbbells"/>
    <n v="130.83000000000001"/>
    <x v="1"/>
    <s v="Card"/>
    <n v="3.6"/>
    <n v="20"/>
    <n v="5"/>
    <n v="104.66400000000002"/>
    <x v="4"/>
    <x v="0"/>
    <s v="Returning"/>
  </r>
  <r>
    <n v="4405"/>
    <n v="39"/>
    <s v="Female"/>
    <x v="0"/>
    <s v="Wallet"/>
    <n v="47.44"/>
    <x v="3"/>
    <s v="Card"/>
    <n v="3.8"/>
    <n v="15"/>
    <n v="5"/>
    <n v="40.323999999999998"/>
    <x v="1"/>
    <x v="0"/>
    <s v="Returning"/>
  </r>
  <r>
    <n v="4406"/>
    <n v="65"/>
    <s v="Male"/>
    <x v="1"/>
    <s v="Jeans"/>
    <n v="76.94"/>
    <x v="1"/>
    <s v="Card"/>
    <n v="3.9"/>
    <n v="16"/>
    <n v="8"/>
    <n v="64.629599999999996"/>
    <x v="2"/>
    <x v="0"/>
    <s v="Returning"/>
  </r>
  <r>
    <n v="4407"/>
    <n v="51"/>
    <s v="Female"/>
    <x v="7"/>
    <s v="Sneakers"/>
    <n v="79.66"/>
    <x v="0"/>
    <s v="Card"/>
    <n v="3.8"/>
    <n v="2"/>
    <n v="1"/>
    <n v="78.066800000000001"/>
    <x v="0"/>
    <x v="0"/>
    <s v="Returning"/>
  </r>
  <r>
    <n v="4408"/>
    <n v="52"/>
    <s v="Male"/>
    <x v="7"/>
    <s v="Sneakers"/>
    <n v="91.9"/>
    <x v="2"/>
    <s v="Cash on Delivery"/>
    <n v="2.5"/>
    <n v="8"/>
    <n v="4"/>
    <n v="84.548000000000002"/>
    <x v="0"/>
    <x v="0"/>
    <s v="Returning"/>
  </r>
  <r>
    <n v="4409"/>
    <n v="48"/>
    <s v="Female"/>
    <x v="7"/>
    <s v="Sandals"/>
    <n v="146.85"/>
    <x v="1"/>
    <s v="Card"/>
    <n v="3.5"/>
    <n v="11"/>
    <n v="3"/>
    <n v="130.69649999999999"/>
    <x v="0"/>
    <x v="0"/>
    <s v="Returning"/>
  </r>
  <r>
    <n v="4410"/>
    <n v="25"/>
    <s v="Female"/>
    <x v="0"/>
    <s v="Handbag"/>
    <n v="100.99"/>
    <x v="0"/>
    <s v="Card"/>
    <n v="3.5"/>
    <n v="19"/>
    <n v="7"/>
    <n v="81.801900000000003"/>
    <x v="3"/>
    <x v="0"/>
    <s v="Returning"/>
  </r>
  <r>
    <n v="4411"/>
    <n v="35"/>
    <s v="Male"/>
    <x v="5"/>
    <s v="Laptop"/>
    <n v="2272.6999999999998"/>
    <x v="2"/>
    <s v="Card"/>
    <n v="2.2999999999999998"/>
    <n v="14"/>
    <n v="7"/>
    <n v="1954.5219999999997"/>
    <x v="4"/>
    <x v="0"/>
    <s v="Returning"/>
  </r>
  <r>
    <n v="4412"/>
    <n v="42"/>
    <s v="Male"/>
    <x v="5"/>
    <s v="Mobile Phone"/>
    <n v="783.29"/>
    <x v="2"/>
    <s v="Card"/>
    <n v="3.6"/>
    <n v="20"/>
    <n v="5"/>
    <n v="626.63200000000006"/>
    <x v="1"/>
    <x v="0"/>
    <s v="Returning"/>
  </r>
  <r>
    <n v="4413"/>
    <n v="46"/>
    <s v="Male"/>
    <x v="2"/>
    <s v="Yoga Mat"/>
    <n v="125.6"/>
    <x v="1"/>
    <s v="Card"/>
    <n v="1.8"/>
    <n v="10"/>
    <n v="5"/>
    <n v="113.03999999999999"/>
    <x v="0"/>
    <x v="0"/>
    <s v="Returning"/>
  </r>
  <r>
    <n v="4414"/>
    <n v="21"/>
    <s v="Male"/>
    <x v="7"/>
    <s v="Formal Shoes"/>
    <n v="151.15"/>
    <x v="3"/>
    <s v="Card"/>
    <n v="4.2"/>
    <n v="9"/>
    <n v="2"/>
    <n v="137.54650000000001"/>
    <x v="3"/>
    <x v="0"/>
    <s v="Returning"/>
  </r>
  <r>
    <n v="4415"/>
    <n v="22"/>
    <s v="Female"/>
    <x v="6"/>
    <s v="Makeup Set"/>
    <n v="116.28"/>
    <x v="3"/>
    <s v="Card"/>
    <n v="4.2"/>
    <n v="12"/>
    <n v="6"/>
    <n v="102.32640000000001"/>
    <x v="3"/>
    <x v="0"/>
    <s v="Returning"/>
  </r>
  <r>
    <n v="4416"/>
    <n v="53"/>
    <s v="Female"/>
    <x v="4"/>
    <s v="Snacks"/>
    <n v="46.85"/>
    <x v="2"/>
    <s v="Cash on Delivery"/>
    <n v="3"/>
    <n v="18"/>
    <n v="4"/>
    <n v="38.417000000000002"/>
    <x v="0"/>
    <x v="0"/>
    <s v="Returning"/>
  </r>
  <r>
    <n v="4417"/>
    <n v="26"/>
    <s v="Male"/>
    <x v="5"/>
    <s v="Smart Watch"/>
    <n v="2162.23"/>
    <x v="1"/>
    <s v="Card"/>
    <n v="4.0999999999999996"/>
    <n v="4"/>
    <n v="2"/>
    <n v="2075.7408"/>
    <x v="4"/>
    <x v="0"/>
    <s v="Returning"/>
  </r>
  <r>
    <n v="4418"/>
    <n v="29"/>
    <s v="Male"/>
    <x v="1"/>
    <s v="Jacket"/>
    <n v="99.56"/>
    <x v="1"/>
    <s v="Card"/>
    <n v="3"/>
    <n v="20"/>
    <n v="5"/>
    <n v="79.64800000000001"/>
    <x v="4"/>
    <x v="0"/>
    <s v="Returning"/>
  </r>
  <r>
    <n v="4419"/>
    <n v="22"/>
    <s v="Male"/>
    <x v="5"/>
    <s v="Laptop"/>
    <n v="2633.36"/>
    <x v="1"/>
    <s v="Card"/>
    <n v="4.2"/>
    <n v="18"/>
    <n v="4"/>
    <n v="2159.3552000000004"/>
    <x v="3"/>
    <x v="0"/>
    <s v="Returning"/>
  </r>
  <r>
    <n v="4420"/>
    <n v="63"/>
    <s v="Female"/>
    <x v="0"/>
    <s v="Sunglasses"/>
    <n v="132.84"/>
    <x v="0"/>
    <s v="Card"/>
    <n v="4.0999999999999996"/>
    <n v="20"/>
    <n v="5"/>
    <n v="106.27200000000001"/>
    <x v="2"/>
    <x v="0"/>
    <s v="Returning"/>
  </r>
  <r>
    <n v="4421"/>
    <n v="20"/>
    <s v="Female"/>
    <x v="7"/>
    <s v="Sandals"/>
    <n v="161.07"/>
    <x v="1"/>
    <s v="Card"/>
    <n v="3.7"/>
    <n v="8"/>
    <n v="4"/>
    <n v="148.18440000000001"/>
    <x v="3"/>
    <x v="0"/>
    <s v="Returning"/>
  </r>
  <r>
    <n v="4422"/>
    <n v="50"/>
    <s v="Female"/>
    <x v="6"/>
    <s v="Perfume"/>
    <n v="35.9"/>
    <x v="0"/>
    <s v="Card"/>
    <n v="4.4000000000000004"/>
    <n v="18"/>
    <n v="9"/>
    <n v="29.438000000000002"/>
    <x v="0"/>
    <x v="0"/>
    <s v="Returning"/>
  </r>
  <r>
    <n v="4423"/>
    <n v="54"/>
    <s v="Female"/>
    <x v="8"/>
    <s v="Dress"/>
    <n v="41.24"/>
    <x v="0"/>
    <s v="Cash on Delivery"/>
    <n v="3.4"/>
    <n v="19"/>
    <n v="7"/>
    <n v="33.404400000000003"/>
    <x v="0"/>
    <x v="0"/>
    <s v="Returning"/>
  </r>
  <r>
    <n v="4424"/>
    <n v="45"/>
    <s v="Male"/>
    <x v="2"/>
    <s v="Dumbbells"/>
    <n v="160.08000000000001"/>
    <x v="3"/>
    <s v="Card"/>
    <n v="3.9"/>
    <n v="17"/>
    <n v="6"/>
    <n v="132.8664"/>
    <x v="1"/>
    <x v="0"/>
    <s v="Returning"/>
  </r>
  <r>
    <n v="4425"/>
    <n v="59"/>
    <s v="Female"/>
    <x v="0"/>
    <s v="Wallet"/>
    <n v="152.97"/>
    <x v="2"/>
    <s v="Card"/>
    <n v="3.5"/>
    <n v="17"/>
    <n v="6"/>
    <n v="126.96509999999999"/>
    <x v="0"/>
    <x v="0"/>
    <s v="Returning"/>
  </r>
  <r>
    <n v="4426"/>
    <n v="43"/>
    <s v="Female"/>
    <x v="8"/>
    <s v="Skirt"/>
    <n v="71.83"/>
    <x v="3"/>
    <s v="Cash on Delivery"/>
    <n v="4.0999999999999996"/>
    <n v="12"/>
    <n v="6"/>
    <n v="63.2104"/>
    <x v="1"/>
    <x v="0"/>
    <s v="Returning"/>
  </r>
  <r>
    <n v="4427"/>
    <n v="21"/>
    <s v="Female"/>
    <x v="0"/>
    <s v="Handbag"/>
    <n v="95.84"/>
    <x v="0"/>
    <s v="Cash on Delivery"/>
    <n v="4.3"/>
    <n v="22"/>
    <n v="6"/>
    <n v="74.755200000000002"/>
    <x v="3"/>
    <x v="0"/>
    <s v="Returning"/>
  </r>
  <r>
    <n v="4428"/>
    <n v="62"/>
    <s v="Male"/>
    <x v="3"/>
    <s v="Curtains"/>
    <n v="38.659999999999997"/>
    <x v="2"/>
    <s v="Cash on Delivery"/>
    <n v="3.6"/>
    <n v="8"/>
    <n v="4"/>
    <n v="35.5672"/>
    <x v="2"/>
    <x v="0"/>
    <s v="Returning"/>
  </r>
  <r>
    <n v="4429"/>
    <n v="44"/>
    <s v="Male"/>
    <x v="5"/>
    <s v="Smart Watch"/>
    <n v="1769.68"/>
    <x v="1"/>
    <s v="Card"/>
    <n v="4.8"/>
    <n v="20"/>
    <n v="5"/>
    <n v="1415.7440000000001"/>
    <x v="1"/>
    <x v="0"/>
    <s v="Returning"/>
  </r>
  <r>
    <n v="4430"/>
    <n v="44"/>
    <s v="Female"/>
    <x v="7"/>
    <s v="Formal Shoes"/>
    <n v="103.11"/>
    <x v="2"/>
    <s v="Card"/>
    <n v="3.1"/>
    <n v="15"/>
    <n v="5"/>
    <n v="87.643500000000003"/>
    <x v="1"/>
    <x v="0"/>
    <s v="Returning"/>
  </r>
  <r>
    <n v="4431"/>
    <n v="45"/>
    <s v="Female"/>
    <x v="7"/>
    <s v="Formal Shoes"/>
    <n v="118.28"/>
    <x v="2"/>
    <s v="Card"/>
    <n v="4"/>
    <n v="10"/>
    <n v="5"/>
    <n v="106.452"/>
    <x v="1"/>
    <x v="0"/>
    <s v="Returning"/>
  </r>
  <r>
    <n v="4432"/>
    <n v="37"/>
    <s v="Female"/>
    <x v="0"/>
    <s v="Wallet"/>
    <n v="162.69999999999999"/>
    <x v="2"/>
    <s v="Card"/>
    <n v="3.5"/>
    <n v="19"/>
    <n v="7"/>
    <n v="131.78700000000001"/>
    <x v="1"/>
    <x v="0"/>
    <s v="Returning"/>
  </r>
  <r>
    <n v="4433"/>
    <n v="49"/>
    <s v="Male"/>
    <x v="2"/>
    <s v="Yoga Mat"/>
    <n v="75.760000000000005"/>
    <x v="3"/>
    <s v="Cash on Delivery"/>
    <n v="4.5"/>
    <n v="15"/>
    <n v="5"/>
    <n v="64.396000000000001"/>
    <x v="0"/>
    <x v="0"/>
    <s v="Returning"/>
  </r>
  <r>
    <n v="4434"/>
    <n v="63"/>
    <s v="Male"/>
    <x v="2"/>
    <s v="Dumbbells"/>
    <n v="234.8"/>
    <x v="1"/>
    <s v="Card"/>
    <n v="3.1"/>
    <n v="16"/>
    <n v="3"/>
    <n v="197.232"/>
    <x v="2"/>
    <x v="0"/>
    <s v="Returning"/>
  </r>
  <r>
    <n v="4435"/>
    <n v="25"/>
    <s v="Female"/>
    <x v="7"/>
    <s v="Sandals"/>
    <n v="107.61"/>
    <x v="3"/>
    <s v="Card"/>
    <n v="4.8"/>
    <n v="17"/>
    <n v="6"/>
    <n v="89.316299999999998"/>
    <x v="3"/>
    <x v="0"/>
    <s v="Returning"/>
  </r>
  <r>
    <n v="4436"/>
    <n v="44"/>
    <s v="Male"/>
    <x v="2"/>
    <s v="Football"/>
    <n v="150.15"/>
    <x v="1"/>
    <s v="Card"/>
    <n v="3.5"/>
    <n v="20"/>
    <n v="5"/>
    <n v="120.12"/>
    <x v="1"/>
    <x v="0"/>
    <s v="Returning"/>
  </r>
  <r>
    <n v="4437"/>
    <n v="36"/>
    <s v="Male"/>
    <x v="2"/>
    <s v="Dumbbells"/>
    <n v="97.03"/>
    <x v="3"/>
    <s v="Card"/>
    <n v="3.4"/>
    <n v="6"/>
    <n v="3"/>
    <n v="91.208199999999991"/>
    <x v="1"/>
    <x v="0"/>
    <s v="Returning"/>
  </r>
  <r>
    <n v="4438"/>
    <n v="44"/>
    <s v="Female"/>
    <x v="2"/>
    <s v="Yoga Mat"/>
    <n v="129.12"/>
    <x v="3"/>
    <s v="Card"/>
    <n v="5"/>
    <n v="20"/>
    <n v="5"/>
    <n v="103.29600000000001"/>
    <x v="1"/>
    <x v="0"/>
    <s v="Returning"/>
  </r>
  <r>
    <n v="4439"/>
    <n v="31"/>
    <s v="Female"/>
    <x v="7"/>
    <s v="Sandals"/>
    <n v="75.930000000000007"/>
    <x v="0"/>
    <s v="Card"/>
    <n v="3.5"/>
    <n v="18"/>
    <n v="4"/>
    <n v="62.262600000000013"/>
    <x v="4"/>
    <x v="0"/>
    <s v="Returning"/>
  </r>
  <r>
    <n v="4440"/>
    <n v="46"/>
    <s v="Female"/>
    <x v="8"/>
    <s v="Top"/>
    <n v="181.75"/>
    <x v="2"/>
    <s v="Card"/>
    <n v="4.3"/>
    <n v="8"/>
    <n v="4"/>
    <n v="167.21"/>
    <x v="0"/>
    <x v="0"/>
    <s v="Returning"/>
  </r>
  <r>
    <n v="4441"/>
    <n v="43"/>
    <s v="Male"/>
    <x v="5"/>
    <s v="Mobile Phone"/>
    <n v="1217.08"/>
    <x v="1"/>
    <s v="Card"/>
    <n v="4.5999999999999996"/>
    <n v="20"/>
    <n v="5"/>
    <n v="973.66399999999999"/>
    <x v="1"/>
    <x v="0"/>
    <s v="Returning"/>
  </r>
  <r>
    <n v="4442"/>
    <n v="23"/>
    <s v="Female"/>
    <x v="7"/>
    <s v="Sneakers"/>
    <n v="241.42"/>
    <x v="1"/>
    <s v="Card"/>
    <n v="5"/>
    <n v="8"/>
    <n v="4"/>
    <n v="222.10640000000001"/>
    <x v="3"/>
    <x v="0"/>
    <s v="Returning"/>
  </r>
  <r>
    <n v="4443"/>
    <n v="58"/>
    <s v="Male"/>
    <x v="5"/>
    <s v="Laptop"/>
    <n v="1944.24"/>
    <x v="1"/>
    <s v="Card"/>
    <n v="2.7"/>
    <n v="22"/>
    <n v="6"/>
    <n v="1516.5072"/>
    <x v="0"/>
    <x v="0"/>
    <s v="Returning"/>
  </r>
  <r>
    <n v="4444"/>
    <n v="22"/>
    <s v="Male"/>
    <x v="2"/>
    <s v="Yoga Mat"/>
    <n v="48.39"/>
    <x v="3"/>
    <s v="Cash on Delivery"/>
    <n v="4"/>
    <n v="4"/>
    <n v="2"/>
    <n v="46.4544"/>
    <x v="3"/>
    <x v="0"/>
    <s v="Returning"/>
  </r>
  <r>
    <n v="4445"/>
    <n v="63"/>
    <s v="Female"/>
    <x v="0"/>
    <s v="Sunglasses"/>
    <n v="107.47"/>
    <x v="0"/>
    <s v="Card"/>
    <n v="2.2000000000000002"/>
    <n v="12"/>
    <n v="1"/>
    <n v="94.573599999999999"/>
    <x v="2"/>
    <x v="0"/>
    <s v="Returning"/>
  </r>
  <r>
    <n v="4446"/>
    <n v="62"/>
    <s v="Male"/>
    <x v="5"/>
    <s v="Headphones"/>
    <n v="1763.47"/>
    <x v="0"/>
    <s v="Card"/>
    <n v="4"/>
    <n v="20"/>
    <n v="5"/>
    <n v="1410.7760000000001"/>
    <x v="2"/>
    <x v="0"/>
    <s v="Returning"/>
  </r>
  <r>
    <n v="4447"/>
    <n v="69"/>
    <s v="Female"/>
    <x v="8"/>
    <s v="Dress"/>
    <n v="159.97999999999999"/>
    <x v="2"/>
    <s v="Card"/>
    <n v="2.9"/>
    <n v="24"/>
    <n v="7"/>
    <n v="121.58479999999999"/>
    <x v="2"/>
    <x v="0"/>
    <s v="Returning"/>
  </r>
  <r>
    <n v="4448"/>
    <n v="36"/>
    <s v="Male"/>
    <x v="4"/>
    <s v="Cooking Oil"/>
    <n v="60.71"/>
    <x v="2"/>
    <s v="Cash on Delivery"/>
    <n v="4.5"/>
    <n v="16"/>
    <n v="3"/>
    <n v="50.996400000000001"/>
    <x v="1"/>
    <x v="0"/>
    <s v="Returning"/>
  </r>
  <r>
    <n v="4449"/>
    <n v="46"/>
    <s v="Female"/>
    <x v="3"/>
    <s v="Lamp"/>
    <n v="118.81"/>
    <x v="0"/>
    <s v="Card"/>
    <n v="4.0999999999999996"/>
    <n v="16"/>
    <n v="3"/>
    <n v="99.800399999999996"/>
    <x v="0"/>
    <x v="0"/>
    <s v="Returning"/>
  </r>
  <r>
    <n v="4450"/>
    <n v="53"/>
    <s v="Male"/>
    <x v="2"/>
    <s v="Football"/>
    <n v="115.93"/>
    <x v="3"/>
    <s v="Card"/>
    <n v="3"/>
    <n v="6"/>
    <n v="3"/>
    <n v="108.9742"/>
    <x v="0"/>
    <x v="0"/>
    <s v="Returning"/>
  </r>
  <r>
    <n v="4451"/>
    <n v="20"/>
    <s v="Female"/>
    <x v="6"/>
    <s v="Perfume"/>
    <n v="109.6"/>
    <x v="2"/>
    <s v="Card"/>
    <n v="4.4000000000000004"/>
    <n v="16"/>
    <n v="8"/>
    <n v="92.063999999999993"/>
    <x v="3"/>
    <x v="0"/>
    <s v="Returning"/>
  </r>
  <r>
    <n v="4452"/>
    <n v="48"/>
    <s v="Male"/>
    <x v="7"/>
    <s v="Formal Shoes"/>
    <n v="197.83"/>
    <x v="0"/>
    <s v="Card"/>
    <n v="3.4"/>
    <n v="17"/>
    <n v="6"/>
    <n v="164.19890000000001"/>
    <x v="0"/>
    <x v="0"/>
    <s v="Returning"/>
  </r>
  <r>
    <n v="4453"/>
    <n v="29"/>
    <s v="Female"/>
    <x v="7"/>
    <s v="Sneakers"/>
    <n v="68.819999999999993"/>
    <x v="3"/>
    <s v="Card"/>
    <n v="3.6"/>
    <n v="0"/>
    <n v="0"/>
    <n v="68.819999999999993"/>
    <x v="4"/>
    <x v="1"/>
    <s v="New"/>
  </r>
  <r>
    <n v="4454"/>
    <n v="43"/>
    <s v="Male"/>
    <x v="1"/>
    <s v="T-Shirt"/>
    <n v="112.21"/>
    <x v="3"/>
    <s v="Card"/>
    <n v="4.0999999999999996"/>
    <n v="12"/>
    <n v="6"/>
    <n v="98.744799999999998"/>
    <x v="1"/>
    <x v="0"/>
    <s v="Returning"/>
  </r>
  <r>
    <n v="4455"/>
    <n v="37"/>
    <s v="Male"/>
    <x v="7"/>
    <s v="Sandals"/>
    <n v="75.17"/>
    <x v="0"/>
    <s v="Card"/>
    <n v="2.9"/>
    <n v="11"/>
    <n v="3"/>
    <n v="66.901300000000006"/>
    <x v="1"/>
    <x v="0"/>
    <s v="Returning"/>
  </r>
  <r>
    <n v="4456"/>
    <n v="49"/>
    <s v="Male"/>
    <x v="5"/>
    <s v="Headphones"/>
    <n v="2429.83"/>
    <x v="2"/>
    <s v="Card"/>
    <n v="2.9"/>
    <n v="18"/>
    <n v="9"/>
    <n v="1992.4606000000001"/>
    <x v="0"/>
    <x v="0"/>
    <s v="Returning"/>
  </r>
  <r>
    <n v="4457"/>
    <n v="38"/>
    <s v="Male"/>
    <x v="5"/>
    <s v="Headphones"/>
    <n v="1961.17"/>
    <x v="3"/>
    <s v="Card"/>
    <n v="2.9"/>
    <n v="26"/>
    <n v="8"/>
    <n v="1451.2658000000001"/>
    <x v="1"/>
    <x v="0"/>
    <s v="Returning"/>
  </r>
  <r>
    <n v="4458"/>
    <n v="41"/>
    <s v="Female"/>
    <x v="7"/>
    <s v="Sandals"/>
    <n v="119.89"/>
    <x v="2"/>
    <s v="Card"/>
    <n v="3.6"/>
    <n v="11"/>
    <n v="3"/>
    <n v="106.7021"/>
    <x v="1"/>
    <x v="0"/>
    <s v="Returning"/>
  </r>
  <r>
    <n v="4459"/>
    <n v="25"/>
    <s v="Female"/>
    <x v="4"/>
    <s v="Cooking Oil"/>
    <n v="78.319999999999993"/>
    <x v="2"/>
    <s v="Cash on Delivery"/>
    <n v="4.5999999999999996"/>
    <n v="24"/>
    <n v="7"/>
    <n v="59.523199999999996"/>
    <x v="3"/>
    <x v="0"/>
    <s v="Returning"/>
  </r>
  <r>
    <n v="4460"/>
    <n v="55"/>
    <s v="Male"/>
    <x v="5"/>
    <s v="Mobile Phone"/>
    <n v="1710.6"/>
    <x v="0"/>
    <s v="Card"/>
    <n v="4"/>
    <n v="16"/>
    <n v="3"/>
    <n v="1436.9039999999998"/>
    <x v="0"/>
    <x v="0"/>
    <s v="Returning"/>
  </r>
  <r>
    <n v="4461"/>
    <n v="47"/>
    <s v="Female"/>
    <x v="7"/>
    <s v="Sandals"/>
    <n v="148.86000000000001"/>
    <x v="0"/>
    <s v="Card"/>
    <n v="3.4"/>
    <n v="16"/>
    <n v="3"/>
    <n v="125.0424"/>
    <x v="0"/>
    <x v="0"/>
    <s v="Returning"/>
  </r>
  <r>
    <n v="4462"/>
    <n v="70"/>
    <s v="Male"/>
    <x v="3"/>
    <s v="Curtains"/>
    <n v="194.65"/>
    <x v="3"/>
    <s v="Card"/>
    <n v="3.3"/>
    <n v="12"/>
    <n v="6"/>
    <n v="171.292"/>
    <x v="2"/>
    <x v="0"/>
    <s v="Returning"/>
  </r>
  <r>
    <n v="4463"/>
    <n v="59"/>
    <s v="Female"/>
    <x v="6"/>
    <s v="Perfume"/>
    <n v="58.65"/>
    <x v="0"/>
    <s v="Cash on Delivery"/>
    <n v="3.3"/>
    <n v="12"/>
    <n v="6"/>
    <n v="51.612000000000002"/>
    <x v="0"/>
    <x v="0"/>
    <s v="Returning"/>
  </r>
  <r>
    <n v="4464"/>
    <n v="21"/>
    <s v="Female"/>
    <x v="7"/>
    <s v="Sandals"/>
    <n v="228.61"/>
    <x v="0"/>
    <s v="Card"/>
    <n v="2.5"/>
    <n v="10"/>
    <n v="5"/>
    <n v="205.74900000000002"/>
    <x v="3"/>
    <x v="0"/>
    <s v="Returning"/>
  </r>
  <r>
    <n v="4465"/>
    <n v="62"/>
    <s v="Male"/>
    <x v="5"/>
    <s v="Mobile Phone"/>
    <n v="2057.65"/>
    <x v="1"/>
    <s v="Card"/>
    <n v="4.0999999999999996"/>
    <n v="24"/>
    <n v="7"/>
    <n v="1563.8140000000001"/>
    <x v="2"/>
    <x v="0"/>
    <s v="Returning"/>
  </r>
  <r>
    <n v="4466"/>
    <n v="25"/>
    <s v="Female"/>
    <x v="7"/>
    <s v="Sandals"/>
    <n v="138.83000000000001"/>
    <x v="3"/>
    <s v="Card"/>
    <n v="3.8"/>
    <n v="20"/>
    <n v="5"/>
    <n v="111.06400000000002"/>
    <x v="3"/>
    <x v="0"/>
    <s v="Returning"/>
  </r>
  <r>
    <n v="4467"/>
    <n v="23"/>
    <s v="Male"/>
    <x v="1"/>
    <s v="Shirt"/>
    <n v="106.76"/>
    <x v="3"/>
    <s v="Card"/>
    <n v="4.5"/>
    <n v="20"/>
    <n v="5"/>
    <n v="85.408000000000015"/>
    <x v="3"/>
    <x v="0"/>
    <s v="Returning"/>
  </r>
  <r>
    <n v="4468"/>
    <n v="62"/>
    <s v="Male"/>
    <x v="5"/>
    <s v="Headphones"/>
    <n v="2593.67"/>
    <x v="0"/>
    <s v="Card"/>
    <n v="2.9"/>
    <n v="10"/>
    <n v="5"/>
    <n v="2334.3030000000003"/>
    <x v="2"/>
    <x v="0"/>
    <s v="Returning"/>
  </r>
  <r>
    <n v="4469"/>
    <n v="30"/>
    <s v="Male"/>
    <x v="1"/>
    <s v="Jacket"/>
    <n v="195.55"/>
    <x v="1"/>
    <s v="Card"/>
    <n v="3.9"/>
    <n v="18"/>
    <n v="4"/>
    <n v="160.35100000000003"/>
    <x v="4"/>
    <x v="0"/>
    <s v="Returning"/>
  </r>
  <r>
    <n v="4470"/>
    <n v="69"/>
    <s v="Male"/>
    <x v="3"/>
    <s v="Kitchen Set"/>
    <n v="127.32"/>
    <x v="1"/>
    <s v="Card"/>
    <n v="3.5"/>
    <n v="4"/>
    <n v="2"/>
    <n v="122.22719999999998"/>
    <x v="2"/>
    <x v="0"/>
    <s v="Returning"/>
  </r>
  <r>
    <n v="4471"/>
    <n v="29"/>
    <s v="Male"/>
    <x v="7"/>
    <s v="Formal Shoes"/>
    <n v="86.48"/>
    <x v="1"/>
    <s v="Card"/>
    <n v="3.7"/>
    <n v="11"/>
    <n v="3"/>
    <n v="76.967200000000005"/>
    <x v="4"/>
    <x v="0"/>
    <s v="Returning"/>
  </r>
  <r>
    <n v="4472"/>
    <n v="21"/>
    <s v="Female"/>
    <x v="6"/>
    <s v="Skincare Kit"/>
    <n v="109.66"/>
    <x v="2"/>
    <s v="Card"/>
    <n v="3.5"/>
    <n v="16"/>
    <n v="8"/>
    <n v="92.114399999999989"/>
    <x v="3"/>
    <x v="0"/>
    <s v="Returning"/>
  </r>
  <r>
    <n v="4473"/>
    <n v="57"/>
    <s v="Female"/>
    <x v="0"/>
    <s v="Handbag"/>
    <n v="63.39"/>
    <x v="2"/>
    <s v="Cash on Delivery"/>
    <n v="4"/>
    <n v="17"/>
    <n v="6"/>
    <n v="52.613700000000001"/>
    <x v="0"/>
    <x v="0"/>
    <s v="Returning"/>
  </r>
  <r>
    <n v="4474"/>
    <n v="61"/>
    <s v="Female"/>
    <x v="8"/>
    <s v="Top"/>
    <n v="198.86"/>
    <x v="2"/>
    <s v="Card"/>
    <n v="3.5"/>
    <n v="15"/>
    <n v="5"/>
    <n v="169.03100000000001"/>
    <x v="2"/>
    <x v="0"/>
    <s v="Returning"/>
  </r>
  <r>
    <n v="4475"/>
    <n v="29"/>
    <s v="Female"/>
    <x v="6"/>
    <s v="Makeup Set"/>
    <n v="143.68"/>
    <x v="1"/>
    <s v="Card"/>
    <n v="3.5"/>
    <n v="11"/>
    <n v="3"/>
    <n v="127.87520000000001"/>
    <x v="4"/>
    <x v="0"/>
    <s v="Returning"/>
  </r>
  <r>
    <n v="4476"/>
    <n v="44"/>
    <s v="Male"/>
    <x v="5"/>
    <s v="Mobile Phone"/>
    <n v="605.67999999999995"/>
    <x v="3"/>
    <s v="Card"/>
    <n v="3"/>
    <n v="20"/>
    <n v="5"/>
    <n v="484.54399999999998"/>
    <x v="1"/>
    <x v="0"/>
    <s v="Returning"/>
  </r>
  <r>
    <n v="4477"/>
    <n v="24"/>
    <s v="Female"/>
    <x v="7"/>
    <s v="Formal Shoes"/>
    <n v="52.58"/>
    <x v="0"/>
    <s v="Cash on Delivery"/>
    <n v="2.4"/>
    <n v="13"/>
    <n v="4"/>
    <n v="45.744599999999998"/>
    <x v="3"/>
    <x v="0"/>
    <s v="Returning"/>
  </r>
  <r>
    <n v="4478"/>
    <n v="51"/>
    <s v="Male"/>
    <x v="2"/>
    <s v="Yoga Mat"/>
    <n v="179.61"/>
    <x v="0"/>
    <s v="Card"/>
    <n v="2.9"/>
    <n v="9"/>
    <n v="2"/>
    <n v="163.44510000000002"/>
    <x v="0"/>
    <x v="0"/>
    <s v="Returning"/>
  </r>
  <r>
    <n v="4479"/>
    <n v="35"/>
    <s v="Female"/>
    <x v="8"/>
    <s v="Dress"/>
    <n v="170.61"/>
    <x v="1"/>
    <s v="Card"/>
    <n v="4.3"/>
    <n v="24"/>
    <n v="7"/>
    <n v="129.6636"/>
    <x v="4"/>
    <x v="0"/>
    <s v="Returning"/>
  </r>
  <r>
    <n v="4480"/>
    <n v="61"/>
    <s v="Male"/>
    <x v="1"/>
    <s v="Shirt"/>
    <n v="124.26"/>
    <x v="3"/>
    <s v="Card"/>
    <n v="3.6"/>
    <n v="15"/>
    <n v="5"/>
    <n v="105.621"/>
    <x v="2"/>
    <x v="0"/>
    <s v="Returning"/>
  </r>
  <r>
    <n v="4481"/>
    <n v="54"/>
    <s v="Female"/>
    <x v="8"/>
    <s v="Top"/>
    <n v="102.38"/>
    <x v="0"/>
    <s v="Card"/>
    <n v="4.8"/>
    <n v="6"/>
    <n v="3"/>
    <n v="96.237199999999987"/>
    <x v="0"/>
    <x v="0"/>
    <s v="Returning"/>
  </r>
  <r>
    <n v="4482"/>
    <n v="31"/>
    <s v="Male"/>
    <x v="1"/>
    <s v="Jeans"/>
    <n v="129.77000000000001"/>
    <x v="0"/>
    <s v="Card"/>
    <n v="3.3"/>
    <n v="11"/>
    <n v="3"/>
    <n v="115.49530000000001"/>
    <x v="4"/>
    <x v="0"/>
    <s v="Returning"/>
  </r>
  <r>
    <n v="4483"/>
    <n v="31"/>
    <s v="Male"/>
    <x v="2"/>
    <s v="Football"/>
    <n v="107.4"/>
    <x v="1"/>
    <s v="Card"/>
    <n v="3.2"/>
    <n v="15"/>
    <n v="5"/>
    <n v="91.29"/>
    <x v="4"/>
    <x v="0"/>
    <s v="Returning"/>
  </r>
  <r>
    <n v="4484"/>
    <n v="56"/>
    <s v="Male"/>
    <x v="5"/>
    <s v="Mobile Phone"/>
    <n v="1554.91"/>
    <x v="0"/>
    <s v="Card"/>
    <n v="2.8"/>
    <n v="7"/>
    <n v="1"/>
    <n v="1446.0663"/>
    <x v="0"/>
    <x v="0"/>
    <s v="Returning"/>
  </r>
  <r>
    <n v="4485"/>
    <n v="66"/>
    <s v="Female"/>
    <x v="8"/>
    <s v="Top"/>
    <n v="131.11000000000001"/>
    <x v="0"/>
    <s v="Card"/>
    <n v="3"/>
    <n v="20"/>
    <n v="10"/>
    <n v="104.88800000000002"/>
    <x v="2"/>
    <x v="0"/>
    <s v="Returning"/>
  </r>
  <r>
    <n v="4486"/>
    <n v="38"/>
    <s v="Male"/>
    <x v="1"/>
    <s v="Jacket"/>
    <n v="52.09"/>
    <x v="2"/>
    <s v="Card"/>
    <n v="4.2"/>
    <n v="14"/>
    <n v="2"/>
    <n v="44.797400000000003"/>
    <x v="1"/>
    <x v="0"/>
    <s v="Returning"/>
  </r>
  <r>
    <n v="4487"/>
    <n v="25"/>
    <s v="Male"/>
    <x v="2"/>
    <s v="Dumbbells"/>
    <n v="130.22999999999999"/>
    <x v="3"/>
    <s v="Card"/>
    <n v="4.7"/>
    <n v="16"/>
    <n v="3"/>
    <n v="109.39319999999999"/>
    <x v="3"/>
    <x v="0"/>
    <s v="Returning"/>
  </r>
  <r>
    <n v="4488"/>
    <n v="44"/>
    <s v="Male"/>
    <x v="2"/>
    <s v="Football"/>
    <n v="125.56"/>
    <x v="3"/>
    <s v="Card"/>
    <n v="3.2"/>
    <n v="12"/>
    <n v="1"/>
    <n v="110.4928"/>
    <x v="1"/>
    <x v="0"/>
    <s v="Returning"/>
  </r>
  <r>
    <n v="4489"/>
    <n v="60"/>
    <s v="Female"/>
    <x v="7"/>
    <s v="Sneakers"/>
    <n v="76.16"/>
    <x v="2"/>
    <s v="Card"/>
    <n v="4.7"/>
    <n v="13"/>
    <n v="4"/>
    <n v="66.259199999999993"/>
    <x v="0"/>
    <x v="0"/>
    <s v="Returning"/>
  </r>
  <r>
    <n v="4490"/>
    <n v="50"/>
    <s v="Male"/>
    <x v="1"/>
    <s v="T-Shirt"/>
    <n v="37.53"/>
    <x v="2"/>
    <s v="Card"/>
    <n v="3.5"/>
    <n v="8"/>
    <n v="4"/>
    <n v="34.5276"/>
    <x v="0"/>
    <x v="0"/>
    <s v="Returning"/>
  </r>
  <r>
    <n v="4491"/>
    <n v="51"/>
    <s v="Male"/>
    <x v="1"/>
    <s v="T-Shirt"/>
    <n v="100.29"/>
    <x v="2"/>
    <s v="Card"/>
    <n v="3.5"/>
    <n v="14"/>
    <n v="7"/>
    <n v="86.249400000000009"/>
    <x v="0"/>
    <x v="0"/>
    <s v="Returning"/>
  </r>
  <r>
    <n v="4492"/>
    <n v="26"/>
    <s v="Male"/>
    <x v="5"/>
    <s v="Laptop"/>
    <n v="1336.49"/>
    <x v="2"/>
    <s v="Card"/>
    <n v="3.8"/>
    <n v="9"/>
    <n v="2"/>
    <n v="1216.2059000000002"/>
    <x v="4"/>
    <x v="0"/>
    <s v="Returning"/>
  </r>
  <r>
    <n v="4493"/>
    <n v="23"/>
    <s v="Male"/>
    <x v="3"/>
    <s v="Kitchen Set"/>
    <n v="207.75"/>
    <x v="2"/>
    <s v="Card"/>
    <n v="4.9000000000000004"/>
    <n v="17"/>
    <n v="6"/>
    <n v="172.4325"/>
    <x v="3"/>
    <x v="0"/>
    <s v="Returning"/>
  </r>
  <r>
    <n v="4494"/>
    <n v="25"/>
    <s v="Female"/>
    <x v="3"/>
    <s v="Lamp"/>
    <n v="44.45"/>
    <x v="3"/>
    <s v="Cash on Delivery"/>
    <n v="5"/>
    <n v="10"/>
    <n v="5"/>
    <n v="40.005000000000003"/>
    <x v="3"/>
    <x v="0"/>
    <s v="Returning"/>
  </r>
  <r>
    <n v="4495"/>
    <n v="34"/>
    <s v="Female"/>
    <x v="3"/>
    <s v="Kitchen Set"/>
    <n v="228.41"/>
    <x v="2"/>
    <s v="Card"/>
    <n v="3.5"/>
    <n v="8"/>
    <n v="4"/>
    <n v="210.13720000000001"/>
    <x v="4"/>
    <x v="0"/>
    <s v="Returning"/>
  </r>
  <r>
    <n v="4496"/>
    <n v="24"/>
    <s v="Male"/>
    <x v="3"/>
    <s v="Kitchen Set"/>
    <n v="69.23"/>
    <x v="1"/>
    <s v="Cash on Delivery"/>
    <n v="4.2"/>
    <n v="4"/>
    <n v="2"/>
    <n v="66.460800000000006"/>
    <x v="3"/>
    <x v="0"/>
    <s v="Returning"/>
  </r>
  <r>
    <n v="4497"/>
    <n v="40"/>
    <s v="Female"/>
    <x v="6"/>
    <s v="Skincare Kit"/>
    <n v="37.65"/>
    <x v="2"/>
    <s v="Cash on Delivery"/>
    <n v="4.3"/>
    <n v="27"/>
    <n v="11"/>
    <n v="27.484499999999997"/>
    <x v="1"/>
    <x v="0"/>
    <s v="Returning"/>
  </r>
  <r>
    <n v="4498"/>
    <n v="23"/>
    <s v="Male"/>
    <x v="5"/>
    <s v="Laptop"/>
    <n v="1286.98"/>
    <x v="1"/>
    <s v="Card"/>
    <n v="4"/>
    <n v="14"/>
    <n v="7"/>
    <n v="1106.8027999999999"/>
    <x v="3"/>
    <x v="0"/>
    <s v="Returning"/>
  </r>
  <r>
    <n v="4499"/>
    <n v="28"/>
    <s v="Female"/>
    <x v="7"/>
    <s v="Sneakers"/>
    <n v="99.44"/>
    <x v="2"/>
    <s v="Card"/>
    <n v="3.7"/>
    <n v="20"/>
    <n v="5"/>
    <n v="79.552000000000007"/>
    <x v="4"/>
    <x v="0"/>
    <s v="Returning"/>
  </r>
  <r>
    <n v="4500"/>
    <n v="22"/>
    <s v="Male"/>
    <x v="2"/>
    <s v="Football"/>
    <n v="215.07"/>
    <x v="2"/>
    <s v="Card"/>
    <n v="2.5"/>
    <n v="24"/>
    <n v="7"/>
    <n v="163.45320000000001"/>
    <x v="3"/>
    <x v="0"/>
    <s v="Returning"/>
  </r>
  <r>
    <n v="4501"/>
    <n v="27"/>
    <s v="Male"/>
    <x v="5"/>
    <s v="Headphones"/>
    <n v="975.24"/>
    <x v="1"/>
    <s v="Card"/>
    <n v="3.6"/>
    <n v="4"/>
    <n v="2"/>
    <n v="936.23039999999992"/>
    <x v="4"/>
    <x v="0"/>
    <s v="Returning"/>
  </r>
  <r>
    <n v="4502"/>
    <n v="58"/>
    <s v="Female"/>
    <x v="8"/>
    <s v="Skirt"/>
    <n v="52.67"/>
    <x v="1"/>
    <s v="Cash on Delivery"/>
    <n v="3.3"/>
    <n v="16"/>
    <n v="8"/>
    <n v="44.242800000000003"/>
    <x v="0"/>
    <x v="0"/>
    <s v="Returning"/>
  </r>
  <r>
    <n v="4503"/>
    <n v="49"/>
    <s v="Male"/>
    <x v="5"/>
    <s v="Headphones"/>
    <n v="2177.2800000000002"/>
    <x v="3"/>
    <s v="Card"/>
    <n v="3.6"/>
    <n v="26"/>
    <n v="8"/>
    <n v="1611.1872000000001"/>
    <x v="0"/>
    <x v="0"/>
    <s v="Returning"/>
  </r>
  <r>
    <n v="4504"/>
    <n v="60"/>
    <s v="Female"/>
    <x v="8"/>
    <s v="Top"/>
    <n v="90.75"/>
    <x v="1"/>
    <s v="Card"/>
    <n v="3.7"/>
    <n v="25"/>
    <n v="10"/>
    <n v="68.0625"/>
    <x v="0"/>
    <x v="0"/>
    <s v="Returning"/>
  </r>
  <r>
    <n v="4505"/>
    <n v="23"/>
    <s v="Female"/>
    <x v="7"/>
    <s v="Sneakers"/>
    <n v="200.4"/>
    <x v="0"/>
    <s v="Card"/>
    <n v="3"/>
    <n v="19"/>
    <n v="7"/>
    <n v="162.32400000000001"/>
    <x v="3"/>
    <x v="0"/>
    <s v="Returning"/>
  </r>
  <r>
    <n v="4506"/>
    <n v="51"/>
    <s v="Female"/>
    <x v="6"/>
    <s v="Perfume"/>
    <n v="20.2"/>
    <x v="0"/>
    <s v="Cash on Delivery"/>
    <n v="5"/>
    <n v="15"/>
    <n v="5"/>
    <n v="17.169999999999998"/>
    <x v="0"/>
    <x v="0"/>
    <s v="Returning"/>
  </r>
  <r>
    <n v="4507"/>
    <n v="42"/>
    <s v="Male"/>
    <x v="1"/>
    <s v="Shirt"/>
    <n v="120.04"/>
    <x v="3"/>
    <s v="Card"/>
    <n v="4.8"/>
    <n v="17"/>
    <n v="6"/>
    <n v="99.633200000000002"/>
    <x v="1"/>
    <x v="0"/>
    <s v="Returning"/>
  </r>
  <r>
    <n v="4508"/>
    <n v="63"/>
    <s v="Female"/>
    <x v="6"/>
    <s v="Skincare Kit"/>
    <n v="64.58"/>
    <x v="0"/>
    <s v="Card"/>
    <n v="3.5"/>
    <n v="6"/>
    <n v="3"/>
    <n v="60.705199999999998"/>
    <x v="2"/>
    <x v="0"/>
    <s v="Returning"/>
  </r>
  <r>
    <n v="4509"/>
    <n v="21"/>
    <s v="Male"/>
    <x v="4"/>
    <s v="Rice Pack"/>
    <n v="5.44"/>
    <x v="3"/>
    <s v="Card"/>
    <n v="3.7"/>
    <n v="22"/>
    <n v="6"/>
    <n v="4.2432000000000007"/>
    <x v="3"/>
    <x v="0"/>
    <s v="Returning"/>
  </r>
  <r>
    <n v="4510"/>
    <n v="52"/>
    <s v="Male"/>
    <x v="5"/>
    <s v="Mobile Phone"/>
    <n v="1371.54"/>
    <x v="2"/>
    <s v="Card"/>
    <n v="3.4"/>
    <n v="14"/>
    <n v="7"/>
    <n v="1179.5244"/>
    <x v="0"/>
    <x v="0"/>
    <s v="Returning"/>
  </r>
  <r>
    <n v="4511"/>
    <n v="30"/>
    <s v="Male"/>
    <x v="7"/>
    <s v="Formal Shoes"/>
    <n v="193.68"/>
    <x v="2"/>
    <s v="Card"/>
    <n v="3.1"/>
    <n v="14"/>
    <n v="2"/>
    <n v="166.56479999999999"/>
    <x v="4"/>
    <x v="0"/>
    <s v="Returning"/>
  </r>
  <r>
    <n v="4512"/>
    <n v="70"/>
    <s v="Female"/>
    <x v="8"/>
    <s v="Jeans"/>
    <n v="142.97"/>
    <x v="2"/>
    <s v="Card"/>
    <n v="4"/>
    <n v="17"/>
    <n v="6"/>
    <n v="118.6651"/>
    <x v="2"/>
    <x v="0"/>
    <s v="Returning"/>
  </r>
  <r>
    <n v="4513"/>
    <n v="61"/>
    <s v="Female"/>
    <x v="0"/>
    <s v="Sunglasses"/>
    <n v="119.4"/>
    <x v="2"/>
    <s v="Card"/>
    <n v="4.3"/>
    <n v="26"/>
    <n v="8"/>
    <n v="88.356000000000009"/>
    <x v="2"/>
    <x v="0"/>
    <s v="Returning"/>
  </r>
  <r>
    <n v="4514"/>
    <n v="55"/>
    <s v="Female"/>
    <x v="8"/>
    <s v="Top"/>
    <n v="178.14"/>
    <x v="0"/>
    <s v="Card"/>
    <n v="4.7"/>
    <n v="16"/>
    <n v="3"/>
    <n v="149.63759999999999"/>
    <x v="0"/>
    <x v="0"/>
    <s v="Returning"/>
  </r>
  <r>
    <n v="4515"/>
    <n v="65"/>
    <s v="Male"/>
    <x v="4"/>
    <s v="Cooking Oil"/>
    <n v="13.59"/>
    <x v="1"/>
    <s v="Card"/>
    <n v="3.1"/>
    <n v="10"/>
    <n v="5"/>
    <n v="12.231"/>
    <x v="2"/>
    <x v="0"/>
    <s v="Returning"/>
  </r>
  <r>
    <n v="4516"/>
    <n v="41"/>
    <s v="Male"/>
    <x v="4"/>
    <s v="Beverages"/>
    <n v="11.01"/>
    <x v="3"/>
    <s v="Cash on Delivery"/>
    <n v="4.5999999999999996"/>
    <n v="13"/>
    <n v="4"/>
    <n v="9.5786999999999995"/>
    <x v="1"/>
    <x v="0"/>
    <s v="Returning"/>
  </r>
  <r>
    <n v="4517"/>
    <n v="35"/>
    <s v="Male"/>
    <x v="2"/>
    <s v="Yoga Mat"/>
    <n v="156.76"/>
    <x v="2"/>
    <s v="Card"/>
    <n v="3.3"/>
    <n v="6"/>
    <n v="3"/>
    <n v="147.35439999999997"/>
    <x v="4"/>
    <x v="0"/>
    <s v="Returning"/>
  </r>
  <r>
    <n v="4518"/>
    <n v="55"/>
    <s v="Female"/>
    <x v="7"/>
    <s v="Formal Shoes"/>
    <n v="40.21"/>
    <x v="0"/>
    <s v="Card"/>
    <n v="3.5"/>
    <n v="14"/>
    <n v="2"/>
    <n v="34.580599999999997"/>
    <x v="0"/>
    <x v="0"/>
    <s v="Returning"/>
  </r>
  <r>
    <n v="4519"/>
    <n v="65"/>
    <s v="Female"/>
    <x v="6"/>
    <s v="Skincare Kit"/>
    <n v="54.03"/>
    <x v="3"/>
    <s v="Card"/>
    <n v="3.6"/>
    <n v="15"/>
    <n v="5"/>
    <n v="45.9255"/>
    <x v="2"/>
    <x v="0"/>
    <s v="Returning"/>
  </r>
  <r>
    <n v="4520"/>
    <n v="40"/>
    <s v="Female"/>
    <x v="3"/>
    <s v="Lamp"/>
    <n v="216.9"/>
    <x v="3"/>
    <s v="Card"/>
    <n v="3.7"/>
    <n v="4"/>
    <n v="2"/>
    <n v="208.22399999999999"/>
    <x v="1"/>
    <x v="0"/>
    <s v="Returning"/>
  </r>
  <r>
    <n v="4521"/>
    <n v="59"/>
    <s v="Female"/>
    <x v="0"/>
    <s v="Sunglasses"/>
    <n v="29.8"/>
    <x v="2"/>
    <s v="Cash on Delivery"/>
    <n v="3.2"/>
    <n v="10"/>
    <n v="5"/>
    <n v="26.82"/>
    <x v="0"/>
    <x v="0"/>
    <s v="Returning"/>
  </r>
  <r>
    <n v="4522"/>
    <n v="59"/>
    <s v="Female"/>
    <x v="6"/>
    <s v="Perfume"/>
    <n v="111.6"/>
    <x v="1"/>
    <s v="Card"/>
    <n v="2.2000000000000002"/>
    <n v="4"/>
    <n v="2"/>
    <n v="107.136"/>
    <x v="0"/>
    <x v="0"/>
    <s v="Returning"/>
  </r>
  <r>
    <n v="4523"/>
    <n v="70"/>
    <s v="Female"/>
    <x v="8"/>
    <s v="Top"/>
    <n v="161.66999999999999"/>
    <x v="2"/>
    <s v="Card"/>
    <n v="3.8"/>
    <n v="17"/>
    <n v="6"/>
    <n v="134.18609999999998"/>
    <x v="2"/>
    <x v="0"/>
    <s v="Returning"/>
  </r>
  <r>
    <n v="4524"/>
    <n v="59"/>
    <s v="Male"/>
    <x v="3"/>
    <s v="Kitchen Set"/>
    <n v="155.09"/>
    <x v="3"/>
    <s v="Card"/>
    <n v="3.6"/>
    <n v="18"/>
    <n v="9"/>
    <n v="127.17380000000001"/>
    <x v="0"/>
    <x v="0"/>
    <s v="Returning"/>
  </r>
  <r>
    <n v="4525"/>
    <n v="61"/>
    <s v="Female"/>
    <x v="2"/>
    <s v="Football"/>
    <n v="140.07"/>
    <x v="3"/>
    <s v="Card"/>
    <n v="4"/>
    <n v="10"/>
    <n v="5"/>
    <n v="126.063"/>
    <x v="2"/>
    <x v="0"/>
    <s v="Returning"/>
  </r>
  <r>
    <n v="4526"/>
    <n v="68"/>
    <s v="Male"/>
    <x v="5"/>
    <s v="Headphones"/>
    <n v="894.06"/>
    <x v="2"/>
    <s v="Card"/>
    <n v="3.9"/>
    <n v="10"/>
    <n v="5"/>
    <n v="804.654"/>
    <x v="2"/>
    <x v="0"/>
    <s v="Returning"/>
  </r>
  <r>
    <n v="4527"/>
    <n v="45"/>
    <s v="Female"/>
    <x v="7"/>
    <s v="Formal Shoes"/>
    <n v="232.18"/>
    <x v="2"/>
    <s v="Card"/>
    <n v="4.5"/>
    <n v="20"/>
    <n v="5"/>
    <n v="185.74400000000003"/>
    <x v="1"/>
    <x v="0"/>
    <s v="Returning"/>
  </r>
  <r>
    <n v="4528"/>
    <n v="35"/>
    <s v="Female"/>
    <x v="7"/>
    <s v="Sneakers"/>
    <n v="185.34"/>
    <x v="3"/>
    <s v="Card"/>
    <n v="3.6"/>
    <n v="13"/>
    <n v="4"/>
    <n v="161.2458"/>
    <x v="4"/>
    <x v="0"/>
    <s v="Returning"/>
  </r>
  <r>
    <n v="4529"/>
    <n v="54"/>
    <s v="Male"/>
    <x v="2"/>
    <s v="Dumbbells"/>
    <n v="245.45"/>
    <x v="3"/>
    <s v="Card"/>
    <n v="3.6"/>
    <n v="8"/>
    <n v="4"/>
    <n v="225.81399999999999"/>
    <x v="0"/>
    <x v="0"/>
    <s v="Returning"/>
  </r>
  <r>
    <n v="4530"/>
    <n v="53"/>
    <s v="Female"/>
    <x v="6"/>
    <s v="Skincare Kit"/>
    <n v="30.54"/>
    <x v="0"/>
    <s v="Card"/>
    <n v="4"/>
    <n v="7"/>
    <n v="1"/>
    <n v="28.402199999999997"/>
    <x v="0"/>
    <x v="0"/>
    <s v="Returning"/>
  </r>
  <r>
    <n v="4531"/>
    <n v="30"/>
    <s v="Female"/>
    <x v="8"/>
    <s v="Top"/>
    <n v="95.64"/>
    <x v="2"/>
    <s v="Cash on Delivery"/>
    <n v="4.5"/>
    <n v="17"/>
    <n v="6"/>
    <n v="79.381199999999993"/>
    <x v="4"/>
    <x v="0"/>
    <s v="Returning"/>
  </r>
  <r>
    <n v="4532"/>
    <n v="52"/>
    <s v="Male"/>
    <x v="1"/>
    <s v="Shirt"/>
    <n v="134.28"/>
    <x v="2"/>
    <s v="Card"/>
    <n v="3.1"/>
    <n v="8"/>
    <n v="4"/>
    <n v="123.53760000000001"/>
    <x v="0"/>
    <x v="0"/>
    <s v="Returning"/>
  </r>
  <r>
    <n v="4533"/>
    <n v="42"/>
    <s v="Male"/>
    <x v="2"/>
    <s v="Football"/>
    <n v="249.3"/>
    <x v="3"/>
    <s v="Card"/>
    <n v="5"/>
    <n v="18"/>
    <n v="4"/>
    <n v="204.42600000000002"/>
    <x v="1"/>
    <x v="0"/>
    <s v="Returning"/>
  </r>
  <r>
    <n v="4534"/>
    <n v="44"/>
    <s v="Male"/>
    <x v="7"/>
    <s v="Sneakers"/>
    <n v="55.33"/>
    <x v="3"/>
    <s v="Card"/>
    <n v="4.5"/>
    <n v="28"/>
    <n v="9"/>
    <n v="39.837599999999995"/>
    <x v="1"/>
    <x v="0"/>
    <s v="Returning"/>
  </r>
  <r>
    <n v="4535"/>
    <n v="60"/>
    <s v="Male"/>
    <x v="4"/>
    <s v="Snacks"/>
    <n v="10.3"/>
    <x v="1"/>
    <s v="Cash on Delivery"/>
    <n v="3.9"/>
    <n v="17"/>
    <n v="6"/>
    <n v="8.5489999999999995"/>
    <x v="0"/>
    <x v="0"/>
    <s v="Returning"/>
  </r>
  <r>
    <n v="4536"/>
    <n v="22"/>
    <s v="Female"/>
    <x v="7"/>
    <s v="Formal Shoes"/>
    <n v="109.51"/>
    <x v="1"/>
    <s v="Card"/>
    <n v="4.8"/>
    <n v="10"/>
    <n v="5"/>
    <n v="98.559000000000012"/>
    <x v="3"/>
    <x v="0"/>
    <s v="Returning"/>
  </r>
  <r>
    <n v="4537"/>
    <n v="31"/>
    <s v="Male"/>
    <x v="5"/>
    <s v="Smart Watch"/>
    <n v="1550.91"/>
    <x v="1"/>
    <s v="Card"/>
    <n v="2.1"/>
    <n v="9"/>
    <n v="2"/>
    <n v="1411.3281000000002"/>
    <x v="4"/>
    <x v="0"/>
    <s v="Returning"/>
  </r>
  <r>
    <n v="4538"/>
    <n v="38"/>
    <s v="Male"/>
    <x v="7"/>
    <s v="Sneakers"/>
    <n v="192.19"/>
    <x v="0"/>
    <s v="Card"/>
    <n v="3.5"/>
    <n v="11"/>
    <n v="3"/>
    <n v="171.04910000000001"/>
    <x v="1"/>
    <x v="0"/>
    <s v="Returning"/>
  </r>
  <r>
    <n v="4539"/>
    <n v="49"/>
    <s v="Male"/>
    <x v="5"/>
    <s v="Smart Watch"/>
    <n v="2208.2199999999998"/>
    <x v="3"/>
    <s v="Card"/>
    <n v="3.8"/>
    <n v="8"/>
    <n v="4"/>
    <n v="2031.5623999999998"/>
    <x v="0"/>
    <x v="0"/>
    <s v="Returning"/>
  </r>
  <r>
    <n v="4540"/>
    <n v="23"/>
    <s v="Female"/>
    <x v="2"/>
    <s v="Dumbbells"/>
    <n v="37.85"/>
    <x v="2"/>
    <s v="Card"/>
    <n v="3.1"/>
    <n v="19"/>
    <n v="7"/>
    <n v="30.658500000000004"/>
    <x v="3"/>
    <x v="0"/>
    <s v="Returning"/>
  </r>
  <r>
    <n v="4541"/>
    <n v="40"/>
    <s v="Female"/>
    <x v="7"/>
    <s v="Sneakers"/>
    <n v="96.16"/>
    <x v="3"/>
    <s v="Cash on Delivery"/>
    <n v="4.0999999999999996"/>
    <n v="14"/>
    <n v="2"/>
    <n v="82.697599999999994"/>
    <x v="1"/>
    <x v="0"/>
    <s v="Returning"/>
  </r>
  <r>
    <n v="4542"/>
    <n v="62"/>
    <s v="Male"/>
    <x v="7"/>
    <s v="Formal Shoes"/>
    <n v="73.58"/>
    <x v="1"/>
    <s v="Card"/>
    <n v="3.2"/>
    <n v="10"/>
    <n v="5"/>
    <n v="66.221999999999994"/>
    <x v="2"/>
    <x v="0"/>
    <s v="Returning"/>
  </r>
  <r>
    <n v="4543"/>
    <n v="27"/>
    <s v="Female"/>
    <x v="7"/>
    <s v="Formal Shoes"/>
    <n v="108.25"/>
    <x v="2"/>
    <s v="Card"/>
    <n v="4.4000000000000004"/>
    <n v="15"/>
    <n v="5"/>
    <n v="92.012500000000003"/>
    <x v="4"/>
    <x v="0"/>
    <s v="Returning"/>
  </r>
  <r>
    <n v="4544"/>
    <n v="35"/>
    <s v="Female"/>
    <x v="2"/>
    <s v="Football"/>
    <n v="84.39"/>
    <x v="3"/>
    <s v="Card"/>
    <n v="4.8"/>
    <n v="19"/>
    <n v="7"/>
    <n v="68.355900000000005"/>
    <x v="4"/>
    <x v="0"/>
    <s v="Returning"/>
  </r>
  <r>
    <n v="4545"/>
    <n v="21"/>
    <s v="Male"/>
    <x v="5"/>
    <s v="Laptop"/>
    <n v="2196.35"/>
    <x v="2"/>
    <s v="Card"/>
    <n v="3.8"/>
    <n v="10"/>
    <n v="5"/>
    <n v="1976.7149999999999"/>
    <x v="3"/>
    <x v="0"/>
    <s v="Returning"/>
  </r>
  <r>
    <n v="4546"/>
    <n v="55"/>
    <s v="Male"/>
    <x v="1"/>
    <s v="T-Shirt"/>
    <n v="56.1"/>
    <x v="2"/>
    <s v="Card"/>
    <n v="5"/>
    <n v="12"/>
    <n v="6"/>
    <n v="49.368000000000002"/>
    <x v="0"/>
    <x v="0"/>
    <s v="Returning"/>
  </r>
  <r>
    <n v="4547"/>
    <n v="49"/>
    <s v="Male"/>
    <x v="1"/>
    <s v="Jacket"/>
    <n v="115.95"/>
    <x v="1"/>
    <s v="Card"/>
    <n v="3.7"/>
    <n v="15"/>
    <n v="5"/>
    <n v="98.557500000000005"/>
    <x v="0"/>
    <x v="0"/>
    <s v="Returning"/>
  </r>
  <r>
    <n v="4548"/>
    <n v="60"/>
    <s v="Male"/>
    <x v="2"/>
    <s v="Football"/>
    <n v="122.97"/>
    <x v="0"/>
    <s v="Card"/>
    <n v="3.8"/>
    <n v="9"/>
    <n v="2"/>
    <n v="111.9027"/>
    <x v="0"/>
    <x v="0"/>
    <s v="Returning"/>
  </r>
  <r>
    <n v="4549"/>
    <n v="46"/>
    <s v="Male"/>
    <x v="5"/>
    <s v="Mobile Phone"/>
    <n v="561.66"/>
    <x v="3"/>
    <s v="Card"/>
    <n v="3.8"/>
    <n v="12"/>
    <n v="6"/>
    <n v="494.26079999999996"/>
    <x v="0"/>
    <x v="0"/>
    <s v="Returning"/>
  </r>
  <r>
    <n v="4550"/>
    <n v="69"/>
    <s v="Female"/>
    <x v="8"/>
    <s v="Top"/>
    <n v="73.88"/>
    <x v="3"/>
    <s v="Card"/>
    <n v="4.3"/>
    <n v="17"/>
    <n v="6"/>
    <n v="61.320399999999992"/>
    <x v="2"/>
    <x v="0"/>
    <s v="Returning"/>
  </r>
  <r>
    <n v="4551"/>
    <n v="49"/>
    <s v="Female"/>
    <x v="7"/>
    <s v="Sandals"/>
    <n v="96.13"/>
    <x v="1"/>
    <s v="Cash on Delivery"/>
    <n v="4"/>
    <n v="15"/>
    <n v="5"/>
    <n v="81.710499999999996"/>
    <x v="0"/>
    <x v="0"/>
    <s v="Returning"/>
  </r>
  <r>
    <n v="4552"/>
    <n v="58"/>
    <s v="Male"/>
    <x v="1"/>
    <s v="T-Shirt"/>
    <n v="128.34"/>
    <x v="1"/>
    <s v="Card"/>
    <n v="3.6"/>
    <n v="22"/>
    <n v="6"/>
    <n v="100.10520000000001"/>
    <x v="0"/>
    <x v="0"/>
    <s v="Returning"/>
  </r>
  <r>
    <n v="4553"/>
    <n v="22"/>
    <s v="Male"/>
    <x v="4"/>
    <s v="Cooking Oil"/>
    <n v="36.200000000000003"/>
    <x v="0"/>
    <s v="Cash on Delivery"/>
    <n v="5"/>
    <n v="20"/>
    <n v="5"/>
    <n v="28.960000000000004"/>
    <x v="3"/>
    <x v="0"/>
    <s v="Returning"/>
  </r>
  <r>
    <n v="4554"/>
    <n v="50"/>
    <s v="Female"/>
    <x v="6"/>
    <s v="Skincare Kit"/>
    <n v="22.59"/>
    <x v="1"/>
    <s v="Cash on Delivery"/>
    <n v="3.9"/>
    <n v="20"/>
    <n v="5"/>
    <n v="18.071999999999999"/>
    <x v="0"/>
    <x v="0"/>
    <s v="Returning"/>
  </r>
  <r>
    <n v="4555"/>
    <n v="41"/>
    <s v="Female"/>
    <x v="7"/>
    <s v="Sandals"/>
    <n v="55.08"/>
    <x v="1"/>
    <s v="Cash on Delivery"/>
    <n v="4"/>
    <n v="26"/>
    <n v="8"/>
    <n v="40.7592"/>
    <x v="1"/>
    <x v="0"/>
    <s v="Returning"/>
  </r>
  <r>
    <n v="4556"/>
    <n v="68"/>
    <s v="Female"/>
    <x v="0"/>
    <s v="Wallet"/>
    <n v="121.36"/>
    <x v="2"/>
    <s v="Card"/>
    <n v="2.7"/>
    <n v="15"/>
    <n v="5"/>
    <n v="103.15599999999999"/>
    <x v="2"/>
    <x v="0"/>
    <s v="Returning"/>
  </r>
  <r>
    <n v="4557"/>
    <n v="67"/>
    <s v="Male"/>
    <x v="7"/>
    <s v="Formal Shoes"/>
    <n v="202.9"/>
    <x v="0"/>
    <s v="Card"/>
    <n v="3.7"/>
    <n v="20"/>
    <n v="5"/>
    <n v="162.32000000000002"/>
    <x v="2"/>
    <x v="0"/>
    <s v="Returning"/>
  </r>
  <r>
    <n v="4558"/>
    <n v="67"/>
    <s v="Male"/>
    <x v="1"/>
    <s v="Jeans"/>
    <n v="185.7"/>
    <x v="0"/>
    <s v="Card"/>
    <n v="3.1"/>
    <n v="2"/>
    <n v="1"/>
    <n v="181.98599999999999"/>
    <x v="2"/>
    <x v="0"/>
    <s v="Returning"/>
  </r>
  <r>
    <n v="4559"/>
    <n v="24"/>
    <s v="Male"/>
    <x v="1"/>
    <s v="Jeans"/>
    <n v="156.16999999999999"/>
    <x v="1"/>
    <s v="Card"/>
    <n v="4.0999999999999996"/>
    <n v="11"/>
    <n v="3"/>
    <n v="138.9913"/>
    <x v="3"/>
    <x v="0"/>
    <s v="Returning"/>
  </r>
  <r>
    <n v="4560"/>
    <n v="56"/>
    <s v="Female"/>
    <x v="6"/>
    <s v="Perfume"/>
    <n v="32.07"/>
    <x v="3"/>
    <s v="Card"/>
    <n v="3.7"/>
    <n v="34"/>
    <n v="12"/>
    <n v="21.166199999999996"/>
    <x v="0"/>
    <x v="0"/>
    <s v="Returning"/>
  </r>
  <r>
    <n v="4561"/>
    <n v="70"/>
    <s v="Female"/>
    <x v="4"/>
    <s v="Rice Pack"/>
    <n v="65.38"/>
    <x v="3"/>
    <s v="Cash on Delivery"/>
    <n v="3.7"/>
    <n v="20"/>
    <n v="5"/>
    <n v="52.304000000000002"/>
    <x v="2"/>
    <x v="0"/>
    <s v="Returning"/>
  </r>
  <r>
    <n v="4562"/>
    <n v="62"/>
    <s v="Female"/>
    <x v="7"/>
    <s v="Formal Shoes"/>
    <n v="48.76"/>
    <x v="0"/>
    <s v="Card"/>
    <n v="3.4"/>
    <n v="10"/>
    <n v="5"/>
    <n v="43.884"/>
    <x v="2"/>
    <x v="0"/>
    <s v="Returning"/>
  </r>
  <r>
    <n v="4563"/>
    <n v="55"/>
    <s v="Female"/>
    <x v="7"/>
    <s v="Sandals"/>
    <n v="133.82"/>
    <x v="1"/>
    <s v="Card"/>
    <n v="4.5"/>
    <n v="17"/>
    <n v="6"/>
    <n v="111.07059999999998"/>
    <x v="0"/>
    <x v="0"/>
    <s v="Returning"/>
  </r>
  <r>
    <n v="4564"/>
    <n v="41"/>
    <s v="Female"/>
    <x v="2"/>
    <s v="Yoga Mat"/>
    <n v="189.59"/>
    <x v="0"/>
    <s v="Card"/>
    <n v="3"/>
    <n v="10"/>
    <n v="5"/>
    <n v="170.631"/>
    <x v="1"/>
    <x v="0"/>
    <s v="Returning"/>
  </r>
  <r>
    <n v="4565"/>
    <n v="64"/>
    <s v="Female"/>
    <x v="0"/>
    <s v="Handbag"/>
    <n v="129.44999999999999"/>
    <x v="0"/>
    <s v="Card"/>
    <n v="3.9"/>
    <n v="13"/>
    <n v="4"/>
    <n v="112.62149999999998"/>
    <x v="2"/>
    <x v="0"/>
    <s v="Returning"/>
  </r>
  <r>
    <n v="4566"/>
    <n v="67"/>
    <s v="Male"/>
    <x v="7"/>
    <s v="Sandals"/>
    <n v="151.13"/>
    <x v="0"/>
    <s v="Card"/>
    <n v="3.6"/>
    <n v="4"/>
    <n v="2"/>
    <n v="145.0848"/>
    <x v="2"/>
    <x v="0"/>
    <s v="Returning"/>
  </r>
  <r>
    <n v="4567"/>
    <n v="30"/>
    <s v="Male"/>
    <x v="7"/>
    <s v="Sneakers"/>
    <n v="122.89"/>
    <x v="2"/>
    <s v="Card"/>
    <n v="5"/>
    <n v="13"/>
    <n v="4"/>
    <n v="106.9143"/>
    <x v="4"/>
    <x v="0"/>
    <s v="Returning"/>
  </r>
  <r>
    <n v="4568"/>
    <n v="70"/>
    <s v="Male"/>
    <x v="7"/>
    <s v="Sandals"/>
    <n v="112.06"/>
    <x v="1"/>
    <s v="Card"/>
    <n v="5"/>
    <n v="25"/>
    <n v="10"/>
    <n v="84.045000000000002"/>
    <x v="2"/>
    <x v="0"/>
    <s v="Returning"/>
  </r>
  <r>
    <n v="4569"/>
    <n v="66"/>
    <s v="Female"/>
    <x v="2"/>
    <s v="Dumbbells"/>
    <n v="115.8"/>
    <x v="2"/>
    <s v="Card"/>
    <n v="3.2"/>
    <n v="12"/>
    <n v="1"/>
    <n v="101.904"/>
    <x v="2"/>
    <x v="0"/>
    <s v="Returning"/>
  </r>
  <r>
    <n v="4570"/>
    <n v="55"/>
    <s v="Female"/>
    <x v="4"/>
    <s v="Rice Pack"/>
    <n v="68.87"/>
    <x v="0"/>
    <s v="Cash on Delivery"/>
    <n v="4"/>
    <n v="6"/>
    <n v="3"/>
    <n v="64.737800000000007"/>
    <x v="0"/>
    <x v="0"/>
    <s v="Returning"/>
  </r>
  <r>
    <n v="4571"/>
    <n v="63"/>
    <s v="Male"/>
    <x v="1"/>
    <s v="Jeans"/>
    <n v="99.6"/>
    <x v="0"/>
    <s v="Cash on Delivery"/>
    <n v="4.5999999999999996"/>
    <n v="14"/>
    <n v="2"/>
    <n v="85.655999999999992"/>
    <x v="2"/>
    <x v="0"/>
    <s v="Returning"/>
  </r>
  <r>
    <n v="4572"/>
    <n v="65"/>
    <s v="Male"/>
    <x v="2"/>
    <s v="Yoga Mat"/>
    <n v="112.71"/>
    <x v="2"/>
    <s v="Card"/>
    <n v="4.7"/>
    <n v="25"/>
    <n v="10"/>
    <n v="84.532499999999999"/>
    <x v="2"/>
    <x v="0"/>
    <s v="Returning"/>
  </r>
  <r>
    <n v="4573"/>
    <n v="42"/>
    <s v="Male"/>
    <x v="7"/>
    <s v="Formal Shoes"/>
    <n v="176.05"/>
    <x v="3"/>
    <s v="Card"/>
    <n v="4.3"/>
    <n v="10"/>
    <n v="5"/>
    <n v="158.44500000000002"/>
    <x v="1"/>
    <x v="0"/>
    <s v="Returning"/>
  </r>
  <r>
    <n v="4574"/>
    <n v="53"/>
    <s v="Male"/>
    <x v="2"/>
    <s v="Football"/>
    <n v="122.14"/>
    <x v="3"/>
    <s v="Card"/>
    <n v="4.7"/>
    <n v="17"/>
    <n v="6"/>
    <n v="101.3762"/>
    <x v="0"/>
    <x v="0"/>
    <s v="Returning"/>
  </r>
  <r>
    <n v="4575"/>
    <n v="29"/>
    <s v="Female"/>
    <x v="8"/>
    <s v="Skirt"/>
    <n v="70.08"/>
    <x v="2"/>
    <s v="Card"/>
    <n v="3.1"/>
    <n v="8"/>
    <n v="4"/>
    <n v="64.473600000000005"/>
    <x v="4"/>
    <x v="0"/>
    <s v="Returning"/>
  </r>
  <r>
    <n v="4576"/>
    <n v="31"/>
    <s v="Female"/>
    <x v="3"/>
    <s v="Lamp"/>
    <n v="212.12"/>
    <x v="1"/>
    <s v="Card"/>
    <n v="3.6"/>
    <n v="8"/>
    <n v="4"/>
    <n v="195.15040000000002"/>
    <x v="4"/>
    <x v="0"/>
    <s v="Returning"/>
  </r>
  <r>
    <n v="4577"/>
    <n v="22"/>
    <s v="Male"/>
    <x v="1"/>
    <s v="T-Shirt"/>
    <n v="132.21"/>
    <x v="1"/>
    <s v="Card"/>
    <n v="4.2"/>
    <n v="12"/>
    <n v="6"/>
    <n v="116.34480000000001"/>
    <x v="3"/>
    <x v="0"/>
    <s v="Returning"/>
  </r>
  <r>
    <n v="4578"/>
    <n v="61"/>
    <s v="Male"/>
    <x v="3"/>
    <s v="Lamp"/>
    <n v="30.41"/>
    <x v="1"/>
    <s v="Card"/>
    <n v="4.5"/>
    <n v="24"/>
    <n v="7"/>
    <n v="23.111599999999999"/>
    <x v="2"/>
    <x v="0"/>
    <s v="Returning"/>
  </r>
  <r>
    <n v="4579"/>
    <n v="70"/>
    <s v="Female"/>
    <x v="8"/>
    <s v="Skirt"/>
    <n v="155.75"/>
    <x v="1"/>
    <s v="Card"/>
    <n v="4.8"/>
    <n v="26"/>
    <n v="8"/>
    <n v="115.255"/>
    <x v="2"/>
    <x v="0"/>
    <s v="Returning"/>
  </r>
  <r>
    <n v="4580"/>
    <n v="23"/>
    <s v="Female"/>
    <x v="8"/>
    <s v="Top"/>
    <n v="139.63999999999999"/>
    <x v="3"/>
    <s v="Card"/>
    <n v="3.2"/>
    <n v="13"/>
    <n v="4"/>
    <n v="121.48679999999999"/>
    <x v="3"/>
    <x v="0"/>
    <s v="Returning"/>
  </r>
  <r>
    <n v="4581"/>
    <n v="37"/>
    <s v="Female"/>
    <x v="8"/>
    <s v="Skirt"/>
    <n v="68.14"/>
    <x v="1"/>
    <s v="Card"/>
    <n v="5"/>
    <n v="15"/>
    <n v="5"/>
    <n v="57.918999999999997"/>
    <x v="1"/>
    <x v="0"/>
    <s v="Returning"/>
  </r>
  <r>
    <n v="4582"/>
    <n v="46"/>
    <s v="Female"/>
    <x v="6"/>
    <s v="Skincare Kit"/>
    <n v="90.16"/>
    <x v="0"/>
    <s v="Cash on Delivery"/>
    <n v="3.4"/>
    <n v="8"/>
    <n v="4"/>
    <n v="82.947199999999995"/>
    <x v="0"/>
    <x v="0"/>
    <s v="Returning"/>
  </r>
  <r>
    <n v="4583"/>
    <n v="30"/>
    <s v="Male"/>
    <x v="4"/>
    <s v="Beverages"/>
    <n v="31.14"/>
    <x v="3"/>
    <s v="Cash on Delivery"/>
    <n v="4.3"/>
    <n v="22"/>
    <n v="6"/>
    <n v="24.289200000000001"/>
    <x v="4"/>
    <x v="0"/>
    <s v="Returning"/>
  </r>
  <r>
    <n v="4584"/>
    <n v="40"/>
    <s v="Female"/>
    <x v="6"/>
    <s v="Perfume"/>
    <n v="58.36"/>
    <x v="2"/>
    <s v="Cash on Delivery"/>
    <n v="3.4"/>
    <n v="16"/>
    <n v="3"/>
    <n v="49.022399999999998"/>
    <x v="1"/>
    <x v="0"/>
    <s v="Returning"/>
  </r>
  <r>
    <n v="4585"/>
    <n v="22"/>
    <s v="Female"/>
    <x v="7"/>
    <s v="Sandals"/>
    <n v="185.34"/>
    <x v="2"/>
    <s v="Card"/>
    <n v="3.7"/>
    <n v="13"/>
    <n v="4"/>
    <n v="161.2458"/>
    <x v="3"/>
    <x v="0"/>
    <s v="Returning"/>
  </r>
  <r>
    <n v="4586"/>
    <n v="36"/>
    <s v="Female"/>
    <x v="7"/>
    <s v="Sneakers"/>
    <n v="195.92"/>
    <x v="1"/>
    <s v="Card"/>
    <n v="3.3"/>
    <n v="8"/>
    <n v="4"/>
    <n v="180.24639999999999"/>
    <x v="1"/>
    <x v="0"/>
    <s v="Returning"/>
  </r>
  <r>
    <n v="4587"/>
    <n v="37"/>
    <s v="Female"/>
    <x v="6"/>
    <s v="Skincare Kit"/>
    <n v="126.73"/>
    <x v="3"/>
    <s v="Card"/>
    <n v="4.4000000000000004"/>
    <n v="18"/>
    <n v="4"/>
    <n v="103.91860000000001"/>
    <x v="1"/>
    <x v="0"/>
    <s v="Returning"/>
  </r>
  <r>
    <n v="4588"/>
    <n v="36"/>
    <s v="Male"/>
    <x v="2"/>
    <s v="Dumbbells"/>
    <n v="57.52"/>
    <x v="2"/>
    <s v="Cash on Delivery"/>
    <n v="3.6"/>
    <n v="17"/>
    <n v="6"/>
    <n v="47.741599999999998"/>
    <x v="1"/>
    <x v="0"/>
    <s v="Returning"/>
  </r>
  <r>
    <n v="4589"/>
    <n v="63"/>
    <s v="Female"/>
    <x v="2"/>
    <s v="Yoga Mat"/>
    <n v="50.03"/>
    <x v="3"/>
    <s v="Cash on Delivery"/>
    <n v="4.9000000000000004"/>
    <n v="13"/>
    <n v="4"/>
    <n v="43.5261"/>
    <x v="2"/>
    <x v="0"/>
    <s v="Returning"/>
  </r>
  <r>
    <n v="4590"/>
    <n v="55"/>
    <s v="Male"/>
    <x v="7"/>
    <s v="Formal Shoes"/>
    <n v="127.27"/>
    <x v="1"/>
    <s v="Card"/>
    <n v="3.8"/>
    <n v="17"/>
    <n v="6"/>
    <n v="105.63409999999999"/>
    <x v="0"/>
    <x v="0"/>
    <s v="Returning"/>
  </r>
  <r>
    <n v="4591"/>
    <n v="59"/>
    <s v="Male"/>
    <x v="7"/>
    <s v="Sandals"/>
    <n v="146.82"/>
    <x v="0"/>
    <s v="Card"/>
    <n v="2.8"/>
    <n v="9"/>
    <n v="2"/>
    <n v="133.6062"/>
    <x v="0"/>
    <x v="0"/>
    <s v="Returning"/>
  </r>
  <r>
    <n v="4592"/>
    <n v="27"/>
    <s v="Male"/>
    <x v="5"/>
    <s v="Headphones"/>
    <n v="1476.44"/>
    <x v="0"/>
    <s v="Card"/>
    <n v="5"/>
    <n v="16"/>
    <n v="3"/>
    <n v="1240.2095999999999"/>
    <x v="4"/>
    <x v="0"/>
    <s v="Returning"/>
  </r>
  <r>
    <n v="4593"/>
    <n v="40"/>
    <s v="Female"/>
    <x v="3"/>
    <s v="Kitchen Set"/>
    <n v="67.92"/>
    <x v="1"/>
    <s v="Card"/>
    <n v="4.5999999999999996"/>
    <n v="12"/>
    <n v="6"/>
    <n v="59.769600000000004"/>
    <x v="1"/>
    <x v="0"/>
    <s v="Returning"/>
  </r>
  <r>
    <n v="4594"/>
    <n v="45"/>
    <s v="Female"/>
    <x v="6"/>
    <s v="Skincare Kit"/>
    <n v="78.650000000000006"/>
    <x v="2"/>
    <s v="Cash on Delivery"/>
    <n v="3.6"/>
    <n v="18"/>
    <n v="4"/>
    <n v="64.493000000000009"/>
    <x v="1"/>
    <x v="0"/>
    <s v="Returning"/>
  </r>
  <r>
    <n v="4595"/>
    <n v="64"/>
    <s v="Male"/>
    <x v="1"/>
    <s v="Jacket"/>
    <n v="158.12"/>
    <x v="3"/>
    <s v="Card"/>
    <n v="3.9"/>
    <n v="4"/>
    <n v="2"/>
    <n v="151.79519999999999"/>
    <x v="2"/>
    <x v="0"/>
    <s v="Returning"/>
  </r>
  <r>
    <n v="4596"/>
    <n v="44"/>
    <s v="Female"/>
    <x v="0"/>
    <s v="Sunglasses"/>
    <n v="92.21"/>
    <x v="1"/>
    <s v="Card"/>
    <n v="2.9"/>
    <n v="15"/>
    <n v="5"/>
    <n v="78.378499999999988"/>
    <x v="1"/>
    <x v="0"/>
    <s v="Returning"/>
  </r>
  <r>
    <n v="4597"/>
    <n v="27"/>
    <s v="Male"/>
    <x v="1"/>
    <s v="Shirt"/>
    <n v="86.53"/>
    <x v="2"/>
    <s v="Card"/>
    <n v="4.0999999999999996"/>
    <n v="5"/>
    <n v="0"/>
    <n v="82.203499999999991"/>
    <x v="4"/>
    <x v="0"/>
    <s v="New"/>
  </r>
  <r>
    <n v="4598"/>
    <n v="64"/>
    <s v="Female"/>
    <x v="7"/>
    <s v="Formal Shoes"/>
    <n v="233.47"/>
    <x v="0"/>
    <s v="Card"/>
    <n v="4.8"/>
    <n v="6"/>
    <n v="3"/>
    <n v="219.46179999999998"/>
    <x v="2"/>
    <x v="0"/>
    <s v="Returning"/>
  </r>
  <r>
    <n v="4599"/>
    <n v="60"/>
    <s v="Male"/>
    <x v="3"/>
    <s v="Lamp"/>
    <n v="82.83"/>
    <x v="1"/>
    <s v="Cash on Delivery"/>
    <n v="3.6"/>
    <n v="21"/>
    <n v="8"/>
    <n v="65.435699999999997"/>
    <x v="0"/>
    <x v="0"/>
    <s v="Returning"/>
  </r>
  <r>
    <n v="4600"/>
    <n v="60"/>
    <s v="Female"/>
    <x v="2"/>
    <s v="Football"/>
    <n v="217.78"/>
    <x v="2"/>
    <s v="Card"/>
    <n v="4.8"/>
    <n v="18"/>
    <n v="4"/>
    <n v="178.57960000000003"/>
    <x v="0"/>
    <x v="0"/>
    <s v="Returning"/>
  </r>
  <r>
    <n v="4601"/>
    <n v="68"/>
    <s v="Female"/>
    <x v="7"/>
    <s v="Sneakers"/>
    <n v="69.89"/>
    <x v="0"/>
    <s v="Cash on Delivery"/>
    <n v="3.9"/>
    <n v="9"/>
    <n v="2"/>
    <n v="63.599900000000005"/>
    <x v="2"/>
    <x v="0"/>
    <s v="Returning"/>
  </r>
  <r>
    <n v="4602"/>
    <n v="23"/>
    <s v="Female"/>
    <x v="6"/>
    <s v="Perfume"/>
    <n v="86.48"/>
    <x v="2"/>
    <s v="Card"/>
    <n v="4.3"/>
    <n v="13"/>
    <n v="4"/>
    <n v="75.2376"/>
    <x v="3"/>
    <x v="0"/>
    <s v="Returning"/>
  </r>
  <r>
    <n v="4603"/>
    <n v="63"/>
    <s v="Male"/>
    <x v="2"/>
    <s v="Yoga Mat"/>
    <n v="29.89"/>
    <x v="0"/>
    <s v="Cash on Delivery"/>
    <n v="3.9"/>
    <n v="14"/>
    <n v="7"/>
    <n v="25.705400000000001"/>
    <x v="2"/>
    <x v="0"/>
    <s v="Returning"/>
  </r>
  <r>
    <n v="4604"/>
    <n v="25"/>
    <s v="Male"/>
    <x v="2"/>
    <s v="Dumbbells"/>
    <n v="30.91"/>
    <x v="0"/>
    <s v="Cash on Delivery"/>
    <n v="3.9"/>
    <n v="22"/>
    <n v="6"/>
    <n v="24.1098"/>
    <x v="3"/>
    <x v="0"/>
    <s v="Returning"/>
  </r>
  <r>
    <n v="4605"/>
    <n v="44"/>
    <s v="Female"/>
    <x v="6"/>
    <s v="Skincare Kit"/>
    <n v="138.36000000000001"/>
    <x v="2"/>
    <s v="Card"/>
    <n v="4.4000000000000004"/>
    <n v="16"/>
    <n v="3"/>
    <n v="116.22240000000001"/>
    <x v="1"/>
    <x v="0"/>
    <s v="Returning"/>
  </r>
  <r>
    <n v="4606"/>
    <n v="48"/>
    <s v="Female"/>
    <x v="8"/>
    <s v="Dress"/>
    <n v="42.2"/>
    <x v="2"/>
    <s v="Cash on Delivery"/>
    <n v="3.1"/>
    <n v="16"/>
    <n v="3"/>
    <n v="35.448"/>
    <x v="0"/>
    <x v="0"/>
    <s v="Returning"/>
  </r>
  <r>
    <n v="4607"/>
    <n v="30"/>
    <s v="Female"/>
    <x v="8"/>
    <s v="Dress"/>
    <n v="137.13"/>
    <x v="3"/>
    <s v="Card"/>
    <n v="4.4000000000000004"/>
    <n v="16"/>
    <n v="3"/>
    <n v="115.18919999999999"/>
    <x v="4"/>
    <x v="0"/>
    <s v="Returning"/>
  </r>
  <r>
    <n v="4608"/>
    <n v="24"/>
    <s v="Male"/>
    <x v="3"/>
    <s v="Curtains"/>
    <n v="232.57"/>
    <x v="3"/>
    <s v="Card"/>
    <n v="3.6"/>
    <n v="26"/>
    <n v="8"/>
    <n v="172.1018"/>
    <x v="3"/>
    <x v="0"/>
    <s v="Returning"/>
  </r>
  <r>
    <n v="4609"/>
    <n v="25"/>
    <s v="Female"/>
    <x v="0"/>
    <s v="Handbag"/>
    <n v="22.59"/>
    <x v="2"/>
    <s v="Cash on Delivery"/>
    <n v="2.9"/>
    <n v="12"/>
    <n v="6"/>
    <n v="19.879200000000001"/>
    <x v="3"/>
    <x v="0"/>
    <s v="Returning"/>
  </r>
  <r>
    <n v="4610"/>
    <n v="50"/>
    <s v="Male"/>
    <x v="5"/>
    <s v="Smart Watch"/>
    <n v="2642.49"/>
    <x v="2"/>
    <s v="Card"/>
    <n v="3.5"/>
    <n v="20"/>
    <n v="5"/>
    <n v="2113.9919999999997"/>
    <x v="0"/>
    <x v="0"/>
    <s v="Returning"/>
  </r>
  <r>
    <n v="4611"/>
    <n v="64"/>
    <s v="Female"/>
    <x v="6"/>
    <s v="Skincare Kit"/>
    <n v="103.84"/>
    <x v="1"/>
    <s v="Card"/>
    <n v="4.3"/>
    <n v="14"/>
    <n v="7"/>
    <n v="89.302400000000006"/>
    <x v="2"/>
    <x v="0"/>
    <s v="Returning"/>
  </r>
  <r>
    <n v="4612"/>
    <n v="28"/>
    <s v="Female"/>
    <x v="6"/>
    <s v="Perfume"/>
    <n v="107.9"/>
    <x v="3"/>
    <s v="Card"/>
    <n v="3.2"/>
    <n v="11"/>
    <n v="3"/>
    <n v="96.031000000000006"/>
    <x v="4"/>
    <x v="0"/>
    <s v="Returning"/>
  </r>
  <r>
    <n v="4613"/>
    <n v="55"/>
    <s v="Male"/>
    <x v="2"/>
    <s v="Dumbbells"/>
    <n v="175.64"/>
    <x v="3"/>
    <s v="Card"/>
    <n v="4.4000000000000004"/>
    <n v="18"/>
    <n v="9"/>
    <n v="144.0248"/>
    <x v="0"/>
    <x v="0"/>
    <s v="Returning"/>
  </r>
  <r>
    <n v="4614"/>
    <n v="42"/>
    <s v="Male"/>
    <x v="5"/>
    <s v="Mobile Phone"/>
    <n v="909.94"/>
    <x v="0"/>
    <s v="Card"/>
    <n v="3.5"/>
    <n v="19"/>
    <n v="7"/>
    <n v="737.05140000000006"/>
    <x v="1"/>
    <x v="0"/>
    <s v="Returning"/>
  </r>
  <r>
    <n v="4615"/>
    <n v="37"/>
    <s v="Male"/>
    <x v="2"/>
    <s v="Dumbbells"/>
    <n v="72.13"/>
    <x v="0"/>
    <s v="Cash on Delivery"/>
    <n v="3.6"/>
    <n v="12"/>
    <n v="6"/>
    <n v="63.474399999999996"/>
    <x v="1"/>
    <x v="0"/>
    <s v="Returning"/>
  </r>
  <r>
    <n v="4616"/>
    <n v="60"/>
    <s v="Female"/>
    <x v="7"/>
    <s v="Formal Shoes"/>
    <n v="150.30000000000001"/>
    <x v="3"/>
    <s v="Card"/>
    <n v="4.2"/>
    <n v="22"/>
    <n v="6"/>
    <n v="117.23400000000001"/>
    <x v="0"/>
    <x v="0"/>
    <s v="Returning"/>
  </r>
  <r>
    <n v="4617"/>
    <n v="32"/>
    <s v="Male"/>
    <x v="2"/>
    <s v="Football"/>
    <n v="59.98"/>
    <x v="0"/>
    <s v="Cash on Delivery"/>
    <n v="4.4000000000000004"/>
    <n v="11"/>
    <n v="3"/>
    <n v="53.382199999999997"/>
    <x v="4"/>
    <x v="0"/>
    <s v="Returning"/>
  </r>
  <r>
    <n v="4618"/>
    <n v="38"/>
    <s v="Female"/>
    <x v="8"/>
    <s v="Jeans"/>
    <n v="55.88"/>
    <x v="2"/>
    <s v="Card"/>
    <n v="4.9000000000000004"/>
    <n v="18"/>
    <n v="9"/>
    <n v="45.821600000000004"/>
    <x v="1"/>
    <x v="0"/>
    <s v="Returning"/>
  </r>
  <r>
    <n v="4619"/>
    <n v="62"/>
    <s v="Male"/>
    <x v="1"/>
    <s v="Jeans"/>
    <n v="86.82"/>
    <x v="3"/>
    <s v="Cash on Delivery"/>
    <n v="3"/>
    <n v="11"/>
    <n v="3"/>
    <n v="77.269799999999989"/>
    <x v="2"/>
    <x v="0"/>
    <s v="Returning"/>
  </r>
  <r>
    <n v="4620"/>
    <n v="58"/>
    <s v="Male"/>
    <x v="2"/>
    <s v="Football"/>
    <n v="88.53"/>
    <x v="2"/>
    <s v="Card"/>
    <n v="3.5"/>
    <n v="13"/>
    <n v="4"/>
    <n v="77.021100000000004"/>
    <x v="0"/>
    <x v="0"/>
    <s v="Returning"/>
  </r>
  <r>
    <n v="4621"/>
    <n v="20"/>
    <s v="Male"/>
    <x v="7"/>
    <s v="Sneakers"/>
    <n v="155.1"/>
    <x v="0"/>
    <s v="Card"/>
    <n v="3.8"/>
    <n v="7"/>
    <n v="1"/>
    <n v="144.24299999999999"/>
    <x v="3"/>
    <x v="0"/>
    <s v="Returning"/>
  </r>
  <r>
    <n v="4622"/>
    <n v="43"/>
    <s v="Female"/>
    <x v="6"/>
    <s v="Perfume"/>
    <n v="79.400000000000006"/>
    <x v="2"/>
    <s v="Cash on Delivery"/>
    <n v="4.3"/>
    <n v="21"/>
    <n v="8"/>
    <n v="62.726000000000006"/>
    <x v="1"/>
    <x v="0"/>
    <s v="Returning"/>
  </r>
  <r>
    <n v="4623"/>
    <n v="23"/>
    <s v="Male"/>
    <x v="5"/>
    <s v="Mobile Phone"/>
    <n v="1000.65"/>
    <x v="1"/>
    <s v="Card"/>
    <n v="3.6"/>
    <n v="19"/>
    <n v="7"/>
    <n v="810.52650000000006"/>
    <x v="3"/>
    <x v="0"/>
    <s v="Returning"/>
  </r>
  <r>
    <n v="4624"/>
    <n v="34"/>
    <s v="Male"/>
    <x v="5"/>
    <s v="Mobile Phone"/>
    <n v="654.41999999999996"/>
    <x v="3"/>
    <s v="Card"/>
    <n v="5"/>
    <n v="13"/>
    <n v="4"/>
    <n v="569.34539999999993"/>
    <x v="4"/>
    <x v="0"/>
    <s v="Returning"/>
  </r>
  <r>
    <n v="4625"/>
    <n v="31"/>
    <s v="Male"/>
    <x v="2"/>
    <s v="Dumbbells"/>
    <n v="226.81"/>
    <x v="1"/>
    <s v="Card"/>
    <n v="4.5"/>
    <n v="4"/>
    <n v="2"/>
    <n v="217.73759999999999"/>
    <x v="4"/>
    <x v="0"/>
    <s v="Returning"/>
  </r>
  <r>
    <n v="4626"/>
    <n v="32"/>
    <s v="Female"/>
    <x v="0"/>
    <s v="Sunglasses"/>
    <n v="40.26"/>
    <x v="3"/>
    <s v="Card"/>
    <n v="5"/>
    <n v="18"/>
    <n v="4"/>
    <n v="33.013199999999998"/>
    <x v="4"/>
    <x v="0"/>
    <s v="Returning"/>
  </r>
  <r>
    <n v="4627"/>
    <n v="55"/>
    <s v="Male"/>
    <x v="5"/>
    <s v="Smart Watch"/>
    <n v="556.03"/>
    <x v="0"/>
    <s v="Card"/>
    <n v="4.0999999999999996"/>
    <n v="12"/>
    <n v="6"/>
    <n v="489.3064"/>
    <x v="0"/>
    <x v="0"/>
    <s v="Returning"/>
  </r>
  <r>
    <n v="4628"/>
    <n v="35"/>
    <s v="Female"/>
    <x v="6"/>
    <s v="Skincare Kit"/>
    <n v="108.74"/>
    <x v="2"/>
    <s v="Card"/>
    <n v="3.8"/>
    <n v="4"/>
    <n v="2"/>
    <n v="104.39039999999999"/>
    <x v="4"/>
    <x v="0"/>
    <s v="Returning"/>
  </r>
  <r>
    <n v="4629"/>
    <n v="27"/>
    <s v="Female"/>
    <x v="3"/>
    <s v="Curtains"/>
    <n v="176.23"/>
    <x v="0"/>
    <s v="Card"/>
    <n v="4.0999999999999996"/>
    <n v="20"/>
    <n v="5"/>
    <n v="140.98400000000001"/>
    <x v="4"/>
    <x v="0"/>
    <s v="Returning"/>
  </r>
  <r>
    <n v="4630"/>
    <n v="30"/>
    <s v="Female"/>
    <x v="7"/>
    <s v="Formal Shoes"/>
    <n v="189.68"/>
    <x v="3"/>
    <s v="Card"/>
    <n v="4"/>
    <n v="13"/>
    <n v="4"/>
    <n v="165.02160000000001"/>
    <x v="4"/>
    <x v="0"/>
    <s v="Returning"/>
  </r>
  <r>
    <n v="4631"/>
    <n v="34"/>
    <s v="Female"/>
    <x v="2"/>
    <s v="Yoga Mat"/>
    <n v="196.56"/>
    <x v="3"/>
    <s v="Card"/>
    <n v="3.8"/>
    <n v="14"/>
    <n v="7"/>
    <n v="169.04159999999999"/>
    <x v="4"/>
    <x v="0"/>
    <s v="Returning"/>
  </r>
  <r>
    <n v="4632"/>
    <n v="52"/>
    <s v="Male"/>
    <x v="2"/>
    <s v="Football"/>
    <n v="42.78"/>
    <x v="2"/>
    <s v="Cash on Delivery"/>
    <n v="2.5"/>
    <n v="10"/>
    <n v="5"/>
    <n v="38.502000000000002"/>
    <x v="0"/>
    <x v="0"/>
    <s v="Returning"/>
  </r>
  <r>
    <n v="4633"/>
    <n v="70"/>
    <s v="Male"/>
    <x v="1"/>
    <s v="Jeans"/>
    <n v="79.5"/>
    <x v="0"/>
    <s v="Card"/>
    <n v="4.4000000000000004"/>
    <n v="13"/>
    <n v="4"/>
    <n v="69.165000000000006"/>
    <x v="2"/>
    <x v="0"/>
    <s v="Returning"/>
  </r>
  <r>
    <n v="4634"/>
    <n v="42"/>
    <s v="Female"/>
    <x v="7"/>
    <s v="Sneakers"/>
    <n v="145.34"/>
    <x v="3"/>
    <s v="Card"/>
    <n v="4.0999999999999996"/>
    <n v="6"/>
    <n v="3"/>
    <n v="136.61959999999999"/>
    <x v="1"/>
    <x v="0"/>
    <s v="Returning"/>
  </r>
  <r>
    <n v="4635"/>
    <n v="29"/>
    <s v="Male"/>
    <x v="5"/>
    <s v="Laptop"/>
    <n v="1135.48"/>
    <x v="0"/>
    <s v="Card"/>
    <n v="4.2"/>
    <n v="8"/>
    <n v="4"/>
    <n v="1044.6416000000002"/>
    <x v="4"/>
    <x v="0"/>
    <s v="Returning"/>
  </r>
  <r>
    <n v="4636"/>
    <n v="33"/>
    <s v="Female"/>
    <x v="7"/>
    <s v="Sandals"/>
    <n v="156.04"/>
    <x v="3"/>
    <s v="Card"/>
    <n v="4.4000000000000004"/>
    <n v="20"/>
    <n v="5"/>
    <n v="124.83199999999999"/>
    <x v="4"/>
    <x v="0"/>
    <s v="Returning"/>
  </r>
  <r>
    <n v="4637"/>
    <n v="68"/>
    <s v="Female"/>
    <x v="6"/>
    <s v="Skincare Kit"/>
    <n v="91.12"/>
    <x v="0"/>
    <s v="Card"/>
    <n v="3.7"/>
    <n v="20"/>
    <n v="5"/>
    <n v="72.896000000000001"/>
    <x v="2"/>
    <x v="0"/>
    <s v="Returning"/>
  </r>
  <r>
    <n v="4638"/>
    <n v="47"/>
    <s v="Female"/>
    <x v="6"/>
    <s v="Makeup Set"/>
    <n v="125.68"/>
    <x v="3"/>
    <s v="Card"/>
    <n v="4.9000000000000004"/>
    <n v="18"/>
    <n v="4"/>
    <n v="103.05760000000001"/>
    <x v="0"/>
    <x v="0"/>
    <s v="Returning"/>
  </r>
  <r>
    <n v="4639"/>
    <n v="59"/>
    <s v="Male"/>
    <x v="7"/>
    <s v="Sneakers"/>
    <n v="118.38"/>
    <x v="0"/>
    <s v="Card"/>
    <n v="4.3"/>
    <n v="17"/>
    <n v="6"/>
    <n v="98.255399999999995"/>
    <x v="0"/>
    <x v="0"/>
    <s v="Returning"/>
  </r>
  <r>
    <n v="4640"/>
    <n v="41"/>
    <s v="Male"/>
    <x v="5"/>
    <s v="Smart Watch"/>
    <n v="2452.5500000000002"/>
    <x v="2"/>
    <s v="Card"/>
    <n v="4.4000000000000004"/>
    <n v="18"/>
    <n v="4"/>
    <n v="2011.0910000000003"/>
    <x v="1"/>
    <x v="0"/>
    <s v="Returning"/>
  </r>
  <r>
    <n v="4641"/>
    <n v="60"/>
    <s v="Female"/>
    <x v="7"/>
    <s v="Sandals"/>
    <n v="126.78"/>
    <x v="3"/>
    <s v="Card"/>
    <n v="3.2"/>
    <n v="13"/>
    <n v="4"/>
    <n v="110.29860000000001"/>
    <x v="0"/>
    <x v="0"/>
    <s v="Returning"/>
  </r>
  <r>
    <n v="4642"/>
    <n v="20"/>
    <s v="Male"/>
    <x v="2"/>
    <s v="Dumbbells"/>
    <n v="167.57"/>
    <x v="3"/>
    <s v="Card"/>
    <n v="2.7"/>
    <n v="13"/>
    <n v="4"/>
    <n v="145.7859"/>
    <x v="3"/>
    <x v="0"/>
    <s v="Returning"/>
  </r>
  <r>
    <n v="4643"/>
    <n v="29"/>
    <s v="Male"/>
    <x v="1"/>
    <s v="Shirt"/>
    <n v="89.05"/>
    <x v="1"/>
    <s v="Cash on Delivery"/>
    <n v="3.8"/>
    <n v="15"/>
    <n v="5"/>
    <n v="75.692499999999995"/>
    <x v="4"/>
    <x v="0"/>
    <s v="Returning"/>
  </r>
  <r>
    <n v="4644"/>
    <n v="41"/>
    <s v="Female"/>
    <x v="7"/>
    <s v="Formal Shoes"/>
    <n v="83.85"/>
    <x v="0"/>
    <s v="Cash on Delivery"/>
    <n v="4.4000000000000004"/>
    <n v="24"/>
    <n v="7"/>
    <n v="63.725999999999999"/>
    <x v="1"/>
    <x v="0"/>
    <s v="Returning"/>
  </r>
  <r>
    <n v="4645"/>
    <n v="22"/>
    <s v="Female"/>
    <x v="8"/>
    <s v="Skirt"/>
    <n v="73.430000000000007"/>
    <x v="0"/>
    <s v="Card"/>
    <n v="3.9"/>
    <n v="18"/>
    <n v="4"/>
    <n v="60.212600000000009"/>
    <x v="3"/>
    <x v="0"/>
    <s v="Returning"/>
  </r>
  <r>
    <n v="4646"/>
    <n v="50"/>
    <s v="Female"/>
    <x v="3"/>
    <s v="Curtains"/>
    <n v="99.03"/>
    <x v="2"/>
    <s v="Card"/>
    <n v="4.5999999999999996"/>
    <n v="17"/>
    <n v="6"/>
    <n v="82.194900000000004"/>
    <x v="0"/>
    <x v="0"/>
    <s v="Returning"/>
  </r>
  <r>
    <n v="4647"/>
    <n v="51"/>
    <s v="Male"/>
    <x v="5"/>
    <s v="Laptop"/>
    <n v="912.84"/>
    <x v="3"/>
    <s v="Card"/>
    <n v="4.4000000000000004"/>
    <n v="18"/>
    <n v="9"/>
    <n v="748.52880000000005"/>
    <x v="0"/>
    <x v="0"/>
    <s v="Returning"/>
  </r>
  <r>
    <n v="4648"/>
    <n v="30"/>
    <s v="Male"/>
    <x v="7"/>
    <s v="Sandals"/>
    <n v="115.58"/>
    <x v="1"/>
    <s v="Card"/>
    <n v="4.3"/>
    <n v="15"/>
    <n v="5"/>
    <n v="98.242999999999995"/>
    <x v="4"/>
    <x v="0"/>
    <s v="Returning"/>
  </r>
  <r>
    <n v="4649"/>
    <n v="47"/>
    <s v="Male"/>
    <x v="1"/>
    <s v="T-Shirt"/>
    <n v="93.05"/>
    <x v="2"/>
    <s v="Cash on Delivery"/>
    <n v="3.6"/>
    <n v="15"/>
    <n v="5"/>
    <n v="79.092500000000001"/>
    <x v="0"/>
    <x v="0"/>
    <s v="Returning"/>
  </r>
  <r>
    <n v="4650"/>
    <n v="67"/>
    <s v="Female"/>
    <x v="8"/>
    <s v="Skirt"/>
    <n v="35.619999999999997"/>
    <x v="1"/>
    <s v="Cash on Delivery"/>
    <n v="3.4"/>
    <n v="13"/>
    <n v="4"/>
    <n v="30.989399999999996"/>
    <x v="2"/>
    <x v="0"/>
    <s v="Returning"/>
  </r>
  <r>
    <n v="4651"/>
    <n v="64"/>
    <s v="Female"/>
    <x v="0"/>
    <s v="Sunglasses"/>
    <n v="132.69"/>
    <x v="3"/>
    <s v="Card"/>
    <n v="3.3"/>
    <n v="19"/>
    <n v="7"/>
    <n v="107.47890000000001"/>
    <x v="2"/>
    <x v="0"/>
    <s v="Returning"/>
  </r>
  <r>
    <n v="4652"/>
    <n v="25"/>
    <s v="Male"/>
    <x v="1"/>
    <s v="T-Shirt"/>
    <n v="170.07"/>
    <x v="1"/>
    <s v="Card"/>
    <n v="3.6"/>
    <n v="9"/>
    <n v="2"/>
    <n v="154.7637"/>
    <x v="3"/>
    <x v="0"/>
    <s v="Returning"/>
  </r>
  <r>
    <n v="4653"/>
    <n v="48"/>
    <s v="Female"/>
    <x v="0"/>
    <s v="Wallet"/>
    <n v="86.33"/>
    <x v="3"/>
    <s v="Card"/>
    <n v="3.4"/>
    <n v="6"/>
    <n v="3"/>
    <n v="81.150199999999998"/>
    <x v="0"/>
    <x v="0"/>
    <s v="Returning"/>
  </r>
  <r>
    <n v="4654"/>
    <n v="47"/>
    <s v="Male"/>
    <x v="5"/>
    <s v="Headphones"/>
    <n v="2683.15"/>
    <x v="0"/>
    <s v="Card"/>
    <n v="3.3"/>
    <n v="11"/>
    <n v="3"/>
    <n v="2388.0035000000003"/>
    <x v="0"/>
    <x v="0"/>
    <s v="Returning"/>
  </r>
  <r>
    <n v="4655"/>
    <n v="64"/>
    <s v="Male"/>
    <x v="5"/>
    <s v="Smart Watch"/>
    <n v="1406.03"/>
    <x v="2"/>
    <s v="Card"/>
    <n v="3.7"/>
    <n v="22"/>
    <n v="6"/>
    <n v="1096.7034000000001"/>
    <x v="2"/>
    <x v="0"/>
    <s v="Returning"/>
  </r>
  <r>
    <n v="4656"/>
    <n v="41"/>
    <s v="Female"/>
    <x v="7"/>
    <s v="Formal Shoes"/>
    <n v="192.14"/>
    <x v="3"/>
    <s v="Card"/>
    <n v="3.8"/>
    <n v="13"/>
    <n v="4"/>
    <n v="167.1618"/>
    <x v="1"/>
    <x v="0"/>
    <s v="Returning"/>
  </r>
  <r>
    <n v="4657"/>
    <n v="56"/>
    <s v="Female"/>
    <x v="7"/>
    <s v="Sandals"/>
    <n v="234.23"/>
    <x v="1"/>
    <s v="Card"/>
    <n v="4.7"/>
    <n v="13"/>
    <n v="4"/>
    <n v="203.78009999999998"/>
    <x v="0"/>
    <x v="0"/>
    <s v="Returning"/>
  </r>
  <r>
    <n v="4658"/>
    <n v="65"/>
    <s v="Female"/>
    <x v="8"/>
    <s v="Top"/>
    <n v="50.96"/>
    <x v="0"/>
    <s v="Card"/>
    <n v="4"/>
    <n v="23"/>
    <n v="9"/>
    <n v="39.239200000000004"/>
    <x v="2"/>
    <x v="0"/>
    <s v="Returning"/>
  </r>
  <r>
    <n v="4659"/>
    <n v="62"/>
    <s v="Female"/>
    <x v="7"/>
    <s v="Sneakers"/>
    <n v="50.04"/>
    <x v="1"/>
    <s v="Cash on Delivery"/>
    <n v="2.5"/>
    <n v="19"/>
    <n v="7"/>
    <n v="40.532400000000003"/>
    <x v="2"/>
    <x v="0"/>
    <s v="Returning"/>
  </r>
  <r>
    <n v="4660"/>
    <n v="63"/>
    <s v="Male"/>
    <x v="1"/>
    <s v="Jeans"/>
    <n v="156.43"/>
    <x v="2"/>
    <s v="Card"/>
    <n v="3.7"/>
    <n v="13"/>
    <n v="4"/>
    <n v="136.0941"/>
    <x v="2"/>
    <x v="0"/>
    <s v="Returning"/>
  </r>
  <r>
    <n v="4661"/>
    <n v="32"/>
    <s v="Female"/>
    <x v="7"/>
    <s v="Formal Shoes"/>
    <n v="44.71"/>
    <x v="2"/>
    <s v="Cash on Delivery"/>
    <n v="3.8"/>
    <n v="18"/>
    <n v="4"/>
    <n v="36.662200000000006"/>
    <x v="4"/>
    <x v="0"/>
    <s v="Returning"/>
  </r>
  <r>
    <n v="4662"/>
    <n v="42"/>
    <s v="Male"/>
    <x v="7"/>
    <s v="Formal Shoes"/>
    <n v="220.57"/>
    <x v="1"/>
    <s v="Card"/>
    <n v="2.4"/>
    <n v="15"/>
    <n v="5"/>
    <n v="187.4845"/>
    <x v="1"/>
    <x v="0"/>
    <s v="Returning"/>
  </r>
  <r>
    <n v="4663"/>
    <n v="31"/>
    <s v="Female"/>
    <x v="7"/>
    <s v="Sandals"/>
    <n v="42.84"/>
    <x v="0"/>
    <s v="Cash on Delivery"/>
    <n v="3.4"/>
    <n v="5"/>
    <n v="0"/>
    <n v="40.698"/>
    <x v="4"/>
    <x v="0"/>
    <s v="New"/>
  </r>
  <r>
    <n v="4664"/>
    <n v="65"/>
    <s v="Male"/>
    <x v="2"/>
    <s v="Football"/>
    <n v="182.38"/>
    <x v="2"/>
    <s v="Card"/>
    <n v="4.5999999999999996"/>
    <n v="11"/>
    <n v="3"/>
    <n v="162.31819999999999"/>
    <x v="2"/>
    <x v="0"/>
    <s v="Returning"/>
  </r>
  <r>
    <n v="4665"/>
    <n v="47"/>
    <s v="Male"/>
    <x v="7"/>
    <s v="Formal Shoes"/>
    <n v="147.94"/>
    <x v="1"/>
    <s v="Card"/>
    <n v="4.3"/>
    <n v="26"/>
    <n v="8"/>
    <n v="109.4756"/>
    <x v="0"/>
    <x v="0"/>
    <s v="Returning"/>
  </r>
  <r>
    <n v="4666"/>
    <n v="55"/>
    <s v="Male"/>
    <x v="1"/>
    <s v="Jeans"/>
    <n v="178.41"/>
    <x v="0"/>
    <s v="Card"/>
    <n v="4"/>
    <n v="11"/>
    <n v="3"/>
    <n v="158.78489999999999"/>
    <x v="0"/>
    <x v="0"/>
    <s v="Returning"/>
  </r>
  <r>
    <n v="4667"/>
    <n v="35"/>
    <s v="Female"/>
    <x v="6"/>
    <s v="Makeup Set"/>
    <n v="24.39"/>
    <x v="0"/>
    <s v="Card"/>
    <n v="2.9"/>
    <n v="14"/>
    <n v="2"/>
    <n v="20.9754"/>
    <x v="4"/>
    <x v="0"/>
    <s v="Returning"/>
  </r>
  <r>
    <n v="4668"/>
    <n v="42"/>
    <s v="Female"/>
    <x v="6"/>
    <s v="Perfume"/>
    <n v="94.95"/>
    <x v="2"/>
    <s v="Card"/>
    <n v="3.6"/>
    <n v="9"/>
    <n v="2"/>
    <n v="86.404499999999999"/>
    <x v="1"/>
    <x v="0"/>
    <s v="Returning"/>
  </r>
  <r>
    <n v="4669"/>
    <n v="60"/>
    <s v="Female"/>
    <x v="2"/>
    <s v="Yoga Mat"/>
    <n v="119.16"/>
    <x v="3"/>
    <s v="Card"/>
    <n v="4.3"/>
    <n v="5"/>
    <n v="0"/>
    <n v="113.202"/>
    <x v="0"/>
    <x v="0"/>
    <s v="New"/>
  </r>
  <r>
    <n v="4670"/>
    <n v="66"/>
    <s v="Female"/>
    <x v="6"/>
    <s v="Perfume"/>
    <n v="102.5"/>
    <x v="3"/>
    <s v="Card"/>
    <n v="3.1"/>
    <n v="10"/>
    <n v="5"/>
    <n v="92.25"/>
    <x v="2"/>
    <x v="0"/>
    <s v="Returning"/>
  </r>
  <r>
    <n v="4671"/>
    <n v="54"/>
    <s v="Female"/>
    <x v="0"/>
    <s v="Handbag"/>
    <n v="151.18"/>
    <x v="1"/>
    <s v="Card"/>
    <n v="4.9000000000000004"/>
    <n v="11"/>
    <n v="3"/>
    <n v="134.55020000000002"/>
    <x v="0"/>
    <x v="0"/>
    <s v="Returning"/>
  </r>
  <r>
    <n v="4672"/>
    <n v="69"/>
    <s v="Male"/>
    <x v="1"/>
    <s v="Jeans"/>
    <n v="172.82"/>
    <x v="0"/>
    <s v="Card"/>
    <n v="3.2"/>
    <n v="17"/>
    <n v="6"/>
    <n v="143.44059999999999"/>
    <x v="2"/>
    <x v="0"/>
    <s v="Returning"/>
  </r>
  <r>
    <n v="4673"/>
    <n v="59"/>
    <s v="Male"/>
    <x v="2"/>
    <s v="Dumbbells"/>
    <n v="181.52"/>
    <x v="1"/>
    <s v="Card"/>
    <n v="4.4000000000000004"/>
    <n v="20"/>
    <n v="5"/>
    <n v="145.21600000000001"/>
    <x v="0"/>
    <x v="0"/>
    <s v="Returning"/>
  </r>
  <r>
    <n v="4674"/>
    <n v="23"/>
    <s v="Female"/>
    <x v="0"/>
    <s v="Handbag"/>
    <n v="120.86"/>
    <x v="1"/>
    <s v="Card"/>
    <n v="3.9"/>
    <n v="8"/>
    <n v="4"/>
    <n v="111.19120000000001"/>
    <x v="3"/>
    <x v="0"/>
    <s v="Returning"/>
  </r>
  <r>
    <n v="4675"/>
    <n v="45"/>
    <s v="Male"/>
    <x v="2"/>
    <s v="Yoga Mat"/>
    <n v="153.69999999999999"/>
    <x v="1"/>
    <s v="Card"/>
    <n v="2.9"/>
    <n v="12"/>
    <n v="6"/>
    <n v="135.256"/>
    <x v="1"/>
    <x v="0"/>
    <s v="Returning"/>
  </r>
  <r>
    <n v="4676"/>
    <n v="55"/>
    <s v="Female"/>
    <x v="7"/>
    <s v="Sneakers"/>
    <n v="220.12"/>
    <x v="1"/>
    <s v="Card"/>
    <n v="3.7"/>
    <n v="15"/>
    <n v="5"/>
    <n v="187.102"/>
    <x v="0"/>
    <x v="0"/>
    <s v="Returning"/>
  </r>
  <r>
    <n v="4677"/>
    <n v="56"/>
    <s v="Male"/>
    <x v="7"/>
    <s v="Formal Shoes"/>
    <n v="197.64"/>
    <x v="2"/>
    <s v="Card"/>
    <n v="3.8"/>
    <n v="21"/>
    <n v="8"/>
    <n v="156.13559999999998"/>
    <x v="0"/>
    <x v="0"/>
    <s v="Returning"/>
  </r>
  <r>
    <n v="4678"/>
    <n v="37"/>
    <s v="Female"/>
    <x v="0"/>
    <s v="Sunglasses"/>
    <n v="172.67"/>
    <x v="0"/>
    <s v="Card"/>
    <n v="3.4"/>
    <n v="11"/>
    <n v="3"/>
    <n v="153.6763"/>
    <x v="1"/>
    <x v="0"/>
    <s v="Returning"/>
  </r>
  <r>
    <n v="4679"/>
    <n v="26"/>
    <s v="Male"/>
    <x v="1"/>
    <s v="Jeans"/>
    <n v="146.24"/>
    <x v="3"/>
    <s v="Card"/>
    <n v="4.4000000000000004"/>
    <n v="23"/>
    <n v="9"/>
    <n v="112.60480000000001"/>
    <x v="4"/>
    <x v="0"/>
    <s v="Returning"/>
  </r>
  <r>
    <n v="4680"/>
    <n v="29"/>
    <s v="Female"/>
    <x v="0"/>
    <s v="Handbag"/>
    <n v="22.75"/>
    <x v="1"/>
    <s v="Card"/>
    <n v="4.2"/>
    <n v="24"/>
    <n v="7"/>
    <n v="17.29"/>
    <x v="4"/>
    <x v="0"/>
    <s v="Returning"/>
  </r>
  <r>
    <n v="4681"/>
    <n v="27"/>
    <s v="Male"/>
    <x v="2"/>
    <s v="Yoga Mat"/>
    <n v="229.25"/>
    <x v="1"/>
    <s v="Card"/>
    <n v="4.0999999999999996"/>
    <n v="30"/>
    <n v="10"/>
    <n v="160.47499999999999"/>
    <x v="4"/>
    <x v="0"/>
    <s v="Returning"/>
  </r>
  <r>
    <n v="4682"/>
    <n v="40"/>
    <s v="Male"/>
    <x v="5"/>
    <s v="Laptop"/>
    <n v="2163.41"/>
    <x v="1"/>
    <s v="Card"/>
    <n v="3.9"/>
    <n v="11"/>
    <n v="3"/>
    <n v="1925.4349"/>
    <x v="1"/>
    <x v="0"/>
    <s v="Returning"/>
  </r>
  <r>
    <n v="4683"/>
    <n v="42"/>
    <s v="Female"/>
    <x v="7"/>
    <s v="Sneakers"/>
    <n v="222.57"/>
    <x v="2"/>
    <s v="Card"/>
    <n v="3.3"/>
    <n v="12"/>
    <n v="6"/>
    <n v="195.86159999999998"/>
    <x v="1"/>
    <x v="0"/>
    <s v="Returning"/>
  </r>
  <r>
    <n v="4684"/>
    <n v="23"/>
    <s v="Female"/>
    <x v="8"/>
    <s v="Skirt"/>
    <n v="75.36"/>
    <x v="1"/>
    <s v="Cash on Delivery"/>
    <n v="3.2"/>
    <n v="15"/>
    <n v="5"/>
    <n v="64.055999999999997"/>
    <x v="3"/>
    <x v="0"/>
    <s v="Returning"/>
  </r>
  <r>
    <n v="4685"/>
    <n v="68"/>
    <s v="Male"/>
    <x v="5"/>
    <s v="Smart Watch"/>
    <n v="1944.68"/>
    <x v="1"/>
    <s v="Card"/>
    <n v="2.4"/>
    <n v="18"/>
    <n v="4"/>
    <n v="1594.6376000000002"/>
    <x v="2"/>
    <x v="0"/>
    <s v="Returning"/>
  </r>
  <r>
    <n v="4686"/>
    <n v="22"/>
    <s v="Male"/>
    <x v="2"/>
    <s v="Yoga Mat"/>
    <n v="40.119999999999997"/>
    <x v="3"/>
    <s v="Cash on Delivery"/>
    <n v="4.2"/>
    <n v="9"/>
    <n v="2"/>
    <n v="36.5092"/>
    <x v="3"/>
    <x v="0"/>
    <s v="Returning"/>
  </r>
  <r>
    <n v="4687"/>
    <n v="54"/>
    <s v="Female"/>
    <x v="2"/>
    <s v="Yoga Mat"/>
    <n v="48.75"/>
    <x v="2"/>
    <s v="Cash on Delivery"/>
    <n v="3.8"/>
    <n v="18"/>
    <n v="4"/>
    <n v="39.975000000000001"/>
    <x v="0"/>
    <x v="0"/>
    <s v="Returning"/>
  </r>
  <r>
    <n v="4688"/>
    <n v="50"/>
    <s v="Female"/>
    <x v="4"/>
    <s v="Rice Pack"/>
    <n v="43.15"/>
    <x v="2"/>
    <s v="Card"/>
    <n v="3.5"/>
    <n v="20"/>
    <n v="5"/>
    <n v="34.520000000000003"/>
    <x v="0"/>
    <x v="0"/>
    <s v="Returning"/>
  </r>
  <r>
    <n v="4689"/>
    <n v="34"/>
    <s v="Male"/>
    <x v="2"/>
    <s v="Football"/>
    <n v="246.17"/>
    <x v="2"/>
    <s v="Card"/>
    <n v="3.1"/>
    <n v="17"/>
    <n v="6"/>
    <n v="204.32109999999997"/>
    <x v="4"/>
    <x v="0"/>
    <s v="Returning"/>
  </r>
  <r>
    <n v="4690"/>
    <n v="28"/>
    <s v="Male"/>
    <x v="1"/>
    <s v="T-Shirt"/>
    <n v="185.01"/>
    <x v="2"/>
    <s v="Card"/>
    <n v="4.0999999999999996"/>
    <n v="13"/>
    <n v="4"/>
    <n v="160.95869999999999"/>
    <x v="4"/>
    <x v="0"/>
    <s v="Returning"/>
  </r>
  <r>
    <n v="4691"/>
    <n v="32"/>
    <s v="Male"/>
    <x v="1"/>
    <s v="Jeans"/>
    <n v="81.069999999999993"/>
    <x v="3"/>
    <s v="Card"/>
    <n v="3.8"/>
    <n v="24"/>
    <n v="7"/>
    <n v="61.613199999999999"/>
    <x v="4"/>
    <x v="0"/>
    <s v="Returning"/>
  </r>
  <r>
    <n v="4692"/>
    <n v="50"/>
    <s v="Male"/>
    <x v="1"/>
    <s v="T-Shirt"/>
    <n v="108.87"/>
    <x v="1"/>
    <s v="Card"/>
    <n v="4"/>
    <n v="12"/>
    <n v="6"/>
    <n v="95.805599999999998"/>
    <x v="0"/>
    <x v="0"/>
    <s v="Returning"/>
  </r>
  <r>
    <n v="4693"/>
    <n v="34"/>
    <s v="Female"/>
    <x v="0"/>
    <s v="Handbag"/>
    <n v="52.23"/>
    <x v="1"/>
    <s v="Card"/>
    <n v="3.7"/>
    <n v="15"/>
    <n v="5"/>
    <n v="44.395499999999998"/>
    <x v="4"/>
    <x v="0"/>
    <s v="Returning"/>
  </r>
  <r>
    <n v="4694"/>
    <n v="60"/>
    <s v="Female"/>
    <x v="0"/>
    <s v="Wallet"/>
    <n v="129.80000000000001"/>
    <x v="1"/>
    <s v="Card"/>
    <n v="4"/>
    <n v="24"/>
    <n v="7"/>
    <n v="98.64800000000001"/>
    <x v="0"/>
    <x v="0"/>
    <s v="Returning"/>
  </r>
  <r>
    <n v="4695"/>
    <n v="59"/>
    <s v="Male"/>
    <x v="1"/>
    <s v="Jacket"/>
    <n v="115.65"/>
    <x v="2"/>
    <s v="Card"/>
    <n v="4.8"/>
    <n v="15"/>
    <n v="5"/>
    <n v="98.302500000000009"/>
    <x v="0"/>
    <x v="0"/>
    <s v="Returning"/>
  </r>
  <r>
    <n v="4696"/>
    <n v="40"/>
    <s v="Female"/>
    <x v="4"/>
    <s v="Rice Pack"/>
    <n v="25.94"/>
    <x v="3"/>
    <s v="Cash on Delivery"/>
    <n v="3.3"/>
    <n v="9"/>
    <n v="2"/>
    <n v="23.605400000000003"/>
    <x v="1"/>
    <x v="0"/>
    <s v="Returning"/>
  </r>
  <r>
    <n v="4697"/>
    <n v="66"/>
    <s v="Female"/>
    <x v="8"/>
    <s v="Top"/>
    <n v="101.87"/>
    <x v="1"/>
    <s v="Card"/>
    <n v="3.3"/>
    <n v="11"/>
    <n v="3"/>
    <n v="90.664300000000011"/>
    <x v="2"/>
    <x v="0"/>
    <s v="Returning"/>
  </r>
  <r>
    <n v="4698"/>
    <n v="44"/>
    <s v="Female"/>
    <x v="6"/>
    <s v="Perfume"/>
    <n v="106.04"/>
    <x v="1"/>
    <s v="Card"/>
    <n v="3.6"/>
    <n v="17"/>
    <n v="6"/>
    <n v="88.013199999999998"/>
    <x v="1"/>
    <x v="0"/>
    <s v="Returning"/>
  </r>
  <r>
    <n v="4699"/>
    <n v="43"/>
    <s v="Female"/>
    <x v="7"/>
    <s v="Sneakers"/>
    <n v="200.13"/>
    <x v="0"/>
    <s v="Card"/>
    <n v="4"/>
    <n v="17"/>
    <n v="6"/>
    <n v="166.1079"/>
    <x v="1"/>
    <x v="0"/>
    <s v="Returning"/>
  </r>
  <r>
    <n v="4700"/>
    <n v="60"/>
    <s v="Male"/>
    <x v="7"/>
    <s v="Sneakers"/>
    <n v="210.29"/>
    <x v="3"/>
    <s v="Card"/>
    <n v="4.8"/>
    <n v="15"/>
    <n v="5"/>
    <n v="178.7465"/>
    <x v="0"/>
    <x v="0"/>
    <s v="Returning"/>
  </r>
  <r>
    <n v="4701"/>
    <n v="41"/>
    <s v="Female"/>
    <x v="8"/>
    <s v="Jeans"/>
    <n v="41.5"/>
    <x v="2"/>
    <s v="Card"/>
    <n v="4.0999999999999996"/>
    <n v="13"/>
    <n v="4"/>
    <n v="36.104999999999997"/>
    <x v="1"/>
    <x v="0"/>
    <s v="Returning"/>
  </r>
  <r>
    <n v="4702"/>
    <n v="32"/>
    <s v="Male"/>
    <x v="2"/>
    <s v="Dumbbells"/>
    <n v="186.57"/>
    <x v="3"/>
    <s v="Card"/>
    <n v="3.2"/>
    <n v="12"/>
    <n v="6"/>
    <n v="164.1816"/>
    <x v="4"/>
    <x v="0"/>
    <s v="Returning"/>
  </r>
  <r>
    <n v="4703"/>
    <n v="42"/>
    <s v="Male"/>
    <x v="1"/>
    <s v="T-Shirt"/>
    <n v="189.79"/>
    <x v="2"/>
    <s v="Card"/>
    <n v="3"/>
    <n v="14"/>
    <n v="7"/>
    <n v="163.21939999999998"/>
    <x v="1"/>
    <x v="0"/>
    <s v="Returning"/>
  </r>
  <r>
    <n v="4704"/>
    <n v="30"/>
    <s v="Male"/>
    <x v="4"/>
    <s v="Cooking Oil"/>
    <n v="63.78"/>
    <x v="2"/>
    <s v="Cash on Delivery"/>
    <n v="4.4000000000000004"/>
    <n v="21"/>
    <n v="8"/>
    <n v="50.386200000000002"/>
    <x v="4"/>
    <x v="0"/>
    <s v="Returning"/>
  </r>
  <r>
    <n v="4705"/>
    <n v="25"/>
    <s v="Female"/>
    <x v="8"/>
    <s v="Skirt"/>
    <n v="161.91"/>
    <x v="2"/>
    <s v="Card"/>
    <n v="3.6"/>
    <n v="14"/>
    <n v="7"/>
    <n v="139.24259999999998"/>
    <x v="3"/>
    <x v="0"/>
    <s v="Returning"/>
  </r>
  <r>
    <n v="4706"/>
    <n v="54"/>
    <s v="Male"/>
    <x v="5"/>
    <s v="Headphones"/>
    <n v="2349.33"/>
    <x v="3"/>
    <s v="Card"/>
    <n v="3.3"/>
    <n v="7"/>
    <n v="1"/>
    <n v="2184.8768999999998"/>
    <x v="0"/>
    <x v="0"/>
    <s v="Returning"/>
  </r>
  <r>
    <n v="4707"/>
    <n v="70"/>
    <s v="Female"/>
    <x v="8"/>
    <s v="Jeans"/>
    <n v="61.86"/>
    <x v="3"/>
    <s v="Card"/>
    <n v="2.9"/>
    <n v="17"/>
    <n v="6"/>
    <n v="51.343799999999995"/>
    <x v="2"/>
    <x v="0"/>
    <s v="Returning"/>
  </r>
  <r>
    <n v="4708"/>
    <n v="26"/>
    <s v="Female"/>
    <x v="8"/>
    <s v="Jeans"/>
    <n v="96.69"/>
    <x v="0"/>
    <s v="Cash on Delivery"/>
    <n v="4.8"/>
    <n v="18"/>
    <n v="4"/>
    <n v="79.285800000000009"/>
    <x v="4"/>
    <x v="0"/>
    <s v="Returning"/>
  </r>
  <r>
    <n v="4709"/>
    <n v="57"/>
    <s v="Male"/>
    <x v="2"/>
    <s v="Yoga Mat"/>
    <n v="126.2"/>
    <x v="0"/>
    <s v="Card"/>
    <n v="5"/>
    <n v="11"/>
    <n v="3"/>
    <n v="112.318"/>
    <x v="0"/>
    <x v="0"/>
    <s v="Returning"/>
  </r>
  <r>
    <n v="4710"/>
    <n v="38"/>
    <s v="Female"/>
    <x v="6"/>
    <s v="Makeup Set"/>
    <n v="62.65"/>
    <x v="0"/>
    <s v="Card"/>
    <n v="3.3"/>
    <n v="13"/>
    <n v="4"/>
    <n v="54.505499999999998"/>
    <x v="1"/>
    <x v="0"/>
    <s v="Returning"/>
  </r>
  <r>
    <n v="4711"/>
    <n v="57"/>
    <s v="Female"/>
    <x v="8"/>
    <s v="Top"/>
    <n v="149.91"/>
    <x v="2"/>
    <s v="Card"/>
    <n v="3.1"/>
    <n v="14"/>
    <n v="7"/>
    <n v="128.92259999999999"/>
    <x v="0"/>
    <x v="0"/>
    <s v="Returning"/>
  </r>
  <r>
    <n v="4712"/>
    <n v="68"/>
    <s v="Female"/>
    <x v="4"/>
    <s v="Beverages"/>
    <n v="54.83"/>
    <x v="2"/>
    <s v="Cash on Delivery"/>
    <n v="3.5"/>
    <n v="12"/>
    <n v="6"/>
    <n v="48.250399999999999"/>
    <x v="2"/>
    <x v="0"/>
    <s v="Returning"/>
  </r>
  <r>
    <n v="4713"/>
    <n v="26"/>
    <s v="Male"/>
    <x v="5"/>
    <s v="Headphones"/>
    <n v="733.03"/>
    <x v="1"/>
    <s v="Card"/>
    <n v="3"/>
    <n v="13"/>
    <n v="4"/>
    <n v="637.73609999999996"/>
    <x v="4"/>
    <x v="0"/>
    <s v="Returning"/>
  </r>
  <r>
    <n v="4714"/>
    <n v="22"/>
    <s v="Male"/>
    <x v="7"/>
    <s v="Formal Shoes"/>
    <n v="116.76"/>
    <x v="2"/>
    <s v="Card"/>
    <n v="4.8"/>
    <n v="17"/>
    <n v="6"/>
    <n v="96.910799999999995"/>
    <x v="3"/>
    <x v="0"/>
    <s v="Returning"/>
  </r>
  <r>
    <n v="4715"/>
    <n v="38"/>
    <s v="Male"/>
    <x v="7"/>
    <s v="Sneakers"/>
    <n v="139.77000000000001"/>
    <x v="2"/>
    <s v="Card"/>
    <n v="5"/>
    <n v="8"/>
    <n v="4"/>
    <n v="128.58840000000001"/>
    <x v="1"/>
    <x v="0"/>
    <s v="Returning"/>
  </r>
  <r>
    <n v="4716"/>
    <n v="58"/>
    <s v="Male"/>
    <x v="2"/>
    <s v="Dumbbells"/>
    <n v="95.93"/>
    <x v="3"/>
    <s v="Card"/>
    <n v="3.7"/>
    <n v="13"/>
    <n v="4"/>
    <n v="83.459100000000007"/>
    <x v="0"/>
    <x v="0"/>
    <s v="Returning"/>
  </r>
  <r>
    <n v="4717"/>
    <n v="66"/>
    <s v="Male"/>
    <x v="2"/>
    <s v="Football"/>
    <n v="51.77"/>
    <x v="3"/>
    <s v="Cash on Delivery"/>
    <n v="5"/>
    <n v="17"/>
    <n v="6"/>
    <n v="42.969099999999997"/>
    <x v="2"/>
    <x v="0"/>
    <s v="Returning"/>
  </r>
  <r>
    <n v="4718"/>
    <n v="44"/>
    <s v="Female"/>
    <x v="6"/>
    <s v="Skincare Kit"/>
    <n v="28.68"/>
    <x v="1"/>
    <s v="Cash on Delivery"/>
    <n v="3.5"/>
    <n v="12"/>
    <n v="6"/>
    <n v="25.238399999999999"/>
    <x v="1"/>
    <x v="0"/>
    <s v="Returning"/>
  </r>
  <r>
    <n v="4719"/>
    <n v="34"/>
    <s v="Female"/>
    <x v="0"/>
    <s v="Wallet"/>
    <n v="140.63"/>
    <x v="3"/>
    <s v="Card"/>
    <n v="4.5"/>
    <n v="19"/>
    <n v="7"/>
    <n v="113.91030000000001"/>
    <x v="4"/>
    <x v="0"/>
    <s v="Returning"/>
  </r>
  <r>
    <n v="4720"/>
    <n v="25"/>
    <s v="Male"/>
    <x v="2"/>
    <s v="Football"/>
    <n v="27.85"/>
    <x v="2"/>
    <s v="Card"/>
    <n v="3.5"/>
    <n v="2"/>
    <n v="1"/>
    <n v="27.292999999999999"/>
    <x v="3"/>
    <x v="0"/>
    <s v="Returning"/>
  </r>
  <r>
    <n v="4721"/>
    <n v="49"/>
    <s v="Male"/>
    <x v="5"/>
    <s v="Mobile Phone"/>
    <n v="2620.52"/>
    <x v="2"/>
    <s v="Card"/>
    <n v="3.3"/>
    <n v="18"/>
    <n v="4"/>
    <n v="2148.8263999999999"/>
    <x v="0"/>
    <x v="0"/>
    <s v="Returning"/>
  </r>
  <r>
    <n v="4722"/>
    <n v="36"/>
    <s v="Female"/>
    <x v="0"/>
    <s v="Sunglasses"/>
    <n v="60.24"/>
    <x v="2"/>
    <s v="Cash on Delivery"/>
    <n v="4.4000000000000004"/>
    <n v="6"/>
    <n v="3"/>
    <n v="56.625599999999999"/>
    <x v="1"/>
    <x v="0"/>
    <s v="Returning"/>
  </r>
  <r>
    <n v="4723"/>
    <n v="24"/>
    <s v="Male"/>
    <x v="2"/>
    <s v="Yoga Mat"/>
    <n v="89.29"/>
    <x v="2"/>
    <s v="Card"/>
    <n v="3.8"/>
    <n v="0"/>
    <n v="0"/>
    <n v="89.29"/>
    <x v="3"/>
    <x v="1"/>
    <s v="New"/>
  </r>
  <r>
    <n v="4724"/>
    <n v="32"/>
    <s v="Female"/>
    <x v="7"/>
    <s v="Sandals"/>
    <n v="52.53"/>
    <x v="1"/>
    <s v="Cash on Delivery"/>
    <n v="3.1"/>
    <n v="18"/>
    <n v="4"/>
    <n v="43.074600000000004"/>
    <x v="4"/>
    <x v="0"/>
    <s v="Returning"/>
  </r>
  <r>
    <n v="4725"/>
    <n v="62"/>
    <s v="Female"/>
    <x v="6"/>
    <s v="Perfume"/>
    <n v="93.41"/>
    <x v="2"/>
    <s v="Cash on Delivery"/>
    <n v="4.0999999999999996"/>
    <n v="12"/>
    <n v="6"/>
    <n v="82.200800000000001"/>
    <x v="2"/>
    <x v="0"/>
    <s v="Returning"/>
  </r>
  <r>
    <n v="4726"/>
    <n v="48"/>
    <s v="Female"/>
    <x v="6"/>
    <s v="Makeup Set"/>
    <n v="96.12"/>
    <x v="0"/>
    <s v="Card"/>
    <n v="3.8"/>
    <n v="22"/>
    <n v="11"/>
    <n v="74.973600000000005"/>
    <x v="0"/>
    <x v="0"/>
    <s v="Returning"/>
  </r>
  <r>
    <n v="4727"/>
    <n v="44"/>
    <s v="Male"/>
    <x v="4"/>
    <s v="Snacks"/>
    <n v="51.5"/>
    <x v="0"/>
    <s v="Cash on Delivery"/>
    <n v="3.8"/>
    <n v="22"/>
    <n v="6"/>
    <n v="40.17"/>
    <x v="1"/>
    <x v="0"/>
    <s v="Returning"/>
  </r>
  <r>
    <n v="4728"/>
    <n v="58"/>
    <s v="Male"/>
    <x v="2"/>
    <s v="Football"/>
    <n v="147.1"/>
    <x v="3"/>
    <s v="Card"/>
    <n v="4.0999999999999996"/>
    <n v="12"/>
    <n v="1"/>
    <n v="129.44800000000001"/>
    <x v="0"/>
    <x v="0"/>
    <s v="Returning"/>
  </r>
  <r>
    <n v="4729"/>
    <n v="59"/>
    <s v="Male"/>
    <x v="7"/>
    <s v="Sneakers"/>
    <n v="208.77"/>
    <x v="1"/>
    <s v="Card"/>
    <n v="4"/>
    <n v="12"/>
    <n v="6"/>
    <n v="183.7176"/>
    <x v="0"/>
    <x v="0"/>
    <s v="Returning"/>
  </r>
  <r>
    <n v="4730"/>
    <n v="31"/>
    <s v="Male"/>
    <x v="7"/>
    <s v="Sneakers"/>
    <n v="222.63"/>
    <x v="3"/>
    <s v="Card"/>
    <n v="4.3"/>
    <n v="18"/>
    <n v="9"/>
    <n v="182.5566"/>
    <x v="4"/>
    <x v="0"/>
    <s v="Returning"/>
  </r>
  <r>
    <n v="4731"/>
    <n v="37"/>
    <s v="Female"/>
    <x v="8"/>
    <s v="Skirt"/>
    <n v="56.66"/>
    <x v="0"/>
    <s v="Card"/>
    <n v="5"/>
    <n v="14"/>
    <n v="7"/>
    <n v="48.727599999999995"/>
    <x v="1"/>
    <x v="0"/>
    <s v="Returning"/>
  </r>
  <r>
    <n v="4732"/>
    <n v="32"/>
    <s v="Male"/>
    <x v="2"/>
    <s v="Dumbbells"/>
    <n v="46.9"/>
    <x v="1"/>
    <s v="Cash on Delivery"/>
    <n v="3.4"/>
    <n v="17"/>
    <n v="6"/>
    <n v="38.927"/>
    <x v="4"/>
    <x v="0"/>
    <s v="Returning"/>
  </r>
  <r>
    <n v="4733"/>
    <n v="69"/>
    <s v="Male"/>
    <x v="5"/>
    <s v="Smart Watch"/>
    <n v="771.91"/>
    <x v="0"/>
    <s v="Card"/>
    <n v="4.8"/>
    <n v="14"/>
    <n v="7"/>
    <n v="663.84259999999995"/>
    <x v="2"/>
    <x v="0"/>
    <s v="Returning"/>
  </r>
  <r>
    <n v="4734"/>
    <n v="40"/>
    <s v="Male"/>
    <x v="2"/>
    <s v="Yoga Mat"/>
    <n v="122.71"/>
    <x v="0"/>
    <s v="Card"/>
    <n v="2.8"/>
    <n v="13"/>
    <n v="4"/>
    <n v="106.7577"/>
    <x v="1"/>
    <x v="0"/>
    <s v="Returning"/>
  </r>
  <r>
    <n v="4735"/>
    <n v="21"/>
    <s v="Female"/>
    <x v="8"/>
    <s v="Jeans"/>
    <n v="195.09"/>
    <x v="2"/>
    <s v="Card"/>
    <n v="4.4000000000000004"/>
    <n v="20"/>
    <n v="5"/>
    <n v="156.072"/>
    <x v="3"/>
    <x v="0"/>
    <s v="Returning"/>
  </r>
  <r>
    <n v="4736"/>
    <n v="60"/>
    <s v="Female"/>
    <x v="6"/>
    <s v="Perfume"/>
    <n v="80.38"/>
    <x v="1"/>
    <s v="Card"/>
    <n v="3.6"/>
    <n v="14"/>
    <n v="7"/>
    <n v="69.126799999999989"/>
    <x v="0"/>
    <x v="0"/>
    <s v="Returning"/>
  </r>
  <r>
    <n v="4737"/>
    <n v="66"/>
    <s v="Female"/>
    <x v="8"/>
    <s v="Top"/>
    <n v="109.58"/>
    <x v="3"/>
    <s v="Card"/>
    <n v="4.3"/>
    <n v="26"/>
    <n v="8"/>
    <n v="81.089199999999991"/>
    <x v="2"/>
    <x v="0"/>
    <s v="Returning"/>
  </r>
  <r>
    <n v="4738"/>
    <n v="42"/>
    <s v="Female"/>
    <x v="6"/>
    <s v="Makeup Set"/>
    <n v="133.84"/>
    <x v="3"/>
    <s v="Card"/>
    <n v="3.3"/>
    <n v="14"/>
    <n v="7"/>
    <n v="115.1024"/>
    <x v="1"/>
    <x v="0"/>
    <s v="Returning"/>
  </r>
  <r>
    <n v="4739"/>
    <n v="28"/>
    <s v="Male"/>
    <x v="1"/>
    <s v="T-Shirt"/>
    <n v="37.090000000000003"/>
    <x v="3"/>
    <s v="Card"/>
    <n v="4.4000000000000004"/>
    <n v="22"/>
    <n v="6"/>
    <n v="28.930200000000003"/>
    <x v="4"/>
    <x v="0"/>
    <s v="Returning"/>
  </r>
  <r>
    <n v="4740"/>
    <n v="50"/>
    <s v="Male"/>
    <x v="4"/>
    <s v="Rice Pack"/>
    <n v="19.579999999999998"/>
    <x v="2"/>
    <s v="Card"/>
    <n v="3.3"/>
    <n v="19"/>
    <n v="7"/>
    <n v="15.8598"/>
    <x v="0"/>
    <x v="0"/>
    <s v="Returning"/>
  </r>
  <r>
    <n v="4741"/>
    <n v="65"/>
    <s v="Male"/>
    <x v="4"/>
    <s v="Rice Pack"/>
    <n v="13.95"/>
    <x v="3"/>
    <s v="Card"/>
    <n v="4.0999999999999996"/>
    <n v="21"/>
    <n v="8"/>
    <n v="11.0205"/>
    <x v="2"/>
    <x v="0"/>
    <s v="Returning"/>
  </r>
  <r>
    <n v="4742"/>
    <n v="48"/>
    <s v="Male"/>
    <x v="2"/>
    <s v="Dumbbells"/>
    <n v="147.08000000000001"/>
    <x v="3"/>
    <s v="Card"/>
    <n v="3.4"/>
    <n v="20"/>
    <n v="5"/>
    <n v="117.66400000000002"/>
    <x v="0"/>
    <x v="0"/>
    <s v="Returning"/>
  </r>
  <r>
    <n v="4743"/>
    <n v="56"/>
    <s v="Female"/>
    <x v="8"/>
    <s v="Skirt"/>
    <n v="172.44"/>
    <x v="3"/>
    <s v="Card"/>
    <n v="3.7"/>
    <n v="18"/>
    <n v="4"/>
    <n v="141.4008"/>
    <x v="0"/>
    <x v="0"/>
    <s v="Returning"/>
  </r>
  <r>
    <n v="4744"/>
    <n v="41"/>
    <s v="Male"/>
    <x v="2"/>
    <s v="Dumbbells"/>
    <n v="179"/>
    <x v="0"/>
    <s v="Card"/>
    <n v="4.9000000000000004"/>
    <n v="8"/>
    <n v="4"/>
    <n v="164.68"/>
    <x v="1"/>
    <x v="0"/>
    <s v="Returning"/>
  </r>
  <r>
    <n v="4745"/>
    <n v="26"/>
    <s v="Female"/>
    <x v="7"/>
    <s v="Sandals"/>
    <n v="104.75"/>
    <x v="2"/>
    <s v="Card"/>
    <n v="4.0999999999999996"/>
    <n v="6"/>
    <n v="3"/>
    <n v="98.464999999999989"/>
    <x v="4"/>
    <x v="0"/>
    <s v="Returning"/>
  </r>
  <r>
    <n v="4746"/>
    <n v="61"/>
    <s v="Male"/>
    <x v="2"/>
    <s v="Football"/>
    <n v="216.67"/>
    <x v="0"/>
    <s v="Card"/>
    <n v="4.4000000000000004"/>
    <n v="13"/>
    <n v="4"/>
    <n v="188.50289999999998"/>
    <x v="2"/>
    <x v="0"/>
    <s v="Returning"/>
  </r>
  <r>
    <n v="4747"/>
    <n v="54"/>
    <s v="Male"/>
    <x v="5"/>
    <s v="Laptop"/>
    <n v="572.52"/>
    <x v="0"/>
    <s v="Card"/>
    <n v="3.7"/>
    <n v="11"/>
    <n v="3"/>
    <n v="509.5428"/>
    <x v="0"/>
    <x v="0"/>
    <s v="Returning"/>
  </r>
  <r>
    <n v="4748"/>
    <n v="45"/>
    <s v="Female"/>
    <x v="7"/>
    <s v="Sneakers"/>
    <n v="198.44"/>
    <x v="2"/>
    <s v="Card"/>
    <n v="2.6"/>
    <n v="18"/>
    <n v="4"/>
    <n v="162.7208"/>
    <x v="1"/>
    <x v="0"/>
    <s v="Returning"/>
  </r>
  <r>
    <n v="4749"/>
    <n v="66"/>
    <s v="Male"/>
    <x v="2"/>
    <s v="Yoga Mat"/>
    <n v="32.81"/>
    <x v="0"/>
    <s v="Cash on Delivery"/>
    <n v="3.6"/>
    <n v="16"/>
    <n v="3"/>
    <n v="27.560400000000001"/>
    <x v="2"/>
    <x v="0"/>
    <s v="Returning"/>
  </r>
  <r>
    <n v="4750"/>
    <n v="29"/>
    <s v="Male"/>
    <x v="7"/>
    <s v="Formal Shoes"/>
    <n v="218.6"/>
    <x v="3"/>
    <s v="Card"/>
    <n v="2.2999999999999998"/>
    <n v="8"/>
    <n v="4"/>
    <n v="201.11199999999999"/>
    <x v="4"/>
    <x v="0"/>
    <s v="Returning"/>
  </r>
  <r>
    <n v="4751"/>
    <n v="27"/>
    <s v="Male"/>
    <x v="2"/>
    <s v="Football"/>
    <n v="96.93"/>
    <x v="0"/>
    <s v="Cash on Delivery"/>
    <n v="3.2"/>
    <n v="8"/>
    <n v="4"/>
    <n v="89.175600000000017"/>
    <x v="4"/>
    <x v="0"/>
    <s v="Returning"/>
  </r>
  <r>
    <n v="4752"/>
    <n v="29"/>
    <s v="Male"/>
    <x v="5"/>
    <s v="Headphones"/>
    <n v="2817.6"/>
    <x v="0"/>
    <s v="Card"/>
    <n v="4.0999999999999996"/>
    <n v="14"/>
    <n v="2"/>
    <n v="2423.136"/>
    <x v="4"/>
    <x v="0"/>
    <s v="Returning"/>
  </r>
  <r>
    <n v="4753"/>
    <n v="24"/>
    <s v="Female"/>
    <x v="3"/>
    <s v="Curtains"/>
    <n v="209.24"/>
    <x v="0"/>
    <s v="Card"/>
    <n v="3.1"/>
    <n v="6"/>
    <n v="3"/>
    <n v="196.68559999999999"/>
    <x v="3"/>
    <x v="0"/>
    <s v="Returning"/>
  </r>
  <r>
    <n v="4754"/>
    <n v="65"/>
    <s v="Male"/>
    <x v="3"/>
    <s v="Kitchen Set"/>
    <n v="205.4"/>
    <x v="3"/>
    <s v="Card"/>
    <n v="3.8"/>
    <n v="8"/>
    <n v="4"/>
    <n v="188.96800000000002"/>
    <x v="2"/>
    <x v="0"/>
    <s v="Returning"/>
  </r>
  <r>
    <n v="4755"/>
    <n v="50"/>
    <s v="Female"/>
    <x v="7"/>
    <s v="Formal Shoes"/>
    <n v="69.78"/>
    <x v="2"/>
    <s v="Card"/>
    <n v="3.1"/>
    <n v="13"/>
    <n v="4"/>
    <n v="60.708600000000004"/>
    <x v="0"/>
    <x v="0"/>
    <s v="Returning"/>
  </r>
  <r>
    <n v="4756"/>
    <n v="28"/>
    <s v="Female"/>
    <x v="6"/>
    <s v="Makeup Set"/>
    <n v="133.09"/>
    <x v="2"/>
    <s v="Card"/>
    <n v="4.4000000000000004"/>
    <n v="17"/>
    <n v="6"/>
    <n v="110.46469999999999"/>
    <x v="4"/>
    <x v="0"/>
    <s v="Returning"/>
  </r>
  <r>
    <n v="4757"/>
    <n v="26"/>
    <s v="Male"/>
    <x v="3"/>
    <s v="Curtains"/>
    <n v="239.79"/>
    <x v="1"/>
    <s v="Card"/>
    <n v="3.5"/>
    <n v="8"/>
    <n v="4"/>
    <n v="220.60679999999999"/>
    <x v="4"/>
    <x v="0"/>
    <s v="Returning"/>
  </r>
  <r>
    <n v="4758"/>
    <n v="33"/>
    <s v="Female"/>
    <x v="7"/>
    <s v="Formal Shoes"/>
    <n v="226.44"/>
    <x v="3"/>
    <s v="Card"/>
    <n v="4.5"/>
    <n v="8"/>
    <n v="4"/>
    <n v="208.32480000000001"/>
    <x v="4"/>
    <x v="0"/>
    <s v="Returning"/>
  </r>
  <r>
    <n v="4759"/>
    <n v="69"/>
    <s v="Male"/>
    <x v="3"/>
    <s v="Kitchen Set"/>
    <n v="232.66"/>
    <x v="1"/>
    <s v="Card"/>
    <n v="3.7"/>
    <n v="26"/>
    <n v="8"/>
    <n v="172.16839999999999"/>
    <x v="2"/>
    <x v="0"/>
    <s v="Returning"/>
  </r>
  <r>
    <n v="4760"/>
    <n v="31"/>
    <s v="Female"/>
    <x v="8"/>
    <s v="Skirt"/>
    <n v="158.41999999999999"/>
    <x v="1"/>
    <s v="Card"/>
    <n v="3.3"/>
    <n v="15"/>
    <n v="5"/>
    <n v="134.65699999999998"/>
    <x v="4"/>
    <x v="0"/>
    <s v="Returning"/>
  </r>
  <r>
    <n v="4761"/>
    <n v="59"/>
    <s v="Female"/>
    <x v="4"/>
    <s v="Beverages"/>
    <n v="23.69"/>
    <x v="0"/>
    <s v="Cash on Delivery"/>
    <n v="3.5"/>
    <n v="14"/>
    <n v="2"/>
    <n v="20.3734"/>
    <x v="0"/>
    <x v="0"/>
    <s v="Returning"/>
  </r>
  <r>
    <n v="4762"/>
    <n v="34"/>
    <s v="Male"/>
    <x v="1"/>
    <s v="Shirt"/>
    <n v="174.51"/>
    <x v="1"/>
    <s v="Card"/>
    <n v="2.6"/>
    <n v="12"/>
    <n v="6"/>
    <n v="153.56879999999998"/>
    <x v="4"/>
    <x v="0"/>
    <s v="Returning"/>
  </r>
  <r>
    <n v="4763"/>
    <n v="36"/>
    <s v="Male"/>
    <x v="2"/>
    <s v="Dumbbells"/>
    <n v="189.27"/>
    <x v="0"/>
    <s v="Card"/>
    <n v="2.4"/>
    <n v="16"/>
    <n v="3"/>
    <n v="158.98680000000002"/>
    <x v="1"/>
    <x v="0"/>
    <s v="Returning"/>
  </r>
  <r>
    <n v="4764"/>
    <n v="22"/>
    <s v="Female"/>
    <x v="6"/>
    <s v="Makeup Set"/>
    <n v="28.45"/>
    <x v="2"/>
    <s v="Cash on Delivery"/>
    <n v="3.6"/>
    <n v="15"/>
    <n v="5"/>
    <n v="24.182499999999997"/>
    <x v="3"/>
    <x v="0"/>
    <s v="Returning"/>
  </r>
  <r>
    <n v="4765"/>
    <n v="42"/>
    <s v="Female"/>
    <x v="0"/>
    <s v="Handbag"/>
    <n v="103.25"/>
    <x v="3"/>
    <s v="Card"/>
    <n v="4.0999999999999996"/>
    <n v="15"/>
    <n v="5"/>
    <n v="87.762500000000003"/>
    <x v="1"/>
    <x v="0"/>
    <s v="Returning"/>
  </r>
  <r>
    <n v="4766"/>
    <n v="32"/>
    <s v="Male"/>
    <x v="5"/>
    <s v="Mobile Phone"/>
    <n v="2817.12"/>
    <x v="0"/>
    <s v="Card"/>
    <n v="2.6"/>
    <n v="12"/>
    <n v="6"/>
    <n v="2479.0655999999999"/>
    <x v="4"/>
    <x v="0"/>
    <s v="Returning"/>
  </r>
  <r>
    <n v="4767"/>
    <n v="45"/>
    <s v="Male"/>
    <x v="7"/>
    <s v="Sneakers"/>
    <n v="239.66"/>
    <x v="1"/>
    <s v="Card"/>
    <n v="4.7"/>
    <n v="12"/>
    <n v="6"/>
    <n v="210.9008"/>
    <x v="1"/>
    <x v="0"/>
    <s v="Returning"/>
  </r>
  <r>
    <n v="4768"/>
    <n v="30"/>
    <s v="Male"/>
    <x v="1"/>
    <s v="T-Shirt"/>
    <n v="56.45"/>
    <x v="2"/>
    <s v="Card"/>
    <n v="3.7"/>
    <n v="24"/>
    <n v="7"/>
    <n v="42.902000000000001"/>
    <x v="4"/>
    <x v="0"/>
    <s v="Returning"/>
  </r>
  <r>
    <n v="4769"/>
    <n v="69"/>
    <s v="Female"/>
    <x v="7"/>
    <s v="Formal Shoes"/>
    <n v="114.1"/>
    <x v="2"/>
    <s v="Card"/>
    <n v="3.4"/>
    <n v="28"/>
    <n v="9"/>
    <n v="82.151999999999987"/>
    <x v="2"/>
    <x v="0"/>
    <s v="Returning"/>
  </r>
  <r>
    <n v="4770"/>
    <n v="48"/>
    <s v="Female"/>
    <x v="8"/>
    <s v="Skirt"/>
    <n v="180.95"/>
    <x v="0"/>
    <s v="Card"/>
    <n v="4"/>
    <n v="10"/>
    <n v="5"/>
    <n v="162.85499999999999"/>
    <x v="0"/>
    <x v="0"/>
    <s v="Returning"/>
  </r>
  <r>
    <n v="4771"/>
    <n v="44"/>
    <s v="Female"/>
    <x v="8"/>
    <s v="Jeans"/>
    <n v="45.18"/>
    <x v="1"/>
    <s v="Card"/>
    <n v="4.4000000000000004"/>
    <n v="15"/>
    <n v="5"/>
    <n v="38.402999999999999"/>
    <x v="1"/>
    <x v="0"/>
    <s v="Returning"/>
  </r>
  <r>
    <n v="4772"/>
    <n v="30"/>
    <s v="Male"/>
    <x v="7"/>
    <s v="Formal Shoes"/>
    <n v="243.11"/>
    <x v="2"/>
    <s v="Card"/>
    <n v="3.4"/>
    <n v="18"/>
    <n v="9"/>
    <n v="199.35020000000003"/>
    <x v="4"/>
    <x v="0"/>
    <s v="Returning"/>
  </r>
  <r>
    <n v="4773"/>
    <n v="66"/>
    <s v="Male"/>
    <x v="7"/>
    <s v="Sandals"/>
    <n v="200.45"/>
    <x v="1"/>
    <s v="Card"/>
    <n v="4.4000000000000004"/>
    <n v="18"/>
    <n v="4"/>
    <n v="164.369"/>
    <x v="2"/>
    <x v="0"/>
    <s v="Returning"/>
  </r>
  <r>
    <n v="4774"/>
    <n v="33"/>
    <s v="Female"/>
    <x v="6"/>
    <s v="Skincare Kit"/>
    <n v="121.83"/>
    <x v="2"/>
    <s v="Card"/>
    <n v="4.4000000000000004"/>
    <n v="8"/>
    <n v="4"/>
    <n v="112.0836"/>
    <x v="4"/>
    <x v="0"/>
    <s v="Returning"/>
  </r>
  <r>
    <n v="4775"/>
    <n v="41"/>
    <s v="Female"/>
    <x v="4"/>
    <s v="Rice Pack"/>
    <n v="28.73"/>
    <x v="3"/>
    <s v="Card"/>
    <n v="3.9"/>
    <n v="6"/>
    <n v="3"/>
    <n v="27.0062"/>
    <x v="1"/>
    <x v="0"/>
    <s v="Returning"/>
  </r>
  <r>
    <n v="4776"/>
    <n v="27"/>
    <s v="Female"/>
    <x v="7"/>
    <s v="Formal Shoes"/>
    <n v="117.43"/>
    <x v="1"/>
    <s v="Card"/>
    <n v="3.4"/>
    <n v="10"/>
    <n v="5"/>
    <n v="105.68700000000001"/>
    <x v="4"/>
    <x v="0"/>
    <s v="Returning"/>
  </r>
  <r>
    <n v="4777"/>
    <n v="57"/>
    <s v="Male"/>
    <x v="5"/>
    <s v="Headphones"/>
    <n v="1597.87"/>
    <x v="0"/>
    <s v="Card"/>
    <n v="4.2"/>
    <n v="19"/>
    <n v="7"/>
    <n v="1294.2746999999999"/>
    <x v="0"/>
    <x v="0"/>
    <s v="Returning"/>
  </r>
  <r>
    <n v="4778"/>
    <n v="48"/>
    <s v="Male"/>
    <x v="2"/>
    <s v="Yoga Mat"/>
    <n v="137.63"/>
    <x v="0"/>
    <s v="Card"/>
    <n v="3.5"/>
    <n v="8"/>
    <n v="4"/>
    <n v="126.61960000000001"/>
    <x v="0"/>
    <x v="0"/>
    <s v="Returning"/>
  </r>
  <r>
    <n v="4779"/>
    <n v="67"/>
    <s v="Female"/>
    <x v="8"/>
    <s v="Skirt"/>
    <n v="134.72999999999999"/>
    <x v="2"/>
    <s v="Card"/>
    <n v="3.9"/>
    <n v="13"/>
    <n v="4"/>
    <n v="117.21509999999999"/>
    <x v="2"/>
    <x v="0"/>
    <s v="Returning"/>
  </r>
  <r>
    <n v="4780"/>
    <n v="59"/>
    <s v="Female"/>
    <x v="6"/>
    <s v="Skincare Kit"/>
    <n v="42.19"/>
    <x v="3"/>
    <s v="Card"/>
    <n v="2.2000000000000002"/>
    <n v="11"/>
    <n v="3"/>
    <n v="37.549099999999996"/>
    <x v="0"/>
    <x v="0"/>
    <s v="Returning"/>
  </r>
  <r>
    <n v="4781"/>
    <n v="66"/>
    <s v="Male"/>
    <x v="4"/>
    <s v="Cooking Oil"/>
    <n v="44.99"/>
    <x v="0"/>
    <s v="Cash on Delivery"/>
    <n v="4.3"/>
    <n v="19"/>
    <n v="7"/>
    <n v="36.441900000000004"/>
    <x v="2"/>
    <x v="0"/>
    <s v="Returning"/>
  </r>
  <r>
    <n v="4782"/>
    <n v="60"/>
    <s v="Male"/>
    <x v="4"/>
    <s v="Beverages"/>
    <n v="5.98"/>
    <x v="3"/>
    <s v="Cash on Delivery"/>
    <n v="3.7"/>
    <n v="15"/>
    <n v="5"/>
    <n v="5.0830000000000002"/>
    <x v="0"/>
    <x v="0"/>
    <s v="Returning"/>
  </r>
  <r>
    <n v="4783"/>
    <n v="50"/>
    <s v="Female"/>
    <x v="8"/>
    <s v="Dress"/>
    <n v="90.5"/>
    <x v="0"/>
    <s v="Cash on Delivery"/>
    <n v="3.6"/>
    <n v="19"/>
    <n v="7"/>
    <n v="73.305000000000007"/>
    <x v="0"/>
    <x v="0"/>
    <s v="Returning"/>
  </r>
  <r>
    <n v="4784"/>
    <n v="67"/>
    <s v="Female"/>
    <x v="8"/>
    <s v="Jeans"/>
    <n v="61.64"/>
    <x v="1"/>
    <s v="Cash on Delivery"/>
    <n v="3.8"/>
    <n v="14"/>
    <n v="2"/>
    <n v="53.010399999999997"/>
    <x v="2"/>
    <x v="0"/>
    <s v="Returning"/>
  </r>
  <r>
    <n v="4785"/>
    <n v="21"/>
    <s v="Male"/>
    <x v="1"/>
    <s v="T-Shirt"/>
    <n v="30.63"/>
    <x v="2"/>
    <s v="Card"/>
    <n v="3.2"/>
    <n v="15"/>
    <n v="5"/>
    <n v="26.035499999999999"/>
    <x v="3"/>
    <x v="0"/>
    <s v="Returning"/>
  </r>
  <r>
    <n v="4786"/>
    <n v="31"/>
    <s v="Male"/>
    <x v="2"/>
    <s v="Dumbbells"/>
    <n v="82.96"/>
    <x v="1"/>
    <s v="Card"/>
    <n v="3.2"/>
    <n v="13"/>
    <n v="4"/>
    <n v="72.17519999999999"/>
    <x v="4"/>
    <x v="0"/>
    <s v="Returning"/>
  </r>
  <r>
    <n v="4787"/>
    <n v="43"/>
    <s v="Female"/>
    <x v="3"/>
    <s v="Curtains"/>
    <n v="162.78"/>
    <x v="0"/>
    <s v="Card"/>
    <n v="3.3"/>
    <n v="12"/>
    <n v="1"/>
    <n v="143.24639999999999"/>
    <x v="1"/>
    <x v="0"/>
    <s v="Returning"/>
  </r>
  <r>
    <n v="4788"/>
    <n v="20"/>
    <s v="Male"/>
    <x v="2"/>
    <s v="Dumbbells"/>
    <n v="173.24"/>
    <x v="1"/>
    <s v="Card"/>
    <n v="2.9"/>
    <n v="10"/>
    <n v="5"/>
    <n v="155.91600000000003"/>
    <x v="3"/>
    <x v="0"/>
    <s v="Returning"/>
  </r>
  <r>
    <n v="4789"/>
    <n v="58"/>
    <s v="Male"/>
    <x v="5"/>
    <s v="Headphones"/>
    <n v="1498.26"/>
    <x v="1"/>
    <s v="Card"/>
    <n v="4.2"/>
    <n v="8"/>
    <n v="4"/>
    <n v="1378.3992000000001"/>
    <x v="0"/>
    <x v="0"/>
    <s v="Returning"/>
  </r>
  <r>
    <n v="4790"/>
    <n v="68"/>
    <s v="Female"/>
    <x v="0"/>
    <s v="Sunglasses"/>
    <n v="124.8"/>
    <x v="1"/>
    <s v="Card"/>
    <n v="4.0999999999999996"/>
    <n v="11"/>
    <n v="3"/>
    <n v="111.072"/>
    <x v="2"/>
    <x v="0"/>
    <s v="Returning"/>
  </r>
  <r>
    <n v="4791"/>
    <n v="57"/>
    <s v="Male"/>
    <x v="4"/>
    <s v="Beverages"/>
    <n v="45.07"/>
    <x v="0"/>
    <s v="Cash on Delivery"/>
    <n v="4.5"/>
    <n v="9"/>
    <n v="2"/>
    <n v="41.0137"/>
    <x v="0"/>
    <x v="0"/>
    <s v="Returning"/>
  </r>
  <r>
    <n v="4792"/>
    <n v="66"/>
    <s v="Female"/>
    <x v="8"/>
    <s v="Dress"/>
    <n v="121.66"/>
    <x v="2"/>
    <s v="Card"/>
    <n v="3.9"/>
    <n v="24"/>
    <n v="7"/>
    <n v="92.461600000000004"/>
    <x v="2"/>
    <x v="0"/>
    <s v="Returning"/>
  </r>
  <r>
    <n v="4793"/>
    <n v="55"/>
    <s v="Male"/>
    <x v="1"/>
    <s v="Shirt"/>
    <n v="63.17"/>
    <x v="2"/>
    <s v="Cash on Delivery"/>
    <n v="2.9"/>
    <n v="12"/>
    <n v="6"/>
    <n v="55.589600000000004"/>
    <x v="0"/>
    <x v="0"/>
    <s v="Returning"/>
  </r>
  <r>
    <n v="4794"/>
    <n v="37"/>
    <s v="Male"/>
    <x v="1"/>
    <s v="Jacket"/>
    <n v="34.630000000000003"/>
    <x v="3"/>
    <s v="Cash on Delivery"/>
    <n v="2.9"/>
    <n v="10"/>
    <n v="0"/>
    <n v="31.167000000000002"/>
    <x v="1"/>
    <x v="0"/>
    <s v="New"/>
  </r>
  <r>
    <n v="4795"/>
    <n v="24"/>
    <s v="Female"/>
    <x v="8"/>
    <s v="Top"/>
    <n v="59.95"/>
    <x v="2"/>
    <s v="Card"/>
    <n v="3.3"/>
    <n v="14"/>
    <n v="2"/>
    <n v="51.557000000000002"/>
    <x v="3"/>
    <x v="0"/>
    <s v="Returning"/>
  </r>
  <r>
    <n v="4796"/>
    <n v="65"/>
    <s v="Female"/>
    <x v="0"/>
    <s v="Wallet"/>
    <n v="177.54"/>
    <x v="2"/>
    <s v="Card"/>
    <n v="2.8"/>
    <n v="18"/>
    <n v="4"/>
    <n v="145.58279999999999"/>
    <x v="2"/>
    <x v="0"/>
    <s v="Returning"/>
  </r>
  <r>
    <n v="4797"/>
    <n v="66"/>
    <s v="Male"/>
    <x v="2"/>
    <s v="Yoga Mat"/>
    <n v="97.98"/>
    <x v="0"/>
    <s v="Cash on Delivery"/>
    <n v="3.3"/>
    <n v="18"/>
    <n v="9"/>
    <n v="80.343600000000009"/>
    <x v="2"/>
    <x v="0"/>
    <s v="Returning"/>
  </r>
  <r>
    <n v="4798"/>
    <n v="56"/>
    <s v="Female"/>
    <x v="0"/>
    <s v="Wallet"/>
    <n v="62.19"/>
    <x v="2"/>
    <s v="Cash on Delivery"/>
    <n v="4.4000000000000004"/>
    <n v="7"/>
    <n v="1"/>
    <n v="57.836699999999993"/>
    <x v="0"/>
    <x v="0"/>
    <s v="Returning"/>
  </r>
  <r>
    <n v="4799"/>
    <n v="65"/>
    <s v="Female"/>
    <x v="2"/>
    <s v="Football"/>
    <n v="36.71"/>
    <x v="0"/>
    <s v="Cash on Delivery"/>
    <n v="3.5"/>
    <n v="23"/>
    <n v="9"/>
    <n v="28.2667"/>
    <x v="2"/>
    <x v="0"/>
    <s v="Returning"/>
  </r>
  <r>
    <n v="4800"/>
    <n v="50"/>
    <s v="Female"/>
    <x v="2"/>
    <s v="Yoga Mat"/>
    <n v="34.659999999999997"/>
    <x v="3"/>
    <s v="Card"/>
    <n v="2.8"/>
    <n v="12"/>
    <n v="6"/>
    <n v="30.500799999999998"/>
    <x v="0"/>
    <x v="0"/>
    <s v="Returning"/>
  </r>
  <r>
    <n v="4801"/>
    <n v="22"/>
    <s v="Female"/>
    <x v="2"/>
    <s v="Yoga Mat"/>
    <n v="136.51"/>
    <x v="1"/>
    <s v="Card"/>
    <n v="4.5"/>
    <n v="22"/>
    <n v="6"/>
    <n v="106.4778"/>
    <x v="3"/>
    <x v="0"/>
    <s v="Returning"/>
  </r>
  <r>
    <n v="4802"/>
    <n v="67"/>
    <s v="Female"/>
    <x v="8"/>
    <s v="Dress"/>
    <n v="81.05"/>
    <x v="1"/>
    <s v="Cash on Delivery"/>
    <n v="4.5999999999999996"/>
    <n v="14"/>
    <n v="7"/>
    <n v="69.703000000000003"/>
    <x v="2"/>
    <x v="0"/>
    <s v="Returning"/>
  </r>
  <r>
    <n v="4803"/>
    <n v="44"/>
    <s v="Female"/>
    <x v="2"/>
    <s v="Yoga Mat"/>
    <n v="49.34"/>
    <x v="3"/>
    <s v="Cash on Delivery"/>
    <n v="3.3"/>
    <n v="7"/>
    <n v="1"/>
    <n v="45.886200000000002"/>
    <x v="1"/>
    <x v="0"/>
    <s v="Returning"/>
  </r>
  <r>
    <n v="4804"/>
    <n v="31"/>
    <s v="Male"/>
    <x v="2"/>
    <s v="Yoga Mat"/>
    <n v="83.98"/>
    <x v="2"/>
    <s v="Cash on Delivery"/>
    <n v="4.0999999999999996"/>
    <n v="26"/>
    <n v="8"/>
    <n v="62.145200000000003"/>
    <x v="4"/>
    <x v="0"/>
    <s v="Returning"/>
  </r>
  <r>
    <n v="4805"/>
    <n v="46"/>
    <s v="Female"/>
    <x v="8"/>
    <s v="Jeans"/>
    <n v="48.2"/>
    <x v="1"/>
    <s v="Cash on Delivery"/>
    <n v="4.0999999999999996"/>
    <n v="12"/>
    <n v="6"/>
    <n v="42.416000000000004"/>
    <x v="0"/>
    <x v="0"/>
    <s v="Returning"/>
  </r>
  <r>
    <n v="4806"/>
    <n v="57"/>
    <s v="Female"/>
    <x v="4"/>
    <s v="Rice Pack"/>
    <n v="44.59"/>
    <x v="1"/>
    <s v="Cash on Delivery"/>
    <n v="4.5"/>
    <n v="12"/>
    <n v="6"/>
    <n v="39.239200000000004"/>
    <x v="0"/>
    <x v="0"/>
    <s v="Returning"/>
  </r>
  <r>
    <n v="4807"/>
    <n v="35"/>
    <s v="Female"/>
    <x v="0"/>
    <s v="Sunglasses"/>
    <n v="99.42"/>
    <x v="1"/>
    <s v="Card"/>
    <n v="4.3"/>
    <n v="8"/>
    <n v="4"/>
    <n v="91.466400000000007"/>
    <x v="4"/>
    <x v="0"/>
    <s v="Returning"/>
  </r>
  <r>
    <n v="4808"/>
    <n v="47"/>
    <s v="Male"/>
    <x v="1"/>
    <s v="T-Shirt"/>
    <n v="149.88999999999999"/>
    <x v="1"/>
    <s v="Card"/>
    <n v="3.7"/>
    <n v="8"/>
    <n v="4"/>
    <n v="137.89879999999999"/>
    <x v="0"/>
    <x v="0"/>
    <s v="Returning"/>
  </r>
  <r>
    <n v="4809"/>
    <n v="51"/>
    <s v="Male"/>
    <x v="2"/>
    <s v="Football"/>
    <n v="223.89"/>
    <x v="2"/>
    <s v="Card"/>
    <n v="3.3"/>
    <n v="15"/>
    <n v="5"/>
    <n v="190.30649999999997"/>
    <x v="0"/>
    <x v="0"/>
    <s v="Returning"/>
  </r>
  <r>
    <n v="4810"/>
    <n v="43"/>
    <s v="Female"/>
    <x v="8"/>
    <s v="Skirt"/>
    <n v="163.6"/>
    <x v="3"/>
    <s v="Card"/>
    <n v="2.6"/>
    <n v="15"/>
    <n v="5"/>
    <n v="139.06"/>
    <x v="1"/>
    <x v="0"/>
    <s v="Returning"/>
  </r>
  <r>
    <n v="4811"/>
    <n v="27"/>
    <s v="Male"/>
    <x v="4"/>
    <s v="Beverages"/>
    <n v="54.58"/>
    <x v="0"/>
    <s v="Card"/>
    <n v="3.1"/>
    <n v="10"/>
    <n v="5"/>
    <n v="49.122"/>
    <x v="4"/>
    <x v="0"/>
    <s v="Returning"/>
  </r>
  <r>
    <n v="4812"/>
    <n v="34"/>
    <s v="Male"/>
    <x v="7"/>
    <s v="Sneakers"/>
    <n v="107.13"/>
    <x v="2"/>
    <s v="Card"/>
    <n v="3.4"/>
    <n v="26"/>
    <n v="8"/>
    <n v="79.276199999999989"/>
    <x v="4"/>
    <x v="0"/>
    <s v="Returning"/>
  </r>
  <r>
    <n v="4813"/>
    <n v="55"/>
    <s v="Female"/>
    <x v="7"/>
    <s v="Sandals"/>
    <n v="105.16"/>
    <x v="3"/>
    <s v="Card"/>
    <n v="3.9"/>
    <n v="20"/>
    <n v="5"/>
    <n v="84.128"/>
    <x v="0"/>
    <x v="0"/>
    <s v="Returning"/>
  </r>
  <r>
    <n v="4814"/>
    <n v="30"/>
    <s v="Male"/>
    <x v="5"/>
    <s v="Smart Watch"/>
    <n v="1843.94"/>
    <x v="0"/>
    <s v="Card"/>
    <n v="3.5"/>
    <n v="9"/>
    <n v="2"/>
    <n v="1677.9854"/>
    <x v="4"/>
    <x v="0"/>
    <s v="Returning"/>
  </r>
  <r>
    <n v="4815"/>
    <n v="58"/>
    <s v="Male"/>
    <x v="7"/>
    <s v="Sandals"/>
    <n v="64.59"/>
    <x v="2"/>
    <s v="Card"/>
    <n v="4.0999999999999996"/>
    <n v="19"/>
    <n v="7"/>
    <n v="52.317900000000009"/>
    <x v="0"/>
    <x v="0"/>
    <s v="Returning"/>
  </r>
  <r>
    <n v="4816"/>
    <n v="67"/>
    <s v="Male"/>
    <x v="5"/>
    <s v="Mobile Phone"/>
    <n v="2035.13"/>
    <x v="1"/>
    <s v="Card"/>
    <n v="3.7"/>
    <n v="13"/>
    <n v="4"/>
    <n v="1770.5631000000001"/>
    <x v="2"/>
    <x v="0"/>
    <s v="Returning"/>
  </r>
  <r>
    <n v="4817"/>
    <n v="26"/>
    <s v="Male"/>
    <x v="4"/>
    <s v="Rice Pack"/>
    <n v="42.57"/>
    <x v="0"/>
    <s v="Card"/>
    <n v="4.0999999999999996"/>
    <n v="9"/>
    <n v="2"/>
    <n v="38.738700000000001"/>
    <x v="4"/>
    <x v="0"/>
    <s v="Returning"/>
  </r>
  <r>
    <n v="4818"/>
    <n v="31"/>
    <s v="Male"/>
    <x v="5"/>
    <s v="Mobile Phone"/>
    <n v="2124.87"/>
    <x v="2"/>
    <s v="Card"/>
    <n v="3.4"/>
    <n v="13"/>
    <n v="4"/>
    <n v="1848.6369"/>
    <x v="4"/>
    <x v="0"/>
    <s v="Returning"/>
  </r>
  <r>
    <n v="4819"/>
    <n v="58"/>
    <s v="Male"/>
    <x v="5"/>
    <s v="Smart Watch"/>
    <n v="1687.48"/>
    <x v="3"/>
    <s v="Card"/>
    <n v="3.8"/>
    <n v="13"/>
    <n v="4"/>
    <n v="1468.1076"/>
    <x v="0"/>
    <x v="0"/>
    <s v="Returning"/>
  </r>
  <r>
    <n v="4820"/>
    <n v="38"/>
    <s v="Male"/>
    <x v="5"/>
    <s v="Mobile Phone"/>
    <n v="1951.27"/>
    <x v="0"/>
    <s v="Card"/>
    <n v="4.5999999999999996"/>
    <n v="6"/>
    <n v="3"/>
    <n v="1834.1937999999998"/>
    <x v="1"/>
    <x v="0"/>
    <s v="Returning"/>
  </r>
  <r>
    <n v="4821"/>
    <n v="37"/>
    <s v="Male"/>
    <x v="1"/>
    <s v="Jeans"/>
    <n v="159.61000000000001"/>
    <x v="1"/>
    <s v="Card"/>
    <n v="3.7"/>
    <n v="20"/>
    <n v="5"/>
    <n v="127.68800000000002"/>
    <x v="1"/>
    <x v="0"/>
    <s v="Returning"/>
  </r>
  <r>
    <n v="4822"/>
    <n v="28"/>
    <s v="Male"/>
    <x v="2"/>
    <s v="Football"/>
    <n v="178.42"/>
    <x v="1"/>
    <s v="Card"/>
    <n v="4.0999999999999996"/>
    <n v="22"/>
    <n v="6"/>
    <n v="139.16759999999999"/>
    <x v="4"/>
    <x v="0"/>
    <s v="Returning"/>
  </r>
  <r>
    <n v="4823"/>
    <n v="48"/>
    <s v="Male"/>
    <x v="7"/>
    <s v="Sandals"/>
    <n v="92.46"/>
    <x v="1"/>
    <s v="Card"/>
    <n v="3.3"/>
    <n v="14"/>
    <n v="7"/>
    <n v="79.515599999999992"/>
    <x v="0"/>
    <x v="0"/>
    <s v="Returning"/>
  </r>
  <r>
    <n v="4824"/>
    <n v="36"/>
    <s v="Female"/>
    <x v="0"/>
    <s v="Wallet"/>
    <n v="35.9"/>
    <x v="1"/>
    <s v="Cash on Delivery"/>
    <n v="4.2"/>
    <n v="11"/>
    <n v="3"/>
    <n v="31.951000000000001"/>
    <x v="1"/>
    <x v="0"/>
    <s v="Returning"/>
  </r>
  <r>
    <n v="4825"/>
    <n v="57"/>
    <s v="Male"/>
    <x v="2"/>
    <s v="Dumbbells"/>
    <n v="235.27"/>
    <x v="2"/>
    <s v="Card"/>
    <n v="3.9"/>
    <n v="18"/>
    <n v="4"/>
    <n v="192.92140000000003"/>
    <x v="0"/>
    <x v="0"/>
    <s v="Returning"/>
  </r>
  <r>
    <n v="4826"/>
    <n v="42"/>
    <s v="Male"/>
    <x v="4"/>
    <s v="Cooking Oil"/>
    <n v="76.87"/>
    <x v="0"/>
    <s v="Cash on Delivery"/>
    <n v="4.5"/>
    <n v="9"/>
    <n v="2"/>
    <n v="69.951700000000002"/>
    <x v="1"/>
    <x v="0"/>
    <s v="Returning"/>
  </r>
  <r>
    <n v="4827"/>
    <n v="47"/>
    <s v="Male"/>
    <x v="5"/>
    <s v="Smart Watch"/>
    <n v="692.45"/>
    <x v="3"/>
    <s v="Card"/>
    <n v="4.3"/>
    <n v="9"/>
    <n v="2"/>
    <n v="630.12950000000001"/>
    <x v="0"/>
    <x v="0"/>
    <s v="Returning"/>
  </r>
  <r>
    <n v="4828"/>
    <n v="56"/>
    <s v="Female"/>
    <x v="8"/>
    <s v="Jeans"/>
    <n v="128.72999999999999"/>
    <x v="3"/>
    <s v="Card"/>
    <n v="4.9000000000000004"/>
    <n v="12"/>
    <n v="6"/>
    <n v="113.2824"/>
    <x v="0"/>
    <x v="0"/>
    <s v="Returning"/>
  </r>
  <r>
    <n v="4829"/>
    <n v="30"/>
    <s v="Female"/>
    <x v="6"/>
    <s v="Skincare Kit"/>
    <n v="97.03"/>
    <x v="2"/>
    <s v="Cash on Delivery"/>
    <n v="4.0999999999999996"/>
    <n v="19"/>
    <n v="7"/>
    <n v="78.594300000000004"/>
    <x v="4"/>
    <x v="0"/>
    <s v="Returning"/>
  </r>
  <r>
    <n v="4830"/>
    <n v="24"/>
    <s v="Female"/>
    <x v="0"/>
    <s v="Wallet"/>
    <n v="156.83000000000001"/>
    <x v="3"/>
    <s v="Card"/>
    <n v="2.8"/>
    <n v="8"/>
    <n v="4"/>
    <n v="144.28360000000001"/>
    <x v="3"/>
    <x v="0"/>
    <s v="Returning"/>
  </r>
  <r>
    <n v="4831"/>
    <n v="35"/>
    <s v="Female"/>
    <x v="7"/>
    <s v="Formal Shoes"/>
    <n v="233.18"/>
    <x v="1"/>
    <s v="Card"/>
    <n v="3.1"/>
    <n v="11"/>
    <n v="3"/>
    <n v="207.53020000000001"/>
    <x v="4"/>
    <x v="0"/>
    <s v="Returning"/>
  </r>
  <r>
    <n v="4832"/>
    <n v="52"/>
    <s v="Female"/>
    <x v="2"/>
    <s v="Yoga Mat"/>
    <n v="65.760000000000005"/>
    <x v="2"/>
    <s v="Cash on Delivery"/>
    <n v="3.5"/>
    <n v="32"/>
    <n v="11"/>
    <n v="44.716799999999999"/>
    <x v="0"/>
    <x v="0"/>
    <s v="Returning"/>
  </r>
  <r>
    <n v="4833"/>
    <n v="55"/>
    <s v="Male"/>
    <x v="2"/>
    <s v="Football"/>
    <n v="245.22"/>
    <x v="3"/>
    <s v="Card"/>
    <n v="5"/>
    <n v="22"/>
    <n v="11"/>
    <n v="191.27160000000001"/>
    <x v="0"/>
    <x v="0"/>
    <s v="Returning"/>
  </r>
  <r>
    <n v="4834"/>
    <n v="27"/>
    <s v="Male"/>
    <x v="5"/>
    <s v="Mobile Phone"/>
    <n v="540.45000000000005"/>
    <x v="1"/>
    <s v="Card"/>
    <n v="3.5"/>
    <n v="20"/>
    <n v="5"/>
    <n v="432.36000000000007"/>
    <x v="4"/>
    <x v="0"/>
    <s v="Returning"/>
  </r>
  <r>
    <n v="4835"/>
    <n v="50"/>
    <s v="Female"/>
    <x v="6"/>
    <s v="Skincare Kit"/>
    <n v="55.69"/>
    <x v="0"/>
    <s v="Card"/>
    <n v="3.7"/>
    <n v="11"/>
    <n v="3"/>
    <n v="49.564099999999996"/>
    <x v="0"/>
    <x v="0"/>
    <s v="Returning"/>
  </r>
  <r>
    <n v="4836"/>
    <n v="62"/>
    <s v="Female"/>
    <x v="7"/>
    <s v="Sneakers"/>
    <n v="204.43"/>
    <x v="0"/>
    <s v="Card"/>
    <n v="4.5"/>
    <n v="14"/>
    <n v="7"/>
    <n v="175.8098"/>
    <x v="2"/>
    <x v="0"/>
    <s v="Returning"/>
  </r>
  <r>
    <n v="4837"/>
    <n v="64"/>
    <s v="Male"/>
    <x v="1"/>
    <s v="Jacket"/>
    <n v="187.34"/>
    <x v="1"/>
    <s v="Card"/>
    <n v="3.8"/>
    <n v="16"/>
    <n v="3"/>
    <n v="157.3656"/>
    <x v="2"/>
    <x v="0"/>
    <s v="Returning"/>
  </r>
  <r>
    <n v="4838"/>
    <n v="70"/>
    <s v="Female"/>
    <x v="6"/>
    <s v="Perfume"/>
    <n v="119.95"/>
    <x v="3"/>
    <s v="Card"/>
    <n v="4.2"/>
    <n v="22"/>
    <n v="6"/>
    <n v="93.561000000000007"/>
    <x v="2"/>
    <x v="0"/>
    <s v="Returning"/>
  </r>
  <r>
    <n v="4839"/>
    <n v="38"/>
    <s v="Male"/>
    <x v="1"/>
    <s v="T-Shirt"/>
    <n v="90.72"/>
    <x v="0"/>
    <s v="Cash on Delivery"/>
    <n v="4.4000000000000004"/>
    <n v="22"/>
    <n v="6"/>
    <n v="70.761600000000001"/>
    <x v="1"/>
    <x v="0"/>
    <s v="Returning"/>
  </r>
  <r>
    <n v="4840"/>
    <n v="24"/>
    <s v="Female"/>
    <x v="4"/>
    <s v="Cooking Oil"/>
    <n v="42.23"/>
    <x v="1"/>
    <s v="Cash on Delivery"/>
    <n v="3.8"/>
    <n v="20"/>
    <n v="5"/>
    <n v="33.783999999999999"/>
    <x v="3"/>
    <x v="0"/>
    <s v="Returning"/>
  </r>
  <r>
    <n v="4841"/>
    <n v="26"/>
    <s v="Male"/>
    <x v="5"/>
    <s v="Smart Watch"/>
    <n v="1499.25"/>
    <x v="1"/>
    <s v="Card"/>
    <n v="3.3"/>
    <n v="15"/>
    <n v="5"/>
    <n v="1274.3625"/>
    <x v="4"/>
    <x v="0"/>
    <s v="Returning"/>
  </r>
  <r>
    <n v="4842"/>
    <n v="46"/>
    <s v="Male"/>
    <x v="1"/>
    <s v="Jacket"/>
    <n v="166.99"/>
    <x v="0"/>
    <s v="Card"/>
    <n v="3.3"/>
    <n v="26"/>
    <n v="8"/>
    <n v="123.57260000000001"/>
    <x v="0"/>
    <x v="0"/>
    <s v="Returning"/>
  </r>
  <r>
    <n v="4843"/>
    <n v="36"/>
    <s v="Male"/>
    <x v="7"/>
    <s v="Formal Shoes"/>
    <n v="205.73"/>
    <x v="3"/>
    <s v="Card"/>
    <n v="4.5999999999999996"/>
    <n v="11"/>
    <n v="3"/>
    <n v="183.09969999999998"/>
    <x v="1"/>
    <x v="0"/>
    <s v="Returning"/>
  </r>
  <r>
    <n v="4844"/>
    <n v="36"/>
    <s v="Female"/>
    <x v="3"/>
    <s v="Lamp"/>
    <n v="279.89999999999998"/>
    <x v="0"/>
    <s v="Card"/>
    <n v="4.4000000000000004"/>
    <n v="24"/>
    <n v="7"/>
    <n v="212.72399999999999"/>
    <x v="1"/>
    <x v="0"/>
    <s v="Returning"/>
  </r>
  <r>
    <n v="4845"/>
    <n v="65"/>
    <s v="Male"/>
    <x v="5"/>
    <s v="Smart Watch"/>
    <n v="1117.23"/>
    <x v="1"/>
    <s v="Card"/>
    <n v="3.8"/>
    <n v="22"/>
    <n v="6"/>
    <n v="871.43940000000009"/>
    <x v="2"/>
    <x v="0"/>
    <s v="Returning"/>
  </r>
  <r>
    <n v="4846"/>
    <n v="51"/>
    <s v="Female"/>
    <x v="8"/>
    <s v="Dress"/>
    <n v="75.540000000000006"/>
    <x v="3"/>
    <s v="Card"/>
    <n v="4.2"/>
    <n v="11"/>
    <n v="3"/>
    <n v="67.23060000000001"/>
    <x v="0"/>
    <x v="0"/>
    <s v="Returning"/>
  </r>
  <r>
    <n v="4847"/>
    <n v="21"/>
    <s v="Female"/>
    <x v="0"/>
    <s v="Sunglasses"/>
    <n v="31.69"/>
    <x v="2"/>
    <s v="Cash on Delivery"/>
    <n v="2.6"/>
    <n v="20"/>
    <n v="5"/>
    <n v="25.352000000000004"/>
    <x v="3"/>
    <x v="0"/>
    <s v="Returning"/>
  </r>
  <r>
    <n v="4848"/>
    <n v="48"/>
    <s v="Female"/>
    <x v="6"/>
    <s v="Skincare Kit"/>
    <n v="125.13"/>
    <x v="3"/>
    <s v="Card"/>
    <n v="3.6"/>
    <n v="18"/>
    <n v="4"/>
    <n v="102.6066"/>
    <x v="0"/>
    <x v="0"/>
    <s v="Returning"/>
  </r>
  <r>
    <n v="4849"/>
    <n v="51"/>
    <s v="Male"/>
    <x v="7"/>
    <s v="Formal Shoes"/>
    <n v="188.35"/>
    <x v="0"/>
    <s v="Card"/>
    <n v="4.5999999999999996"/>
    <n v="16"/>
    <n v="8"/>
    <n v="158.214"/>
    <x v="0"/>
    <x v="0"/>
    <s v="Returning"/>
  </r>
  <r>
    <n v="4850"/>
    <n v="46"/>
    <s v="Female"/>
    <x v="0"/>
    <s v="Wallet"/>
    <n v="72.39"/>
    <x v="0"/>
    <s v="Cash on Delivery"/>
    <n v="4.5999999999999996"/>
    <n v="16"/>
    <n v="3"/>
    <n v="60.807600000000001"/>
    <x v="0"/>
    <x v="0"/>
    <s v="Returning"/>
  </r>
  <r>
    <n v="4851"/>
    <n v="46"/>
    <s v="Male"/>
    <x v="3"/>
    <s v="Kitchen Set"/>
    <n v="237.02"/>
    <x v="0"/>
    <s v="Card"/>
    <n v="4.0999999999999996"/>
    <n v="12"/>
    <n v="6"/>
    <n v="208.57760000000002"/>
    <x v="0"/>
    <x v="0"/>
    <s v="Returning"/>
  </r>
  <r>
    <n v="4852"/>
    <n v="52"/>
    <s v="Female"/>
    <x v="8"/>
    <s v="Jeans"/>
    <n v="177.68"/>
    <x v="1"/>
    <s v="Card"/>
    <n v="3.8"/>
    <n v="6"/>
    <n v="3"/>
    <n v="167.01919999999998"/>
    <x v="0"/>
    <x v="0"/>
    <s v="Returning"/>
  </r>
  <r>
    <n v="4853"/>
    <n v="67"/>
    <s v="Male"/>
    <x v="5"/>
    <s v="Laptop"/>
    <n v="1464.98"/>
    <x v="2"/>
    <s v="Card"/>
    <n v="3.8"/>
    <n v="22"/>
    <n v="11"/>
    <n v="1142.6844000000001"/>
    <x v="2"/>
    <x v="0"/>
    <s v="Returning"/>
  </r>
  <r>
    <n v="4854"/>
    <n v="36"/>
    <s v="Male"/>
    <x v="7"/>
    <s v="Formal Shoes"/>
    <n v="236.57"/>
    <x v="0"/>
    <s v="Card"/>
    <n v="3.2"/>
    <n v="22"/>
    <n v="6"/>
    <n v="184.52459999999999"/>
    <x v="1"/>
    <x v="0"/>
    <s v="Returning"/>
  </r>
  <r>
    <n v="4855"/>
    <n v="38"/>
    <s v="Male"/>
    <x v="3"/>
    <s v="Lamp"/>
    <n v="109.44"/>
    <x v="0"/>
    <s v="Card"/>
    <n v="2.7"/>
    <n v="10"/>
    <n v="0"/>
    <n v="98.495999999999995"/>
    <x v="1"/>
    <x v="0"/>
    <s v="New"/>
  </r>
  <r>
    <n v="4856"/>
    <n v="45"/>
    <s v="Male"/>
    <x v="3"/>
    <s v="Lamp"/>
    <n v="220.75"/>
    <x v="3"/>
    <s v="Card"/>
    <n v="4"/>
    <n v="8"/>
    <n v="4"/>
    <n v="203.09"/>
    <x v="1"/>
    <x v="0"/>
    <s v="Returning"/>
  </r>
  <r>
    <n v="4857"/>
    <n v="22"/>
    <s v="Female"/>
    <x v="8"/>
    <s v="Skirt"/>
    <n v="171.72"/>
    <x v="2"/>
    <s v="Card"/>
    <n v="3.9"/>
    <n v="12"/>
    <n v="6"/>
    <n v="151.11359999999999"/>
    <x v="3"/>
    <x v="0"/>
    <s v="Returning"/>
  </r>
  <r>
    <n v="4858"/>
    <n v="33"/>
    <s v="Female"/>
    <x v="0"/>
    <s v="Handbag"/>
    <n v="83.46"/>
    <x v="3"/>
    <s v="Cash on Delivery"/>
    <n v="3.7"/>
    <n v="25"/>
    <n v="10"/>
    <n v="62.594999999999999"/>
    <x v="4"/>
    <x v="0"/>
    <s v="Returning"/>
  </r>
  <r>
    <n v="4859"/>
    <n v="60"/>
    <s v="Male"/>
    <x v="2"/>
    <s v="Football"/>
    <n v="224.01"/>
    <x v="1"/>
    <s v="Card"/>
    <n v="3.2"/>
    <n v="23"/>
    <n v="9"/>
    <n v="172.48769999999999"/>
    <x v="0"/>
    <x v="0"/>
    <s v="Returning"/>
  </r>
  <r>
    <n v="4860"/>
    <n v="38"/>
    <s v="Female"/>
    <x v="7"/>
    <s v="Sneakers"/>
    <n v="211.8"/>
    <x v="2"/>
    <s v="Card"/>
    <n v="3.6"/>
    <n v="15"/>
    <n v="5"/>
    <n v="180.03"/>
    <x v="1"/>
    <x v="0"/>
    <s v="Returning"/>
  </r>
  <r>
    <n v="4861"/>
    <n v="57"/>
    <s v="Female"/>
    <x v="0"/>
    <s v="Sunglasses"/>
    <n v="97.86"/>
    <x v="3"/>
    <s v="Card"/>
    <n v="4.2"/>
    <n v="16"/>
    <n v="8"/>
    <n v="82.202399999999997"/>
    <x v="0"/>
    <x v="0"/>
    <s v="Returning"/>
  </r>
  <r>
    <n v="4862"/>
    <n v="61"/>
    <s v="Male"/>
    <x v="2"/>
    <s v="Dumbbells"/>
    <n v="166.73"/>
    <x v="1"/>
    <s v="Card"/>
    <n v="3.5"/>
    <n v="12"/>
    <n v="1"/>
    <n v="146.72239999999999"/>
    <x v="2"/>
    <x v="0"/>
    <s v="Returning"/>
  </r>
  <r>
    <n v="4863"/>
    <n v="45"/>
    <s v="Male"/>
    <x v="5"/>
    <s v="Mobile Phone"/>
    <n v="2482.54"/>
    <x v="3"/>
    <s v="Card"/>
    <n v="4.0999999999999996"/>
    <n v="4"/>
    <n v="2"/>
    <n v="2383.2383999999997"/>
    <x v="1"/>
    <x v="0"/>
    <s v="Returning"/>
  </r>
  <r>
    <n v="4864"/>
    <n v="26"/>
    <s v="Male"/>
    <x v="2"/>
    <s v="Yoga Mat"/>
    <n v="125.43"/>
    <x v="1"/>
    <s v="Card"/>
    <n v="2.5"/>
    <n v="18"/>
    <n v="4"/>
    <n v="102.85260000000001"/>
    <x v="4"/>
    <x v="0"/>
    <s v="Returning"/>
  </r>
  <r>
    <n v="4865"/>
    <n v="25"/>
    <s v="Female"/>
    <x v="6"/>
    <s v="Skincare Kit"/>
    <n v="62.35"/>
    <x v="1"/>
    <s v="Cash on Delivery"/>
    <n v="4"/>
    <n v="18"/>
    <n v="9"/>
    <n v="51.127000000000002"/>
    <x v="3"/>
    <x v="0"/>
    <s v="Returning"/>
  </r>
  <r>
    <n v="4866"/>
    <n v="22"/>
    <s v="Female"/>
    <x v="6"/>
    <s v="Makeup Set"/>
    <n v="93.53"/>
    <x v="0"/>
    <s v="Card"/>
    <n v="3.3"/>
    <n v="10"/>
    <n v="5"/>
    <n v="84.177000000000007"/>
    <x v="3"/>
    <x v="0"/>
    <s v="Returning"/>
  </r>
  <r>
    <n v="4867"/>
    <n v="61"/>
    <s v="Male"/>
    <x v="2"/>
    <s v="Football"/>
    <n v="193.47"/>
    <x v="3"/>
    <s v="Card"/>
    <n v="4.0999999999999996"/>
    <n v="15"/>
    <n v="5"/>
    <n v="164.4495"/>
    <x v="2"/>
    <x v="0"/>
    <s v="Returning"/>
  </r>
  <r>
    <n v="4868"/>
    <n v="34"/>
    <s v="Female"/>
    <x v="8"/>
    <s v="Jeans"/>
    <n v="86.21"/>
    <x v="2"/>
    <s v="Cash on Delivery"/>
    <n v="3.5"/>
    <n v="24"/>
    <n v="7"/>
    <n v="65.519599999999997"/>
    <x v="4"/>
    <x v="0"/>
    <s v="Returning"/>
  </r>
  <r>
    <n v="4869"/>
    <n v="56"/>
    <s v="Male"/>
    <x v="2"/>
    <s v="Dumbbells"/>
    <n v="184.93"/>
    <x v="3"/>
    <s v="Card"/>
    <n v="4.0999999999999996"/>
    <n v="12"/>
    <n v="6"/>
    <n v="162.73840000000001"/>
    <x v="0"/>
    <x v="0"/>
    <s v="Returning"/>
  </r>
  <r>
    <n v="4870"/>
    <n v="53"/>
    <s v="Male"/>
    <x v="1"/>
    <s v="T-Shirt"/>
    <n v="162.06"/>
    <x v="3"/>
    <s v="Card"/>
    <n v="5"/>
    <n v="20"/>
    <n v="5"/>
    <n v="129.648"/>
    <x v="0"/>
    <x v="0"/>
    <s v="Returning"/>
  </r>
  <r>
    <n v="4871"/>
    <n v="34"/>
    <s v="Male"/>
    <x v="2"/>
    <s v="Yoga Mat"/>
    <n v="75.709999999999994"/>
    <x v="1"/>
    <s v="Cash on Delivery"/>
    <n v="4.3"/>
    <n v="26"/>
    <n v="8"/>
    <n v="56.025399999999998"/>
    <x v="4"/>
    <x v="0"/>
    <s v="Returning"/>
  </r>
  <r>
    <n v="4872"/>
    <n v="20"/>
    <s v="Male"/>
    <x v="4"/>
    <s v="Snacks"/>
    <n v="59.59"/>
    <x v="3"/>
    <s v="Card"/>
    <n v="4.8"/>
    <n v="14"/>
    <n v="2"/>
    <n v="51.247399999999999"/>
    <x v="3"/>
    <x v="0"/>
    <s v="Returning"/>
  </r>
  <r>
    <n v="4873"/>
    <n v="30"/>
    <s v="Male"/>
    <x v="7"/>
    <s v="Sandals"/>
    <n v="113.81"/>
    <x v="1"/>
    <s v="Card"/>
    <n v="3.6"/>
    <n v="13"/>
    <n v="4"/>
    <n v="99.014700000000005"/>
    <x v="4"/>
    <x v="0"/>
    <s v="Returning"/>
  </r>
  <r>
    <n v="4874"/>
    <n v="28"/>
    <s v="Male"/>
    <x v="1"/>
    <s v="T-Shirt"/>
    <n v="109.99"/>
    <x v="1"/>
    <s v="Card"/>
    <n v="4.5999999999999996"/>
    <n v="19"/>
    <n v="7"/>
    <n v="89.091899999999995"/>
    <x v="4"/>
    <x v="0"/>
    <s v="Returning"/>
  </r>
  <r>
    <n v="4875"/>
    <n v="27"/>
    <s v="Female"/>
    <x v="0"/>
    <s v="Sunglasses"/>
    <n v="161.53"/>
    <x v="3"/>
    <s v="Card"/>
    <n v="3.8"/>
    <n v="12"/>
    <n v="1"/>
    <n v="142.1464"/>
    <x v="4"/>
    <x v="0"/>
    <s v="Returning"/>
  </r>
  <r>
    <n v="4876"/>
    <n v="38"/>
    <s v="Female"/>
    <x v="7"/>
    <s v="Sandals"/>
    <n v="78.34"/>
    <x v="2"/>
    <s v="Card"/>
    <n v="3.7"/>
    <n v="15"/>
    <n v="5"/>
    <n v="66.588999999999999"/>
    <x v="1"/>
    <x v="0"/>
    <s v="Returning"/>
  </r>
  <r>
    <n v="4877"/>
    <n v="48"/>
    <s v="Male"/>
    <x v="7"/>
    <s v="Sandals"/>
    <n v="228.07"/>
    <x v="0"/>
    <s v="Card"/>
    <n v="3.4"/>
    <n v="21"/>
    <n v="8"/>
    <n v="180.17529999999999"/>
    <x v="0"/>
    <x v="0"/>
    <s v="Returning"/>
  </r>
  <r>
    <n v="4878"/>
    <n v="30"/>
    <s v="Female"/>
    <x v="6"/>
    <s v="Perfume"/>
    <n v="45.1"/>
    <x v="1"/>
    <s v="Card"/>
    <n v="3.1"/>
    <n v="26"/>
    <n v="8"/>
    <n v="33.374000000000002"/>
    <x v="4"/>
    <x v="0"/>
    <s v="Returning"/>
  </r>
  <r>
    <n v="4879"/>
    <n v="50"/>
    <s v="Female"/>
    <x v="8"/>
    <s v="Dress"/>
    <n v="177.6"/>
    <x v="3"/>
    <s v="Card"/>
    <n v="3.1"/>
    <n v="8"/>
    <n v="4"/>
    <n v="163.392"/>
    <x v="0"/>
    <x v="0"/>
    <s v="Returning"/>
  </r>
  <r>
    <n v="4880"/>
    <n v="45"/>
    <s v="Male"/>
    <x v="5"/>
    <s v="Mobile Phone"/>
    <n v="1054.2"/>
    <x v="0"/>
    <s v="Card"/>
    <n v="4.5999999999999996"/>
    <n v="10"/>
    <n v="5"/>
    <n v="948.78000000000009"/>
    <x v="1"/>
    <x v="0"/>
    <s v="Returning"/>
  </r>
  <r>
    <n v="4881"/>
    <n v="67"/>
    <s v="Male"/>
    <x v="7"/>
    <s v="Sandals"/>
    <n v="86.51"/>
    <x v="3"/>
    <s v="Cash on Delivery"/>
    <n v="4"/>
    <n v="10"/>
    <n v="5"/>
    <n v="77.859000000000009"/>
    <x v="2"/>
    <x v="0"/>
    <s v="Returning"/>
  </r>
  <r>
    <n v="4882"/>
    <n v="48"/>
    <s v="Male"/>
    <x v="5"/>
    <s v="Mobile Phone"/>
    <n v="2184.4"/>
    <x v="0"/>
    <s v="Card"/>
    <n v="4"/>
    <n v="8"/>
    <n v="4"/>
    <n v="2009.6480000000001"/>
    <x v="0"/>
    <x v="0"/>
    <s v="Returning"/>
  </r>
  <r>
    <n v="4883"/>
    <n v="42"/>
    <s v="Female"/>
    <x v="0"/>
    <s v="Handbag"/>
    <n v="128.68"/>
    <x v="1"/>
    <s v="Card"/>
    <n v="5"/>
    <n v="19"/>
    <n v="7"/>
    <n v="104.23080000000002"/>
    <x v="1"/>
    <x v="0"/>
    <s v="Returning"/>
  </r>
  <r>
    <n v="4884"/>
    <n v="26"/>
    <s v="Female"/>
    <x v="6"/>
    <s v="Skincare Kit"/>
    <n v="104.48"/>
    <x v="0"/>
    <s v="Card"/>
    <n v="4.2"/>
    <n v="20"/>
    <n v="5"/>
    <n v="83.584000000000003"/>
    <x v="4"/>
    <x v="0"/>
    <s v="Returning"/>
  </r>
  <r>
    <n v="4885"/>
    <n v="47"/>
    <s v="Male"/>
    <x v="1"/>
    <s v="T-Shirt"/>
    <n v="77.72"/>
    <x v="0"/>
    <s v="Card"/>
    <n v="4.4000000000000004"/>
    <n v="20"/>
    <n v="5"/>
    <n v="62.176000000000002"/>
    <x v="0"/>
    <x v="0"/>
    <s v="Returning"/>
  </r>
  <r>
    <n v="4886"/>
    <n v="65"/>
    <s v="Female"/>
    <x v="0"/>
    <s v="Wallet"/>
    <n v="44.5"/>
    <x v="1"/>
    <s v="Cash on Delivery"/>
    <n v="3.9"/>
    <n v="14"/>
    <n v="2"/>
    <n v="38.269999999999996"/>
    <x v="2"/>
    <x v="0"/>
    <s v="Returning"/>
  </r>
  <r>
    <n v="4887"/>
    <n v="67"/>
    <s v="Male"/>
    <x v="1"/>
    <s v="Jacket"/>
    <n v="194.11"/>
    <x v="1"/>
    <s v="Card"/>
    <n v="3.6"/>
    <n v="16"/>
    <n v="3"/>
    <n v="163.05240000000001"/>
    <x v="2"/>
    <x v="0"/>
    <s v="Returning"/>
  </r>
  <r>
    <n v="4888"/>
    <n v="42"/>
    <s v="Female"/>
    <x v="6"/>
    <s v="Skincare Kit"/>
    <n v="125.66"/>
    <x v="3"/>
    <s v="Card"/>
    <n v="3.6"/>
    <n v="12"/>
    <n v="6"/>
    <n v="110.5808"/>
    <x v="1"/>
    <x v="0"/>
    <s v="Returning"/>
  </r>
  <r>
    <n v="4889"/>
    <n v="57"/>
    <s v="Female"/>
    <x v="6"/>
    <s v="Perfume"/>
    <n v="35.130000000000003"/>
    <x v="1"/>
    <s v="Card"/>
    <n v="3.8"/>
    <n v="11"/>
    <n v="3"/>
    <n v="31.265700000000002"/>
    <x v="0"/>
    <x v="0"/>
    <s v="Returning"/>
  </r>
  <r>
    <n v="4890"/>
    <n v="37"/>
    <s v="Male"/>
    <x v="7"/>
    <s v="Sandals"/>
    <n v="62.42"/>
    <x v="0"/>
    <s v="Cash on Delivery"/>
    <n v="3.7"/>
    <n v="12"/>
    <n v="6"/>
    <n v="54.929600000000001"/>
    <x v="1"/>
    <x v="0"/>
    <s v="Returning"/>
  </r>
  <r>
    <n v="4891"/>
    <n v="61"/>
    <s v="Female"/>
    <x v="0"/>
    <s v="Handbag"/>
    <n v="148.01"/>
    <x v="0"/>
    <s v="Card"/>
    <n v="3.5"/>
    <n v="10"/>
    <n v="5"/>
    <n v="133.209"/>
    <x v="2"/>
    <x v="0"/>
    <s v="Returning"/>
  </r>
  <r>
    <n v="4892"/>
    <n v="55"/>
    <s v="Female"/>
    <x v="2"/>
    <s v="Football"/>
    <n v="121.55"/>
    <x v="0"/>
    <s v="Card"/>
    <n v="3.5"/>
    <n v="22"/>
    <n v="6"/>
    <n v="94.808999999999997"/>
    <x v="0"/>
    <x v="0"/>
    <s v="Returning"/>
  </r>
  <r>
    <n v="4893"/>
    <n v="70"/>
    <s v="Female"/>
    <x v="2"/>
    <s v="Football"/>
    <n v="126.71"/>
    <x v="2"/>
    <s v="Card"/>
    <n v="4.2"/>
    <n v="14"/>
    <n v="7"/>
    <n v="108.97059999999999"/>
    <x v="2"/>
    <x v="0"/>
    <s v="Returning"/>
  </r>
  <r>
    <n v="4894"/>
    <n v="47"/>
    <s v="Male"/>
    <x v="2"/>
    <s v="Football"/>
    <n v="187.3"/>
    <x v="1"/>
    <s v="Card"/>
    <n v="5"/>
    <n v="24"/>
    <n v="7"/>
    <n v="142.34800000000001"/>
    <x v="0"/>
    <x v="0"/>
    <s v="Returning"/>
  </r>
  <r>
    <n v="4895"/>
    <n v="31"/>
    <s v="Female"/>
    <x v="8"/>
    <s v="Skirt"/>
    <n v="128.52000000000001"/>
    <x v="2"/>
    <s v="Card"/>
    <n v="3.2"/>
    <n v="10"/>
    <n v="5"/>
    <n v="115.66800000000001"/>
    <x v="4"/>
    <x v="0"/>
    <s v="Returning"/>
  </r>
  <r>
    <n v="4896"/>
    <n v="40"/>
    <s v="Female"/>
    <x v="6"/>
    <s v="Skincare Kit"/>
    <n v="125.95"/>
    <x v="0"/>
    <s v="Card"/>
    <n v="4.0999999999999996"/>
    <n v="15"/>
    <n v="5"/>
    <n v="107.0575"/>
    <x v="1"/>
    <x v="0"/>
    <s v="Returning"/>
  </r>
  <r>
    <n v="4897"/>
    <n v="64"/>
    <s v="Male"/>
    <x v="2"/>
    <s v="Football"/>
    <n v="131.15"/>
    <x v="2"/>
    <s v="Card"/>
    <n v="3.8"/>
    <n v="18"/>
    <n v="4"/>
    <n v="107.54300000000001"/>
    <x v="2"/>
    <x v="0"/>
    <s v="Returning"/>
  </r>
  <r>
    <n v="4898"/>
    <n v="57"/>
    <s v="Female"/>
    <x v="8"/>
    <s v="Skirt"/>
    <n v="128.19999999999999"/>
    <x v="0"/>
    <s v="Card"/>
    <n v="4.2"/>
    <n v="30"/>
    <n v="10"/>
    <n v="89.739999999999981"/>
    <x v="0"/>
    <x v="0"/>
    <s v="Returning"/>
  </r>
  <r>
    <n v="4899"/>
    <n v="55"/>
    <s v="Male"/>
    <x v="5"/>
    <s v="Mobile Phone"/>
    <n v="1091.19"/>
    <x v="3"/>
    <s v="Card"/>
    <n v="4.7"/>
    <n v="16"/>
    <n v="3"/>
    <n v="916.59960000000001"/>
    <x v="0"/>
    <x v="0"/>
    <s v="Returning"/>
  </r>
  <r>
    <n v="4900"/>
    <n v="48"/>
    <s v="Male"/>
    <x v="3"/>
    <s v="Curtains"/>
    <n v="212.33"/>
    <x v="0"/>
    <s v="Card"/>
    <n v="3.7"/>
    <n v="12"/>
    <n v="6"/>
    <n v="186.85040000000001"/>
    <x v="0"/>
    <x v="0"/>
    <s v="Returning"/>
  </r>
  <r>
    <n v="4901"/>
    <n v="29"/>
    <s v="Male"/>
    <x v="5"/>
    <s v="Smart Watch"/>
    <n v="2200.34"/>
    <x v="0"/>
    <s v="Card"/>
    <n v="4.8"/>
    <n v="19"/>
    <n v="7"/>
    <n v="1782.2754000000002"/>
    <x v="4"/>
    <x v="0"/>
    <s v="Returning"/>
  </r>
  <r>
    <n v="4902"/>
    <n v="69"/>
    <s v="Male"/>
    <x v="5"/>
    <s v="Mobile Phone"/>
    <n v="2612.62"/>
    <x v="3"/>
    <s v="Card"/>
    <n v="4.4000000000000004"/>
    <n v="26"/>
    <n v="8"/>
    <n v="1933.3388"/>
    <x v="2"/>
    <x v="0"/>
    <s v="Returning"/>
  </r>
  <r>
    <n v="4903"/>
    <n v="23"/>
    <s v="Female"/>
    <x v="7"/>
    <s v="Sandals"/>
    <n v="115.83"/>
    <x v="1"/>
    <s v="Card"/>
    <n v="5"/>
    <n v="14"/>
    <n v="2"/>
    <n v="99.613799999999998"/>
    <x v="3"/>
    <x v="0"/>
    <s v="Returning"/>
  </r>
  <r>
    <n v="4904"/>
    <n v="23"/>
    <s v="Male"/>
    <x v="1"/>
    <s v="Shirt"/>
    <n v="75.36"/>
    <x v="3"/>
    <s v="Card"/>
    <n v="4.2"/>
    <n v="17"/>
    <n v="6"/>
    <n v="62.5488"/>
    <x v="3"/>
    <x v="0"/>
    <s v="Returning"/>
  </r>
  <r>
    <n v="4905"/>
    <n v="30"/>
    <s v="Female"/>
    <x v="6"/>
    <s v="Makeup Set"/>
    <n v="54.87"/>
    <x v="3"/>
    <s v="Cash on Delivery"/>
    <n v="4.0999999999999996"/>
    <n v="6"/>
    <n v="3"/>
    <n v="51.577799999999996"/>
    <x v="4"/>
    <x v="0"/>
    <s v="Returning"/>
  </r>
  <r>
    <n v="4906"/>
    <n v="41"/>
    <s v="Female"/>
    <x v="3"/>
    <s v="Lamp"/>
    <n v="151.15"/>
    <x v="2"/>
    <s v="Card"/>
    <n v="3.2"/>
    <n v="8"/>
    <n v="4"/>
    <n v="139.05800000000002"/>
    <x v="1"/>
    <x v="0"/>
    <s v="Returning"/>
  </r>
  <r>
    <n v="4907"/>
    <n v="69"/>
    <s v="Female"/>
    <x v="4"/>
    <s v="Beverages"/>
    <n v="13.72"/>
    <x v="2"/>
    <s v="Cash on Delivery"/>
    <n v="3.5"/>
    <n v="17"/>
    <n v="6"/>
    <n v="11.387600000000001"/>
    <x v="2"/>
    <x v="0"/>
    <s v="Returning"/>
  </r>
  <r>
    <n v="4908"/>
    <n v="36"/>
    <s v="Female"/>
    <x v="7"/>
    <s v="Sandals"/>
    <n v="46.3"/>
    <x v="1"/>
    <s v="Card"/>
    <n v="4.0999999999999996"/>
    <n v="32"/>
    <n v="11"/>
    <n v="31.483999999999995"/>
    <x v="1"/>
    <x v="0"/>
    <s v="Returning"/>
  </r>
  <r>
    <n v="4909"/>
    <n v="68"/>
    <s v="Female"/>
    <x v="0"/>
    <s v="Handbag"/>
    <n v="133.47"/>
    <x v="3"/>
    <s v="Card"/>
    <n v="4"/>
    <n v="26"/>
    <n v="8"/>
    <n v="98.767799999999994"/>
    <x v="2"/>
    <x v="0"/>
    <s v="Returning"/>
  </r>
  <r>
    <n v="4910"/>
    <n v="47"/>
    <s v="Female"/>
    <x v="2"/>
    <s v="Yoga Mat"/>
    <n v="61.86"/>
    <x v="2"/>
    <s v="Card"/>
    <n v="4.2"/>
    <n v="8"/>
    <n v="4"/>
    <n v="56.911200000000001"/>
    <x v="0"/>
    <x v="0"/>
    <s v="Returning"/>
  </r>
  <r>
    <n v="4911"/>
    <n v="26"/>
    <s v="Female"/>
    <x v="2"/>
    <s v="Yoga Mat"/>
    <n v="72.040000000000006"/>
    <x v="1"/>
    <s v="Card"/>
    <n v="3.7"/>
    <n v="18"/>
    <n v="4"/>
    <n v="59.072800000000008"/>
    <x v="4"/>
    <x v="0"/>
    <s v="Returning"/>
  </r>
  <r>
    <n v="4912"/>
    <n v="62"/>
    <s v="Male"/>
    <x v="1"/>
    <s v="Shirt"/>
    <n v="84.61"/>
    <x v="0"/>
    <s v="Card"/>
    <n v="3.9"/>
    <n v="19"/>
    <n v="7"/>
    <n v="68.534100000000009"/>
    <x v="2"/>
    <x v="0"/>
    <s v="Returning"/>
  </r>
  <r>
    <n v="4913"/>
    <n v="30"/>
    <s v="Male"/>
    <x v="1"/>
    <s v="Jeans"/>
    <n v="123.73"/>
    <x v="0"/>
    <s v="Card"/>
    <n v="2.1"/>
    <n v="11"/>
    <n v="3"/>
    <n v="110.11970000000001"/>
    <x v="4"/>
    <x v="0"/>
    <s v="Returning"/>
  </r>
  <r>
    <n v="4914"/>
    <n v="44"/>
    <s v="Male"/>
    <x v="7"/>
    <s v="Formal Shoes"/>
    <n v="114.66"/>
    <x v="3"/>
    <s v="Card"/>
    <n v="4"/>
    <n v="22"/>
    <n v="6"/>
    <n v="89.434799999999996"/>
    <x v="1"/>
    <x v="0"/>
    <s v="Returning"/>
  </r>
  <r>
    <n v="4915"/>
    <n v="44"/>
    <s v="Female"/>
    <x v="7"/>
    <s v="Sandals"/>
    <n v="235.77"/>
    <x v="0"/>
    <s v="Card"/>
    <n v="2"/>
    <n v="12"/>
    <n v="6"/>
    <n v="207.47760000000002"/>
    <x v="1"/>
    <x v="0"/>
    <s v="Returning"/>
  </r>
  <r>
    <n v="4916"/>
    <n v="44"/>
    <s v="Female"/>
    <x v="4"/>
    <s v="Cooking Oil"/>
    <n v="62.94"/>
    <x v="3"/>
    <s v="Cash on Delivery"/>
    <n v="3.6"/>
    <n v="2"/>
    <n v="1"/>
    <n v="61.681199999999997"/>
    <x v="1"/>
    <x v="0"/>
    <s v="Returning"/>
  </r>
  <r>
    <n v="4917"/>
    <n v="39"/>
    <s v="Female"/>
    <x v="4"/>
    <s v="Cooking Oil"/>
    <n v="70.150000000000006"/>
    <x v="0"/>
    <s v="Cash on Delivery"/>
    <n v="4.0999999999999996"/>
    <n v="14"/>
    <n v="2"/>
    <n v="60.329000000000001"/>
    <x v="1"/>
    <x v="0"/>
    <s v="Returning"/>
  </r>
  <r>
    <n v="4918"/>
    <n v="35"/>
    <s v="Female"/>
    <x v="4"/>
    <s v="Snacks"/>
    <n v="69.099999999999994"/>
    <x v="0"/>
    <s v="Card"/>
    <n v="4.3"/>
    <n v="22"/>
    <n v="6"/>
    <n v="53.897999999999996"/>
    <x v="4"/>
    <x v="0"/>
    <s v="Returning"/>
  </r>
  <r>
    <n v="4919"/>
    <n v="43"/>
    <s v="Female"/>
    <x v="7"/>
    <s v="Sneakers"/>
    <n v="63.79"/>
    <x v="1"/>
    <s v="Cash on Delivery"/>
    <n v="4.0999999999999996"/>
    <n v="14"/>
    <n v="7"/>
    <n v="54.859400000000001"/>
    <x v="1"/>
    <x v="0"/>
    <s v="Returning"/>
  </r>
  <r>
    <n v="4920"/>
    <n v="44"/>
    <s v="Female"/>
    <x v="8"/>
    <s v="Jeans"/>
    <n v="47.12"/>
    <x v="0"/>
    <s v="Cash on Delivery"/>
    <n v="2.2999999999999998"/>
    <n v="9"/>
    <n v="2"/>
    <n v="42.879199999999997"/>
    <x v="1"/>
    <x v="0"/>
    <s v="Returning"/>
  </r>
  <r>
    <n v="4921"/>
    <n v="69"/>
    <s v="Male"/>
    <x v="2"/>
    <s v="Football"/>
    <n v="205.85"/>
    <x v="2"/>
    <s v="Card"/>
    <n v="3.3"/>
    <n v="16"/>
    <n v="3"/>
    <n v="172.91399999999999"/>
    <x v="2"/>
    <x v="0"/>
    <s v="Returning"/>
  </r>
  <r>
    <n v="4922"/>
    <n v="25"/>
    <s v="Female"/>
    <x v="0"/>
    <s v="Sunglasses"/>
    <n v="33.380000000000003"/>
    <x v="0"/>
    <s v="Card"/>
    <n v="3.5"/>
    <n v="8"/>
    <n v="4"/>
    <n v="30.709600000000005"/>
    <x v="3"/>
    <x v="0"/>
    <s v="Returning"/>
  </r>
  <r>
    <n v="4923"/>
    <n v="24"/>
    <s v="Male"/>
    <x v="4"/>
    <s v="Cooking Oil"/>
    <n v="60.32"/>
    <x v="2"/>
    <s v="Cash on Delivery"/>
    <n v="2.7"/>
    <n v="12"/>
    <n v="6"/>
    <n v="53.081600000000002"/>
    <x v="3"/>
    <x v="0"/>
    <s v="Returning"/>
  </r>
  <r>
    <n v="4924"/>
    <n v="45"/>
    <s v="Male"/>
    <x v="2"/>
    <s v="Dumbbells"/>
    <n v="82.4"/>
    <x v="1"/>
    <s v="Card"/>
    <n v="3.4"/>
    <n v="10"/>
    <n v="5"/>
    <n v="74.160000000000011"/>
    <x v="1"/>
    <x v="0"/>
    <s v="Returning"/>
  </r>
  <r>
    <n v="4925"/>
    <n v="55"/>
    <s v="Male"/>
    <x v="4"/>
    <s v="Snacks"/>
    <n v="32.01"/>
    <x v="2"/>
    <s v="Card"/>
    <n v="3.7"/>
    <n v="15"/>
    <n v="5"/>
    <n v="27.208499999999997"/>
    <x v="0"/>
    <x v="0"/>
    <s v="Returning"/>
  </r>
  <r>
    <n v="4926"/>
    <n v="33"/>
    <s v="Male"/>
    <x v="2"/>
    <s v="Dumbbells"/>
    <n v="40.549999999999997"/>
    <x v="2"/>
    <s v="Cash on Delivery"/>
    <n v="4.5999999999999996"/>
    <n v="4"/>
    <n v="2"/>
    <n v="38.927999999999997"/>
    <x v="4"/>
    <x v="0"/>
    <s v="Returning"/>
  </r>
  <r>
    <n v="4927"/>
    <n v="47"/>
    <s v="Female"/>
    <x v="6"/>
    <s v="Makeup Set"/>
    <n v="100.37"/>
    <x v="1"/>
    <s v="Card"/>
    <n v="3"/>
    <n v="4"/>
    <n v="2"/>
    <n v="96.355199999999996"/>
    <x v="0"/>
    <x v="0"/>
    <s v="Returning"/>
  </r>
  <r>
    <n v="4928"/>
    <n v="67"/>
    <s v="Male"/>
    <x v="5"/>
    <s v="Mobile Phone"/>
    <n v="1360.46"/>
    <x v="3"/>
    <s v="Card"/>
    <n v="5"/>
    <n v="24"/>
    <n v="7"/>
    <n v="1033.9496000000001"/>
    <x v="2"/>
    <x v="0"/>
    <s v="Returning"/>
  </r>
  <r>
    <n v="4929"/>
    <n v="36"/>
    <s v="Female"/>
    <x v="0"/>
    <s v="Sunglasses"/>
    <n v="141.63"/>
    <x v="0"/>
    <s v="Card"/>
    <n v="4.4000000000000004"/>
    <n v="17"/>
    <n v="6"/>
    <n v="117.55289999999999"/>
    <x v="1"/>
    <x v="0"/>
    <s v="Returning"/>
  </r>
  <r>
    <n v="4930"/>
    <n v="30"/>
    <s v="Male"/>
    <x v="7"/>
    <s v="Formal Shoes"/>
    <n v="131.47"/>
    <x v="3"/>
    <s v="Card"/>
    <n v="3.9"/>
    <n v="18"/>
    <n v="4"/>
    <n v="107.80540000000001"/>
    <x v="4"/>
    <x v="0"/>
    <s v="Returning"/>
  </r>
  <r>
    <n v="4931"/>
    <n v="36"/>
    <s v="Male"/>
    <x v="1"/>
    <s v="Jeans"/>
    <n v="106.54"/>
    <x v="2"/>
    <s v="Card"/>
    <n v="5"/>
    <n v="22"/>
    <n v="6"/>
    <n v="83.101200000000006"/>
    <x v="1"/>
    <x v="0"/>
    <s v="Returning"/>
  </r>
  <r>
    <n v="4932"/>
    <n v="21"/>
    <s v="Male"/>
    <x v="5"/>
    <s v="Mobile Phone"/>
    <n v="845.23"/>
    <x v="2"/>
    <s v="Card"/>
    <n v="3.7"/>
    <n v="16"/>
    <n v="8"/>
    <n v="709.9932"/>
    <x v="3"/>
    <x v="0"/>
    <s v="Returning"/>
  </r>
  <r>
    <n v="4933"/>
    <n v="49"/>
    <s v="Male"/>
    <x v="5"/>
    <s v="Mobile Phone"/>
    <n v="2662.07"/>
    <x v="2"/>
    <s v="Card"/>
    <n v="4.7"/>
    <n v="20"/>
    <n v="5"/>
    <n v="2129.6560000000004"/>
    <x v="0"/>
    <x v="0"/>
    <s v="Returning"/>
  </r>
  <r>
    <n v="4934"/>
    <n v="50"/>
    <s v="Male"/>
    <x v="2"/>
    <s v="Dumbbells"/>
    <n v="186.83"/>
    <x v="1"/>
    <s v="Card"/>
    <n v="3"/>
    <n v="11"/>
    <n v="3"/>
    <n v="166.27870000000001"/>
    <x v="0"/>
    <x v="0"/>
    <s v="Returning"/>
  </r>
  <r>
    <n v="4935"/>
    <n v="66"/>
    <s v="Female"/>
    <x v="0"/>
    <s v="Handbag"/>
    <n v="143.75"/>
    <x v="0"/>
    <s v="Card"/>
    <n v="3.7"/>
    <n v="20"/>
    <n v="5"/>
    <n v="115"/>
    <x v="2"/>
    <x v="0"/>
    <s v="Returning"/>
  </r>
  <r>
    <n v="4936"/>
    <n v="23"/>
    <s v="Male"/>
    <x v="5"/>
    <s v="Mobile Phone"/>
    <n v="2876.27"/>
    <x v="1"/>
    <s v="Card"/>
    <n v="3"/>
    <n v="16"/>
    <n v="3"/>
    <n v="2416.0668000000001"/>
    <x v="3"/>
    <x v="0"/>
    <s v="Returning"/>
  </r>
  <r>
    <n v="4937"/>
    <n v="31"/>
    <s v="Male"/>
    <x v="5"/>
    <s v="Laptop"/>
    <n v="2686.88"/>
    <x v="2"/>
    <s v="Card"/>
    <n v="3.3"/>
    <n v="9"/>
    <n v="2"/>
    <n v="2445.0608000000002"/>
    <x v="4"/>
    <x v="0"/>
    <s v="Returning"/>
  </r>
  <r>
    <n v="4938"/>
    <n v="54"/>
    <s v="Female"/>
    <x v="8"/>
    <s v="Jeans"/>
    <n v="35.299999999999997"/>
    <x v="0"/>
    <s v="Card"/>
    <n v="3.6"/>
    <n v="26"/>
    <n v="8"/>
    <n v="26.121999999999996"/>
    <x v="0"/>
    <x v="0"/>
    <s v="Returning"/>
  </r>
  <r>
    <n v="4939"/>
    <n v="64"/>
    <s v="Male"/>
    <x v="5"/>
    <s v="Headphones"/>
    <n v="2546.2600000000002"/>
    <x v="0"/>
    <s v="Card"/>
    <n v="4.9000000000000004"/>
    <n v="15"/>
    <n v="5"/>
    <n v="2164.3209999999999"/>
    <x v="2"/>
    <x v="0"/>
    <s v="Returning"/>
  </r>
  <r>
    <n v="4940"/>
    <n v="31"/>
    <s v="Male"/>
    <x v="7"/>
    <s v="Sandals"/>
    <n v="248.37"/>
    <x v="3"/>
    <s v="Card"/>
    <n v="4.4000000000000004"/>
    <n v="20"/>
    <n v="5"/>
    <n v="198.69600000000003"/>
    <x v="4"/>
    <x v="0"/>
    <s v="Returning"/>
  </r>
  <r>
    <n v="4941"/>
    <n v="31"/>
    <s v="Female"/>
    <x v="6"/>
    <s v="Perfume"/>
    <n v="45.08"/>
    <x v="2"/>
    <s v="Cash on Delivery"/>
    <n v="4.0999999999999996"/>
    <n v="22"/>
    <n v="6"/>
    <n v="35.162399999999998"/>
    <x v="4"/>
    <x v="0"/>
    <s v="Returning"/>
  </r>
  <r>
    <n v="4942"/>
    <n v="22"/>
    <s v="Male"/>
    <x v="2"/>
    <s v="Yoga Mat"/>
    <n v="193.77"/>
    <x v="0"/>
    <s v="Card"/>
    <n v="4.9000000000000004"/>
    <n v="14"/>
    <n v="7"/>
    <n v="166.6422"/>
    <x v="3"/>
    <x v="0"/>
    <s v="Returning"/>
  </r>
  <r>
    <n v="4943"/>
    <n v="40"/>
    <s v="Female"/>
    <x v="6"/>
    <s v="Perfume"/>
    <n v="98.85"/>
    <x v="0"/>
    <s v="Card"/>
    <n v="4.7"/>
    <n v="16"/>
    <n v="3"/>
    <n v="83.033999999999992"/>
    <x v="1"/>
    <x v="0"/>
    <s v="Returning"/>
  </r>
  <r>
    <n v="4944"/>
    <n v="28"/>
    <s v="Male"/>
    <x v="7"/>
    <s v="Sneakers"/>
    <n v="216.39"/>
    <x v="0"/>
    <s v="Card"/>
    <n v="1.5"/>
    <n v="7"/>
    <n v="1"/>
    <n v="201.24269999999999"/>
    <x v="4"/>
    <x v="0"/>
    <s v="Returning"/>
  </r>
  <r>
    <n v="4945"/>
    <n v="64"/>
    <s v="Female"/>
    <x v="7"/>
    <s v="Sandals"/>
    <n v="197.46"/>
    <x v="0"/>
    <s v="Card"/>
    <n v="4.4000000000000004"/>
    <n v="10"/>
    <n v="5"/>
    <n v="177.714"/>
    <x v="2"/>
    <x v="0"/>
    <s v="Returning"/>
  </r>
  <r>
    <n v="4946"/>
    <n v="48"/>
    <s v="Female"/>
    <x v="4"/>
    <s v="Rice Pack"/>
    <n v="75.400000000000006"/>
    <x v="1"/>
    <s v="Card"/>
    <n v="3.7"/>
    <n v="8"/>
    <n v="4"/>
    <n v="69.368000000000009"/>
    <x v="0"/>
    <x v="0"/>
    <s v="Returning"/>
  </r>
  <r>
    <n v="4947"/>
    <n v="24"/>
    <s v="Female"/>
    <x v="6"/>
    <s v="Skincare Kit"/>
    <n v="78.11"/>
    <x v="3"/>
    <s v="Cash on Delivery"/>
    <n v="3.6"/>
    <n v="12"/>
    <n v="6"/>
    <n v="68.736800000000002"/>
    <x v="3"/>
    <x v="0"/>
    <s v="Returning"/>
  </r>
  <r>
    <n v="4948"/>
    <n v="20"/>
    <s v="Female"/>
    <x v="6"/>
    <s v="Skincare Kit"/>
    <n v="32.659999999999997"/>
    <x v="1"/>
    <s v="Cash on Delivery"/>
    <n v="2.9"/>
    <n v="8"/>
    <n v="4"/>
    <n v="30.047199999999997"/>
    <x v="3"/>
    <x v="0"/>
    <s v="Returning"/>
  </r>
  <r>
    <n v="4949"/>
    <n v="21"/>
    <s v="Female"/>
    <x v="7"/>
    <s v="Formal Shoes"/>
    <n v="91.71"/>
    <x v="0"/>
    <s v="Cash on Delivery"/>
    <n v="3"/>
    <n v="8"/>
    <n v="4"/>
    <n v="84.373199999999997"/>
    <x v="3"/>
    <x v="0"/>
    <s v="Returning"/>
  </r>
  <r>
    <n v="4950"/>
    <n v="70"/>
    <s v="Female"/>
    <x v="6"/>
    <s v="Skincare Kit"/>
    <n v="70.739999999999995"/>
    <x v="0"/>
    <s v="Cash on Delivery"/>
    <n v="4.7"/>
    <n v="28"/>
    <n v="9"/>
    <n v="50.932799999999993"/>
    <x v="2"/>
    <x v="0"/>
    <s v="Returning"/>
  </r>
  <r>
    <n v="4951"/>
    <n v="39"/>
    <s v="Female"/>
    <x v="7"/>
    <s v="Sandals"/>
    <n v="92.58"/>
    <x v="3"/>
    <s v="Card"/>
    <n v="3.6"/>
    <n v="11"/>
    <n v="3"/>
    <n v="82.396199999999993"/>
    <x v="1"/>
    <x v="0"/>
    <s v="Returning"/>
  </r>
  <r>
    <n v="4952"/>
    <n v="53"/>
    <s v="Female"/>
    <x v="6"/>
    <s v="Makeup Set"/>
    <n v="92.62"/>
    <x v="3"/>
    <s v="Card"/>
    <n v="4.9000000000000004"/>
    <n v="11"/>
    <n v="3"/>
    <n v="82.43180000000001"/>
    <x v="0"/>
    <x v="0"/>
    <s v="Returning"/>
  </r>
  <r>
    <n v="4953"/>
    <n v="24"/>
    <s v="Male"/>
    <x v="7"/>
    <s v="Sneakers"/>
    <n v="201.33"/>
    <x v="2"/>
    <s v="Card"/>
    <n v="3.4"/>
    <n v="0"/>
    <n v="0"/>
    <n v="201.33"/>
    <x v="3"/>
    <x v="1"/>
    <s v="New"/>
  </r>
  <r>
    <n v="4954"/>
    <n v="22"/>
    <s v="Female"/>
    <x v="8"/>
    <s v="Skirt"/>
    <n v="107.7"/>
    <x v="0"/>
    <s v="Card"/>
    <n v="3.2"/>
    <n v="28"/>
    <n v="9"/>
    <n v="77.543999999999997"/>
    <x v="3"/>
    <x v="0"/>
    <s v="Returning"/>
  </r>
  <r>
    <n v="4955"/>
    <n v="29"/>
    <s v="Male"/>
    <x v="2"/>
    <s v="Football"/>
    <n v="48.66"/>
    <x v="1"/>
    <s v="Card"/>
    <n v="3.5"/>
    <n v="4"/>
    <n v="2"/>
    <n v="46.713599999999992"/>
    <x v="4"/>
    <x v="0"/>
    <s v="Returning"/>
  </r>
  <r>
    <n v="4956"/>
    <n v="37"/>
    <s v="Male"/>
    <x v="4"/>
    <s v="Rice Pack"/>
    <n v="43.47"/>
    <x v="0"/>
    <s v="Cash on Delivery"/>
    <n v="4.0999999999999996"/>
    <n v="16"/>
    <n v="3"/>
    <n v="36.514800000000001"/>
    <x v="1"/>
    <x v="0"/>
    <s v="Returning"/>
  </r>
  <r>
    <n v="4957"/>
    <n v="47"/>
    <s v="Male"/>
    <x v="1"/>
    <s v="Jeans"/>
    <n v="179.91"/>
    <x v="3"/>
    <s v="Card"/>
    <n v="4.4000000000000004"/>
    <n v="12"/>
    <n v="6"/>
    <n v="158.32079999999999"/>
    <x v="0"/>
    <x v="0"/>
    <s v="Returning"/>
  </r>
  <r>
    <n v="4958"/>
    <n v="69"/>
    <s v="Male"/>
    <x v="4"/>
    <s v="Beverages"/>
    <n v="60.23"/>
    <x v="0"/>
    <s v="Cash on Delivery"/>
    <n v="3.3"/>
    <n v="14"/>
    <n v="7"/>
    <n v="51.797799999999995"/>
    <x v="2"/>
    <x v="0"/>
    <s v="Returning"/>
  </r>
  <r>
    <n v="4959"/>
    <n v="36"/>
    <s v="Female"/>
    <x v="4"/>
    <s v="Beverages"/>
    <n v="33.119999999999997"/>
    <x v="1"/>
    <s v="Card"/>
    <n v="4.3"/>
    <n v="15"/>
    <n v="5"/>
    <n v="28.151999999999997"/>
    <x v="1"/>
    <x v="0"/>
    <s v="Returning"/>
  </r>
  <r>
    <n v="4960"/>
    <n v="42"/>
    <s v="Male"/>
    <x v="5"/>
    <s v="Mobile Phone"/>
    <n v="2340.63"/>
    <x v="0"/>
    <s v="Card"/>
    <n v="3.1"/>
    <n v="9"/>
    <n v="2"/>
    <n v="2129.9733000000001"/>
    <x v="1"/>
    <x v="0"/>
    <s v="Returning"/>
  </r>
  <r>
    <n v="4961"/>
    <n v="23"/>
    <s v="Female"/>
    <x v="2"/>
    <s v="Dumbbells"/>
    <n v="124.64"/>
    <x v="1"/>
    <s v="Card"/>
    <n v="4.9000000000000004"/>
    <n v="20"/>
    <n v="5"/>
    <n v="99.712000000000003"/>
    <x v="3"/>
    <x v="0"/>
    <s v="Returning"/>
  </r>
  <r>
    <n v="4962"/>
    <n v="52"/>
    <s v="Male"/>
    <x v="4"/>
    <s v="Snacks"/>
    <n v="69.010000000000005"/>
    <x v="3"/>
    <s v="Cash on Delivery"/>
    <n v="3.6"/>
    <n v="8"/>
    <n v="4"/>
    <n v="63.489200000000011"/>
    <x v="0"/>
    <x v="0"/>
    <s v="Returning"/>
  </r>
  <r>
    <n v="4963"/>
    <n v="59"/>
    <s v="Female"/>
    <x v="0"/>
    <s v="Sunglasses"/>
    <n v="67.83"/>
    <x v="2"/>
    <s v="Cash on Delivery"/>
    <n v="2.7"/>
    <n v="13"/>
    <n v="4"/>
    <n v="59.012099999999997"/>
    <x v="0"/>
    <x v="0"/>
    <s v="Returning"/>
  </r>
  <r>
    <n v="4964"/>
    <n v="21"/>
    <s v="Male"/>
    <x v="1"/>
    <s v="T-Shirt"/>
    <n v="80.010000000000005"/>
    <x v="1"/>
    <s v="Card"/>
    <n v="4.5"/>
    <n v="19"/>
    <n v="7"/>
    <n v="64.80810000000001"/>
    <x v="3"/>
    <x v="0"/>
    <s v="Returning"/>
  </r>
  <r>
    <n v="4965"/>
    <n v="50"/>
    <s v="Male"/>
    <x v="2"/>
    <s v="Yoga Mat"/>
    <n v="65.650000000000006"/>
    <x v="0"/>
    <s v="Cash on Delivery"/>
    <n v="4"/>
    <n v="16"/>
    <n v="8"/>
    <n v="55.146000000000001"/>
    <x v="0"/>
    <x v="0"/>
    <s v="Returning"/>
  </r>
  <r>
    <n v="4966"/>
    <n v="50"/>
    <s v="Male"/>
    <x v="7"/>
    <s v="Formal Shoes"/>
    <n v="64.930000000000007"/>
    <x v="1"/>
    <s v="Card"/>
    <n v="4.4000000000000004"/>
    <n v="9"/>
    <n v="2"/>
    <n v="59.086300000000008"/>
    <x v="0"/>
    <x v="0"/>
    <s v="Returning"/>
  </r>
  <r>
    <n v="4967"/>
    <n v="57"/>
    <s v="Male"/>
    <x v="1"/>
    <s v="Jeans"/>
    <n v="185.82"/>
    <x v="1"/>
    <s v="Card"/>
    <n v="3.6"/>
    <n v="17"/>
    <n v="6"/>
    <n v="154.23059999999998"/>
    <x v="0"/>
    <x v="0"/>
    <s v="Returning"/>
  </r>
  <r>
    <n v="4968"/>
    <n v="58"/>
    <s v="Female"/>
    <x v="0"/>
    <s v="Handbag"/>
    <n v="60.51"/>
    <x v="3"/>
    <s v="Card"/>
    <n v="3.9"/>
    <n v="8"/>
    <n v="4"/>
    <n v="55.669200000000004"/>
    <x v="0"/>
    <x v="0"/>
    <s v="Returning"/>
  </r>
  <r>
    <n v="4969"/>
    <n v="34"/>
    <s v="Male"/>
    <x v="3"/>
    <s v="Lamp"/>
    <n v="34.950000000000003"/>
    <x v="2"/>
    <s v="Cash on Delivery"/>
    <n v="3.6"/>
    <n v="8"/>
    <n v="4"/>
    <n v="32.154000000000003"/>
    <x v="4"/>
    <x v="0"/>
    <s v="Returning"/>
  </r>
  <r>
    <n v="4970"/>
    <n v="41"/>
    <s v="Male"/>
    <x v="5"/>
    <s v="Laptop"/>
    <n v="2442.98"/>
    <x v="1"/>
    <s v="Card"/>
    <n v="4.8"/>
    <n v="10"/>
    <n v="5"/>
    <n v="2198.6820000000002"/>
    <x v="1"/>
    <x v="0"/>
    <s v="Returning"/>
  </r>
  <r>
    <n v="4971"/>
    <n v="52"/>
    <s v="Female"/>
    <x v="0"/>
    <s v="Wallet"/>
    <n v="177.26"/>
    <x v="3"/>
    <s v="Card"/>
    <n v="3.3"/>
    <n v="16"/>
    <n v="3"/>
    <n v="148.89839999999998"/>
    <x v="0"/>
    <x v="0"/>
    <s v="Returning"/>
  </r>
  <r>
    <n v="4972"/>
    <n v="24"/>
    <s v="Male"/>
    <x v="1"/>
    <s v="Jacket"/>
    <n v="161.44"/>
    <x v="2"/>
    <s v="Card"/>
    <n v="3.7"/>
    <n v="16"/>
    <n v="3"/>
    <n v="135.6096"/>
    <x v="3"/>
    <x v="0"/>
    <s v="Returning"/>
  </r>
  <r>
    <n v="4973"/>
    <n v="42"/>
    <s v="Female"/>
    <x v="6"/>
    <s v="Perfume"/>
    <n v="106.4"/>
    <x v="0"/>
    <s v="Card"/>
    <n v="3.4"/>
    <n v="6"/>
    <n v="3"/>
    <n v="100.01600000000001"/>
    <x v="1"/>
    <x v="0"/>
    <s v="Returning"/>
  </r>
  <r>
    <n v="4974"/>
    <n v="53"/>
    <s v="Male"/>
    <x v="2"/>
    <s v="Football"/>
    <n v="130.37"/>
    <x v="1"/>
    <s v="Card"/>
    <n v="4.5"/>
    <n v="6"/>
    <n v="3"/>
    <n v="122.5478"/>
    <x v="0"/>
    <x v="0"/>
    <s v="Returning"/>
  </r>
  <r>
    <n v="4975"/>
    <n v="50"/>
    <s v="Female"/>
    <x v="7"/>
    <s v="Sneakers"/>
    <n v="243.99"/>
    <x v="1"/>
    <s v="Card"/>
    <n v="3.7"/>
    <n v="18"/>
    <n v="4"/>
    <n v="200.07180000000002"/>
    <x v="0"/>
    <x v="0"/>
    <s v="Returning"/>
  </r>
  <r>
    <n v="4976"/>
    <n v="47"/>
    <s v="Female"/>
    <x v="0"/>
    <s v="Handbag"/>
    <n v="162.51"/>
    <x v="3"/>
    <s v="Card"/>
    <n v="5"/>
    <n v="22"/>
    <n v="6"/>
    <n v="126.7578"/>
    <x v="0"/>
    <x v="0"/>
    <s v="Returning"/>
  </r>
  <r>
    <n v="4977"/>
    <n v="32"/>
    <s v="Male"/>
    <x v="2"/>
    <s v="Yoga Mat"/>
    <n v="49.17"/>
    <x v="0"/>
    <s v="Card"/>
    <n v="4.0999999999999996"/>
    <n v="10"/>
    <n v="5"/>
    <n v="44.253"/>
    <x v="4"/>
    <x v="0"/>
    <s v="Returning"/>
  </r>
  <r>
    <n v="4978"/>
    <n v="28"/>
    <s v="Female"/>
    <x v="7"/>
    <s v="Sneakers"/>
    <n v="46.58"/>
    <x v="3"/>
    <s v="Cash on Delivery"/>
    <n v="4.3"/>
    <n v="15"/>
    <n v="5"/>
    <n v="39.592999999999996"/>
    <x v="4"/>
    <x v="0"/>
    <s v="Returning"/>
  </r>
  <r>
    <n v="4979"/>
    <n v="48"/>
    <s v="Male"/>
    <x v="5"/>
    <s v="Mobile Phone"/>
    <n v="1886.39"/>
    <x v="1"/>
    <s v="Card"/>
    <n v="4.2"/>
    <n v="22"/>
    <n v="6"/>
    <n v="1471.3842000000002"/>
    <x v="0"/>
    <x v="0"/>
    <s v="Returning"/>
  </r>
  <r>
    <n v="4980"/>
    <n v="65"/>
    <s v="Female"/>
    <x v="8"/>
    <s v="Jeans"/>
    <n v="150.06"/>
    <x v="2"/>
    <s v="Card"/>
    <n v="3.4"/>
    <n v="12"/>
    <n v="6"/>
    <n v="132.05279999999999"/>
    <x v="2"/>
    <x v="0"/>
    <s v="Returning"/>
  </r>
  <r>
    <n v="4981"/>
    <n v="58"/>
    <s v="Female"/>
    <x v="6"/>
    <s v="Makeup Set"/>
    <n v="21.63"/>
    <x v="0"/>
    <s v="Card"/>
    <n v="3.8"/>
    <n v="18"/>
    <n v="4"/>
    <n v="17.736599999999999"/>
    <x v="0"/>
    <x v="0"/>
    <s v="Returning"/>
  </r>
  <r>
    <n v="4982"/>
    <n v="31"/>
    <s v="Female"/>
    <x v="7"/>
    <s v="Sneakers"/>
    <n v="180.25"/>
    <x v="3"/>
    <s v="Card"/>
    <n v="5"/>
    <n v="29"/>
    <n v="12"/>
    <n v="127.97749999999999"/>
    <x v="4"/>
    <x v="0"/>
    <s v="Returning"/>
  </r>
  <r>
    <n v="4983"/>
    <n v="31"/>
    <s v="Male"/>
    <x v="5"/>
    <s v="Smart Watch"/>
    <n v="2163.69"/>
    <x v="3"/>
    <s v="Card"/>
    <n v="4.0999999999999996"/>
    <n v="10"/>
    <n v="5"/>
    <n v="1947.3210000000001"/>
    <x v="4"/>
    <x v="0"/>
    <s v="Returning"/>
  </r>
  <r>
    <n v="4984"/>
    <n v="47"/>
    <s v="Female"/>
    <x v="7"/>
    <s v="Formal Shoes"/>
    <n v="231.35"/>
    <x v="1"/>
    <s v="Card"/>
    <n v="2.7"/>
    <n v="16"/>
    <n v="3"/>
    <n v="194.33399999999997"/>
    <x v="0"/>
    <x v="0"/>
    <s v="Returning"/>
  </r>
  <r>
    <n v="4985"/>
    <n v="50"/>
    <s v="Male"/>
    <x v="2"/>
    <s v="Yoga Mat"/>
    <n v="133.91"/>
    <x v="0"/>
    <s v="Card"/>
    <n v="5"/>
    <n v="12"/>
    <n v="6"/>
    <n v="117.8408"/>
    <x v="0"/>
    <x v="0"/>
    <s v="Returning"/>
  </r>
  <r>
    <n v="4986"/>
    <n v="22"/>
    <s v="Female"/>
    <x v="7"/>
    <s v="Sneakers"/>
    <n v="158.22999999999999"/>
    <x v="3"/>
    <s v="Card"/>
    <n v="3.7"/>
    <n v="9"/>
    <n v="2"/>
    <n v="143.98929999999999"/>
    <x v="3"/>
    <x v="0"/>
    <s v="Returning"/>
  </r>
  <r>
    <n v="4987"/>
    <n v="29"/>
    <s v="Male"/>
    <x v="1"/>
    <s v="Jacket"/>
    <n v="62.95"/>
    <x v="2"/>
    <s v="Cash on Delivery"/>
    <n v="5"/>
    <n v="22"/>
    <n v="6"/>
    <n v="49.101000000000006"/>
    <x v="4"/>
    <x v="0"/>
    <s v="Returning"/>
  </r>
  <r>
    <n v="4988"/>
    <n v="45"/>
    <s v="Male"/>
    <x v="7"/>
    <s v="Formal Shoes"/>
    <n v="214.69"/>
    <x v="3"/>
    <s v="Card"/>
    <n v="4.5"/>
    <n v="20"/>
    <n v="5"/>
    <n v="171.75200000000001"/>
    <x v="1"/>
    <x v="0"/>
    <s v="Returning"/>
  </r>
  <r>
    <n v="4989"/>
    <n v="69"/>
    <s v="Male"/>
    <x v="7"/>
    <s v="Formal Shoes"/>
    <n v="172.99"/>
    <x v="1"/>
    <s v="Card"/>
    <n v="3.9"/>
    <n v="2"/>
    <n v="1"/>
    <n v="169.53020000000001"/>
    <x v="2"/>
    <x v="0"/>
    <s v="Returning"/>
  </r>
  <r>
    <n v="4990"/>
    <n v="39"/>
    <s v="Female"/>
    <x v="0"/>
    <s v="Sunglasses"/>
    <n v="147.24"/>
    <x v="2"/>
    <s v="Card"/>
    <n v="3.7"/>
    <n v="4"/>
    <n v="2"/>
    <n v="141.35040000000001"/>
    <x v="1"/>
    <x v="0"/>
    <s v="Returning"/>
  </r>
  <r>
    <n v="4991"/>
    <n v="28"/>
    <s v="Female"/>
    <x v="4"/>
    <s v="Snacks"/>
    <n v="55.74"/>
    <x v="2"/>
    <s v="Card"/>
    <n v="2.6"/>
    <n v="24"/>
    <n v="7"/>
    <n v="42.362400000000001"/>
    <x v="4"/>
    <x v="0"/>
    <s v="Returning"/>
  </r>
  <r>
    <n v="4992"/>
    <n v="41"/>
    <s v="Male"/>
    <x v="2"/>
    <s v="Football"/>
    <n v="167.22"/>
    <x v="3"/>
    <s v="Card"/>
    <n v="3"/>
    <n v="11"/>
    <n v="3"/>
    <n v="148.82580000000002"/>
    <x v="1"/>
    <x v="0"/>
    <s v="Returning"/>
  </r>
  <r>
    <n v="4993"/>
    <n v="48"/>
    <s v="Male"/>
    <x v="2"/>
    <s v="Football"/>
    <n v="152.94"/>
    <x v="2"/>
    <s v="Card"/>
    <n v="4.7"/>
    <n v="12"/>
    <n v="6"/>
    <n v="134.5872"/>
    <x v="0"/>
    <x v="0"/>
    <s v="Returning"/>
  </r>
  <r>
    <n v="4994"/>
    <n v="69"/>
    <s v="Female"/>
    <x v="8"/>
    <s v="Jeans"/>
    <n v="63.26"/>
    <x v="0"/>
    <s v="Cash on Delivery"/>
    <n v="3.2"/>
    <n v="28"/>
    <n v="9"/>
    <n v="45.547199999999997"/>
    <x v="2"/>
    <x v="0"/>
    <s v="Returning"/>
  </r>
  <r>
    <n v="4995"/>
    <n v="20"/>
    <s v="Male"/>
    <x v="2"/>
    <s v="Dumbbells"/>
    <n v="124.24"/>
    <x v="1"/>
    <s v="Card"/>
    <n v="4.4000000000000004"/>
    <n v="14"/>
    <n v="2"/>
    <n v="106.84639999999999"/>
    <x v="3"/>
    <x v="0"/>
    <s v="Returning"/>
  </r>
  <r>
    <n v="4996"/>
    <n v="44"/>
    <s v="Female"/>
    <x v="0"/>
    <s v="Sunglasses"/>
    <n v="172.64"/>
    <x v="2"/>
    <s v="Card"/>
    <n v="3.6"/>
    <n v="20"/>
    <n v="5"/>
    <n v="138.11199999999999"/>
    <x v="1"/>
    <x v="0"/>
    <s v="Returning"/>
  </r>
  <r>
    <n v="4997"/>
    <n v="59"/>
    <s v="Male"/>
    <x v="4"/>
    <s v="Beverages"/>
    <n v="54"/>
    <x v="1"/>
    <s v="Cash on Delivery"/>
    <n v="3.8"/>
    <n v="14"/>
    <n v="2"/>
    <n v="46.44"/>
    <x v="0"/>
    <x v="0"/>
    <s v="Returning"/>
  </r>
  <r>
    <n v="4998"/>
    <n v="41"/>
    <s v="Female"/>
    <x v="0"/>
    <s v="Handbag"/>
    <n v="159.33000000000001"/>
    <x v="0"/>
    <s v="Card"/>
    <n v="4.3"/>
    <n v="26"/>
    <n v="8"/>
    <n v="117.9042"/>
    <x v="1"/>
    <x v="0"/>
    <s v="Returning"/>
  </r>
  <r>
    <n v="4999"/>
    <n v="63"/>
    <s v="Female"/>
    <x v="8"/>
    <s v="Skirt"/>
    <n v="173.82"/>
    <x v="0"/>
    <s v="Card"/>
    <n v="4.8"/>
    <n v="26"/>
    <n v="8"/>
    <n v="128.6268"/>
    <x v="2"/>
    <x v="0"/>
    <s v="Returning"/>
  </r>
  <r>
    <n v="5000"/>
    <n v="41"/>
    <s v="Female"/>
    <x v="7"/>
    <s v="Sandals"/>
    <n v="55.39"/>
    <x v="0"/>
    <s v="Cash on Delivery"/>
    <n v="4.0999999999999996"/>
    <n v="19"/>
    <n v="7"/>
    <n v="44.865900000000003"/>
    <x v="1"/>
    <x v="0"/>
    <s v="Retu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31A06-3141-4475-A89A-7CC95C76E88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showAll="0"/>
    <pivotField showAll="0"/>
    <pivotField showAll="0"/>
    <pivotField showAll="0"/>
    <pivotField showAll="0"/>
    <pivotField numFmtId="164"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1" showAll="0"/>
    <pivotField numFmtId="1" showAll="0"/>
    <pivotField dataField="1" numFmtId="164" showAll="0"/>
    <pivotField showAll="0">
      <items count="6">
        <item x="3"/>
        <item x="4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6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NetAmoun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B7E4C-2925-41EF-809C-1F57330C4B00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6" firstHeaderRow="1" firstDataRow="1" firstDataCol="1"/>
  <pivotFields count="15">
    <pivotField showAll="0"/>
    <pivotField showAll="0"/>
    <pivotField showAll="0"/>
    <pivotField showAll="0"/>
    <pivotField showAll="0"/>
    <pivotField numFmtId="164"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1" showAll="0"/>
    <pivotField numFmtId="1" showAll="0"/>
    <pivotField dataField="1" numFmtId="164" showAll="0"/>
    <pivotField showAll="0">
      <items count="6">
        <item x="3"/>
        <item x="4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6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NetAmoun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0687D-3937-46F5-BBEC-EE7669BA0833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28" firstHeaderRow="0" firstDataRow="1" firstDataCol="1"/>
  <pivotFields count="15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numFmtId="2" showAll="0"/>
    <pivotField numFmtId="1" showAll="0"/>
    <pivotField numFmtId="1" showAll="0"/>
    <pivotField dataField="1" numFmtId="164" showAll="0"/>
    <pivotField showAll="0">
      <items count="6">
        <item x="3"/>
        <item x="4"/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etAmount" fld="11" subtotal="average" baseField="13" baseItem="0" numFmtId="164"/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FE2A8-B018-49C4-AD0B-85FDCDD6A08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2" firstHeaderRow="1" firstDataRow="1" firstDataCol="1"/>
  <pivotFields count="15"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2" showAll="0"/>
    <pivotField numFmtId="1" showAll="0"/>
    <pivotField numFmtId="1" showAll="0"/>
    <pivotField dataField="1" numFmtId="164"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NetAmount" fld="11" subtotal="average" baseField="1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20A21-E0B4-463E-892B-7817A2B524AF}" name="Revenue by Category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15">
    <pivotField showAll="0"/>
    <pivotField showAll="0"/>
    <pivotField showAll="0"/>
    <pivotField axis="axisRow" showAll="0" sortType="descending">
      <items count="10">
        <item x="0"/>
        <item x="6"/>
        <item x="5"/>
        <item x="7"/>
        <item x="4"/>
        <item x="3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2" showAll="0"/>
    <pivotField numFmtId="1" showAll="0"/>
    <pivotField numFmtId="1" showAll="0"/>
    <pivotField dataField="1" numFmtId="164" showAll="0"/>
    <pivotField showAll="0"/>
    <pivotField showAll="0"/>
    <pivotField showAll="0"/>
  </pivotFields>
  <rowFields count="1">
    <field x="3"/>
  </rowFields>
  <rowItems count="10">
    <i>
      <x v="2"/>
    </i>
    <i>
      <x v="3"/>
    </i>
    <i>
      <x v="7"/>
    </i>
    <i>
      <x v="8"/>
    </i>
    <i>
      <x v="6"/>
    </i>
    <i>
      <x/>
    </i>
    <i>
      <x v="5"/>
    </i>
    <i>
      <x v="1"/>
    </i>
    <i>
      <x v="4"/>
    </i>
    <i t="grand">
      <x/>
    </i>
  </rowItems>
  <colItems count="1">
    <i/>
  </colItems>
  <dataFields count="1">
    <dataField name="Sum of NetAmount" fld="11" baseField="0" baseItem="0" numFmtId="164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A7B3-9B3E-47D5-8ABF-B75B5B3EC48B}">
  <dimension ref="A3:B8"/>
  <sheetViews>
    <sheetView workbookViewId="0">
      <selection activeCell="A3" sqref="A3:B8"/>
    </sheetView>
  </sheetViews>
  <sheetFormatPr defaultRowHeight="15" x14ac:dyDescent="0.25"/>
  <cols>
    <col min="1" max="1" width="13.42578125" bestFit="1" customWidth="1"/>
    <col min="2" max="2" width="18.28515625" bestFit="1" customWidth="1"/>
    <col min="3" max="3" width="19" bestFit="1" customWidth="1"/>
  </cols>
  <sheetData>
    <row r="3" spans="1:2" x14ac:dyDescent="0.25">
      <c r="A3" s="6" t="s">
        <v>62</v>
      </c>
      <c r="B3" t="s">
        <v>64</v>
      </c>
    </row>
    <row r="4" spans="1:2" x14ac:dyDescent="0.25">
      <c r="A4" s="7" t="s">
        <v>19</v>
      </c>
      <c r="B4" s="1">
        <v>317694.92940000014</v>
      </c>
    </row>
    <row r="5" spans="1:2" x14ac:dyDescent="0.25">
      <c r="A5" s="7" t="s">
        <v>24</v>
      </c>
      <c r="B5" s="1">
        <v>303428.63260000024</v>
      </c>
    </row>
    <row r="6" spans="1:2" x14ac:dyDescent="0.25">
      <c r="A6" s="7" t="s">
        <v>31</v>
      </c>
      <c r="B6" s="1">
        <v>297913.85700000031</v>
      </c>
    </row>
    <row r="7" spans="1:2" x14ac:dyDescent="0.25">
      <c r="A7" s="7" t="s">
        <v>14</v>
      </c>
      <c r="B7" s="1">
        <v>292122.73080000019</v>
      </c>
    </row>
    <row r="8" spans="1:2" x14ac:dyDescent="0.25">
      <c r="A8" s="7" t="s">
        <v>63</v>
      </c>
      <c r="B8" s="1">
        <v>1211160.1498000007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0AAD-CF70-470A-89D0-EDECA3C7532C}">
  <dimension ref="A1:O5001"/>
  <sheetViews>
    <sheetView workbookViewId="0">
      <selection activeCell="G11" sqref="A1:O5001"/>
    </sheetView>
  </sheetViews>
  <sheetFormatPr defaultColWidth="17.42578125" defaultRowHeight="15" x14ac:dyDescent="0.25"/>
  <cols>
    <col min="6" max="6" width="17.42578125" style="1"/>
    <col min="9" max="9" width="17.42578125" style="2"/>
    <col min="10" max="10" width="17.42578125" style="4"/>
    <col min="11" max="11" width="17.42578125" style="3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2" t="s">
        <v>8</v>
      </c>
      <c r="J1" s="4" t="s">
        <v>9</v>
      </c>
      <c r="K1" s="3" t="s">
        <v>10</v>
      </c>
      <c r="L1" t="s">
        <v>58</v>
      </c>
      <c r="M1" t="s">
        <v>59</v>
      </c>
      <c r="N1" t="s">
        <v>60</v>
      </c>
      <c r="O1" t="s">
        <v>61</v>
      </c>
    </row>
    <row r="2" spans="1:15" x14ac:dyDescent="0.25">
      <c r="A2">
        <v>1</v>
      </c>
      <c r="B2">
        <v>58</v>
      </c>
      <c r="C2" t="s">
        <v>11</v>
      </c>
      <c r="D2" t="s">
        <v>12</v>
      </c>
      <c r="E2" t="s">
        <v>13</v>
      </c>
      <c r="F2" s="1">
        <v>115.5</v>
      </c>
      <c r="G2" t="s">
        <v>14</v>
      </c>
      <c r="H2" t="s">
        <v>15</v>
      </c>
      <c r="I2" s="2">
        <v>3.5</v>
      </c>
      <c r="J2" s="4">
        <v>18</v>
      </c>
      <c r="K2" s="3">
        <v>4</v>
      </c>
      <c r="L2" s="1">
        <f>F2 * (1 - J2 / 100)</f>
        <v>94.710000000000008</v>
      </c>
      <c r="M2" t="str" cm="1">
        <f t="array" ref="M2">_xlfn.IFS(B2&lt;18,"Under 18",B2 &lt;=25,"18-25",B2&lt;=35,"26-35",B2&lt;=45,"36-45",B2&lt;=60,"46-60",TRUE,"60+")</f>
        <v>46-60</v>
      </c>
      <c r="N2" t="str">
        <f>IF(J2&gt;0,"Discounted","No Discount")</f>
        <v>Discounted</v>
      </c>
      <c r="O2" t="str">
        <f>IF(K2&gt;0,"Returning","New")</f>
        <v>Returning</v>
      </c>
    </row>
    <row r="3" spans="1:15" x14ac:dyDescent="0.25">
      <c r="A3">
        <v>2</v>
      </c>
      <c r="B3">
        <v>40</v>
      </c>
      <c r="C3" t="s">
        <v>16</v>
      </c>
      <c r="D3" t="s">
        <v>17</v>
      </c>
      <c r="E3" t="s">
        <v>18</v>
      </c>
      <c r="F3" s="1">
        <v>103.43</v>
      </c>
      <c r="G3" t="s">
        <v>19</v>
      </c>
      <c r="H3" t="s">
        <v>15</v>
      </c>
      <c r="I3" s="2">
        <v>4.0999999999999996</v>
      </c>
      <c r="J3" s="4">
        <v>13</v>
      </c>
      <c r="K3" s="3">
        <v>4</v>
      </c>
      <c r="L3" s="1">
        <f t="shared" ref="L3:L66" si="0">F3 * (1 - J3 / 100)</f>
        <v>89.984100000000012</v>
      </c>
      <c r="M3" t="str" cm="1">
        <f t="array" ref="M3">_xlfn.IFS(B3&lt;18,"Under 18",B3 &lt;=25,"18-25",B3&lt;=35,"26-35",B3&lt;=45,"36-45",B3&lt;=60,"46-60",TRUE,"60+")</f>
        <v>36-45</v>
      </c>
      <c r="N3" t="str">
        <f t="shared" ref="N3:N66" si="1">IF(J3&gt;0,"Discounted","No Discount")</f>
        <v>Discounted</v>
      </c>
      <c r="O3" t="str">
        <f t="shared" ref="O3:O66" si="2">IF(K3&gt;0,"Returning","New")</f>
        <v>Returning</v>
      </c>
    </row>
    <row r="4" spans="1:15" x14ac:dyDescent="0.25">
      <c r="A4">
        <v>3</v>
      </c>
      <c r="B4">
        <v>66</v>
      </c>
      <c r="C4" t="s">
        <v>11</v>
      </c>
      <c r="D4" t="s">
        <v>20</v>
      </c>
      <c r="E4" t="s">
        <v>21</v>
      </c>
      <c r="F4" s="1">
        <v>35.450000000000003</v>
      </c>
      <c r="G4" t="s">
        <v>19</v>
      </c>
      <c r="H4" t="s">
        <v>15</v>
      </c>
      <c r="I4" s="2">
        <v>3.3</v>
      </c>
      <c r="J4" s="4">
        <v>11</v>
      </c>
      <c r="K4" s="3">
        <v>3</v>
      </c>
      <c r="L4" s="1">
        <f t="shared" si="0"/>
        <v>31.550500000000003</v>
      </c>
      <c r="M4" t="str" cm="1">
        <f t="array" ref="M4">_xlfn.IFS(B4&lt;18,"Under 18",B4 &lt;=25,"18-25",B4&lt;=35,"26-35",B4&lt;=45,"36-45",B4&lt;=60,"46-60",TRUE,"60+")</f>
        <v>60+</v>
      </c>
      <c r="N4" t="str">
        <f t="shared" si="1"/>
        <v>Discounted</v>
      </c>
      <c r="O4" t="str">
        <f t="shared" si="2"/>
        <v>Returning</v>
      </c>
    </row>
    <row r="5" spans="1:15" x14ac:dyDescent="0.25">
      <c r="A5">
        <v>4</v>
      </c>
      <c r="B5">
        <v>39</v>
      </c>
      <c r="C5" t="s">
        <v>11</v>
      </c>
      <c r="D5" t="s">
        <v>12</v>
      </c>
      <c r="E5" t="s">
        <v>13</v>
      </c>
      <c r="F5" s="1">
        <v>153.31</v>
      </c>
      <c r="G5" t="s">
        <v>19</v>
      </c>
      <c r="H5" t="s">
        <v>15</v>
      </c>
      <c r="I5" s="2">
        <v>4.4000000000000004</v>
      </c>
      <c r="J5" s="4">
        <v>13</v>
      </c>
      <c r="K5" s="3">
        <v>4</v>
      </c>
      <c r="L5" s="1">
        <f t="shared" si="0"/>
        <v>133.37970000000001</v>
      </c>
      <c r="M5" t="str" cm="1">
        <f t="array" ref="M5">_xlfn.IFS(B5&lt;18,"Under 18",B5 &lt;=25,"18-25",B5&lt;=35,"26-35",B5&lt;=45,"36-45",B5&lt;=60,"46-60",TRUE,"60+")</f>
        <v>36-45</v>
      </c>
      <c r="N5" t="str">
        <f t="shared" si="1"/>
        <v>Discounted</v>
      </c>
      <c r="O5" t="str">
        <f t="shared" si="2"/>
        <v>Returning</v>
      </c>
    </row>
    <row r="6" spans="1:15" x14ac:dyDescent="0.25">
      <c r="A6">
        <v>5</v>
      </c>
      <c r="B6">
        <v>23</v>
      </c>
      <c r="C6" t="s">
        <v>11</v>
      </c>
      <c r="D6" t="s">
        <v>22</v>
      </c>
      <c r="E6" t="s">
        <v>23</v>
      </c>
      <c r="F6" s="1">
        <v>151.43</v>
      </c>
      <c r="G6" t="s">
        <v>24</v>
      </c>
      <c r="H6" t="s">
        <v>15</v>
      </c>
      <c r="I6" s="2">
        <v>4.0999999999999996</v>
      </c>
      <c r="J6" s="4">
        <v>20</v>
      </c>
      <c r="K6" s="3">
        <v>10</v>
      </c>
      <c r="L6" s="1">
        <f t="shared" si="0"/>
        <v>121.14400000000001</v>
      </c>
      <c r="M6" t="str" cm="1">
        <f t="array" ref="M6">_xlfn.IFS(B6&lt;18,"Under 18",B6 &lt;=25,"18-25",B6&lt;=35,"26-35",B6&lt;=45,"36-45",B6&lt;=60,"46-60",TRUE,"60+")</f>
        <v>18-25</v>
      </c>
      <c r="N6" t="str">
        <f t="shared" si="1"/>
        <v>Discounted</v>
      </c>
      <c r="O6" t="str">
        <f t="shared" si="2"/>
        <v>Returning</v>
      </c>
    </row>
    <row r="7" spans="1:15" x14ac:dyDescent="0.25">
      <c r="A7">
        <v>6</v>
      </c>
      <c r="B7">
        <v>48</v>
      </c>
      <c r="C7" t="s">
        <v>16</v>
      </c>
      <c r="D7" t="s">
        <v>25</v>
      </c>
      <c r="E7" t="s">
        <v>26</v>
      </c>
      <c r="F7" s="1">
        <v>36.76</v>
      </c>
      <c r="G7" t="s">
        <v>14</v>
      </c>
      <c r="H7" t="s">
        <v>15</v>
      </c>
      <c r="I7" s="2">
        <v>2.5</v>
      </c>
      <c r="J7" s="4">
        <v>14</v>
      </c>
      <c r="K7" s="3">
        <v>2</v>
      </c>
      <c r="L7" s="1">
        <f t="shared" si="0"/>
        <v>31.613599999999998</v>
      </c>
      <c r="M7" t="str" cm="1">
        <f t="array" ref="M7">_xlfn.IFS(B7&lt;18,"Under 18",B7 &lt;=25,"18-25",B7&lt;=35,"26-35",B7&lt;=45,"36-45",B7&lt;=60,"46-60",TRUE,"60+")</f>
        <v>46-60</v>
      </c>
      <c r="N7" t="str">
        <f t="shared" si="1"/>
        <v>Discounted</v>
      </c>
      <c r="O7" t="str">
        <f t="shared" si="2"/>
        <v>Returning</v>
      </c>
    </row>
    <row r="8" spans="1:15" x14ac:dyDescent="0.25">
      <c r="A8">
        <v>7</v>
      </c>
      <c r="B8">
        <v>54</v>
      </c>
      <c r="C8" t="s">
        <v>16</v>
      </c>
      <c r="D8" t="s">
        <v>27</v>
      </c>
      <c r="E8" t="s">
        <v>28</v>
      </c>
      <c r="F8" s="1">
        <v>1396.16</v>
      </c>
      <c r="G8" t="s">
        <v>14</v>
      </c>
      <c r="H8" t="s">
        <v>15</v>
      </c>
      <c r="I8" s="2">
        <v>4.7</v>
      </c>
      <c r="J8" s="4">
        <v>18</v>
      </c>
      <c r="K8" s="3">
        <v>4</v>
      </c>
      <c r="L8" s="1">
        <f t="shared" si="0"/>
        <v>1144.8512000000001</v>
      </c>
      <c r="M8" t="str" cm="1">
        <f t="array" ref="M8">_xlfn.IFS(B8&lt;18,"Under 18",B8 &lt;=25,"18-25",B8&lt;=35,"26-35",B8&lt;=45,"36-45",B8&lt;=60,"46-60",TRUE,"60+")</f>
        <v>46-60</v>
      </c>
      <c r="N8" t="str">
        <f t="shared" si="1"/>
        <v>Discounted</v>
      </c>
      <c r="O8" t="str">
        <f t="shared" si="2"/>
        <v>Returning</v>
      </c>
    </row>
    <row r="9" spans="1:15" x14ac:dyDescent="0.25">
      <c r="A9">
        <v>8</v>
      </c>
      <c r="B9">
        <v>59</v>
      </c>
      <c r="C9" t="s">
        <v>11</v>
      </c>
      <c r="D9" t="s">
        <v>29</v>
      </c>
      <c r="E9" t="s">
        <v>30</v>
      </c>
      <c r="F9" s="1">
        <v>35.549999999999997</v>
      </c>
      <c r="G9" t="s">
        <v>31</v>
      </c>
      <c r="H9" t="s">
        <v>15</v>
      </c>
      <c r="I9" s="2">
        <v>4.5999999999999996</v>
      </c>
      <c r="J9" s="4">
        <v>14</v>
      </c>
      <c r="K9" s="3">
        <v>7</v>
      </c>
      <c r="L9" s="1">
        <f t="shared" si="0"/>
        <v>30.572999999999997</v>
      </c>
      <c r="M9" t="str" cm="1">
        <f t="array" ref="M9">_xlfn.IFS(B9&lt;18,"Under 18",B9 &lt;=25,"18-25",B9&lt;=35,"26-35",B9&lt;=45,"36-45",B9&lt;=60,"46-60",TRUE,"60+")</f>
        <v>46-60</v>
      </c>
      <c r="N9" t="str">
        <f t="shared" si="1"/>
        <v>Discounted</v>
      </c>
      <c r="O9" t="str">
        <f t="shared" si="2"/>
        <v>Returning</v>
      </c>
    </row>
    <row r="10" spans="1:15" x14ac:dyDescent="0.25">
      <c r="A10">
        <v>9</v>
      </c>
      <c r="B10">
        <v>51</v>
      </c>
      <c r="C10" t="s">
        <v>16</v>
      </c>
      <c r="D10" t="s">
        <v>27</v>
      </c>
      <c r="E10" t="s">
        <v>32</v>
      </c>
      <c r="F10" s="1">
        <v>2238.79</v>
      </c>
      <c r="G10" t="s">
        <v>19</v>
      </c>
      <c r="H10" t="s">
        <v>15</v>
      </c>
      <c r="I10" s="2">
        <v>4.3</v>
      </c>
      <c r="J10" s="4">
        <v>20</v>
      </c>
      <c r="K10" s="3">
        <v>5</v>
      </c>
      <c r="L10" s="1">
        <f t="shared" si="0"/>
        <v>1791.0320000000002</v>
      </c>
      <c r="M10" t="str" cm="1">
        <f t="array" ref="M10">_xlfn.IFS(B10&lt;18,"Under 18",B10 &lt;=25,"18-25",B10&lt;=35,"26-35",B10&lt;=45,"36-45",B10&lt;=60,"46-60",TRUE,"60+")</f>
        <v>46-60</v>
      </c>
      <c r="N10" t="str">
        <f t="shared" si="1"/>
        <v>Discounted</v>
      </c>
      <c r="O10" t="str">
        <f t="shared" si="2"/>
        <v>Returning</v>
      </c>
    </row>
    <row r="11" spans="1:15" x14ac:dyDescent="0.25">
      <c r="A11">
        <v>10</v>
      </c>
      <c r="B11">
        <v>47</v>
      </c>
      <c r="C11" t="s">
        <v>11</v>
      </c>
      <c r="D11" t="s">
        <v>33</v>
      </c>
      <c r="E11" t="s">
        <v>34</v>
      </c>
      <c r="F11" s="1">
        <v>225.49</v>
      </c>
      <c r="G11" t="s">
        <v>19</v>
      </c>
      <c r="H11" t="s">
        <v>15</v>
      </c>
      <c r="I11" s="2">
        <v>4.7</v>
      </c>
      <c r="J11" s="4">
        <v>18</v>
      </c>
      <c r="K11" s="3">
        <v>4</v>
      </c>
      <c r="L11" s="1">
        <f t="shared" si="0"/>
        <v>184.90180000000001</v>
      </c>
      <c r="M11" t="str" cm="1">
        <f t="array" ref="M11">_xlfn.IFS(B11&lt;18,"Under 18",B11 &lt;=25,"18-25",B11&lt;=35,"26-35",B11&lt;=45,"36-45",B11&lt;=60,"46-60",TRUE,"60+")</f>
        <v>46-60</v>
      </c>
      <c r="N11" t="str">
        <f t="shared" si="1"/>
        <v>Discounted</v>
      </c>
      <c r="O11" t="str">
        <f t="shared" si="2"/>
        <v>Returning</v>
      </c>
    </row>
    <row r="12" spans="1:15" x14ac:dyDescent="0.25">
      <c r="A12">
        <v>11</v>
      </c>
      <c r="B12">
        <v>32</v>
      </c>
      <c r="C12" t="s">
        <v>16</v>
      </c>
      <c r="D12" t="s">
        <v>17</v>
      </c>
      <c r="E12" t="s">
        <v>35</v>
      </c>
      <c r="F12" s="1">
        <v>120.8</v>
      </c>
      <c r="G12" t="s">
        <v>19</v>
      </c>
      <c r="H12" t="s">
        <v>15</v>
      </c>
      <c r="I12" s="2">
        <v>3.2</v>
      </c>
      <c r="J12" s="4">
        <v>8</v>
      </c>
      <c r="K12" s="3">
        <v>4</v>
      </c>
      <c r="L12" s="1">
        <f t="shared" si="0"/>
        <v>111.136</v>
      </c>
      <c r="M12" t="str" cm="1">
        <f t="array" ref="M12">_xlfn.IFS(B12&lt;18,"Under 18",B12 &lt;=25,"18-25",B12&lt;=35,"26-35",B12&lt;=45,"36-45",B12&lt;=60,"46-60",TRUE,"60+")</f>
        <v>26-35</v>
      </c>
      <c r="N12" t="str">
        <f t="shared" si="1"/>
        <v>Discounted</v>
      </c>
      <c r="O12" t="str">
        <f t="shared" si="2"/>
        <v>Returning</v>
      </c>
    </row>
    <row r="13" spans="1:15" x14ac:dyDescent="0.25">
      <c r="A13">
        <v>12</v>
      </c>
      <c r="B13">
        <v>31</v>
      </c>
      <c r="C13" t="s">
        <v>11</v>
      </c>
      <c r="D13" t="s">
        <v>12</v>
      </c>
      <c r="E13" t="s">
        <v>13</v>
      </c>
      <c r="F13" s="1">
        <v>43.69</v>
      </c>
      <c r="G13" t="s">
        <v>31</v>
      </c>
      <c r="H13" t="s">
        <v>15</v>
      </c>
      <c r="I13" s="2">
        <v>3.6</v>
      </c>
      <c r="J13" s="4">
        <v>8</v>
      </c>
      <c r="K13" s="3">
        <v>4</v>
      </c>
      <c r="L13" s="1">
        <f t="shared" si="0"/>
        <v>40.194800000000001</v>
      </c>
      <c r="M13" t="str" cm="1">
        <f t="array" ref="M13">_xlfn.IFS(B13&lt;18,"Under 18",B13 &lt;=25,"18-25",B13&lt;=35,"26-35",B13&lt;=45,"36-45",B13&lt;=60,"46-60",TRUE,"60+")</f>
        <v>26-35</v>
      </c>
      <c r="N13" t="str">
        <f t="shared" si="1"/>
        <v>Discounted</v>
      </c>
      <c r="O13" t="str">
        <f t="shared" si="2"/>
        <v>Returning</v>
      </c>
    </row>
    <row r="14" spans="1:15" x14ac:dyDescent="0.25">
      <c r="A14">
        <v>13</v>
      </c>
      <c r="B14">
        <v>21</v>
      </c>
      <c r="C14" t="s">
        <v>16</v>
      </c>
      <c r="D14" t="s">
        <v>20</v>
      </c>
      <c r="E14" t="s">
        <v>36</v>
      </c>
      <c r="F14" s="1">
        <v>79.459999999999994</v>
      </c>
      <c r="G14" t="s">
        <v>24</v>
      </c>
      <c r="H14" t="s">
        <v>37</v>
      </c>
      <c r="I14" s="2">
        <v>3.8</v>
      </c>
      <c r="J14" s="4">
        <v>16</v>
      </c>
      <c r="K14" s="3">
        <v>8</v>
      </c>
      <c r="L14" s="1">
        <f t="shared" si="0"/>
        <v>66.746399999999994</v>
      </c>
      <c r="M14" t="str" cm="1">
        <f t="array" ref="M14">_xlfn.IFS(B14&lt;18,"Under 18",B14 &lt;=25,"18-25",B14&lt;=35,"26-35",B14&lt;=45,"36-45",B14&lt;=60,"46-60",TRUE,"60+")</f>
        <v>18-25</v>
      </c>
      <c r="N14" t="str">
        <f t="shared" si="1"/>
        <v>Discounted</v>
      </c>
      <c r="O14" t="str">
        <f t="shared" si="2"/>
        <v>Returning</v>
      </c>
    </row>
    <row r="15" spans="1:15" x14ac:dyDescent="0.25">
      <c r="A15">
        <v>14</v>
      </c>
      <c r="B15">
        <v>22</v>
      </c>
      <c r="C15" t="s">
        <v>11</v>
      </c>
      <c r="D15" t="s">
        <v>33</v>
      </c>
      <c r="E15" t="s">
        <v>38</v>
      </c>
      <c r="F15" s="1">
        <v>189.34</v>
      </c>
      <c r="G15" t="s">
        <v>31</v>
      </c>
      <c r="H15" t="s">
        <v>15</v>
      </c>
      <c r="I15" s="2">
        <v>2.9</v>
      </c>
      <c r="J15" s="4">
        <v>10</v>
      </c>
      <c r="K15" s="3">
        <v>5</v>
      </c>
      <c r="L15" s="1">
        <f t="shared" si="0"/>
        <v>170.40600000000001</v>
      </c>
      <c r="M15" t="str" cm="1">
        <f t="array" ref="M15">_xlfn.IFS(B15&lt;18,"Under 18",B15 &lt;=25,"18-25",B15&lt;=35,"26-35",B15&lt;=45,"36-45",B15&lt;=60,"46-60",TRUE,"60+")</f>
        <v>18-25</v>
      </c>
      <c r="N15" t="str">
        <f t="shared" si="1"/>
        <v>Discounted</v>
      </c>
      <c r="O15" t="str">
        <f t="shared" si="2"/>
        <v>Returning</v>
      </c>
    </row>
    <row r="16" spans="1:15" x14ac:dyDescent="0.25">
      <c r="A16">
        <v>15</v>
      </c>
      <c r="B16">
        <v>47</v>
      </c>
      <c r="C16" t="s">
        <v>16</v>
      </c>
      <c r="D16" t="s">
        <v>20</v>
      </c>
      <c r="E16" t="s">
        <v>39</v>
      </c>
      <c r="F16" s="1">
        <v>222.4</v>
      </c>
      <c r="G16" t="s">
        <v>24</v>
      </c>
      <c r="H16" t="s">
        <v>15</v>
      </c>
      <c r="I16" s="2">
        <v>3.9</v>
      </c>
      <c r="J16" s="4">
        <v>12</v>
      </c>
      <c r="K16" s="3">
        <v>6</v>
      </c>
      <c r="L16" s="1">
        <f t="shared" si="0"/>
        <v>195.71200000000002</v>
      </c>
      <c r="M16" t="str" cm="1">
        <f t="array" ref="M16">_xlfn.IFS(B16&lt;18,"Under 18",B16 &lt;=25,"18-25",B16&lt;=35,"26-35",B16&lt;=45,"36-45",B16&lt;=60,"46-60",TRUE,"60+")</f>
        <v>46-60</v>
      </c>
      <c r="N16" t="str">
        <f t="shared" si="1"/>
        <v>Discounted</v>
      </c>
      <c r="O16" t="str">
        <f t="shared" si="2"/>
        <v>Returning</v>
      </c>
    </row>
    <row r="17" spans="1:15" x14ac:dyDescent="0.25">
      <c r="A17">
        <v>16</v>
      </c>
      <c r="B17">
        <v>60</v>
      </c>
      <c r="C17" t="s">
        <v>16</v>
      </c>
      <c r="D17" t="s">
        <v>20</v>
      </c>
      <c r="E17" t="s">
        <v>39</v>
      </c>
      <c r="F17" s="1">
        <v>217.67</v>
      </c>
      <c r="G17" t="s">
        <v>19</v>
      </c>
      <c r="H17" t="s">
        <v>15</v>
      </c>
      <c r="I17" s="2">
        <v>4.5999999999999996</v>
      </c>
      <c r="J17" s="4">
        <v>27</v>
      </c>
      <c r="K17" s="3">
        <v>11</v>
      </c>
      <c r="L17" s="1">
        <f t="shared" si="0"/>
        <v>158.89909999999998</v>
      </c>
      <c r="M17" t="str" cm="1">
        <f t="array" ref="M17">_xlfn.IFS(B17&lt;18,"Under 18",B17 &lt;=25,"18-25",B17&lt;=35,"26-35",B17&lt;=45,"36-45",B17&lt;=60,"46-60",TRUE,"60+")</f>
        <v>46-60</v>
      </c>
      <c r="N17" t="str">
        <f t="shared" si="1"/>
        <v>Discounted</v>
      </c>
      <c r="O17" t="str">
        <f t="shared" si="2"/>
        <v>Returning</v>
      </c>
    </row>
    <row r="18" spans="1:15" x14ac:dyDescent="0.25">
      <c r="A18">
        <v>17</v>
      </c>
      <c r="B18">
        <v>54</v>
      </c>
      <c r="C18" t="s">
        <v>11</v>
      </c>
      <c r="D18" t="s">
        <v>33</v>
      </c>
      <c r="E18" t="s">
        <v>40</v>
      </c>
      <c r="F18" s="1">
        <v>43.8</v>
      </c>
      <c r="G18" t="s">
        <v>19</v>
      </c>
      <c r="H18" t="s">
        <v>37</v>
      </c>
      <c r="I18" s="2">
        <v>2.9</v>
      </c>
      <c r="J18" s="4">
        <v>20</v>
      </c>
      <c r="K18" s="3">
        <v>5</v>
      </c>
      <c r="L18" s="1">
        <f t="shared" si="0"/>
        <v>35.04</v>
      </c>
      <c r="M18" t="str" cm="1">
        <f t="array" ref="M18">_xlfn.IFS(B18&lt;18,"Under 18",B18 &lt;=25,"18-25",B18&lt;=35,"26-35",B18&lt;=45,"36-45",B18&lt;=60,"46-60",TRUE,"60+")</f>
        <v>46-60</v>
      </c>
      <c r="N18" t="str">
        <f t="shared" si="1"/>
        <v>Discounted</v>
      </c>
      <c r="O18" t="str">
        <f t="shared" si="2"/>
        <v>Returning</v>
      </c>
    </row>
    <row r="19" spans="1:15" x14ac:dyDescent="0.25">
      <c r="A19">
        <v>18</v>
      </c>
      <c r="B19">
        <v>57</v>
      </c>
      <c r="C19" t="s">
        <v>11</v>
      </c>
      <c r="D19" t="s">
        <v>41</v>
      </c>
      <c r="E19" t="s">
        <v>42</v>
      </c>
      <c r="F19" s="1">
        <v>137.29</v>
      </c>
      <c r="G19" t="s">
        <v>14</v>
      </c>
      <c r="H19" t="s">
        <v>15</v>
      </c>
      <c r="I19" s="2">
        <v>3.4</v>
      </c>
      <c r="J19" s="4">
        <v>22</v>
      </c>
      <c r="K19" s="3">
        <v>6</v>
      </c>
      <c r="L19" s="1">
        <f t="shared" si="0"/>
        <v>107.08619999999999</v>
      </c>
      <c r="M19" t="str" cm="1">
        <f t="array" ref="M19">_xlfn.IFS(B19&lt;18,"Under 18",B19 &lt;=25,"18-25",B19&lt;=35,"26-35",B19&lt;=45,"36-45",B19&lt;=60,"46-60",TRUE,"60+")</f>
        <v>46-60</v>
      </c>
      <c r="N19" t="str">
        <f t="shared" si="1"/>
        <v>Discounted</v>
      </c>
      <c r="O19" t="str">
        <f t="shared" si="2"/>
        <v>Returning</v>
      </c>
    </row>
    <row r="20" spans="1:15" x14ac:dyDescent="0.25">
      <c r="A20">
        <v>19</v>
      </c>
      <c r="B20">
        <v>68</v>
      </c>
      <c r="C20" t="s">
        <v>11</v>
      </c>
      <c r="D20" t="s">
        <v>22</v>
      </c>
      <c r="E20" t="s">
        <v>43</v>
      </c>
      <c r="F20" s="1">
        <v>105.48</v>
      </c>
      <c r="G20" t="s">
        <v>14</v>
      </c>
      <c r="H20" t="s">
        <v>15</v>
      </c>
      <c r="I20" s="2">
        <v>4.5</v>
      </c>
      <c r="J20" s="4">
        <v>14</v>
      </c>
      <c r="K20" s="3">
        <v>7</v>
      </c>
      <c r="L20" s="1">
        <f t="shared" si="0"/>
        <v>90.712800000000001</v>
      </c>
      <c r="M20" t="str" cm="1">
        <f t="array" ref="M20">_xlfn.IFS(B20&lt;18,"Under 18",B20 &lt;=25,"18-25",B20&lt;=35,"26-35",B20&lt;=45,"36-45",B20&lt;=60,"46-60",TRUE,"60+")</f>
        <v>60+</v>
      </c>
      <c r="N20" t="str">
        <f t="shared" si="1"/>
        <v>Discounted</v>
      </c>
      <c r="O20" t="str">
        <f t="shared" si="2"/>
        <v>Returning</v>
      </c>
    </row>
    <row r="21" spans="1:15" x14ac:dyDescent="0.25">
      <c r="A21">
        <v>20</v>
      </c>
      <c r="B21">
        <v>22</v>
      </c>
      <c r="C21" t="s">
        <v>11</v>
      </c>
      <c r="D21" t="s">
        <v>41</v>
      </c>
      <c r="E21" t="s">
        <v>44</v>
      </c>
      <c r="F21" s="1">
        <v>173.52</v>
      </c>
      <c r="G21" t="s">
        <v>31</v>
      </c>
      <c r="H21" t="s">
        <v>15</v>
      </c>
      <c r="I21" s="2">
        <v>3.6</v>
      </c>
      <c r="J21" s="4">
        <v>18</v>
      </c>
      <c r="K21" s="3">
        <v>4</v>
      </c>
      <c r="L21" s="1">
        <f t="shared" si="0"/>
        <v>142.28640000000001</v>
      </c>
      <c r="M21" t="str" cm="1">
        <f t="array" ref="M21">_xlfn.IFS(B21&lt;18,"Under 18",B21 &lt;=25,"18-25",B21&lt;=35,"26-35",B21&lt;=45,"36-45",B21&lt;=60,"46-60",TRUE,"60+")</f>
        <v>18-25</v>
      </c>
      <c r="N21" t="str">
        <f t="shared" si="1"/>
        <v>Discounted</v>
      </c>
      <c r="O21" t="str">
        <f t="shared" si="2"/>
        <v>Returning</v>
      </c>
    </row>
    <row r="22" spans="1:15" x14ac:dyDescent="0.25">
      <c r="A22">
        <v>21</v>
      </c>
      <c r="B22">
        <v>61</v>
      </c>
      <c r="C22" t="s">
        <v>11</v>
      </c>
      <c r="D22" t="s">
        <v>33</v>
      </c>
      <c r="E22" t="s">
        <v>40</v>
      </c>
      <c r="F22" s="1">
        <v>68.69</v>
      </c>
      <c r="G22" t="s">
        <v>14</v>
      </c>
      <c r="H22" t="s">
        <v>15</v>
      </c>
      <c r="I22" s="2">
        <v>4.9000000000000004</v>
      </c>
      <c r="J22" s="4">
        <v>22</v>
      </c>
      <c r="K22" s="3">
        <v>6</v>
      </c>
      <c r="L22" s="1">
        <f t="shared" si="0"/>
        <v>53.578200000000002</v>
      </c>
      <c r="M22" t="str" cm="1">
        <f t="array" ref="M22">_xlfn.IFS(B22&lt;18,"Under 18",B22 &lt;=25,"18-25",B22&lt;=35,"26-35",B22&lt;=45,"36-45",B22&lt;=60,"46-60",TRUE,"60+")</f>
        <v>60+</v>
      </c>
      <c r="N22" t="str">
        <f t="shared" si="1"/>
        <v>Discounted</v>
      </c>
      <c r="O22" t="str">
        <f t="shared" si="2"/>
        <v>Returning</v>
      </c>
    </row>
    <row r="23" spans="1:15" x14ac:dyDescent="0.25">
      <c r="A23">
        <v>22</v>
      </c>
      <c r="B23">
        <v>65</v>
      </c>
      <c r="C23" t="s">
        <v>11</v>
      </c>
      <c r="D23" t="s">
        <v>20</v>
      </c>
      <c r="E23" t="s">
        <v>39</v>
      </c>
      <c r="F23" s="1">
        <v>31.21</v>
      </c>
      <c r="G23" t="s">
        <v>19</v>
      </c>
      <c r="H23" t="s">
        <v>37</v>
      </c>
      <c r="I23" s="2">
        <v>3.8</v>
      </c>
      <c r="J23" s="4">
        <v>14</v>
      </c>
      <c r="K23" s="3">
        <v>7</v>
      </c>
      <c r="L23" s="1">
        <f t="shared" si="0"/>
        <v>26.840600000000002</v>
      </c>
      <c r="M23" t="str" cm="1">
        <f t="array" ref="M23">_xlfn.IFS(B23&lt;18,"Under 18",B23 &lt;=25,"18-25",B23&lt;=35,"26-35",B23&lt;=45,"36-45",B23&lt;=60,"46-60",TRUE,"60+")</f>
        <v>60+</v>
      </c>
      <c r="N23" t="str">
        <f t="shared" si="1"/>
        <v>Discounted</v>
      </c>
      <c r="O23" t="str">
        <f t="shared" si="2"/>
        <v>Returning</v>
      </c>
    </row>
    <row r="24" spans="1:15" x14ac:dyDescent="0.25">
      <c r="A24">
        <v>23</v>
      </c>
      <c r="B24">
        <v>25</v>
      </c>
      <c r="C24" t="s">
        <v>16</v>
      </c>
      <c r="D24" t="s">
        <v>20</v>
      </c>
      <c r="E24" t="s">
        <v>21</v>
      </c>
      <c r="F24" s="1">
        <v>142.5</v>
      </c>
      <c r="G24" t="s">
        <v>14</v>
      </c>
      <c r="H24" t="s">
        <v>15</v>
      </c>
      <c r="I24" s="2">
        <v>5</v>
      </c>
      <c r="J24" s="4">
        <v>13</v>
      </c>
      <c r="K24" s="3">
        <v>4</v>
      </c>
      <c r="L24" s="1">
        <f t="shared" si="0"/>
        <v>123.97499999999999</v>
      </c>
      <c r="M24" t="str" cm="1">
        <f t="array" ref="M24">_xlfn.IFS(B24&lt;18,"Under 18",B24 &lt;=25,"18-25",B24&lt;=35,"26-35",B24&lt;=45,"36-45",B24&lt;=60,"46-60",TRUE,"60+")</f>
        <v>18-25</v>
      </c>
      <c r="N24" t="str">
        <f t="shared" si="1"/>
        <v>Discounted</v>
      </c>
      <c r="O24" t="str">
        <f t="shared" si="2"/>
        <v>Returning</v>
      </c>
    </row>
    <row r="25" spans="1:15" x14ac:dyDescent="0.25">
      <c r="A25">
        <v>24</v>
      </c>
      <c r="B25">
        <v>35</v>
      </c>
      <c r="C25" t="s">
        <v>16</v>
      </c>
      <c r="D25" t="s">
        <v>17</v>
      </c>
      <c r="E25" t="s">
        <v>42</v>
      </c>
      <c r="F25" s="1">
        <v>36.979999999999997</v>
      </c>
      <c r="G25" t="s">
        <v>31</v>
      </c>
      <c r="H25" t="s">
        <v>15</v>
      </c>
      <c r="I25" s="2">
        <v>4.2</v>
      </c>
      <c r="J25" s="4">
        <v>13</v>
      </c>
      <c r="K25" s="3">
        <v>4</v>
      </c>
      <c r="L25" s="1">
        <f t="shared" si="0"/>
        <v>32.172599999999996</v>
      </c>
      <c r="M25" t="str" cm="1">
        <f t="array" ref="M25">_xlfn.IFS(B25&lt;18,"Under 18",B25 &lt;=25,"18-25",B25&lt;=35,"26-35",B25&lt;=45,"36-45",B25&lt;=60,"46-60",TRUE,"60+")</f>
        <v>26-35</v>
      </c>
      <c r="N25" t="str">
        <f t="shared" si="1"/>
        <v>Discounted</v>
      </c>
      <c r="O25" t="str">
        <f t="shared" si="2"/>
        <v>Returning</v>
      </c>
    </row>
    <row r="26" spans="1:15" x14ac:dyDescent="0.25">
      <c r="A26">
        <v>25</v>
      </c>
      <c r="B26">
        <v>28</v>
      </c>
      <c r="C26" t="s">
        <v>11</v>
      </c>
      <c r="D26" t="s">
        <v>41</v>
      </c>
      <c r="E26" t="s">
        <v>45</v>
      </c>
      <c r="F26" s="1">
        <v>56.59</v>
      </c>
      <c r="G26" t="s">
        <v>24</v>
      </c>
      <c r="H26" t="s">
        <v>15</v>
      </c>
      <c r="I26" s="2">
        <v>4.0999999999999996</v>
      </c>
      <c r="J26" s="4">
        <v>26</v>
      </c>
      <c r="K26" s="3">
        <v>8</v>
      </c>
      <c r="L26" s="1">
        <f t="shared" si="0"/>
        <v>41.876600000000003</v>
      </c>
      <c r="M26" t="str" cm="1">
        <f t="array" ref="M26">_xlfn.IFS(B26&lt;18,"Under 18",B26 &lt;=25,"18-25",B26&lt;=35,"26-35",B26&lt;=45,"36-45",B26&lt;=60,"46-60",TRUE,"60+")</f>
        <v>26-35</v>
      </c>
      <c r="N26" t="str">
        <f t="shared" si="1"/>
        <v>Discounted</v>
      </c>
      <c r="O26" t="str">
        <f t="shared" si="2"/>
        <v>Returning</v>
      </c>
    </row>
    <row r="27" spans="1:15" x14ac:dyDescent="0.25">
      <c r="A27">
        <v>26</v>
      </c>
      <c r="B27">
        <v>41</v>
      </c>
      <c r="C27" t="s">
        <v>16</v>
      </c>
      <c r="D27" t="s">
        <v>20</v>
      </c>
      <c r="E27" t="s">
        <v>21</v>
      </c>
      <c r="F27" s="1">
        <v>46.19</v>
      </c>
      <c r="G27" t="s">
        <v>24</v>
      </c>
      <c r="H27" t="s">
        <v>37</v>
      </c>
      <c r="I27" s="2">
        <v>3.3</v>
      </c>
      <c r="J27" s="4">
        <v>11</v>
      </c>
      <c r="K27" s="3">
        <v>3</v>
      </c>
      <c r="L27" s="1">
        <f t="shared" si="0"/>
        <v>41.109099999999998</v>
      </c>
      <c r="M27" t="str" cm="1">
        <f t="array" ref="M27">_xlfn.IFS(B27&lt;18,"Under 18",B27 &lt;=25,"18-25",B27&lt;=35,"26-35",B27&lt;=45,"36-45",B27&lt;=60,"46-60",TRUE,"60+")</f>
        <v>36-45</v>
      </c>
      <c r="N27" t="str">
        <f t="shared" si="1"/>
        <v>Discounted</v>
      </c>
      <c r="O27" t="str">
        <f t="shared" si="2"/>
        <v>Returning</v>
      </c>
    </row>
    <row r="28" spans="1:15" x14ac:dyDescent="0.25">
      <c r="A28">
        <v>27</v>
      </c>
      <c r="B28">
        <v>58</v>
      </c>
      <c r="C28" t="s">
        <v>11</v>
      </c>
      <c r="D28" t="s">
        <v>22</v>
      </c>
      <c r="E28" t="s">
        <v>43</v>
      </c>
      <c r="F28" s="1">
        <v>137.6</v>
      </c>
      <c r="G28" t="s">
        <v>14</v>
      </c>
      <c r="H28" t="s">
        <v>15</v>
      </c>
      <c r="I28" s="2">
        <v>3.7</v>
      </c>
      <c r="J28" s="4">
        <v>11</v>
      </c>
      <c r="K28" s="3">
        <v>3</v>
      </c>
      <c r="L28" s="1">
        <f t="shared" si="0"/>
        <v>122.464</v>
      </c>
      <c r="M28" t="str" cm="1">
        <f t="array" ref="M28">_xlfn.IFS(B28&lt;18,"Under 18",B28 &lt;=25,"18-25",B28&lt;=35,"26-35",B28&lt;=45,"36-45",B28&lt;=60,"46-60",TRUE,"60+")</f>
        <v>46-60</v>
      </c>
      <c r="N28" t="str">
        <f t="shared" si="1"/>
        <v>Discounted</v>
      </c>
      <c r="O28" t="str">
        <f t="shared" si="2"/>
        <v>Returning</v>
      </c>
    </row>
    <row r="29" spans="1:15" x14ac:dyDescent="0.25">
      <c r="A29">
        <v>28</v>
      </c>
      <c r="B29">
        <v>24</v>
      </c>
      <c r="C29" t="s">
        <v>16</v>
      </c>
      <c r="D29" t="s">
        <v>20</v>
      </c>
      <c r="E29" t="s">
        <v>36</v>
      </c>
      <c r="F29" s="1">
        <v>30.97</v>
      </c>
      <c r="G29" t="s">
        <v>14</v>
      </c>
      <c r="H29" t="s">
        <v>15</v>
      </c>
      <c r="I29" s="2">
        <v>4.4000000000000004</v>
      </c>
      <c r="J29" s="4">
        <v>20</v>
      </c>
      <c r="K29" s="3">
        <v>10</v>
      </c>
      <c r="L29" s="1">
        <f t="shared" si="0"/>
        <v>24.776</v>
      </c>
      <c r="M29" t="str" cm="1">
        <f t="array" ref="M29">_xlfn.IFS(B29&lt;18,"Under 18",B29 &lt;=25,"18-25",B29&lt;=35,"26-35",B29&lt;=45,"36-45",B29&lt;=60,"46-60",TRUE,"60+")</f>
        <v>18-25</v>
      </c>
      <c r="N29" t="str">
        <f t="shared" si="1"/>
        <v>Discounted</v>
      </c>
      <c r="O29" t="str">
        <f t="shared" si="2"/>
        <v>Returning</v>
      </c>
    </row>
    <row r="30" spans="1:15" x14ac:dyDescent="0.25">
      <c r="A30">
        <v>29</v>
      </c>
      <c r="B30">
        <v>50</v>
      </c>
      <c r="C30" t="s">
        <v>11</v>
      </c>
      <c r="D30" t="s">
        <v>20</v>
      </c>
      <c r="E30" t="s">
        <v>36</v>
      </c>
      <c r="F30" s="1">
        <v>178.68</v>
      </c>
      <c r="G30" t="s">
        <v>19</v>
      </c>
      <c r="H30" t="s">
        <v>15</v>
      </c>
      <c r="I30" s="2">
        <v>3.7</v>
      </c>
      <c r="J30" s="4">
        <v>11</v>
      </c>
      <c r="K30" s="3">
        <v>3</v>
      </c>
      <c r="L30" s="1">
        <f t="shared" si="0"/>
        <v>159.02520000000001</v>
      </c>
      <c r="M30" t="str" cm="1">
        <f t="array" ref="M30">_xlfn.IFS(B30&lt;18,"Under 18",B30 &lt;=25,"18-25",B30&lt;=35,"26-35",B30&lt;=45,"36-45",B30&lt;=60,"46-60",TRUE,"60+")</f>
        <v>46-60</v>
      </c>
      <c r="N30" t="str">
        <f t="shared" si="1"/>
        <v>Discounted</v>
      </c>
      <c r="O30" t="str">
        <f t="shared" si="2"/>
        <v>Returning</v>
      </c>
    </row>
    <row r="31" spans="1:15" x14ac:dyDescent="0.25">
      <c r="A31">
        <v>30</v>
      </c>
      <c r="B31">
        <v>69</v>
      </c>
      <c r="C31" t="s">
        <v>16</v>
      </c>
      <c r="D31" t="s">
        <v>20</v>
      </c>
      <c r="E31" t="s">
        <v>21</v>
      </c>
      <c r="F31" s="1">
        <v>205.78</v>
      </c>
      <c r="G31" t="s">
        <v>14</v>
      </c>
      <c r="H31" t="s">
        <v>15</v>
      </c>
      <c r="I31" s="2">
        <v>2.7</v>
      </c>
      <c r="J31" s="4">
        <v>22</v>
      </c>
      <c r="K31" s="3">
        <v>6</v>
      </c>
      <c r="L31" s="1">
        <f t="shared" si="0"/>
        <v>160.50839999999999</v>
      </c>
      <c r="M31" t="str" cm="1">
        <f t="array" ref="M31">_xlfn.IFS(B31&lt;18,"Under 18",B31 &lt;=25,"18-25",B31&lt;=35,"26-35",B31&lt;=45,"36-45",B31&lt;=60,"46-60",TRUE,"60+")</f>
        <v>60+</v>
      </c>
      <c r="N31" t="str">
        <f t="shared" si="1"/>
        <v>Discounted</v>
      </c>
      <c r="O31" t="str">
        <f t="shared" si="2"/>
        <v>Returning</v>
      </c>
    </row>
    <row r="32" spans="1:15" x14ac:dyDescent="0.25">
      <c r="A32">
        <v>31</v>
      </c>
      <c r="B32">
        <v>43</v>
      </c>
      <c r="C32" t="s">
        <v>16</v>
      </c>
      <c r="D32" t="s">
        <v>27</v>
      </c>
      <c r="E32" t="s">
        <v>32</v>
      </c>
      <c r="F32" s="1">
        <v>1572.49</v>
      </c>
      <c r="G32" t="s">
        <v>14</v>
      </c>
      <c r="H32" t="s">
        <v>15</v>
      </c>
      <c r="I32" s="2">
        <v>3.5</v>
      </c>
      <c r="J32" s="4">
        <v>14</v>
      </c>
      <c r="K32" s="3">
        <v>7</v>
      </c>
      <c r="L32" s="1">
        <f t="shared" si="0"/>
        <v>1352.3414</v>
      </c>
      <c r="M32" t="str" cm="1">
        <f t="array" ref="M32">_xlfn.IFS(B32&lt;18,"Under 18",B32 &lt;=25,"18-25",B32&lt;=35,"26-35",B32&lt;=45,"36-45",B32&lt;=60,"46-60",TRUE,"60+")</f>
        <v>36-45</v>
      </c>
      <c r="N32" t="str">
        <f t="shared" si="1"/>
        <v>Discounted</v>
      </c>
      <c r="O32" t="str">
        <f t="shared" si="2"/>
        <v>Returning</v>
      </c>
    </row>
    <row r="33" spans="1:15" x14ac:dyDescent="0.25">
      <c r="A33">
        <v>32</v>
      </c>
      <c r="B33">
        <v>33</v>
      </c>
      <c r="C33" t="s">
        <v>16</v>
      </c>
      <c r="D33" t="s">
        <v>33</v>
      </c>
      <c r="E33" t="s">
        <v>34</v>
      </c>
      <c r="F33" s="1">
        <v>172.69</v>
      </c>
      <c r="G33" t="s">
        <v>19</v>
      </c>
      <c r="H33" t="s">
        <v>15</v>
      </c>
      <c r="I33" s="2">
        <v>4.5999999999999996</v>
      </c>
      <c r="J33" s="4">
        <v>19</v>
      </c>
      <c r="K33" s="3">
        <v>7</v>
      </c>
      <c r="L33" s="1">
        <f t="shared" si="0"/>
        <v>139.87890000000002</v>
      </c>
      <c r="M33" t="str" cm="1">
        <f t="array" ref="M33">_xlfn.IFS(B33&lt;18,"Under 18",B33 &lt;=25,"18-25",B33&lt;=35,"26-35",B33&lt;=45,"36-45",B33&lt;=60,"46-60",TRUE,"60+")</f>
        <v>26-35</v>
      </c>
      <c r="N33" t="str">
        <f t="shared" si="1"/>
        <v>Discounted</v>
      </c>
      <c r="O33" t="str">
        <f t="shared" si="2"/>
        <v>Returning</v>
      </c>
    </row>
    <row r="34" spans="1:15" x14ac:dyDescent="0.25">
      <c r="A34">
        <v>33</v>
      </c>
      <c r="B34">
        <v>58</v>
      </c>
      <c r="C34" t="s">
        <v>11</v>
      </c>
      <c r="D34" t="s">
        <v>29</v>
      </c>
      <c r="E34" t="s">
        <v>30</v>
      </c>
      <c r="F34" s="1">
        <v>135.4</v>
      </c>
      <c r="G34" t="s">
        <v>19</v>
      </c>
      <c r="H34" t="s">
        <v>15</v>
      </c>
      <c r="I34" s="2">
        <v>3.7</v>
      </c>
      <c r="J34" s="4">
        <v>9</v>
      </c>
      <c r="K34" s="3">
        <v>2</v>
      </c>
      <c r="L34" s="1">
        <f t="shared" si="0"/>
        <v>123.21400000000001</v>
      </c>
      <c r="M34" t="str" cm="1">
        <f t="array" ref="M34">_xlfn.IFS(B34&lt;18,"Under 18",B34 &lt;=25,"18-25",B34&lt;=35,"26-35",B34&lt;=45,"36-45",B34&lt;=60,"46-60",TRUE,"60+")</f>
        <v>46-60</v>
      </c>
      <c r="N34" t="str">
        <f t="shared" si="1"/>
        <v>Discounted</v>
      </c>
      <c r="O34" t="str">
        <f t="shared" si="2"/>
        <v>Returning</v>
      </c>
    </row>
    <row r="35" spans="1:15" x14ac:dyDescent="0.25">
      <c r="A35">
        <v>34</v>
      </c>
      <c r="B35">
        <v>26</v>
      </c>
      <c r="C35" t="s">
        <v>11</v>
      </c>
      <c r="D35" t="s">
        <v>41</v>
      </c>
      <c r="E35" t="s">
        <v>46</v>
      </c>
      <c r="F35" s="1">
        <v>169.72</v>
      </c>
      <c r="G35" t="s">
        <v>14</v>
      </c>
      <c r="H35" t="s">
        <v>15</v>
      </c>
      <c r="I35" s="2">
        <v>3.8</v>
      </c>
      <c r="J35" s="4">
        <v>14</v>
      </c>
      <c r="K35" s="3">
        <v>2</v>
      </c>
      <c r="L35" s="1">
        <f t="shared" si="0"/>
        <v>145.95920000000001</v>
      </c>
      <c r="M35" t="str" cm="1">
        <f t="array" ref="M35">_xlfn.IFS(B35&lt;18,"Under 18",B35 &lt;=25,"18-25",B35&lt;=35,"26-35",B35&lt;=45,"36-45",B35&lt;=60,"46-60",TRUE,"60+")</f>
        <v>26-35</v>
      </c>
      <c r="N35" t="str">
        <f t="shared" si="1"/>
        <v>Discounted</v>
      </c>
      <c r="O35" t="str">
        <f t="shared" si="2"/>
        <v>Returning</v>
      </c>
    </row>
    <row r="36" spans="1:15" x14ac:dyDescent="0.25">
      <c r="A36">
        <v>35</v>
      </c>
      <c r="B36">
        <v>67</v>
      </c>
      <c r="C36" t="s">
        <v>16</v>
      </c>
      <c r="D36" t="s">
        <v>20</v>
      </c>
      <c r="E36" t="s">
        <v>21</v>
      </c>
      <c r="F36" s="1">
        <v>238.13</v>
      </c>
      <c r="G36" t="s">
        <v>24</v>
      </c>
      <c r="H36" t="s">
        <v>15</v>
      </c>
      <c r="I36" s="2">
        <v>3.3</v>
      </c>
      <c r="J36" s="4">
        <v>17</v>
      </c>
      <c r="K36" s="3">
        <v>6</v>
      </c>
      <c r="L36" s="1">
        <f t="shared" si="0"/>
        <v>197.64789999999999</v>
      </c>
      <c r="M36" t="str" cm="1">
        <f t="array" ref="M36">_xlfn.IFS(B36&lt;18,"Under 18",B36 &lt;=25,"18-25",B36&lt;=35,"26-35",B36&lt;=45,"36-45",B36&lt;=60,"46-60",TRUE,"60+")</f>
        <v>60+</v>
      </c>
      <c r="N36" t="str">
        <f t="shared" si="1"/>
        <v>Discounted</v>
      </c>
      <c r="O36" t="str">
        <f t="shared" si="2"/>
        <v>Returning</v>
      </c>
    </row>
    <row r="37" spans="1:15" x14ac:dyDescent="0.25">
      <c r="A37">
        <v>36</v>
      </c>
      <c r="B37">
        <v>32</v>
      </c>
      <c r="C37" t="s">
        <v>11</v>
      </c>
      <c r="D37" t="s">
        <v>41</v>
      </c>
      <c r="E37" t="s">
        <v>42</v>
      </c>
      <c r="F37" s="1">
        <v>50.2</v>
      </c>
      <c r="G37" t="s">
        <v>24</v>
      </c>
      <c r="H37" t="s">
        <v>37</v>
      </c>
      <c r="I37" s="2">
        <v>2.4</v>
      </c>
      <c r="J37" s="4">
        <v>12</v>
      </c>
      <c r="K37" s="3">
        <v>6</v>
      </c>
      <c r="L37" s="1">
        <f t="shared" si="0"/>
        <v>44.176000000000002</v>
      </c>
      <c r="M37" t="str" cm="1">
        <f t="array" ref="M37">_xlfn.IFS(B37&lt;18,"Under 18",B37 &lt;=25,"18-25",B37&lt;=35,"26-35",B37&lt;=45,"36-45",B37&lt;=60,"46-60",TRUE,"60+")</f>
        <v>26-35</v>
      </c>
      <c r="N37" t="str">
        <f t="shared" si="1"/>
        <v>Discounted</v>
      </c>
      <c r="O37" t="str">
        <f t="shared" si="2"/>
        <v>Returning</v>
      </c>
    </row>
    <row r="38" spans="1:15" x14ac:dyDescent="0.25">
      <c r="A38">
        <v>37</v>
      </c>
      <c r="B38">
        <v>25</v>
      </c>
      <c r="C38" t="s">
        <v>11</v>
      </c>
      <c r="D38" t="s">
        <v>25</v>
      </c>
      <c r="E38" t="s">
        <v>47</v>
      </c>
      <c r="F38" s="1">
        <v>29.2</v>
      </c>
      <c r="G38" t="s">
        <v>31</v>
      </c>
      <c r="H38" t="s">
        <v>37</v>
      </c>
      <c r="I38" s="2">
        <v>5</v>
      </c>
      <c r="J38" s="4">
        <v>8</v>
      </c>
      <c r="K38" s="3">
        <v>4</v>
      </c>
      <c r="L38" s="1">
        <f t="shared" si="0"/>
        <v>26.864000000000001</v>
      </c>
      <c r="M38" t="str" cm="1">
        <f t="array" ref="M38">_xlfn.IFS(B38&lt;18,"Under 18",B38 &lt;=25,"18-25",B38&lt;=35,"26-35",B38&lt;=45,"36-45",B38&lt;=60,"46-60",TRUE,"60+")</f>
        <v>18-25</v>
      </c>
      <c r="N38" t="str">
        <f t="shared" si="1"/>
        <v>Discounted</v>
      </c>
      <c r="O38" t="str">
        <f t="shared" si="2"/>
        <v>Returning</v>
      </c>
    </row>
    <row r="39" spans="1:15" x14ac:dyDescent="0.25">
      <c r="A39">
        <v>38</v>
      </c>
      <c r="B39">
        <v>50</v>
      </c>
      <c r="C39" t="s">
        <v>16</v>
      </c>
      <c r="D39" t="s">
        <v>17</v>
      </c>
      <c r="E39" t="s">
        <v>48</v>
      </c>
      <c r="F39" s="1">
        <v>183.2</v>
      </c>
      <c r="G39" t="s">
        <v>14</v>
      </c>
      <c r="H39" t="s">
        <v>15</v>
      </c>
      <c r="I39" s="2">
        <v>3.9</v>
      </c>
      <c r="J39" s="4">
        <v>8</v>
      </c>
      <c r="K39" s="3">
        <v>4</v>
      </c>
      <c r="L39" s="1">
        <f t="shared" si="0"/>
        <v>168.54399999999998</v>
      </c>
      <c r="M39" t="str" cm="1">
        <f t="array" ref="M39">_xlfn.IFS(B39&lt;18,"Under 18",B39 &lt;=25,"18-25",B39&lt;=35,"26-35",B39&lt;=45,"36-45",B39&lt;=60,"46-60",TRUE,"60+")</f>
        <v>46-60</v>
      </c>
      <c r="N39" t="str">
        <f t="shared" si="1"/>
        <v>Discounted</v>
      </c>
      <c r="O39" t="str">
        <f t="shared" si="2"/>
        <v>Returning</v>
      </c>
    </row>
    <row r="40" spans="1:15" x14ac:dyDescent="0.25">
      <c r="A40">
        <v>39</v>
      </c>
      <c r="B40">
        <v>47</v>
      </c>
      <c r="C40" t="s">
        <v>11</v>
      </c>
      <c r="D40" t="s">
        <v>41</v>
      </c>
      <c r="E40" t="s">
        <v>42</v>
      </c>
      <c r="F40" s="1">
        <v>129.22</v>
      </c>
      <c r="G40" t="s">
        <v>24</v>
      </c>
      <c r="H40" t="s">
        <v>15</v>
      </c>
      <c r="I40" s="2">
        <v>3.7</v>
      </c>
      <c r="J40" s="4">
        <v>14</v>
      </c>
      <c r="K40" s="3">
        <v>7</v>
      </c>
      <c r="L40" s="1">
        <f t="shared" si="0"/>
        <v>111.1292</v>
      </c>
      <c r="M40" t="str" cm="1">
        <f t="array" ref="M40">_xlfn.IFS(B40&lt;18,"Under 18",B40 &lt;=25,"18-25",B40&lt;=35,"26-35",B40&lt;=45,"36-45",B40&lt;=60,"46-60",TRUE,"60+")</f>
        <v>46-60</v>
      </c>
      <c r="N40" t="str">
        <f t="shared" si="1"/>
        <v>Discounted</v>
      </c>
      <c r="O40" t="str">
        <f t="shared" si="2"/>
        <v>Returning</v>
      </c>
    </row>
    <row r="41" spans="1:15" x14ac:dyDescent="0.25">
      <c r="A41">
        <v>40</v>
      </c>
      <c r="B41">
        <v>66</v>
      </c>
      <c r="C41" t="s">
        <v>16</v>
      </c>
      <c r="D41" t="s">
        <v>20</v>
      </c>
      <c r="E41" t="s">
        <v>36</v>
      </c>
      <c r="F41" s="1">
        <v>219.86</v>
      </c>
      <c r="G41" t="s">
        <v>19</v>
      </c>
      <c r="H41" t="s">
        <v>15</v>
      </c>
      <c r="I41" s="2">
        <v>4</v>
      </c>
      <c r="J41" s="4">
        <v>2</v>
      </c>
      <c r="K41" s="3">
        <v>1</v>
      </c>
      <c r="L41" s="1">
        <f t="shared" si="0"/>
        <v>215.46280000000002</v>
      </c>
      <c r="M41" t="str" cm="1">
        <f t="array" ref="M41">_xlfn.IFS(B41&lt;18,"Under 18",B41 &lt;=25,"18-25",B41&lt;=35,"26-35",B41&lt;=45,"36-45",B41&lt;=60,"46-60",TRUE,"60+")</f>
        <v>60+</v>
      </c>
      <c r="N41" t="str">
        <f t="shared" si="1"/>
        <v>Discounted</v>
      </c>
      <c r="O41" t="str">
        <f t="shared" si="2"/>
        <v>Returning</v>
      </c>
    </row>
    <row r="42" spans="1:15" x14ac:dyDescent="0.25">
      <c r="A42">
        <v>41</v>
      </c>
      <c r="B42">
        <v>20</v>
      </c>
      <c r="C42" t="s">
        <v>11</v>
      </c>
      <c r="D42" t="s">
        <v>29</v>
      </c>
      <c r="E42" t="s">
        <v>30</v>
      </c>
      <c r="F42" s="1">
        <v>97.24</v>
      </c>
      <c r="G42" t="s">
        <v>19</v>
      </c>
      <c r="H42" t="s">
        <v>15</v>
      </c>
      <c r="I42" s="2">
        <v>4.0999999999999996</v>
      </c>
      <c r="J42" s="4">
        <v>19</v>
      </c>
      <c r="K42" s="3">
        <v>7</v>
      </c>
      <c r="L42" s="1">
        <f t="shared" si="0"/>
        <v>78.764399999999995</v>
      </c>
      <c r="M42" t="str" cm="1">
        <f t="array" ref="M42">_xlfn.IFS(B42&lt;18,"Under 18",B42 &lt;=25,"18-25",B42&lt;=35,"26-35",B42&lt;=45,"36-45",B42&lt;=60,"46-60",TRUE,"60+")</f>
        <v>18-25</v>
      </c>
      <c r="N42" t="str">
        <f t="shared" si="1"/>
        <v>Discounted</v>
      </c>
      <c r="O42" t="str">
        <f t="shared" si="2"/>
        <v>Returning</v>
      </c>
    </row>
    <row r="43" spans="1:15" x14ac:dyDescent="0.25">
      <c r="A43">
        <v>42</v>
      </c>
      <c r="B43">
        <v>22</v>
      </c>
      <c r="C43" t="s">
        <v>16</v>
      </c>
      <c r="D43" t="s">
        <v>27</v>
      </c>
      <c r="E43" t="s">
        <v>49</v>
      </c>
      <c r="F43" s="1">
        <v>2392.6999999999998</v>
      </c>
      <c r="G43" t="s">
        <v>24</v>
      </c>
      <c r="H43" t="s">
        <v>15</v>
      </c>
      <c r="I43" s="2">
        <v>5</v>
      </c>
      <c r="J43" s="4">
        <v>6</v>
      </c>
      <c r="K43" s="3">
        <v>3</v>
      </c>
      <c r="L43" s="1">
        <f t="shared" si="0"/>
        <v>2249.1379999999999</v>
      </c>
      <c r="M43" t="str" cm="1">
        <f t="array" ref="M43">_xlfn.IFS(B43&lt;18,"Under 18",B43 &lt;=25,"18-25",B43&lt;=35,"26-35",B43&lt;=45,"36-45",B43&lt;=60,"46-60",TRUE,"60+")</f>
        <v>18-25</v>
      </c>
      <c r="N43" t="str">
        <f t="shared" si="1"/>
        <v>Discounted</v>
      </c>
      <c r="O43" t="str">
        <f t="shared" si="2"/>
        <v>Returning</v>
      </c>
    </row>
    <row r="44" spans="1:15" x14ac:dyDescent="0.25">
      <c r="A44">
        <v>43</v>
      </c>
      <c r="B44">
        <v>23</v>
      </c>
      <c r="C44" t="s">
        <v>11</v>
      </c>
      <c r="D44" t="s">
        <v>33</v>
      </c>
      <c r="E44" t="s">
        <v>34</v>
      </c>
      <c r="F44" s="1">
        <v>115.21</v>
      </c>
      <c r="G44" t="s">
        <v>31</v>
      </c>
      <c r="H44" t="s">
        <v>15</v>
      </c>
      <c r="I44" s="2">
        <v>4.2</v>
      </c>
      <c r="J44" s="4">
        <v>19</v>
      </c>
      <c r="K44" s="3">
        <v>7</v>
      </c>
      <c r="L44" s="1">
        <f t="shared" si="0"/>
        <v>93.320099999999996</v>
      </c>
      <c r="M44" t="str" cm="1">
        <f t="array" ref="M44">_xlfn.IFS(B44&lt;18,"Under 18",B44 &lt;=25,"18-25",B44&lt;=35,"26-35",B44&lt;=45,"36-45",B44&lt;=60,"46-60",TRUE,"60+")</f>
        <v>18-25</v>
      </c>
      <c r="N44" t="str">
        <f t="shared" si="1"/>
        <v>Discounted</v>
      </c>
      <c r="O44" t="str">
        <f t="shared" si="2"/>
        <v>Returning</v>
      </c>
    </row>
    <row r="45" spans="1:15" x14ac:dyDescent="0.25">
      <c r="A45">
        <v>44</v>
      </c>
      <c r="B45">
        <v>66</v>
      </c>
      <c r="C45" t="s">
        <v>16</v>
      </c>
      <c r="D45" t="s">
        <v>27</v>
      </c>
      <c r="E45" t="s">
        <v>28</v>
      </c>
      <c r="F45" s="1">
        <v>2260.1999999999998</v>
      </c>
      <c r="G45" t="s">
        <v>19</v>
      </c>
      <c r="H45" t="s">
        <v>15</v>
      </c>
      <c r="I45" s="2">
        <v>4.5999999999999996</v>
      </c>
      <c r="J45" s="4">
        <v>9</v>
      </c>
      <c r="K45" s="3">
        <v>2</v>
      </c>
      <c r="L45" s="1">
        <f t="shared" si="0"/>
        <v>2056.7819999999997</v>
      </c>
      <c r="M45" t="str" cm="1">
        <f t="array" ref="M45">_xlfn.IFS(B45&lt;18,"Under 18",B45 &lt;=25,"18-25",B45&lt;=35,"26-35",B45&lt;=45,"36-45",B45&lt;=60,"46-60",TRUE,"60+")</f>
        <v>60+</v>
      </c>
      <c r="N45" t="str">
        <f t="shared" si="1"/>
        <v>Discounted</v>
      </c>
      <c r="O45" t="str">
        <f t="shared" si="2"/>
        <v>Returning</v>
      </c>
    </row>
    <row r="46" spans="1:15" x14ac:dyDescent="0.25">
      <c r="A46">
        <v>45</v>
      </c>
      <c r="B46">
        <v>53</v>
      </c>
      <c r="C46" t="s">
        <v>11</v>
      </c>
      <c r="D46" t="s">
        <v>12</v>
      </c>
      <c r="E46" t="s">
        <v>50</v>
      </c>
      <c r="F46" s="1">
        <v>164.67</v>
      </c>
      <c r="G46" t="s">
        <v>14</v>
      </c>
      <c r="H46" t="s">
        <v>15</v>
      </c>
      <c r="I46" s="2">
        <v>2.6</v>
      </c>
      <c r="J46" s="4">
        <v>14</v>
      </c>
      <c r="K46" s="3">
        <v>7</v>
      </c>
      <c r="L46" s="1">
        <f t="shared" si="0"/>
        <v>141.61619999999999</v>
      </c>
      <c r="M46" t="str" cm="1">
        <f t="array" ref="M46">_xlfn.IFS(B46&lt;18,"Under 18",B46 &lt;=25,"18-25",B46&lt;=35,"26-35",B46&lt;=45,"36-45",B46&lt;=60,"46-60",TRUE,"60+")</f>
        <v>46-60</v>
      </c>
      <c r="N46" t="str">
        <f t="shared" si="1"/>
        <v>Discounted</v>
      </c>
      <c r="O46" t="str">
        <f t="shared" si="2"/>
        <v>Returning</v>
      </c>
    </row>
    <row r="47" spans="1:15" x14ac:dyDescent="0.25">
      <c r="A47">
        <v>46</v>
      </c>
      <c r="B47">
        <v>24</v>
      </c>
      <c r="C47" t="s">
        <v>11</v>
      </c>
      <c r="D47" t="s">
        <v>41</v>
      </c>
      <c r="E47" t="s">
        <v>46</v>
      </c>
      <c r="F47" s="1">
        <v>65.55</v>
      </c>
      <c r="G47" t="s">
        <v>14</v>
      </c>
      <c r="H47" t="s">
        <v>15</v>
      </c>
      <c r="I47" s="2">
        <v>3.7</v>
      </c>
      <c r="J47" s="4">
        <v>14</v>
      </c>
      <c r="K47" s="3">
        <v>7</v>
      </c>
      <c r="L47" s="1">
        <f t="shared" si="0"/>
        <v>56.372999999999998</v>
      </c>
      <c r="M47" t="str" cm="1">
        <f t="array" ref="M47">_xlfn.IFS(B47&lt;18,"Under 18",B47 &lt;=25,"18-25",B47&lt;=35,"26-35",B47&lt;=45,"36-45",B47&lt;=60,"46-60",TRUE,"60+")</f>
        <v>18-25</v>
      </c>
      <c r="N47" t="str">
        <f t="shared" si="1"/>
        <v>Discounted</v>
      </c>
      <c r="O47" t="str">
        <f t="shared" si="2"/>
        <v>Returning</v>
      </c>
    </row>
    <row r="48" spans="1:15" x14ac:dyDescent="0.25">
      <c r="A48">
        <v>47</v>
      </c>
      <c r="B48">
        <v>22</v>
      </c>
      <c r="C48" t="s">
        <v>16</v>
      </c>
      <c r="D48" t="s">
        <v>17</v>
      </c>
      <c r="E48" t="s">
        <v>18</v>
      </c>
      <c r="F48" s="1">
        <v>62.69</v>
      </c>
      <c r="G48" t="s">
        <v>24</v>
      </c>
      <c r="H48" t="s">
        <v>15</v>
      </c>
      <c r="I48" s="2">
        <v>3.6</v>
      </c>
      <c r="J48" s="4">
        <v>4</v>
      </c>
      <c r="K48" s="3">
        <v>2</v>
      </c>
      <c r="L48" s="1">
        <f t="shared" si="0"/>
        <v>60.182399999999994</v>
      </c>
      <c r="M48" t="str" cm="1">
        <f t="array" ref="M48">_xlfn.IFS(B48&lt;18,"Under 18",B48 &lt;=25,"18-25",B48&lt;=35,"26-35",B48&lt;=45,"36-45",B48&lt;=60,"46-60",TRUE,"60+")</f>
        <v>18-25</v>
      </c>
      <c r="N48" t="str">
        <f t="shared" si="1"/>
        <v>Discounted</v>
      </c>
      <c r="O48" t="str">
        <f t="shared" si="2"/>
        <v>Returning</v>
      </c>
    </row>
    <row r="49" spans="1:15" x14ac:dyDescent="0.25">
      <c r="A49">
        <v>48</v>
      </c>
      <c r="B49">
        <v>31</v>
      </c>
      <c r="C49" t="s">
        <v>11</v>
      </c>
      <c r="D49" t="s">
        <v>29</v>
      </c>
      <c r="E49" t="s">
        <v>51</v>
      </c>
      <c r="F49" s="1">
        <v>62.91</v>
      </c>
      <c r="G49" t="s">
        <v>14</v>
      </c>
      <c r="H49" t="s">
        <v>15</v>
      </c>
      <c r="I49" s="2">
        <v>3.5</v>
      </c>
      <c r="J49" s="4">
        <v>18</v>
      </c>
      <c r="K49" s="3">
        <v>4</v>
      </c>
      <c r="L49" s="1">
        <f t="shared" si="0"/>
        <v>51.586199999999998</v>
      </c>
      <c r="M49" t="str" cm="1">
        <f t="array" ref="M49">_xlfn.IFS(B49&lt;18,"Under 18",B49 &lt;=25,"18-25",B49&lt;=35,"26-35",B49&lt;=45,"36-45",B49&lt;=60,"46-60",TRUE,"60+")</f>
        <v>26-35</v>
      </c>
      <c r="N49" t="str">
        <f t="shared" si="1"/>
        <v>Discounted</v>
      </c>
      <c r="O49" t="str">
        <f t="shared" si="2"/>
        <v>Returning</v>
      </c>
    </row>
    <row r="50" spans="1:15" x14ac:dyDescent="0.25">
      <c r="A50">
        <v>49</v>
      </c>
      <c r="B50">
        <v>36</v>
      </c>
      <c r="C50" t="s">
        <v>11</v>
      </c>
      <c r="D50" t="s">
        <v>33</v>
      </c>
      <c r="E50" t="s">
        <v>40</v>
      </c>
      <c r="F50" s="1">
        <v>165.43</v>
      </c>
      <c r="G50" t="s">
        <v>31</v>
      </c>
      <c r="H50" t="s">
        <v>15</v>
      </c>
      <c r="I50" s="2">
        <v>4.5999999999999996</v>
      </c>
      <c r="J50" s="4">
        <v>24</v>
      </c>
      <c r="K50" s="3">
        <v>7</v>
      </c>
      <c r="L50" s="1">
        <f t="shared" si="0"/>
        <v>125.72680000000001</v>
      </c>
      <c r="M50" t="str" cm="1">
        <f t="array" ref="M50">_xlfn.IFS(B50&lt;18,"Under 18",B50 &lt;=25,"18-25",B50&lt;=35,"26-35",B50&lt;=45,"36-45",B50&lt;=60,"46-60",TRUE,"60+")</f>
        <v>36-45</v>
      </c>
      <c r="N50" t="str">
        <f t="shared" si="1"/>
        <v>Discounted</v>
      </c>
      <c r="O50" t="str">
        <f t="shared" si="2"/>
        <v>Returning</v>
      </c>
    </row>
    <row r="51" spans="1:15" x14ac:dyDescent="0.25">
      <c r="A51">
        <v>50</v>
      </c>
      <c r="B51">
        <v>42</v>
      </c>
      <c r="C51" t="s">
        <v>11</v>
      </c>
      <c r="D51" t="s">
        <v>33</v>
      </c>
      <c r="E51" t="s">
        <v>40</v>
      </c>
      <c r="F51" s="1">
        <v>222.12</v>
      </c>
      <c r="G51" t="s">
        <v>24</v>
      </c>
      <c r="H51" t="s">
        <v>15</v>
      </c>
      <c r="I51" s="2">
        <v>3.2</v>
      </c>
      <c r="J51" s="4">
        <v>18</v>
      </c>
      <c r="K51" s="3">
        <v>4</v>
      </c>
      <c r="L51" s="1">
        <f t="shared" si="0"/>
        <v>182.13840000000002</v>
      </c>
      <c r="M51" t="str" cm="1">
        <f t="array" ref="M51">_xlfn.IFS(B51&lt;18,"Under 18",B51 &lt;=25,"18-25",B51&lt;=35,"26-35",B51&lt;=45,"36-45",B51&lt;=60,"46-60",TRUE,"60+")</f>
        <v>36-45</v>
      </c>
      <c r="N51" t="str">
        <f t="shared" si="1"/>
        <v>Discounted</v>
      </c>
      <c r="O51" t="str">
        <f t="shared" si="2"/>
        <v>Returning</v>
      </c>
    </row>
    <row r="52" spans="1:15" x14ac:dyDescent="0.25">
      <c r="A52">
        <v>51</v>
      </c>
      <c r="B52">
        <v>36</v>
      </c>
      <c r="C52" t="s">
        <v>16</v>
      </c>
      <c r="D52" t="s">
        <v>22</v>
      </c>
      <c r="E52" t="s">
        <v>43</v>
      </c>
      <c r="F52" s="1">
        <v>270.44</v>
      </c>
      <c r="G52" t="s">
        <v>24</v>
      </c>
      <c r="H52" t="s">
        <v>15</v>
      </c>
      <c r="I52" s="2">
        <v>2.2999999999999998</v>
      </c>
      <c r="J52" s="4">
        <v>12</v>
      </c>
      <c r="K52" s="3">
        <v>6</v>
      </c>
      <c r="L52" s="1">
        <f t="shared" si="0"/>
        <v>237.9872</v>
      </c>
      <c r="M52" t="str" cm="1">
        <f t="array" ref="M52">_xlfn.IFS(B52&lt;18,"Under 18",B52 &lt;=25,"18-25",B52&lt;=35,"26-35",B52&lt;=45,"36-45",B52&lt;=60,"46-60",TRUE,"60+")</f>
        <v>36-45</v>
      </c>
      <c r="N52" t="str">
        <f t="shared" si="1"/>
        <v>Discounted</v>
      </c>
      <c r="O52" t="str">
        <f t="shared" si="2"/>
        <v>Returning</v>
      </c>
    </row>
    <row r="53" spans="1:15" x14ac:dyDescent="0.25">
      <c r="A53">
        <v>52</v>
      </c>
      <c r="B53">
        <v>25</v>
      </c>
      <c r="C53" t="s">
        <v>11</v>
      </c>
      <c r="D53" t="s">
        <v>41</v>
      </c>
      <c r="E53" t="s">
        <v>44</v>
      </c>
      <c r="F53" s="1">
        <v>90.54</v>
      </c>
      <c r="G53" t="s">
        <v>14</v>
      </c>
      <c r="H53" t="s">
        <v>37</v>
      </c>
      <c r="I53" s="2">
        <v>4.5999999999999996</v>
      </c>
      <c r="J53" s="4">
        <v>18</v>
      </c>
      <c r="K53" s="3">
        <v>4</v>
      </c>
      <c r="L53" s="1">
        <f t="shared" si="0"/>
        <v>74.242800000000017</v>
      </c>
      <c r="M53" t="str" cm="1">
        <f t="array" ref="M53">_xlfn.IFS(B53&lt;18,"Under 18",B53 &lt;=25,"18-25",B53&lt;=35,"26-35",B53&lt;=45,"36-45",B53&lt;=60,"46-60",TRUE,"60+")</f>
        <v>18-25</v>
      </c>
      <c r="N53" t="str">
        <f t="shared" si="1"/>
        <v>Discounted</v>
      </c>
      <c r="O53" t="str">
        <f t="shared" si="2"/>
        <v>Returning</v>
      </c>
    </row>
    <row r="54" spans="1:15" x14ac:dyDescent="0.25">
      <c r="A54">
        <v>53</v>
      </c>
      <c r="B54">
        <v>49</v>
      </c>
      <c r="C54" t="s">
        <v>16</v>
      </c>
      <c r="D54" t="s">
        <v>22</v>
      </c>
      <c r="E54" t="s">
        <v>52</v>
      </c>
      <c r="F54" s="1">
        <v>45.03</v>
      </c>
      <c r="G54" t="s">
        <v>31</v>
      </c>
      <c r="H54" t="s">
        <v>37</v>
      </c>
      <c r="I54" s="2">
        <v>3.9</v>
      </c>
      <c r="J54" s="4">
        <v>4</v>
      </c>
      <c r="K54" s="3">
        <v>2</v>
      </c>
      <c r="L54" s="1">
        <f t="shared" si="0"/>
        <v>43.2288</v>
      </c>
      <c r="M54" t="str" cm="1">
        <f t="array" ref="M54">_xlfn.IFS(B54&lt;18,"Under 18",B54 &lt;=25,"18-25",B54&lt;=35,"26-35",B54&lt;=45,"36-45",B54&lt;=60,"46-60",TRUE,"60+")</f>
        <v>46-60</v>
      </c>
      <c r="N54" t="str">
        <f t="shared" si="1"/>
        <v>Discounted</v>
      </c>
      <c r="O54" t="str">
        <f t="shared" si="2"/>
        <v>Returning</v>
      </c>
    </row>
    <row r="55" spans="1:15" x14ac:dyDescent="0.25">
      <c r="A55">
        <v>54</v>
      </c>
      <c r="B55">
        <v>25</v>
      </c>
      <c r="C55" t="s">
        <v>11</v>
      </c>
      <c r="D55" t="s">
        <v>33</v>
      </c>
      <c r="E55" t="s">
        <v>34</v>
      </c>
      <c r="F55" s="1">
        <v>180.42</v>
      </c>
      <c r="G55" t="s">
        <v>14</v>
      </c>
      <c r="H55" t="s">
        <v>15</v>
      </c>
      <c r="I55" s="2">
        <v>3.9</v>
      </c>
      <c r="J55" s="4">
        <v>22</v>
      </c>
      <c r="K55" s="3">
        <v>6</v>
      </c>
      <c r="L55" s="1">
        <f t="shared" si="0"/>
        <v>140.7276</v>
      </c>
      <c r="M55" t="str" cm="1">
        <f t="array" ref="M55">_xlfn.IFS(B55&lt;18,"Under 18",B55 &lt;=25,"18-25",B55&lt;=35,"26-35",B55&lt;=45,"36-45",B55&lt;=60,"46-60",TRUE,"60+")</f>
        <v>18-25</v>
      </c>
      <c r="N55" t="str">
        <f t="shared" si="1"/>
        <v>Discounted</v>
      </c>
      <c r="O55" t="str">
        <f t="shared" si="2"/>
        <v>Returning</v>
      </c>
    </row>
    <row r="56" spans="1:15" x14ac:dyDescent="0.25">
      <c r="A56">
        <v>55</v>
      </c>
      <c r="B56">
        <v>52</v>
      </c>
      <c r="C56" t="s">
        <v>11</v>
      </c>
      <c r="D56" t="s">
        <v>12</v>
      </c>
      <c r="E56" t="s">
        <v>13</v>
      </c>
      <c r="F56" s="1">
        <v>117.7</v>
      </c>
      <c r="G56" t="s">
        <v>24</v>
      </c>
      <c r="H56" t="s">
        <v>15</v>
      </c>
      <c r="I56" s="2">
        <v>3.1</v>
      </c>
      <c r="J56" s="4">
        <v>8</v>
      </c>
      <c r="K56" s="3">
        <v>4</v>
      </c>
      <c r="L56" s="1">
        <f t="shared" si="0"/>
        <v>108.28400000000001</v>
      </c>
      <c r="M56" t="str" cm="1">
        <f t="array" ref="M56">_xlfn.IFS(B56&lt;18,"Under 18",B56 &lt;=25,"18-25",B56&lt;=35,"26-35",B56&lt;=45,"36-45",B56&lt;=60,"46-60",TRUE,"60+")</f>
        <v>46-60</v>
      </c>
      <c r="N56" t="str">
        <f t="shared" si="1"/>
        <v>Discounted</v>
      </c>
      <c r="O56" t="str">
        <f t="shared" si="2"/>
        <v>Returning</v>
      </c>
    </row>
    <row r="57" spans="1:15" x14ac:dyDescent="0.25">
      <c r="A57">
        <v>56</v>
      </c>
      <c r="B57">
        <v>42</v>
      </c>
      <c r="C57" t="s">
        <v>11</v>
      </c>
      <c r="D57" t="s">
        <v>29</v>
      </c>
      <c r="E57" t="s">
        <v>51</v>
      </c>
      <c r="F57" s="1">
        <v>31.42</v>
      </c>
      <c r="G57" t="s">
        <v>31</v>
      </c>
      <c r="H57" t="s">
        <v>15</v>
      </c>
      <c r="I57" s="2">
        <v>2</v>
      </c>
      <c r="J57" s="4">
        <v>2</v>
      </c>
      <c r="K57" s="3">
        <v>1</v>
      </c>
      <c r="L57" s="1">
        <f t="shared" si="0"/>
        <v>30.791600000000003</v>
      </c>
      <c r="M57" t="str" cm="1">
        <f t="array" ref="M57">_xlfn.IFS(B57&lt;18,"Under 18",B57 &lt;=25,"18-25",B57&lt;=35,"26-35",B57&lt;=45,"36-45",B57&lt;=60,"46-60",TRUE,"60+")</f>
        <v>36-45</v>
      </c>
      <c r="N57" t="str">
        <f t="shared" si="1"/>
        <v>Discounted</v>
      </c>
      <c r="O57" t="str">
        <f t="shared" si="2"/>
        <v>Returning</v>
      </c>
    </row>
    <row r="58" spans="1:15" x14ac:dyDescent="0.25">
      <c r="A58">
        <v>57</v>
      </c>
      <c r="B58">
        <v>43</v>
      </c>
      <c r="C58" t="s">
        <v>11</v>
      </c>
      <c r="D58" t="s">
        <v>41</v>
      </c>
      <c r="E58" t="s">
        <v>44</v>
      </c>
      <c r="F58" s="1">
        <v>188.02</v>
      </c>
      <c r="G58" t="s">
        <v>14</v>
      </c>
      <c r="H58" t="s">
        <v>15</v>
      </c>
      <c r="I58" s="2">
        <v>4.2</v>
      </c>
      <c r="J58" s="4">
        <v>17</v>
      </c>
      <c r="K58" s="3">
        <v>6</v>
      </c>
      <c r="L58" s="1">
        <f t="shared" si="0"/>
        <v>156.0566</v>
      </c>
      <c r="M58" t="str" cm="1">
        <f t="array" ref="M58">_xlfn.IFS(B58&lt;18,"Under 18",B58 &lt;=25,"18-25",B58&lt;=35,"26-35",B58&lt;=45,"36-45",B58&lt;=60,"46-60",TRUE,"60+")</f>
        <v>36-45</v>
      </c>
      <c r="N58" t="str">
        <f t="shared" si="1"/>
        <v>Discounted</v>
      </c>
      <c r="O58" t="str">
        <f t="shared" si="2"/>
        <v>Returning</v>
      </c>
    </row>
    <row r="59" spans="1:15" x14ac:dyDescent="0.25">
      <c r="A59">
        <v>58</v>
      </c>
      <c r="B59">
        <v>49</v>
      </c>
      <c r="C59" t="s">
        <v>16</v>
      </c>
      <c r="D59" t="s">
        <v>25</v>
      </c>
      <c r="E59" t="s">
        <v>26</v>
      </c>
      <c r="F59" s="1">
        <v>54.89</v>
      </c>
      <c r="G59" t="s">
        <v>31</v>
      </c>
      <c r="H59" t="s">
        <v>15</v>
      </c>
      <c r="I59" s="2">
        <v>4.4000000000000004</v>
      </c>
      <c r="J59" s="4">
        <v>19</v>
      </c>
      <c r="K59" s="3">
        <v>7</v>
      </c>
      <c r="L59" s="1">
        <f t="shared" si="0"/>
        <v>44.460900000000002</v>
      </c>
      <c r="M59" t="str" cm="1">
        <f t="array" ref="M59">_xlfn.IFS(B59&lt;18,"Under 18",B59 &lt;=25,"18-25",B59&lt;=35,"26-35",B59&lt;=45,"36-45",B59&lt;=60,"46-60",TRUE,"60+")</f>
        <v>46-60</v>
      </c>
      <c r="N59" t="str">
        <f t="shared" si="1"/>
        <v>Discounted</v>
      </c>
      <c r="O59" t="str">
        <f t="shared" si="2"/>
        <v>Returning</v>
      </c>
    </row>
    <row r="60" spans="1:15" x14ac:dyDescent="0.25">
      <c r="A60">
        <v>59</v>
      </c>
      <c r="B60">
        <v>34</v>
      </c>
      <c r="C60" t="s">
        <v>16</v>
      </c>
      <c r="D60" t="s">
        <v>27</v>
      </c>
      <c r="E60" t="s">
        <v>53</v>
      </c>
      <c r="F60" s="1">
        <v>1459.73</v>
      </c>
      <c r="G60" t="s">
        <v>19</v>
      </c>
      <c r="H60" t="s">
        <v>15</v>
      </c>
      <c r="I60" s="2">
        <v>4</v>
      </c>
      <c r="J60" s="4">
        <v>24</v>
      </c>
      <c r="K60" s="3">
        <v>7</v>
      </c>
      <c r="L60" s="1">
        <f t="shared" si="0"/>
        <v>1109.3948</v>
      </c>
      <c r="M60" t="str" cm="1">
        <f t="array" ref="M60">_xlfn.IFS(B60&lt;18,"Under 18",B60 &lt;=25,"18-25",B60&lt;=35,"26-35",B60&lt;=45,"36-45",B60&lt;=60,"46-60",TRUE,"60+")</f>
        <v>26-35</v>
      </c>
      <c r="N60" t="str">
        <f t="shared" si="1"/>
        <v>Discounted</v>
      </c>
      <c r="O60" t="str">
        <f t="shared" si="2"/>
        <v>Returning</v>
      </c>
    </row>
    <row r="61" spans="1:15" x14ac:dyDescent="0.25">
      <c r="A61">
        <v>60</v>
      </c>
      <c r="B61">
        <v>58</v>
      </c>
      <c r="C61" t="s">
        <v>16</v>
      </c>
      <c r="D61" t="s">
        <v>17</v>
      </c>
      <c r="E61" t="s">
        <v>18</v>
      </c>
      <c r="F61" s="1">
        <v>82.99</v>
      </c>
      <c r="G61" t="s">
        <v>19</v>
      </c>
      <c r="H61" t="s">
        <v>37</v>
      </c>
      <c r="I61" s="2">
        <v>4.4000000000000004</v>
      </c>
      <c r="J61" s="4">
        <v>9</v>
      </c>
      <c r="K61" s="3">
        <v>2</v>
      </c>
      <c r="L61" s="1">
        <f t="shared" si="0"/>
        <v>75.520899999999997</v>
      </c>
      <c r="M61" t="str" cm="1">
        <f t="array" ref="M61">_xlfn.IFS(B61&lt;18,"Under 18",B61 &lt;=25,"18-25",B61&lt;=35,"26-35",B61&lt;=45,"36-45",B61&lt;=60,"46-60",TRUE,"60+")</f>
        <v>46-60</v>
      </c>
      <c r="N61" t="str">
        <f t="shared" si="1"/>
        <v>Discounted</v>
      </c>
      <c r="O61" t="str">
        <f t="shared" si="2"/>
        <v>Returning</v>
      </c>
    </row>
    <row r="62" spans="1:15" x14ac:dyDescent="0.25">
      <c r="A62">
        <v>61</v>
      </c>
      <c r="B62">
        <v>24</v>
      </c>
      <c r="C62" t="s">
        <v>16</v>
      </c>
      <c r="D62" t="s">
        <v>17</v>
      </c>
      <c r="E62" t="s">
        <v>42</v>
      </c>
      <c r="F62" s="1">
        <v>121.2</v>
      </c>
      <c r="G62" t="s">
        <v>31</v>
      </c>
      <c r="H62" t="s">
        <v>15</v>
      </c>
      <c r="I62" s="2">
        <v>4.3</v>
      </c>
      <c r="J62" s="4">
        <v>12</v>
      </c>
      <c r="K62" s="3">
        <v>6</v>
      </c>
      <c r="L62" s="1">
        <f t="shared" si="0"/>
        <v>106.65600000000001</v>
      </c>
      <c r="M62" t="str" cm="1">
        <f t="array" ref="M62">_xlfn.IFS(B62&lt;18,"Under 18",B62 &lt;=25,"18-25",B62&lt;=35,"26-35",B62&lt;=45,"36-45",B62&lt;=60,"46-60",TRUE,"60+")</f>
        <v>18-25</v>
      </c>
      <c r="N62" t="str">
        <f t="shared" si="1"/>
        <v>Discounted</v>
      </c>
      <c r="O62" t="str">
        <f t="shared" si="2"/>
        <v>Returning</v>
      </c>
    </row>
    <row r="63" spans="1:15" x14ac:dyDescent="0.25">
      <c r="A63">
        <v>62</v>
      </c>
      <c r="B63">
        <v>55</v>
      </c>
      <c r="C63" t="s">
        <v>11</v>
      </c>
      <c r="D63" t="s">
        <v>12</v>
      </c>
      <c r="E63" t="s">
        <v>13</v>
      </c>
      <c r="F63" s="1">
        <v>152.29</v>
      </c>
      <c r="G63" t="s">
        <v>24</v>
      </c>
      <c r="H63" t="s">
        <v>15</v>
      </c>
      <c r="I63" s="2">
        <v>4.7</v>
      </c>
      <c r="J63" s="4">
        <v>15</v>
      </c>
      <c r="K63" s="3">
        <v>5</v>
      </c>
      <c r="L63" s="1">
        <f t="shared" si="0"/>
        <v>129.44649999999999</v>
      </c>
      <c r="M63" t="str" cm="1">
        <f t="array" ref="M63">_xlfn.IFS(B63&lt;18,"Under 18",B63 &lt;=25,"18-25",B63&lt;=35,"26-35",B63&lt;=45,"36-45",B63&lt;=60,"46-60",TRUE,"60+")</f>
        <v>46-60</v>
      </c>
      <c r="N63" t="str">
        <f t="shared" si="1"/>
        <v>Discounted</v>
      </c>
      <c r="O63" t="str">
        <f t="shared" si="2"/>
        <v>Returning</v>
      </c>
    </row>
    <row r="64" spans="1:15" x14ac:dyDescent="0.25">
      <c r="A64">
        <v>63</v>
      </c>
      <c r="B64">
        <v>59</v>
      </c>
      <c r="C64" t="s">
        <v>11</v>
      </c>
      <c r="D64" t="s">
        <v>25</v>
      </c>
      <c r="E64" t="s">
        <v>26</v>
      </c>
      <c r="F64" s="1">
        <v>59.46</v>
      </c>
      <c r="G64" t="s">
        <v>24</v>
      </c>
      <c r="H64" t="s">
        <v>37</v>
      </c>
      <c r="I64" s="2">
        <v>4</v>
      </c>
      <c r="J64" s="4">
        <v>18</v>
      </c>
      <c r="K64" s="3">
        <v>4</v>
      </c>
      <c r="L64" s="1">
        <f t="shared" si="0"/>
        <v>48.757200000000005</v>
      </c>
      <c r="M64" t="str" cm="1">
        <f t="array" ref="M64">_xlfn.IFS(B64&lt;18,"Under 18",B64 &lt;=25,"18-25",B64&lt;=35,"26-35",B64&lt;=45,"36-45",B64&lt;=60,"46-60",TRUE,"60+")</f>
        <v>46-60</v>
      </c>
      <c r="N64" t="str">
        <f t="shared" si="1"/>
        <v>Discounted</v>
      </c>
      <c r="O64" t="str">
        <f t="shared" si="2"/>
        <v>Returning</v>
      </c>
    </row>
    <row r="65" spans="1:15" x14ac:dyDescent="0.25">
      <c r="A65">
        <v>64</v>
      </c>
      <c r="B65">
        <v>70</v>
      </c>
      <c r="C65" t="s">
        <v>16</v>
      </c>
      <c r="D65" t="s">
        <v>25</v>
      </c>
      <c r="E65" t="s">
        <v>54</v>
      </c>
      <c r="F65" s="1">
        <v>73.3</v>
      </c>
      <c r="G65" t="s">
        <v>24</v>
      </c>
      <c r="H65" t="s">
        <v>15</v>
      </c>
      <c r="I65" s="2">
        <v>2.9</v>
      </c>
      <c r="J65" s="4">
        <v>9</v>
      </c>
      <c r="K65" s="3">
        <v>2</v>
      </c>
      <c r="L65" s="1">
        <f t="shared" si="0"/>
        <v>66.703000000000003</v>
      </c>
      <c r="M65" t="str" cm="1">
        <f t="array" ref="M65">_xlfn.IFS(B65&lt;18,"Under 18",B65 &lt;=25,"18-25",B65&lt;=35,"26-35",B65&lt;=45,"36-45",B65&lt;=60,"46-60",TRUE,"60+")</f>
        <v>60+</v>
      </c>
      <c r="N65" t="str">
        <f t="shared" si="1"/>
        <v>Discounted</v>
      </c>
      <c r="O65" t="str">
        <f t="shared" si="2"/>
        <v>Returning</v>
      </c>
    </row>
    <row r="66" spans="1:15" x14ac:dyDescent="0.25">
      <c r="A66">
        <v>65</v>
      </c>
      <c r="B66">
        <v>20</v>
      </c>
      <c r="C66" t="s">
        <v>16</v>
      </c>
      <c r="D66" t="s">
        <v>33</v>
      </c>
      <c r="E66" t="s">
        <v>38</v>
      </c>
      <c r="F66" s="1">
        <v>123.79</v>
      </c>
      <c r="G66" t="s">
        <v>19</v>
      </c>
      <c r="H66" t="s">
        <v>15</v>
      </c>
      <c r="I66" s="2">
        <v>3.5</v>
      </c>
      <c r="J66" s="4">
        <v>6</v>
      </c>
      <c r="K66" s="3">
        <v>3</v>
      </c>
      <c r="L66" s="1">
        <f t="shared" si="0"/>
        <v>116.3626</v>
      </c>
      <c r="M66" t="str" cm="1">
        <f t="array" ref="M66">_xlfn.IFS(B66&lt;18,"Under 18",B66 &lt;=25,"18-25",B66&lt;=35,"26-35",B66&lt;=45,"36-45",B66&lt;=60,"46-60",TRUE,"60+")</f>
        <v>18-25</v>
      </c>
      <c r="N66" t="str">
        <f t="shared" si="1"/>
        <v>Discounted</v>
      </c>
      <c r="O66" t="str">
        <f t="shared" si="2"/>
        <v>Returning</v>
      </c>
    </row>
    <row r="67" spans="1:15" x14ac:dyDescent="0.25">
      <c r="A67">
        <v>66</v>
      </c>
      <c r="B67">
        <v>30</v>
      </c>
      <c r="C67" t="s">
        <v>11</v>
      </c>
      <c r="D67" t="s">
        <v>41</v>
      </c>
      <c r="E67" t="s">
        <v>44</v>
      </c>
      <c r="F67" s="1">
        <v>155.38</v>
      </c>
      <c r="G67" t="s">
        <v>31</v>
      </c>
      <c r="H67" t="s">
        <v>15</v>
      </c>
      <c r="I67" s="2">
        <v>3</v>
      </c>
      <c r="J67" s="4">
        <v>6</v>
      </c>
      <c r="K67" s="3">
        <v>3</v>
      </c>
      <c r="L67" s="1">
        <f t="shared" ref="L67:L130" si="3">F67 * (1 - J67 / 100)</f>
        <v>146.05719999999999</v>
      </c>
      <c r="M67" t="str" cm="1">
        <f t="array" ref="M67">_xlfn.IFS(B67&lt;18,"Under 18",B67 &lt;=25,"18-25",B67&lt;=35,"26-35",B67&lt;=45,"36-45",B67&lt;=60,"46-60",TRUE,"60+")</f>
        <v>26-35</v>
      </c>
      <c r="N67" t="str">
        <f t="shared" ref="N67:N130" si="4">IF(J67&gt;0,"Discounted","No Discount")</f>
        <v>Discounted</v>
      </c>
      <c r="O67" t="str">
        <f t="shared" ref="O67:O130" si="5">IF(K67&gt;0,"Returning","New")</f>
        <v>Returning</v>
      </c>
    </row>
    <row r="68" spans="1:15" x14ac:dyDescent="0.25">
      <c r="A68">
        <v>67</v>
      </c>
      <c r="B68">
        <v>25</v>
      </c>
      <c r="C68" t="s">
        <v>16</v>
      </c>
      <c r="D68" t="s">
        <v>27</v>
      </c>
      <c r="E68" t="s">
        <v>49</v>
      </c>
      <c r="F68" s="1">
        <v>1951.47</v>
      </c>
      <c r="G68" t="s">
        <v>14</v>
      </c>
      <c r="H68" t="s">
        <v>15</v>
      </c>
      <c r="I68" s="2">
        <v>3.8</v>
      </c>
      <c r="J68" s="4">
        <v>14</v>
      </c>
      <c r="K68" s="3">
        <v>2</v>
      </c>
      <c r="L68" s="1">
        <f t="shared" si="3"/>
        <v>1678.2642000000001</v>
      </c>
      <c r="M68" t="str" cm="1">
        <f t="array" ref="M68">_xlfn.IFS(B68&lt;18,"Under 18",B68 &lt;=25,"18-25",B68&lt;=35,"26-35",B68&lt;=45,"36-45",B68&lt;=60,"46-60",TRUE,"60+")</f>
        <v>18-25</v>
      </c>
      <c r="N68" t="str">
        <f t="shared" si="4"/>
        <v>Discounted</v>
      </c>
      <c r="O68" t="str">
        <f t="shared" si="5"/>
        <v>Returning</v>
      </c>
    </row>
    <row r="69" spans="1:15" x14ac:dyDescent="0.25">
      <c r="A69">
        <v>68</v>
      </c>
      <c r="B69">
        <v>41</v>
      </c>
      <c r="C69" t="s">
        <v>11</v>
      </c>
      <c r="D69" t="s">
        <v>33</v>
      </c>
      <c r="E69" t="s">
        <v>40</v>
      </c>
      <c r="F69" s="1">
        <v>102.92</v>
      </c>
      <c r="G69" t="s">
        <v>19</v>
      </c>
      <c r="H69" t="s">
        <v>15</v>
      </c>
      <c r="I69" s="2">
        <v>4</v>
      </c>
      <c r="J69" s="4">
        <v>12</v>
      </c>
      <c r="K69" s="3">
        <v>6</v>
      </c>
      <c r="L69" s="1">
        <f t="shared" si="3"/>
        <v>90.569600000000008</v>
      </c>
      <c r="M69" t="str" cm="1">
        <f t="array" ref="M69">_xlfn.IFS(B69&lt;18,"Under 18",B69 &lt;=25,"18-25",B69&lt;=35,"26-35",B69&lt;=45,"36-45",B69&lt;=60,"46-60",TRUE,"60+")</f>
        <v>36-45</v>
      </c>
      <c r="N69" t="str">
        <f t="shared" si="4"/>
        <v>Discounted</v>
      </c>
      <c r="O69" t="str">
        <f t="shared" si="5"/>
        <v>Returning</v>
      </c>
    </row>
    <row r="70" spans="1:15" x14ac:dyDescent="0.25">
      <c r="A70">
        <v>69</v>
      </c>
      <c r="B70">
        <v>35</v>
      </c>
      <c r="C70" t="s">
        <v>11</v>
      </c>
      <c r="D70" t="s">
        <v>29</v>
      </c>
      <c r="E70" t="s">
        <v>51</v>
      </c>
      <c r="F70" s="1">
        <v>112.83</v>
      </c>
      <c r="G70" t="s">
        <v>19</v>
      </c>
      <c r="H70" t="s">
        <v>15</v>
      </c>
      <c r="I70" s="2">
        <v>3.8</v>
      </c>
      <c r="J70" s="4">
        <v>10</v>
      </c>
      <c r="K70" s="3">
        <v>5</v>
      </c>
      <c r="L70" s="1">
        <f t="shared" si="3"/>
        <v>101.547</v>
      </c>
      <c r="M70" t="str" cm="1">
        <f t="array" ref="M70">_xlfn.IFS(B70&lt;18,"Under 18",B70 &lt;=25,"18-25",B70&lt;=35,"26-35",B70&lt;=45,"36-45",B70&lt;=60,"46-60",TRUE,"60+")</f>
        <v>26-35</v>
      </c>
      <c r="N70" t="str">
        <f t="shared" si="4"/>
        <v>Discounted</v>
      </c>
      <c r="O70" t="str">
        <f t="shared" si="5"/>
        <v>Returning</v>
      </c>
    </row>
    <row r="71" spans="1:15" x14ac:dyDescent="0.25">
      <c r="A71">
        <v>70</v>
      </c>
      <c r="B71">
        <v>29</v>
      </c>
      <c r="C71" t="s">
        <v>16</v>
      </c>
      <c r="D71" t="s">
        <v>20</v>
      </c>
      <c r="E71" t="s">
        <v>21</v>
      </c>
      <c r="F71" s="1">
        <v>30.71</v>
      </c>
      <c r="G71" t="s">
        <v>14</v>
      </c>
      <c r="H71" t="s">
        <v>15</v>
      </c>
      <c r="I71" s="2">
        <v>3.7</v>
      </c>
      <c r="J71" s="4">
        <v>16</v>
      </c>
      <c r="K71" s="3">
        <v>3</v>
      </c>
      <c r="L71" s="1">
        <f t="shared" si="3"/>
        <v>25.796399999999998</v>
      </c>
      <c r="M71" t="str" cm="1">
        <f t="array" ref="M71">_xlfn.IFS(B71&lt;18,"Under 18",B71 &lt;=25,"18-25",B71&lt;=35,"26-35",B71&lt;=45,"36-45",B71&lt;=60,"46-60",TRUE,"60+")</f>
        <v>26-35</v>
      </c>
      <c r="N71" t="str">
        <f t="shared" si="4"/>
        <v>Discounted</v>
      </c>
      <c r="O71" t="str">
        <f t="shared" si="5"/>
        <v>Returning</v>
      </c>
    </row>
    <row r="72" spans="1:15" x14ac:dyDescent="0.25">
      <c r="A72">
        <v>71</v>
      </c>
      <c r="B72">
        <v>42</v>
      </c>
      <c r="C72" t="s">
        <v>16</v>
      </c>
      <c r="D72" t="s">
        <v>20</v>
      </c>
      <c r="E72" t="s">
        <v>36</v>
      </c>
      <c r="F72" s="1">
        <v>101.34</v>
      </c>
      <c r="G72" t="s">
        <v>19</v>
      </c>
      <c r="H72" t="s">
        <v>15</v>
      </c>
      <c r="I72" s="2">
        <v>3</v>
      </c>
      <c r="J72" s="4">
        <v>32</v>
      </c>
      <c r="K72" s="3">
        <v>11</v>
      </c>
      <c r="L72" s="1">
        <f t="shared" si="3"/>
        <v>68.911199999999994</v>
      </c>
      <c r="M72" t="str" cm="1">
        <f t="array" ref="M72">_xlfn.IFS(B72&lt;18,"Under 18",B72 &lt;=25,"18-25",B72&lt;=35,"26-35",B72&lt;=45,"36-45",B72&lt;=60,"46-60",TRUE,"60+")</f>
        <v>36-45</v>
      </c>
      <c r="N72" t="str">
        <f t="shared" si="4"/>
        <v>Discounted</v>
      </c>
      <c r="O72" t="str">
        <f t="shared" si="5"/>
        <v>Returning</v>
      </c>
    </row>
    <row r="73" spans="1:15" x14ac:dyDescent="0.25">
      <c r="A73">
        <v>72</v>
      </c>
      <c r="B73">
        <v>20</v>
      </c>
      <c r="C73" t="s">
        <v>16</v>
      </c>
      <c r="D73" t="s">
        <v>33</v>
      </c>
      <c r="E73" t="s">
        <v>34</v>
      </c>
      <c r="F73" s="1">
        <v>213.27</v>
      </c>
      <c r="G73" t="s">
        <v>24</v>
      </c>
      <c r="H73" t="s">
        <v>15</v>
      </c>
      <c r="I73" s="2">
        <v>5</v>
      </c>
      <c r="J73" s="4">
        <v>11</v>
      </c>
      <c r="K73" s="3">
        <v>3</v>
      </c>
      <c r="L73" s="1">
        <f t="shared" si="3"/>
        <v>189.81030000000001</v>
      </c>
      <c r="M73" t="str" cm="1">
        <f t="array" ref="M73">_xlfn.IFS(B73&lt;18,"Under 18",B73 &lt;=25,"18-25",B73&lt;=35,"26-35",B73&lt;=45,"36-45",B73&lt;=60,"46-60",TRUE,"60+")</f>
        <v>18-25</v>
      </c>
      <c r="N73" t="str">
        <f t="shared" si="4"/>
        <v>Discounted</v>
      </c>
      <c r="O73" t="str">
        <f t="shared" si="5"/>
        <v>Returning</v>
      </c>
    </row>
    <row r="74" spans="1:15" x14ac:dyDescent="0.25">
      <c r="A74">
        <v>73</v>
      </c>
      <c r="B74">
        <v>53</v>
      </c>
      <c r="C74" t="s">
        <v>16</v>
      </c>
      <c r="D74" t="s">
        <v>20</v>
      </c>
      <c r="E74" t="s">
        <v>36</v>
      </c>
      <c r="F74" s="1">
        <v>196.81</v>
      </c>
      <c r="G74" t="s">
        <v>24</v>
      </c>
      <c r="H74" t="s">
        <v>15</v>
      </c>
      <c r="I74" s="2">
        <v>4.4000000000000004</v>
      </c>
      <c r="J74" s="4">
        <v>17</v>
      </c>
      <c r="K74" s="3">
        <v>6</v>
      </c>
      <c r="L74" s="1">
        <f t="shared" si="3"/>
        <v>163.35229999999999</v>
      </c>
      <c r="M74" t="str" cm="1">
        <f t="array" ref="M74">_xlfn.IFS(B74&lt;18,"Under 18",B74 &lt;=25,"18-25",B74&lt;=35,"26-35",B74&lt;=45,"36-45",B74&lt;=60,"46-60",TRUE,"60+")</f>
        <v>46-60</v>
      </c>
      <c r="N74" t="str">
        <f t="shared" si="4"/>
        <v>Discounted</v>
      </c>
      <c r="O74" t="str">
        <f t="shared" si="5"/>
        <v>Returning</v>
      </c>
    </row>
    <row r="75" spans="1:15" x14ac:dyDescent="0.25">
      <c r="A75">
        <v>74</v>
      </c>
      <c r="B75">
        <v>58</v>
      </c>
      <c r="C75" t="s">
        <v>16</v>
      </c>
      <c r="D75" t="s">
        <v>20</v>
      </c>
      <c r="E75" t="s">
        <v>36</v>
      </c>
      <c r="F75" s="1">
        <v>246.49</v>
      </c>
      <c r="G75" t="s">
        <v>14</v>
      </c>
      <c r="H75" t="s">
        <v>15</v>
      </c>
      <c r="I75" s="2">
        <v>4.5</v>
      </c>
      <c r="J75" s="4">
        <v>11</v>
      </c>
      <c r="K75" s="3">
        <v>3</v>
      </c>
      <c r="L75" s="1">
        <f t="shared" si="3"/>
        <v>219.37610000000001</v>
      </c>
      <c r="M75" t="str" cm="1">
        <f t="array" ref="M75">_xlfn.IFS(B75&lt;18,"Under 18",B75 &lt;=25,"18-25",B75&lt;=35,"26-35",B75&lt;=45,"36-45",B75&lt;=60,"46-60",TRUE,"60+")</f>
        <v>46-60</v>
      </c>
      <c r="N75" t="str">
        <f t="shared" si="4"/>
        <v>Discounted</v>
      </c>
      <c r="O75" t="str">
        <f t="shared" si="5"/>
        <v>Returning</v>
      </c>
    </row>
    <row r="76" spans="1:15" x14ac:dyDescent="0.25">
      <c r="A76">
        <v>75</v>
      </c>
      <c r="B76">
        <v>40</v>
      </c>
      <c r="C76" t="s">
        <v>11</v>
      </c>
      <c r="D76" t="s">
        <v>41</v>
      </c>
      <c r="E76" t="s">
        <v>45</v>
      </c>
      <c r="F76" s="1">
        <v>124.21</v>
      </c>
      <c r="G76" t="s">
        <v>31</v>
      </c>
      <c r="H76" t="s">
        <v>15</v>
      </c>
      <c r="I76" s="2">
        <v>3</v>
      </c>
      <c r="J76" s="4">
        <v>6</v>
      </c>
      <c r="K76" s="3">
        <v>3</v>
      </c>
      <c r="L76" s="1">
        <f t="shared" si="3"/>
        <v>116.75739999999999</v>
      </c>
      <c r="M76" t="str" cm="1">
        <f t="array" ref="M76">_xlfn.IFS(B76&lt;18,"Under 18",B76 &lt;=25,"18-25",B76&lt;=35,"26-35",B76&lt;=45,"36-45",B76&lt;=60,"46-60",TRUE,"60+")</f>
        <v>36-45</v>
      </c>
      <c r="N76" t="str">
        <f t="shared" si="4"/>
        <v>Discounted</v>
      </c>
      <c r="O76" t="str">
        <f t="shared" si="5"/>
        <v>Returning</v>
      </c>
    </row>
    <row r="77" spans="1:15" x14ac:dyDescent="0.25">
      <c r="A77">
        <v>76</v>
      </c>
      <c r="B77">
        <v>59</v>
      </c>
      <c r="C77" t="s">
        <v>11</v>
      </c>
      <c r="D77" t="s">
        <v>29</v>
      </c>
      <c r="E77" t="s">
        <v>55</v>
      </c>
      <c r="F77" s="1">
        <v>42.8</v>
      </c>
      <c r="G77" t="s">
        <v>24</v>
      </c>
      <c r="H77" t="s">
        <v>15</v>
      </c>
      <c r="I77" s="2">
        <v>3.1</v>
      </c>
      <c r="J77" s="4">
        <v>13</v>
      </c>
      <c r="K77" s="3">
        <v>4</v>
      </c>
      <c r="L77" s="1">
        <f t="shared" si="3"/>
        <v>37.235999999999997</v>
      </c>
      <c r="M77" t="str" cm="1">
        <f t="array" ref="M77">_xlfn.IFS(B77&lt;18,"Under 18",B77 &lt;=25,"18-25",B77&lt;=35,"26-35",B77&lt;=45,"36-45",B77&lt;=60,"46-60",TRUE,"60+")</f>
        <v>46-60</v>
      </c>
      <c r="N77" t="str">
        <f t="shared" si="4"/>
        <v>Discounted</v>
      </c>
      <c r="O77" t="str">
        <f t="shared" si="5"/>
        <v>Returning</v>
      </c>
    </row>
    <row r="78" spans="1:15" x14ac:dyDescent="0.25">
      <c r="A78">
        <v>77</v>
      </c>
      <c r="B78">
        <v>70</v>
      </c>
      <c r="C78" t="s">
        <v>16</v>
      </c>
      <c r="D78" t="s">
        <v>17</v>
      </c>
      <c r="E78" t="s">
        <v>18</v>
      </c>
      <c r="F78" s="1">
        <v>96.18</v>
      </c>
      <c r="G78" t="s">
        <v>14</v>
      </c>
      <c r="H78" t="s">
        <v>15</v>
      </c>
      <c r="I78" s="2">
        <v>2.7</v>
      </c>
      <c r="J78" s="4">
        <v>20</v>
      </c>
      <c r="K78" s="3">
        <v>5</v>
      </c>
      <c r="L78" s="1">
        <f t="shared" si="3"/>
        <v>76.944000000000017</v>
      </c>
      <c r="M78" t="str" cm="1">
        <f t="array" ref="M78">_xlfn.IFS(B78&lt;18,"Under 18",B78 &lt;=25,"18-25",B78&lt;=35,"26-35",B78&lt;=45,"36-45",B78&lt;=60,"46-60",TRUE,"60+")</f>
        <v>60+</v>
      </c>
      <c r="N78" t="str">
        <f t="shared" si="4"/>
        <v>Discounted</v>
      </c>
      <c r="O78" t="str">
        <f t="shared" si="5"/>
        <v>Returning</v>
      </c>
    </row>
    <row r="79" spans="1:15" x14ac:dyDescent="0.25">
      <c r="A79">
        <v>78</v>
      </c>
      <c r="B79">
        <v>38</v>
      </c>
      <c r="C79" t="s">
        <v>16</v>
      </c>
      <c r="D79" t="s">
        <v>27</v>
      </c>
      <c r="E79" t="s">
        <v>28</v>
      </c>
      <c r="F79" s="1">
        <v>2888.09</v>
      </c>
      <c r="G79" t="s">
        <v>24</v>
      </c>
      <c r="H79" t="s">
        <v>15</v>
      </c>
      <c r="I79" s="2">
        <v>3.6</v>
      </c>
      <c r="J79" s="4">
        <v>8</v>
      </c>
      <c r="K79" s="3">
        <v>4</v>
      </c>
      <c r="L79" s="1">
        <f t="shared" si="3"/>
        <v>2657.0428000000002</v>
      </c>
      <c r="M79" t="str" cm="1">
        <f t="array" ref="M79">_xlfn.IFS(B79&lt;18,"Under 18",B79 &lt;=25,"18-25",B79&lt;=35,"26-35",B79&lt;=45,"36-45",B79&lt;=60,"46-60",TRUE,"60+")</f>
        <v>36-45</v>
      </c>
      <c r="N79" t="str">
        <f t="shared" si="4"/>
        <v>Discounted</v>
      </c>
      <c r="O79" t="str">
        <f t="shared" si="5"/>
        <v>Returning</v>
      </c>
    </row>
    <row r="80" spans="1:15" x14ac:dyDescent="0.25">
      <c r="A80">
        <v>79</v>
      </c>
      <c r="B80">
        <v>62</v>
      </c>
      <c r="C80" t="s">
        <v>11</v>
      </c>
      <c r="D80" t="s">
        <v>12</v>
      </c>
      <c r="E80" t="s">
        <v>50</v>
      </c>
      <c r="F80" s="1">
        <v>151.06</v>
      </c>
      <c r="G80" t="s">
        <v>14</v>
      </c>
      <c r="H80" t="s">
        <v>15</v>
      </c>
      <c r="I80" s="2">
        <v>4.0999999999999996</v>
      </c>
      <c r="J80" s="4">
        <v>20</v>
      </c>
      <c r="K80" s="3">
        <v>5</v>
      </c>
      <c r="L80" s="1">
        <f t="shared" si="3"/>
        <v>120.84800000000001</v>
      </c>
      <c r="M80" t="str" cm="1">
        <f t="array" ref="M80">_xlfn.IFS(B80&lt;18,"Under 18",B80 &lt;=25,"18-25",B80&lt;=35,"26-35",B80&lt;=45,"36-45",B80&lt;=60,"46-60",TRUE,"60+")</f>
        <v>60+</v>
      </c>
      <c r="N80" t="str">
        <f t="shared" si="4"/>
        <v>Discounted</v>
      </c>
      <c r="O80" t="str">
        <f t="shared" si="5"/>
        <v>Returning</v>
      </c>
    </row>
    <row r="81" spans="1:15" x14ac:dyDescent="0.25">
      <c r="A81">
        <v>80</v>
      </c>
      <c r="B81">
        <v>35</v>
      </c>
      <c r="C81" t="s">
        <v>11</v>
      </c>
      <c r="D81" t="s">
        <v>12</v>
      </c>
      <c r="E81" t="s">
        <v>13</v>
      </c>
      <c r="F81" s="1">
        <v>141.44999999999999</v>
      </c>
      <c r="G81" t="s">
        <v>14</v>
      </c>
      <c r="H81" t="s">
        <v>15</v>
      </c>
      <c r="I81" s="2">
        <v>5</v>
      </c>
      <c r="J81" s="4">
        <v>19</v>
      </c>
      <c r="K81" s="3">
        <v>7</v>
      </c>
      <c r="L81" s="1">
        <f t="shared" si="3"/>
        <v>114.5745</v>
      </c>
      <c r="M81" t="str" cm="1">
        <f t="array" ref="M81">_xlfn.IFS(B81&lt;18,"Under 18",B81 &lt;=25,"18-25",B81&lt;=35,"26-35",B81&lt;=45,"36-45",B81&lt;=60,"46-60",TRUE,"60+")</f>
        <v>26-35</v>
      </c>
      <c r="N81" t="str">
        <f t="shared" si="4"/>
        <v>Discounted</v>
      </c>
      <c r="O81" t="str">
        <f t="shared" si="5"/>
        <v>Returning</v>
      </c>
    </row>
    <row r="82" spans="1:15" x14ac:dyDescent="0.25">
      <c r="A82">
        <v>81</v>
      </c>
      <c r="B82">
        <v>26</v>
      </c>
      <c r="C82" t="s">
        <v>16</v>
      </c>
      <c r="D82" t="s">
        <v>25</v>
      </c>
      <c r="E82" t="s">
        <v>54</v>
      </c>
      <c r="F82" s="1">
        <v>73.66</v>
      </c>
      <c r="G82" t="s">
        <v>19</v>
      </c>
      <c r="H82" t="s">
        <v>15</v>
      </c>
      <c r="I82" s="2">
        <v>4.7</v>
      </c>
      <c r="J82" s="4">
        <v>11</v>
      </c>
      <c r="K82" s="3">
        <v>3</v>
      </c>
      <c r="L82" s="1">
        <f t="shared" si="3"/>
        <v>65.557400000000001</v>
      </c>
      <c r="M82" t="str" cm="1">
        <f t="array" ref="M82">_xlfn.IFS(B82&lt;18,"Under 18",B82 &lt;=25,"18-25",B82&lt;=35,"26-35",B82&lt;=45,"36-45",B82&lt;=60,"46-60",TRUE,"60+")</f>
        <v>26-35</v>
      </c>
      <c r="N82" t="str">
        <f t="shared" si="4"/>
        <v>Discounted</v>
      </c>
      <c r="O82" t="str">
        <f t="shared" si="5"/>
        <v>Returning</v>
      </c>
    </row>
    <row r="83" spans="1:15" x14ac:dyDescent="0.25">
      <c r="A83">
        <v>82</v>
      </c>
      <c r="B83">
        <v>58</v>
      </c>
      <c r="C83" t="s">
        <v>16</v>
      </c>
      <c r="D83" t="s">
        <v>17</v>
      </c>
      <c r="E83" t="s">
        <v>48</v>
      </c>
      <c r="F83" s="1">
        <v>36.29</v>
      </c>
      <c r="G83" t="s">
        <v>14</v>
      </c>
      <c r="H83" t="s">
        <v>15</v>
      </c>
      <c r="I83" s="2">
        <v>3.4</v>
      </c>
      <c r="J83" s="4">
        <v>6</v>
      </c>
      <c r="K83" s="3">
        <v>3</v>
      </c>
      <c r="L83" s="1">
        <f t="shared" si="3"/>
        <v>34.1126</v>
      </c>
      <c r="M83" t="str" cm="1">
        <f t="array" ref="M83">_xlfn.IFS(B83&lt;18,"Under 18",B83 &lt;=25,"18-25",B83&lt;=35,"26-35",B83&lt;=45,"36-45",B83&lt;=60,"46-60",TRUE,"60+")</f>
        <v>46-60</v>
      </c>
      <c r="N83" t="str">
        <f t="shared" si="4"/>
        <v>Discounted</v>
      </c>
      <c r="O83" t="str">
        <f t="shared" si="5"/>
        <v>Returning</v>
      </c>
    </row>
    <row r="84" spans="1:15" x14ac:dyDescent="0.25">
      <c r="A84">
        <v>83</v>
      </c>
      <c r="B84">
        <v>45</v>
      </c>
      <c r="C84" t="s">
        <v>16</v>
      </c>
      <c r="D84" t="s">
        <v>33</v>
      </c>
      <c r="E84" t="s">
        <v>38</v>
      </c>
      <c r="F84" s="1">
        <v>208.84</v>
      </c>
      <c r="G84" t="s">
        <v>31</v>
      </c>
      <c r="H84" t="s">
        <v>15</v>
      </c>
      <c r="I84" s="2">
        <v>4.4000000000000004</v>
      </c>
      <c r="J84" s="4">
        <v>18</v>
      </c>
      <c r="K84" s="3">
        <v>9</v>
      </c>
      <c r="L84" s="1">
        <f t="shared" si="3"/>
        <v>171.24880000000002</v>
      </c>
      <c r="M84" t="str" cm="1">
        <f t="array" ref="M84">_xlfn.IFS(B84&lt;18,"Under 18",B84 &lt;=25,"18-25",B84&lt;=35,"26-35",B84&lt;=45,"36-45",B84&lt;=60,"46-60",TRUE,"60+")</f>
        <v>36-45</v>
      </c>
      <c r="N84" t="str">
        <f t="shared" si="4"/>
        <v>Discounted</v>
      </c>
      <c r="O84" t="str">
        <f t="shared" si="5"/>
        <v>Returning</v>
      </c>
    </row>
    <row r="85" spans="1:15" x14ac:dyDescent="0.25">
      <c r="A85">
        <v>84</v>
      </c>
      <c r="B85">
        <v>58</v>
      </c>
      <c r="C85" t="s">
        <v>11</v>
      </c>
      <c r="D85" t="s">
        <v>41</v>
      </c>
      <c r="E85" t="s">
        <v>46</v>
      </c>
      <c r="F85" s="1">
        <v>98.33</v>
      </c>
      <c r="G85" t="s">
        <v>19</v>
      </c>
      <c r="H85" t="s">
        <v>15</v>
      </c>
      <c r="I85" s="2">
        <v>4.0999999999999996</v>
      </c>
      <c r="J85" s="4">
        <v>26</v>
      </c>
      <c r="K85" s="3">
        <v>8</v>
      </c>
      <c r="L85" s="1">
        <f t="shared" si="3"/>
        <v>72.764200000000002</v>
      </c>
      <c r="M85" t="str" cm="1">
        <f t="array" ref="M85">_xlfn.IFS(B85&lt;18,"Under 18",B85 &lt;=25,"18-25",B85&lt;=35,"26-35",B85&lt;=45,"36-45",B85&lt;=60,"46-60",TRUE,"60+")</f>
        <v>46-60</v>
      </c>
      <c r="N85" t="str">
        <f t="shared" si="4"/>
        <v>Discounted</v>
      </c>
      <c r="O85" t="str">
        <f t="shared" si="5"/>
        <v>Returning</v>
      </c>
    </row>
    <row r="86" spans="1:15" x14ac:dyDescent="0.25">
      <c r="A86">
        <v>85</v>
      </c>
      <c r="B86">
        <v>49</v>
      </c>
      <c r="C86" t="s">
        <v>11</v>
      </c>
      <c r="D86" t="s">
        <v>41</v>
      </c>
      <c r="E86" t="s">
        <v>46</v>
      </c>
      <c r="F86" s="1">
        <v>37.159999999999997</v>
      </c>
      <c r="G86" t="s">
        <v>31</v>
      </c>
      <c r="H86" t="s">
        <v>37</v>
      </c>
      <c r="I86" s="2">
        <v>3.7</v>
      </c>
      <c r="J86" s="4">
        <v>16</v>
      </c>
      <c r="K86" s="3">
        <v>3</v>
      </c>
      <c r="L86" s="1">
        <f t="shared" si="3"/>
        <v>31.214399999999998</v>
      </c>
      <c r="M86" t="str" cm="1">
        <f t="array" ref="M86">_xlfn.IFS(B86&lt;18,"Under 18",B86 &lt;=25,"18-25",B86&lt;=35,"26-35",B86&lt;=45,"36-45",B86&lt;=60,"46-60",TRUE,"60+")</f>
        <v>46-60</v>
      </c>
      <c r="N86" t="str">
        <f t="shared" si="4"/>
        <v>Discounted</v>
      </c>
      <c r="O86" t="str">
        <f t="shared" si="5"/>
        <v>Returning</v>
      </c>
    </row>
    <row r="87" spans="1:15" x14ac:dyDescent="0.25">
      <c r="A87">
        <v>86</v>
      </c>
      <c r="B87">
        <v>65</v>
      </c>
      <c r="C87" t="s">
        <v>11</v>
      </c>
      <c r="D87" t="s">
        <v>29</v>
      </c>
      <c r="E87" t="s">
        <v>51</v>
      </c>
      <c r="F87" s="1">
        <v>41.71</v>
      </c>
      <c r="G87" t="s">
        <v>24</v>
      </c>
      <c r="H87" t="s">
        <v>15</v>
      </c>
      <c r="I87" s="2">
        <v>3.3</v>
      </c>
      <c r="J87" s="4">
        <v>19</v>
      </c>
      <c r="K87" s="3">
        <v>7</v>
      </c>
      <c r="L87" s="1">
        <f t="shared" si="3"/>
        <v>33.7851</v>
      </c>
      <c r="M87" t="str" cm="1">
        <f t="array" ref="M87">_xlfn.IFS(B87&lt;18,"Under 18",B87 &lt;=25,"18-25",B87&lt;=35,"26-35",B87&lt;=45,"36-45",B87&lt;=60,"46-60",TRUE,"60+")</f>
        <v>60+</v>
      </c>
      <c r="N87" t="str">
        <f t="shared" si="4"/>
        <v>Discounted</v>
      </c>
      <c r="O87" t="str">
        <f t="shared" si="5"/>
        <v>Returning</v>
      </c>
    </row>
    <row r="88" spans="1:15" x14ac:dyDescent="0.25">
      <c r="A88">
        <v>87</v>
      </c>
      <c r="B88">
        <v>22</v>
      </c>
      <c r="C88" t="s">
        <v>11</v>
      </c>
      <c r="D88" t="s">
        <v>29</v>
      </c>
      <c r="E88" t="s">
        <v>51</v>
      </c>
      <c r="F88" s="1">
        <v>145.97999999999999</v>
      </c>
      <c r="G88" t="s">
        <v>31</v>
      </c>
      <c r="H88" t="s">
        <v>15</v>
      </c>
      <c r="I88" s="2">
        <v>3.5</v>
      </c>
      <c r="J88" s="4">
        <v>24</v>
      </c>
      <c r="K88" s="3">
        <v>7</v>
      </c>
      <c r="L88" s="1">
        <f t="shared" si="3"/>
        <v>110.94479999999999</v>
      </c>
      <c r="M88" t="str" cm="1">
        <f t="array" ref="M88">_xlfn.IFS(B88&lt;18,"Under 18",B88 &lt;=25,"18-25",B88&lt;=35,"26-35",B88&lt;=45,"36-45",B88&lt;=60,"46-60",TRUE,"60+")</f>
        <v>18-25</v>
      </c>
      <c r="N88" t="str">
        <f t="shared" si="4"/>
        <v>Discounted</v>
      </c>
      <c r="O88" t="str">
        <f t="shared" si="5"/>
        <v>Returning</v>
      </c>
    </row>
    <row r="89" spans="1:15" x14ac:dyDescent="0.25">
      <c r="A89">
        <v>88</v>
      </c>
      <c r="B89">
        <v>44</v>
      </c>
      <c r="C89" t="s">
        <v>16</v>
      </c>
      <c r="D89" t="s">
        <v>27</v>
      </c>
      <c r="E89" t="s">
        <v>28</v>
      </c>
      <c r="F89" s="1">
        <v>1643.58</v>
      </c>
      <c r="G89" t="s">
        <v>14</v>
      </c>
      <c r="H89" t="s">
        <v>15</v>
      </c>
      <c r="I89" s="2">
        <v>3.2</v>
      </c>
      <c r="J89" s="4">
        <v>11</v>
      </c>
      <c r="K89" s="3">
        <v>3</v>
      </c>
      <c r="L89" s="1">
        <f t="shared" si="3"/>
        <v>1462.7862</v>
      </c>
      <c r="M89" t="str" cm="1">
        <f t="array" ref="M89">_xlfn.IFS(B89&lt;18,"Under 18",B89 &lt;=25,"18-25",B89&lt;=35,"26-35",B89&lt;=45,"36-45",B89&lt;=60,"46-60",TRUE,"60+")</f>
        <v>36-45</v>
      </c>
      <c r="N89" t="str">
        <f t="shared" si="4"/>
        <v>Discounted</v>
      </c>
      <c r="O89" t="str">
        <f t="shared" si="5"/>
        <v>Returning</v>
      </c>
    </row>
    <row r="90" spans="1:15" x14ac:dyDescent="0.25">
      <c r="A90">
        <v>89</v>
      </c>
      <c r="B90">
        <v>61</v>
      </c>
      <c r="C90" t="s">
        <v>16</v>
      </c>
      <c r="D90" t="s">
        <v>27</v>
      </c>
      <c r="E90" t="s">
        <v>49</v>
      </c>
      <c r="F90" s="1">
        <v>2338.0300000000002</v>
      </c>
      <c r="G90" t="s">
        <v>19</v>
      </c>
      <c r="H90" t="s">
        <v>15</v>
      </c>
      <c r="I90" s="2">
        <v>3.8</v>
      </c>
      <c r="J90" s="4">
        <v>14</v>
      </c>
      <c r="K90" s="3">
        <v>2</v>
      </c>
      <c r="L90" s="1">
        <f t="shared" si="3"/>
        <v>2010.7058000000002</v>
      </c>
      <c r="M90" t="str" cm="1">
        <f t="array" ref="M90">_xlfn.IFS(B90&lt;18,"Under 18",B90 &lt;=25,"18-25",B90&lt;=35,"26-35",B90&lt;=45,"36-45",B90&lt;=60,"46-60",TRUE,"60+")</f>
        <v>60+</v>
      </c>
      <c r="N90" t="str">
        <f t="shared" si="4"/>
        <v>Discounted</v>
      </c>
      <c r="O90" t="str">
        <f t="shared" si="5"/>
        <v>Returning</v>
      </c>
    </row>
    <row r="91" spans="1:15" x14ac:dyDescent="0.25">
      <c r="A91">
        <v>90</v>
      </c>
      <c r="B91">
        <v>56</v>
      </c>
      <c r="C91" t="s">
        <v>11</v>
      </c>
      <c r="D91" t="s">
        <v>25</v>
      </c>
      <c r="E91" t="s">
        <v>47</v>
      </c>
      <c r="F91" s="1">
        <v>68.84</v>
      </c>
      <c r="G91" t="s">
        <v>31</v>
      </c>
      <c r="H91" t="s">
        <v>37</v>
      </c>
      <c r="I91" s="2">
        <v>5</v>
      </c>
      <c r="J91" s="4">
        <v>19</v>
      </c>
      <c r="K91" s="3">
        <v>7</v>
      </c>
      <c r="L91" s="1">
        <f t="shared" si="3"/>
        <v>55.760400000000004</v>
      </c>
      <c r="M91" t="str" cm="1">
        <f t="array" ref="M91">_xlfn.IFS(B91&lt;18,"Under 18",B91 &lt;=25,"18-25",B91&lt;=35,"26-35",B91&lt;=45,"36-45",B91&lt;=60,"46-60",TRUE,"60+")</f>
        <v>46-60</v>
      </c>
      <c r="N91" t="str">
        <f t="shared" si="4"/>
        <v>Discounted</v>
      </c>
      <c r="O91" t="str">
        <f t="shared" si="5"/>
        <v>Returning</v>
      </c>
    </row>
    <row r="92" spans="1:15" x14ac:dyDescent="0.25">
      <c r="A92">
        <v>91</v>
      </c>
      <c r="B92">
        <v>35</v>
      </c>
      <c r="C92" t="s">
        <v>11</v>
      </c>
      <c r="D92" t="s">
        <v>12</v>
      </c>
      <c r="E92" t="s">
        <v>50</v>
      </c>
      <c r="F92" s="1">
        <v>45.66</v>
      </c>
      <c r="G92" t="s">
        <v>19</v>
      </c>
      <c r="H92" t="s">
        <v>37</v>
      </c>
      <c r="I92" s="2">
        <v>4.5999999999999996</v>
      </c>
      <c r="J92" s="4">
        <v>18</v>
      </c>
      <c r="K92" s="3">
        <v>4</v>
      </c>
      <c r="L92" s="1">
        <f t="shared" si="3"/>
        <v>37.441200000000002</v>
      </c>
      <c r="M92" t="str" cm="1">
        <f t="array" ref="M92">_xlfn.IFS(B92&lt;18,"Under 18",B92 &lt;=25,"18-25",B92&lt;=35,"26-35",B92&lt;=45,"36-45",B92&lt;=60,"46-60",TRUE,"60+")</f>
        <v>26-35</v>
      </c>
      <c r="N92" t="str">
        <f t="shared" si="4"/>
        <v>Discounted</v>
      </c>
      <c r="O92" t="str">
        <f t="shared" si="5"/>
        <v>Returning</v>
      </c>
    </row>
    <row r="93" spans="1:15" x14ac:dyDescent="0.25">
      <c r="A93">
        <v>92</v>
      </c>
      <c r="B93">
        <v>51</v>
      </c>
      <c r="C93" t="s">
        <v>16</v>
      </c>
      <c r="D93" t="s">
        <v>33</v>
      </c>
      <c r="E93" t="s">
        <v>38</v>
      </c>
      <c r="F93" s="1">
        <v>40.24</v>
      </c>
      <c r="G93" t="s">
        <v>24</v>
      </c>
      <c r="H93" t="s">
        <v>15</v>
      </c>
      <c r="I93" s="2">
        <v>3.8</v>
      </c>
      <c r="J93" s="4">
        <v>18</v>
      </c>
      <c r="K93" s="3">
        <v>4</v>
      </c>
      <c r="L93" s="1">
        <f t="shared" si="3"/>
        <v>32.996800000000007</v>
      </c>
      <c r="M93" t="str" cm="1">
        <f t="array" ref="M93">_xlfn.IFS(B93&lt;18,"Under 18",B93 &lt;=25,"18-25",B93&lt;=35,"26-35",B93&lt;=45,"36-45",B93&lt;=60,"46-60",TRUE,"60+")</f>
        <v>46-60</v>
      </c>
      <c r="N93" t="str">
        <f t="shared" si="4"/>
        <v>Discounted</v>
      </c>
      <c r="O93" t="str">
        <f t="shared" si="5"/>
        <v>Returning</v>
      </c>
    </row>
    <row r="94" spans="1:15" x14ac:dyDescent="0.25">
      <c r="A94">
        <v>93</v>
      </c>
      <c r="B94">
        <v>36</v>
      </c>
      <c r="C94" t="s">
        <v>11</v>
      </c>
      <c r="D94" t="s">
        <v>33</v>
      </c>
      <c r="E94" t="s">
        <v>40</v>
      </c>
      <c r="F94" s="1">
        <v>203.77</v>
      </c>
      <c r="G94" t="s">
        <v>19</v>
      </c>
      <c r="H94" t="s">
        <v>15</v>
      </c>
      <c r="I94" s="2">
        <v>4.4000000000000004</v>
      </c>
      <c r="J94" s="4">
        <v>19</v>
      </c>
      <c r="K94" s="3">
        <v>7</v>
      </c>
      <c r="L94" s="1">
        <f t="shared" si="3"/>
        <v>165.05370000000002</v>
      </c>
      <c r="M94" t="str" cm="1">
        <f t="array" ref="M94">_xlfn.IFS(B94&lt;18,"Under 18",B94 &lt;=25,"18-25",B94&lt;=35,"26-35",B94&lt;=45,"36-45",B94&lt;=60,"46-60",TRUE,"60+")</f>
        <v>36-45</v>
      </c>
      <c r="N94" t="str">
        <f t="shared" si="4"/>
        <v>Discounted</v>
      </c>
      <c r="O94" t="str">
        <f t="shared" si="5"/>
        <v>Returning</v>
      </c>
    </row>
    <row r="95" spans="1:15" x14ac:dyDescent="0.25">
      <c r="A95">
        <v>94</v>
      </c>
      <c r="B95">
        <v>20</v>
      </c>
      <c r="C95" t="s">
        <v>11</v>
      </c>
      <c r="D95" t="s">
        <v>12</v>
      </c>
      <c r="E95" t="s">
        <v>56</v>
      </c>
      <c r="F95" s="1">
        <v>159.44999999999999</v>
      </c>
      <c r="G95" t="s">
        <v>24</v>
      </c>
      <c r="H95" t="s">
        <v>15</v>
      </c>
      <c r="I95" s="2">
        <v>4.5999999999999996</v>
      </c>
      <c r="J95" s="4">
        <v>20</v>
      </c>
      <c r="K95" s="3">
        <v>5</v>
      </c>
      <c r="L95" s="1">
        <f t="shared" si="3"/>
        <v>127.56</v>
      </c>
      <c r="M95" t="str" cm="1">
        <f t="array" ref="M95">_xlfn.IFS(B95&lt;18,"Under 18",B95 &lt;=25,"18-25",B95&lt;=35,"26-35",B95&lt;=45,"36-45",B95&lt;=60,"46-60",TRUE,"60+")</f>
        <v>18-25</v>
      </c>
      <c r="N95" t="str">
        <f t="shared" si="4"/>
        <v>Discounted</v>
      </c>
      <c r="O95" t="str">
        <f t="shared" si="5"/>
        <v>Returning</v>
      </c>
    </row>
    <row r="96" spans="1:15" x14ac:dyDescent="0.25">
      <c r="A96">
        <v>95</v>
      </c>
      <c r="B96">
        <v>25</v>
      </c>
      <c r="C96" t="s">
        <v>16</v>
      </c>
      <c r="D96" t="s">
        <v>33</v>
      </c>
      <c r="E96" t="s">
        <v>38</v>
      </c>
      <c r="F96" s="1">
        <v>183.49</v>
      </c>
      <c r="G96" t="s">
        <v>14</v>
      </c>
      <c r="H96" t="s">
        <v>15</v>
      </c>
      <c r="I96" s="2">
        <v>3.5</v>
      </c>
      <c r="J96" s="4">
        <v>20</v>
      </c>
      <c r="K96" s="3">
        <v>5</v>
      </c>
      <c r="L96" s="1">
        <f t="shared" si="3"/>
        <v>146.792</v>
      </c>
      <c r="M96" t="str" cm="1">
        <f t="array" ref="M96">_xlfn.IFS(B96&lt;18,"Under 18",B96 &lt;=25,"18-25",B96&lt;=35,"26-35",B96&lt;=45,"36-45",B96&lt;=60,"46-60",TRUE,"60+")</f>
        <v>18-25</v>
      </c>
      <c r="N96" t="str">
        <f t="shared" si="4"/>
        <v>Discounted</v>
      </c>
      <c r="O96" t="str">
        <f t="shared" si="5"/>
        <v>Returning</v>
      </c>
    </row>
    <row r="97" spans="1:15" x14ac:dyDescent="0.25">
      <c r="A97">
        <v>96</v>
      </c>
      <c r="B97">
        <v>21</v>
      </c>
      <c r="C97" t="s">
        <v>16</v>
      </c>
      <c r="D97" t="s">
        <v>17</v>
      </c>
      <c r="E97" t="s">
        <v>48</v>
      </c>
      <c r="F97" s="1">
        <v>76.45</v>
      </c>
      <c r="G97" t="s">
        <v>31</v>
      </c>
      <c r="H97" t="s">
        <v>15</v>
      </c>
      <c r="I97" s="2">
        <v>4.4000000000000004</v>
      </c>
      <c r="J97" s="4">
        <v>12</v>
      </c>
      <c r="K97" s="3">
        <v>6</v>
      </c>
      <c r="L97" s="1">
        <f t="shared" si="3"/>
        <v>67.275999999999996</v>
      </c>
      <c r="M97" t="str" cm="1">
        <f t="array" ref="M97">_xlfn.IFS(B97&lt;18,"Under 18",B97 &lt;=25,"18-25",B97&lt;=35,"26-35",B97&lt;=45,"36-45",B97&lt;=60,"46-60",TRUE,"60+")</f>
        <v>18-25</v>
      </c>
      <c r="N97" t="str">
        <f t="shared" si="4"/>
        <v>Discounted</v>
      </c>
      <c r="O97" t="str">
        <f t="shared" si="5"/>
        <v>Returning</v>
      </c>
    </row>
    <row r="98" spans="1:15" x14ac:dyDescent="0.25">
      <c r="A98">
        <v>97</v>
      </c>
      <c r="B98">
        <v>20</v>
      </c>
      <c r="C98" t="s">
        <v>11</v>
      </c>
      <c r="D98" t="s">
        <v>12</v>
      </c>
      <c r="E98" t="s">
        <v>56</v>
      </c>
      <c r="F98" s="1">
        <v>54.1</v>
      </c>
      <c r="G98" t="s">
        <v>31</v>
      </c>
      <c r="H98" t="s">
        <v>15</v>
      </c>
      <c r="I98" s="2">
        <v>4.0999999999999996</v>
      </c>
      <c r="J98" s="4">
        <v>16</v>
      </c>
      <c r="K98" s="3">
        <v>3</v>
      </c>
      <c r="L98" s="1">
        <f t="shared" si="3"/>
        <v>45.444000000000003</v>
      </c>
      <c r="M98" t="str" cm="1">
        <f t="array" ref="M98">_xlfn.IFS(B98&lt;18,"Under 18",B98 &lt;=25,"18-25",B98&lt;=35,"26-35",B98&lt;=45,"36-45",B98&lt;=60,"46-60",TRUE,"60+")</f>
        <v>18-25</v>
      </c>
      <c r="N98" t="str">
        <f t="shared" si="4"/>
        <v>Discounted</v>
      </c>
      <c r="O98" t="str">
        <f t="shared" si="5"/>
        <v>Returning</v>
      </c>
    </row>
    <row r="99" spans="1:15" x14ac:dyDescent="0.25">
      <c r="A99">
        <v>98</v>
      </c>
      <c r="B99">
        <v>65</v>
      </c>
      <c r="C99" t="s">
        <v>11</v>
      </c>
      <c r="D99" t="s">
        <v>12</v>
      </c>
      <c r="E99" t="s">
        <v>13</v>
      </c>
      <c r="F99" s="1">
        <v>41</v>
      </c>
      <c r="G99" t="s">
        <v>14</v>
      </c>
      <c r="H99" t="s">
        <v>37</v>
      </c>
      <c r="I99" s="2">
        <v>4</v>
      </c>
      <c r="J99" s="4">
        <v>10</v>
      </c>
      <c r="K99" s="3">
        <v>5</v>
      </c>
      <c r="L99" s="1">
        <f t="shared" si="3"/>
        <v>36.9</v>
      </c>
      <c r="M99" t="str" cm="1">
        <f t="array" ref="M99">_xlfn.IFS(B99&lt;18,"Under 18",B99 &lt;=25,"18-25",B99&lt;=35,"26-35",B99&lt;=45,"36-45",B99&lt;=60,"46-60",TRUE,"60+")</f>
        <v>60+</v>
      </c>
      <c r="N99" t="str">
        <f t="shared" si="4"/>
        <v>Discounted</v>
      </c>
      <c r="O99" t="str">
        <f t="shared" si="5"/>
        <v>Returning</v>
      </c>
    </row>
    <row r="100" spans="1:15" x14ac:dyDescent="0.25">
      <c r="A100">
        <v>99</v>
      </c>
      <c r="B100">
        <v>39</v>
      </c>
      <c r="C100" t="s">
        <v>11</v>
      </c>
      <c r="D100" t="s">
        <v>33</v>
      </c>
      <c r="E100" t="s">
        <v>40</v>
      </c>
      <c r="F100" s="1">
        <v>73.77</v>
      </c>
      <c r="G100" t="s">
        <v>19</v>
      </c>
      <c r="H100" t="s">
        <v>15</v>
      </c>
      <c r="I100" s="2">
        <v>3.5</v>
      </c>
      <c r="J100" s="4">
        <v>17</v>
      </c>
      <c r="K100" s="3">
        <v>6</v>
      </c>
      <c r="L100" s="1">
        <f t="shared" si="3"/>
        <v>61.229099999999995</v>
      </c>
      <c r="M100" t="str" cm="1">
        <f t="array" ref="M100">_xlfn.IFS(B100&lt;18,"Under 18",B100 &lt;=25,"18-25",B100&lt;=35,"26-35",B100&lt;=45,"36-45",B100&lt;=60,"46-60",TRUE,"60+")</f>
        <v>36-45</v>
      </c>
      <c r="N100" t="str">
        <f t="shared" si="4"/>
        <v>Discounted</v>
      </c>
      <c r="O100" t="str">
        <f t="shared" si="5"/>
        <v>Returning</v>
      </c>
    </row>
    <row r="101" spans="1:15" x14ac:dyDescent="0.25">
      <c r="A101">
        <v>100</v>
      </c>
      <c r="B101">
        <v>51</v>
      </c>
      <c r="C101" t="s">
        <v>16</v>
      </c>
      <c r="D101" t="s">
        <v>27</v>
      </c>
      <c r="E101" t="s">
        <v>32</v>
      </c>
      <c r="F101" s="1">
        <v>2449.63</v>
      </c>
      <c r="G101" t="s">
        <v>14</v>
      </c>
      <c r="H101" t="s">
        <v>15</v>
      </c>
      <c r="I101" s="2">
        <v>1.9</v>
      </c>
      <c r="J101" s="4">
        <v>4</v>
      </c>
      <c r="K101" s="3">
        <v>2</v>
      </c>
      <c r="L101" s="1">
        <f t="shared" si="3"/>
        <v>2351.6448</v>
      </c>
      <c r="M101" t="str" cm="1">
        <f t="array" ref="M101">_xlfn.IFS(B101&lt;18,"Under 18",B101 &lt;=25,"18-25",B101&lt;=35,"26-35",B101&lt;=45,"36-45",B101&lt;=60,"46-60",TRUE,"60+")</f>
        <v>46-60</v>
      </c>
      <c r="N101" t="str">
        <f t="shared" si="4"/>
        <v>Discounted</v>
      </c>
      <c r="O101" t="str">
        <f t="shared" si="5"/>
        <v>Returning</v>
      </c>
    </row>
    <row r="102" spans="1:15" x14ac:dyDescent="0.25">
      <c r="A102">
        <v>101</v>
      </c>
      <c r="B102">
        <v>65</v>
      </c>
      <c r="C102" t="s">
        <v>11</v>
      </c>
      <c r="D102" t="s">
        <v>22</v>
      </c>
      <c r="E102" t="s">
        <v>23</v>
      </c>
      <c r="F102" s="1">
        <v>86.79</v>
      </c>
      <c r="G102" t="s">
        <v>19</v>
      </c>
      <c r="H102" t="s">
        <v>37</v>
      </c>
      <c r="I102" s="2">
        <v>3.6</v>
      </c>
      <c r="J102" s="4">
        <v>12</v>
      </c>
      <c r="K102" s="3">
        <v>6</v>
      </c>
      <c r="L102" s="1">
        <f t="shared" si="3"/>
        <v>76.375200000000007</v>
      </c>
      <c r="M102" t="str" cm="1">
        <f t="array" ref="M102">_xlfn.IFS(B102&lt;18,"Under 18",B102 &lt;=25,"18-25",B102&lt;=35,"26-35",B102&lt;=45,"36-45",B102&lt;=60,"46-60",TRUE,"60+")</f>
        <v>60+</v>
      </c>
      <c r="N102" t="str">
        <f t="shared" si="4"/>
        <v>Discounted</v>
      </c>
      <c r="O102" t="str">
        <f t="shared" si="5"/>
        <v>Returning</v>
      </c>
    </row>
    <row r="103" spans="1:15" x14ac:dyDescent="0.25">
      <c r="A103">
        <v>102</v>
      </c>
      <c r="B103">
        <v>58</v>
      </c>
      <c r="C103" t="s">
        <v>11</v>
      </c>
      <c r="D103" t="s">
        <v>41</v>
      </c>
      <c r="E103" t="s">
        <v>44</v>
      </c>
      <c r="F103" s="1">
        <v>64.03</v>
      </c>
      <c r="G103" t="s">
        <v>31</v>
      </c>
      <c r="H103" t="s">
        <v>15</v>
      </c>
      <c r="I103" s="2">
        <v>3.2</v>
      </c>
      <c r="J103" s="4">
        <v>13</v>
      </c>
      <c r="K103" s="3">
        <v>4</v>
      </c>
      <c r="L103" s="1">
        <f t="shared" si="3"/>
        <v>55.706099999999999</v>
      </c>
      <c r="M103" t="str" cm="1">
        <f t="array" ref="M103">_xlfn.IFS(B103&lt;18,"Under 18",B103 &lt;=25,"18-25",B103&lt;=35,"26-35",B103&lt;=45,"36-45",B103&lt;=60,"46-60",TRUE,"60+")</f>
        <v>46-60</v>
      </c>
      <c r="N103" t="str">
        <f t="shared" si="4"/>
        <v>Discounted</v>
      </c>
      <c r="O103" t="str">
        <f t="shared" si="5"/>
        <v>Returning</v>
      </c>
    </row>
    <row r="104" spans="1:15" x14ac:dyDescent="0.25">
      <c r="A104">
        <v>103</v>
      </c>
      <c r="B104">
        <v>50</v>
      </c>
      <c r="C104" t="s">
        <v>11</v>
      </c>
      <c r="D104" t="s">
        <v>33</v>
      </c>
      <c r="E104" t="s">
        <v>34</v>
      </c>
      <c r="F104" s="1">
        <v>171.31</v>
      </c>
      <c r="G104" t="s">
        <v>14</v>
      </c>
      <c r="H104" t="s">
        <v>15</v>
      </c>
      <c r="I104" s="2">
        <v>5</v>
      </c>
      <c r="J104" s="4">
        <v>21</v>
      </c>
      <c r="K104" s="3">
        <v>8</v>
      </c>
      <c r="L104" s="1">
        <f t="shared" si="3"/>
        <v>135.3349</v>
      </c>
      <c r="M104" t="str" cm="1">
        <f t="array" ref="M104">_xlfn.IFS(B104&lt;18,"Under 18",B104 &lt;=25,"18-25",B104&lt;=35,"26-35",B104&lt;=45,"36-45",B104&lt;=60,"46-60",TRUE,"60+")</f>
        <v>46-60</v>
      </c>
      <c r="N104" t="str">
        <f t="shared" si="4"/>
        <v>Discounted</v>
      </c>
      <c r="O104" t="str">
        <f t="shared" si="5"/>
        <v>Returning</v>
      </c>
    </row>
    <row r="105" spans="1:15" x14ac:dyDescent="0.25">
      <c r="A105">
        <v>104</v>
      </c>
      <c r="B105">
        <v>42</v>
      </c>
      <c r="C105" t="s">
        <v>11</v>
      </c>
      <c r="D105" t="s">
        <v>25</v>
      </c>
      <c r="E105" t="s">
        <v>26</v>
      </c>
      <c r="F105" s="1">
        <v>21.44</v>
      </c>
      <c r="G105" t="s">
        <v>14</v>
      </c>
      <c r="H105" t="s">
        <v>15</v>
      </c>
      <c r="I105" s="2">
        <v>3.6</v>
      </c>
      <c r="J105" s="4">
        <v>19</v>
      </c>
      <c r="K105" s="3">
        <v>7</v>
      </c>
      <c r="L105" s="1">
        <f t="shared" si="3"/>
        <v>17.366400000000002</v>
      </c>
      <c r="M105" t="str" cm="1">
        <f t="array" ref="M105">_xlfn.IFS(B105&lt;18,"Under 18",B105 &lt;=25,"18-25",B105&lt;=35,"26-35",B105&lt;=45,"36-45",B105&lt;=60,"46-60",TRUE,"60+")</f>
        <v>36-45</v>
      </c>
      <c r="N105" t="str">
        <f t="shared" si="4"/>
        <v>Discounted</v>
      </c>
      <c r="O105" t="str">
        <f t="shared" si="5"/>
        <v>Returning</v>
      </c>
    </row>
    <row r="106" spans="1:15" x14ac:dyDescent="0.25">
      <c r="A106">
        <v>105</v>
      </c>
      <c r="B106">
        <v>60</v>
      </c>
      <c r="C106" t="s">
        <v>16</v>
      </c>
      <c r="D106" t="s">
        <v>17</v>
      </c>
      <c r="E106" t="s">
        <v>48</v>
      </c>
      <c r="F106" s="1">
        <v>145.63999999999999</v>
      </c>
      <c r="G106" t="s">
        <v>24</v>
      </c>
      <c r="H106" t="s">
        <v>15</v>
      </c>
      <c r="I106" s="2">
        <v>3.3</v>
      </c>
      <c r="J106" s="4">
        <v>2</v>
      </c>
      <c r="K106" s="3">
        <v>1</v>
      </c>
      <c r="L106" s="1">
        <f t="shared" si="3"/>
        <v>142.72719999999998</v>
      </c>
      <c r="M106" t="str" cm="1">
        <f t="array" ref="M106">_xlfn.IFS(B106&lt;18,"Under 18",B106 &lt;=25,"18-25",B106&lt;=35,"26-35",B106&lt;=45,"36-45",B106&lt;=60,"46-60",TRUE,"60+")</f>
        <v>46-60</v>
      </c>
      <c r="N106" t="str">
        <f t="shared" si="4"/>
        <v>Discounted</v>
      </c>
      <c r="O106" t="str">
        <f t="shared" si="5"/>
        <v>Returning</v>
      </c>
    </row>
    <row r="107" spans="1:15" x14ac:dyDescent="0.25">
      <c r="A107">
        <v>106</v>
      </c>
      <c r="B107">
        <v>50</v>
      </c>
      <c r="C107" t="s">
        <v>11</v>
      </c>
      <c r="D107" t="s">
        <v>33</v>
      </c>
      <c r="E107" t="s">
        <v>40</v>
      </c>
      <c r="F107" s="1">
        <v>112.65</v>
      </c>
      <c r="G107" t="s">
        <v>19</v>
      </c>
      <c r="H107" t="s">
        <v>15</v>
      </c>
      <c r="I107" s="2">
        <v>3.9</v>
      </c>
      <c r="J107" s="4">
        <v>10</v>
      </c>
      <c r="K107" s="3">
        <v>5</v>
      </c>
      <c r="L107" s="1">
        <f t="shared" si="3"/>
        <v>101.38500000000001</v>
      </c>
      <c r="M107" t="str" cm="1">
        <f t="array" ref="M107">_xlfn.IFS(B107&lt;18,"Under 18",B107 &lt;=25,"18-25",B107&lt;=35,"26-35",B107&lt;=45,"36-45",B107&lt;=60,"46-60",TRUE,"60+")</f>
        <v>46-60</v>
      </c>
      <c r="N107" t="str">
        <f t="shared" si="4"/>
        <v>Discounted</v>
      </c>
      <c r="O107" t="str">
        <f t="shared" si="5"/>
        <v>Returning</v>
      </c>
    </row>
    <row r="108" spans="1:15" x14ac:dyDescent="0.25">
      <c r="A108">
        <v>107</v>
      </c>
      <c r="B108">
        <v>55</v>
      </c>
      <c r="C108" t="s">
        <v>11</v>
      </c>
      <c r="D108" t="s">
        <v>33</v>
      </c>
      <c r="E108" t="s">
        <v>34</v>
      </c>
      <c r="F108" s="1">
        <v>177.55</v>
      </c>
      <c r="G108" t="s">
        <v>31</v>
      </c>
      <c r="H108" t="s">
        <v>15</v>
      </c>
      <c r="I108" s="2">
        <v>4.2</v>
      </c>
      <c r="J108" s="4">
        <v>17</v>
      </c>
      <c r="K108" s="3">
        <v>6</v>
      </c>
      <c r="L108" s="1">
        <f t="shared" si="3"/>
        <v>147.3665</v>
      </c>
      <c r="M108" t="str" cm="1">
        <f t="array" ref="M108">_xlfn.IFS(B108&lt;18,"Under 18",B108 &lt;=25,"18-25",B108&lt;=35,"26-35",B108&lt;=45,"36-45",B108&lt;=60,"46-60",TRUE,"60+")</f>
        <v>46-60</v>
      </c>
      <c r="N108" t="str">
        <f t="shared" si="4"/>
        <v>Discounted</v>
      </c>
      <c r="O108" t="str">
        <f t="shared" si="5"/>
        <v>Returning</v>
      </c>
    </row>
    <row r="109" spans="1:15" x14ac:dyDescent="0.25">
      <c r="A109">
        <v>108</v>
      </c>
      <c r="B109">
        <v>61</v>
      </c>
      <c r="C109" t="s">
        <v>11</v>
      </c>
      <c r="D109" t="s">
        <v>41</v>
      </c>
      <c r="E109" t="s">
        <v>44</v>
      </c>
      <c r="F109" s="1">
        <v>100.22</v>
      </c>
      <c r="G109" t="s">
        <v>31</v>
      </c>
      <c r="H109" t="s">
        <v>15</v>
      </c>
      <c r="I109" s="2">
        <v>3.8</v>
      </c>
      <c r="J109" s="4">
        <v>4</v>
      </c>
      <c r="K109" s="3">
        <v>2</v>
      </c>
      <c r="L109" s="1">
        <f t="shared" si="3"/>
        <v>96.211199999999991</v>
      </c>
      <c r="M109" t="str" cm="1">
        <f t="array" ref="M109">_xlfn.IFS(B109&lt;18,"Under 18",B109 &lt;=25,"18-25",B109&lt;=35,"26-35",B109&lt;=45,"36-45",B109&lt;=60,"46-60",TRUE,"60+")</f>
        <v>60+</v>
      </c>
      <c r="N109" t="str">
        <f t="shared" si="4"/>
        <v>Discounted</v>
      </c>
      <c r="O109" t="str">
        <f t="shared" si="5"/>
        <v>Returning</v>
      </c>
    </row>
    <row r="110" spans="1:15" x14ac:dyDescent="0.25">
      <c r="A110">
        <v>109</v>
      </c>
      <c r="B110">
        <v>33</v>
      </c>
      <c r="C110" t="s">
        <v>11</v>
      </c>
      <c r="D110" t="s">
        <v>33</v>
      </c>
      <c r="E110" t="s">
        <v>34</v>
      </c>
      <c r="F110" s="1">
        <v>60</v>
      </c>
      <c r="G110" t="s">
        <v>31</v>
      </c>
      <c r="H110" t="s">
        <v>15</v>
      </c>
      <c r="I110" s="2">
        <v>3.3</v>
      </c>
      <c r="J110" s="4">
        <v>8</v>
      </c>
      <c r="K110" s="3">
        <v>4</v>
      </c>
      <c r="L110" s="1">
        <f t="shared" si="3"/>
        <v>55.2</v>
      </c>
      <c r="M110" t="str" cm="1">
        <f t="array" ref="M110">_xlfn.IFS(B110&lt;18,"Under 18",B110 &lt;=25,"18-25",B110&lt;=35,"26-35",B110&lt;=45,"36-45",B110&lt;=60,"46-60",TRUE,"60+")</f>
        <v>26-35</v>
      </c>
      <c r="N110" t="str">
        <f t="shared" si="4"/>
        <v>Discounted</v>
      </c>
      <c r="O110" t="str">
        <f t="shared" si="5"/>
        <v>Returning</v>
      </c>
    </row>
    <row r="111" spans="1:15" x14ac:dyDescent="0.25">
      <c r="A111">
        <v>110</v>
      </c>
      <c r="B111">
        <v>66</v>
      </c>
      <c r="C111" t="s">
        <v>16</v>
      </c>
      <c r="D111" t="s">
        <v>33</v>
      </c>
      <c r="E111" t="s">
        <v>34</v>
      </c>
      <c r="F111" s="1">
        <v>75.650000000000006</v>
      </c>
      <c r="G111" t="s">
        <v>24</v>
      </c>
      <c r="H111" t="s">
        <v>15</v>
      </c>
      <c r="I111" s="2">
        <v>4</v>
      </c>
      <c r="J111" s="4">
        <v>14</v>
      </c>
      <c r="K111" s="3">
        <v>7</v>
      </c>
      <c r="L111" s="1">
        <f t="shared" si="3"/>
        <v>65.058999999999997</v>
      </c>
      <c r="M111" t="str" cm="1">
        <f t="array" ref="M111">_xlfn.IFS(B111&lt;18,"Under 18",B111 &lt;=25,"18-25",B111&lt;=35,"26-35",B111&lt;=45,"36-45",B111&lt;=60,"46-60",TRUE,"60+")</f>
        <v>60+</v>
      </c>
      <c r="N111" t="str">
        <f t="shared" si="4"/>
        <v>Discounted</v>
      </c>
      <c r="O111" t="str">
        <f t="shared" si="5"/>
        <v>Returning</v>
      </c>
    </row>
    <row r="112" spans="1:15" x14ac:dyDescent="0.25">
      <c r="A112">
        <v>111</v>
      </c>
      <c r="B112">
        <v>66</v>
      </c>
      <c r="C112" t="s">
        <v>16</v>
      </c>
      <c r="D112" t="s">
        <v>27</v>
      </c>
      <c r="E112" t="s">
        <v>49</v>
      </c>
      <c r="F112" s="1">
        <v>2263.46</v>
      </c>
      <c r="G112" t="s">
        <v>14</v>
      </c>
      <c r="H112" t="s">
        <v>15</v>
      </c>
      <c r="I112" s="2">
        <v>3.8</v>
      </c>
      <c r="J112" s="4">
        <v>13</v>
      </c>
      <c r="K112" s="3">
        <v>4</v>
      </c>
      <c r="L112" s="1">
        <f t="shared" si="3"/>
        <v>1969.2102</v>
      </c>
      <c r="M112" t="str" cm="1">
        <f t="array" ref="M112">_xlfn.IFS(B112&lt;18,"Under 18",B112 &lt;=25,"18-25",B112&lt;=35,"26-35",B112&lt;=45,"36-45",B112&lt;=60,"46-60",TRUE,"60+")</f>
        <v>60+</v>
      </c>
      <c r="N112" t="str">
        <f t="shared" si="4"/>
        <v>Discounted</v>
      </c>
      <c r="O112" t="str">
        <f t="shared" si="5"/>
        <v>Returning</v>
      </c>
    </row>
    <row r="113" spans="1:15" x14ac:dyDescent="0.25">
      <c r="A113">
        <v>112</v>
      </c>
      <c r="B113">
        <v>45</v>
      </c>
      <c r="C113" t="s">
        <v>16</v>
      </c>
      <c r="D113" t="s">
        <v>33</v>
      </c>
      <c r="E113" t="s">
        <v>34</v>
      </c>
      <c r="F113" s="1">
        <v>77.8</v>
      </c>
      <c r="G113" t="s">
        <v>24</v>
      </c>
      <c r="H113" t="s">
        <v>37</v>
      </c>
      <c r="I113" s="2">
        <v>3.2</v>
      </c>
      <c r="J113" s="4">
        <v>9</v>
      </c>
      <c r="K113" s="3">
        <v>2</v>
      </c>
      <c r="L113" s="1">
        <f t="shared" si="3"/>
        <v>70.798000000000002</v>
      </c>
      <c r="M113" t="str" cm="1">
        <f t="array" ref="M113">_xlfn.IFS(B113&lt;18,"Under 18",B113 &lt;=25,"18-25",B113&lt;=35,"26-35",B113&lt;=45,"36-45",B113&lt;=60,"46-60",TRUE,"60+")</f>
        <v>36-45</v>
      </c>
      <c r="N113" t="str">
        <f t="shared" si="4"/>
        <v>Discounted</v>
      </c>
      <c r="O113" t="str">
        <f t="shared" si="5"/>
        <v>Returning</v>
      </c>
    </row>
    <row r="114" spans="1:15" x14ac:dyDescent="0.25">
      <c r="A114">
        <v>113</v>
      </c>
      <c r="B114">
        <v>69</v>
      </c>
      <c r="C114" t="s">
        <v>11</v>
      </c>
      <c r="D114" t="s">
        <v>41</v>
      </c>
      <c r="E114" t="s">
        <v>45</v>
      </c>
      <c r="F114" s="1">
        <v>84.93</v>
      </c>
      <c r="G114" t="s">
        <v>14</v>
      </c>
      <c r="H114" t="s">
        <v>37</v>
      </c>
      <c r="I114" s="2">
        <v>4.5999999999999996</v>
      </c>
      <c r="J114" s="4">
        <v>17</v>
      </c>
      <c r="K114" s="3">
        <v>6</v>
      </c>
      <c r="L114" s="1">
        <f t="shared" si="3"/>
        <v>70.491900000000001</v>
      </c>
      <c r="M114" t="str" cm="1">
        <f t="array" ref="M114">_xlfn.IFS(B114&lt;18,"Under 18",B114 &lt;=25,"18-25",B114&lt;=35,"26-35",B114&lt;=45,"36-45",B114&lt;=60,"46-60",TRUE,"60+")</f>
        <v>60+</v>
      </c>
      <c r="N114" t="str">
        <f t="shared" si="4"/>
        <v>Discounted</v>
      </c>
      <c r="O114" t="str">
        <f t="shared" si="5"/>
        <v>Returning</v>
      </c>
    </row>
    <row r="115" spans="1:15" x14ac:dyDescent="0.25">
      <c r="A115">
        <v>114</v>
      </c>
      <c r="B115">
        <v>27</v>
      </c>
      <c r="C115" t="s">
        <v>11</v>
      </c>
      <c r="D115" t="s">
        <v>20</v>
      </c>
      <c r="E115" t="s">
        <v>21</v>
      </c>
      <c r="F115" s="1">
        <v>124.84</v>
      </c>
      <c r="G115" t="s">
        <v>19</v>
      </c>
      <c r="H115" t="s">
        <v>15</v>
      </c>
      <c r="I115" s="2">
        <v>3.2</v>
      </c>
      <c r="J115" s="4">
        <v>20</v>
      </c>
      <c r="K115" s="3">
        <v>10</v>
      </c>
      <c r="L115" s="1">
        <f t="shared" si="3"/>
        <v>99.872000000000014</v>
      </c>
      <c r="M115" t="str" cm="1">
        <f t="array" ref="M115">_xlfn.IFS(B115&lt;18,"Under 18",B115 &lt;=25,"18-25",B115&lt;=35,"26-35",B115&lt;=45,"36-45",B115&lt;=60,"46-60",TRUE,"60+")</f>
        <v>26-35</v>
      </c>
      <c r="N115" t="str">
        <f t="shared" si="4"/>
        <v>Discounted</v>
      </c>
      <c r="O115" t="str">
        <f t="shared" si="5"/>
        <v>Returning</v>
      </c>
    </row>
    <row r="116" spans="1:15" x14ac:dyDescent="0.25">
      <c r="A116">
        <v>115</v>
      </c>
      <c r="B116">
        <v>23</v>
      </c>
      <c r="C116" t="s">
        <v>16</v>
      </c>
      <c r="D116" t="s">
        <v>33</v>
      </c>
      <c r="E116" t="s">
        <v>34</v>
      </c>
      <c r="F116" s="1">
        <v>122.71</v>
      </c>
      <c r="G116" t="s">
        <v>31</v>
      </c>
      <c r="H116" t="s">
        <v>15</v>
      </c>
      <c r="I116" s="2">
        <v>3.4</v>
      </c>
      <c r="J116" s="4">
        <v>8</v>
      </c>
      <c r="K116" s="3">
        <v>4</v>
      </c>
      <c r="L116" s="1">
        <f t="shared" si="3"/>
        <v>112.89319999999999</v>
      </c>
      <c r="M116" t="str" cm="1">
        <f t="array" ref="M116">_xlfn.IFS(B116&lt;18,"Under 18",B116 &lt;=25,"18-25",B116&lt;=35,"26-35",B116&lt;=45,"36-45",B116&lt;=60,"46-60",TRUE,"60+")</f>
        <v>18-25</v>
      </c>
      <c r="N116" t="str">
        <f t="shared" si="4"/>
        <v>Discounted</v>
      </c>
      <c r="O116" t="str">
        <f t="shared" si="5"/>
        <v>Returning</v>
      </c>
    </row>
    <row r="117" spans="1:15" x14ac:dyDescent="0.25">
      <c r="A117">
        <v>116</v>
      </c>
      <c r="B117">
        <v>60</v>
      </c>
      <c r="C117" t="s">
        <v>16</v>
      </c>
      <c r="D117" t="s">
        <v>27</v>
      </c>
      <c r="E117" t="s">
        <v>28</v>
      </c>
      <c r="F117" s="1">
        <v>1317.58</v>
      </c>
      <c r="G117" t="s">
        <v>24</v>
      </c>
      <c r="H117" t="s">
        <v>15</v>
      </c>
      <c r="I117" s="2">
        <v>4.2</v>
      </c>
      <c r="J117" s="4">
        <v>26</v>
      </c>
      <c r="K117" s="3">
        <v>8</v>
      </c>
      <c r="L117" s="1">
        <f t="shared" si="3"/>
        <v>975.00919999999996</v>
      </c>
      <c r="M117" t="str" cm="1">
        <f t="array" ref="M117">_xlfn.IFS(B117&lt;18,"Under 18",B117 &lt;=25,"18-25",B117&lt;=35,"26-35",B117&lt;=45,"36-45",B117&lt;=60,"46-60",TRUE,"60+")</f>
        <v>46-60</v>
      </c>
      <c r="N117" t="str">
        <f t="shared" si="4"/>
        <v>Discounted</v>
      </c>
      <c r="O117" t="str">
        <f t="shared" si="5"/>
        <v>Returning</v>
      </c>
    </row>
    <row r="118" spans="1:15" x14ac:dyDescent="0.25">
      <c r="A118">
        <v>117</v>
      </c>
      <c r="B118">
        <v>31</v>
      </c>
      <c r="C118" t="s">
        <v>11</v>
      </c>
      <c r="D118" t="s">
        <v>29</v>
      </c>
      <c r="E118" t="s">
        <v>30</v>
      </c>
      <c r="F118" s="1">
        <v>70.510000000000005</v>
      </c>
      <c r="G118" t="s">
        <v>19</v>
      </c>
      <c r="H118" t="s">
        <v>37</v>
      </c>
      <c r="I118" s="2">
        <v>4.2</v>
      </c>
      <c r="J118" s="4">
        <v>18</v>
      </c>
      <c r="K118" s="3">
        <v>4</v>
      </c>
      <c r="L118" s="1">
        <f t="shared" si="3"/>
        <v>57.818200000000012</v>
      </c>
      <c r="M118" t="str" cm="1">
        <f t="array" ref="M118">_xlfn.IFS(B118&lt;18,"Under 18",B118 &lt;=25,"18-25",B118&lt;=35,"26-35",B118&lt;=45,"36-45",B118&lt;=60,"46-60",TRUE,"60+")</f>
        <v>26-35</v>
      </c>
      <c r="N118" t="str">
        <f t="shared" si="4"/>
        <v>Discounted</v>
      </c>
      <c r="O118" t="str">
        <f t="shared" si="5"/>
        <v>Returning</v>
      </c>
    </row>
    <row r="119" spans="1:15" x14ac:dyDescent="0.25">
      <c r="A119">
        <v>118</v>
      </c>
      <c r="B119">
        <v>28</v>
      </c>
      <c r="C119" t="s">
        <v>16</v>
      </c>
      <c r="D119" t="s">
        <v>20</v>
      </c>
      <c r="E119" t="s">
        <v>36</v>
      </c>
      <c r="F119" s="1">
        <v>132.82</v>
      </c>
      <c r="G119" t="s">
        <v>14</v>
      </c>
      <c r="H119" t="s">
        <v>15</v>
      </c>
      <c r="I119" s="2">
        <v>2.9</v>
      </c>
      <c r="J119" s="4">
        <v>9</v>
      </c>
      <c r="K119" s="3">
        <v>2</v>
      </c>
      <c r="L119" s="1">
        <f t="shared" si="3"/>
        <v>120.86619999999999</v>
      </c>
      <c r="M119" t="str" cm="1">
        <f t="array" ref="M119">_xlfn.IFS(B119&lt;18,"Under 18",B119 &lt;=25,"18-25",B119&lt;=35,"26-35",B119&lt;=45,"36-45",B119&lt;=60,"46-60",TRUE,"60+")</f>
        <v>26-35</v>
      </c>
      <c r="N119" t="str">
        <f t="shared" si="4"/>
        <v>Discounted</v>
      </c>
      <c r="O119" t="str">
        <f t="shared" si="5"/>
        <v>Returning</v>
      </c>
    </row>
    <row r="120" spans="1:15" x14ac:dyDescent="0.25">
      <c r="A120">
        <v>119</v>
      </c>
      <c r="B120">
        <v>56</v>
      </c>
      <c r="C120" t="s">
        <v>16</v>
      </c>
      <c r="D120" t="s">
        <v>33</v>
      </c>
      <c r="E120" t="s">
        <v>38</v>
      </c>
      <c r="F120" s="1">
        <v>200.63</v>
      </c>
      <c r="G120" t="s">
        <v>31</v>
      </c>
      <c r="H120" t="s">
        <v>15</v>
      </c>
      <c r="I120" s="2">
        <v>4</v>
      </c>
      <c r="J120" s="4">
        <v>18</v>
      </c>
      <c r="K120" s="3">
        <v>4</v>
      </c>
      <c r="L120" s="1">
        <f t="shared" si="3"/>
        <v>164.51660000000001</v>
      </c>
      <c r="M120" t="str" cm="1">
        <f t="array" ref="M120">_xlfn.IFS(B120&lt;18,"Under 18",B120 &lt;=25,"18-25",B120&lt;=35,"26-35",B120&lt;=45,"36-45",B120&lt;=60,"46-60",TRUE,"60+")</f>
        <v>46-60</v>
      </c>
      <c r="N120" t="str">
        <f t="shared" si="4"/>
        <v>Discounted</v>
      </c>
      <c r="O120" t="str">
        <f t="shared" si="5"/>
        <v>Returning</v>
      </c>
    </row>
    <row r="121" spans="1:15" x14ac:dyDescent="0.25">
      <c r="A121">
        <v>120</v>
      </c>
      <c r="B121">
        <v>34</v>
      </c>
      <c r="C121" t="s">
        <v>11</v>
      </c>
      <c r="D121" t="s">
        <v>41</v>
      </c>
      <c r="E121" t="s">
        <v>44</v>
      </c>
      <c r="F121" s="1">
        <v>47.24</v>
      </c>
      <c r="G121" t="s">
        <v>19</v>
      </c>
      <c r="H121" t="s">
        <v>37</v>
      </c>
      <c r="I121" s="2">
        <v>4.0999999999999996</v>
      </c>
      <c r="J121" s="4">
        <v>15</v>
      </c>
      <c r="K121" s="3">
        <v>5</v>
      </c>
      <c r="L121" s="1">
        <f t="shared" si="3"/>
        <v>40.154000000000003</v>
      </c>
      <c r="M121" t="str" cm="1">
        <f t="array" ref="M121">_xlfn.IFS(B121&lt;18,"Under 18",B121 &lt;=25,"18-25",B121&lt;=35,"26-35",B121&lt;=45,"36-45",B121&lt;=60,"46-60",TRUE,"60+")</f>
        <v>26-35</v>
      </c>
      <c r="N121" t="str">
        <f t="shared" si="4"/>
        <v>Discounted</v>
      </c>
      <c r="O121" t="str">
        <f t="shared" si="5"/>
        <v>Returning</v>
      </c>
    </row>
    <row r="122" spans="1:15" x14ac:dyDescent="0.25">
      <c r="A122">
        <v>121</v>
      </c>
      <c r="B122">
        <v>37</v>
      </c>
      <c r="C122" t="s">
        <v>11</v>
      </c>
      <c r="D122" t="s">
        <v>33</v>
      </c>
      <c r="E122" t="s">
        <v>34</v>
      </c>
      <c r="F122" s="1">
        <v>65.599999999999994</v>
      </c>
      <c r="G122" t="s">
        <v>24</v>
      </c>
      <c r="H122" t="s">
        <v>37</v>
      </c>
      <c r="I122" s="2">
        <v>3.2</v>
      </c>
      <c r="J122" s="4">
        <v>15</v>
      </c>
      <c r="K122" s="3">
        <v>5</v>
      </c>
      <c r="L122" s="1">
        <f t="shared" si="3"/>
        <v>55.759999999999991</v>
      </c>
      <c r="M122" t="str" cm="1">
        <f t="array" ref="M122">_xlfn.IFS(B122&lt;18,"Under 18",B122 &lt;=25,"18-25",B122&lt;=35,"26-35",B122&lt;=45,"36-45",B122&lt;=60,"46-60",TRUE,"60+")</f>
        <v>36-45</v>
      </c>
      <c r="N122" t="str">
        <f t="shared" si="4"/>
        <v>Discounted</v>
      </c>
      <c r="O122" t="str">
        <f t="shared" si="5"/>
        <v>Returning</v>
      </c>
    </row>
    <row r="123" spans="1:15" x14ac:dyDescent="0.25">
      <c r="A123">
        <v>122</v>
      </c>
      <c r="B123">
        <v>63</v>
      </c>
      <c r="C123" t="s">
        <v>11</v>
      </c>
      <c r="D123" t="s">
        <v>12</v>
      </c>
      <c r="E123" t="s">
        <v>50</v>
      </c>
      <c r="F123" s="1">
        <v>20.41</v>
      </c>
      <c r="G123" t="s">
        <v>14</v>
      </c>
      <c r="H123" t="s">
        <v>37</v>
      </c>
      <c r="I123" s="2">
        <v>3.7</v>
      </c>
      <c r="J123" s="4">
        <v>17</v>
      </c>
      <c r="K123" s="3">
        <v>6</v>
      </c>
      <c r="L123" s="1">
        <f t="shared" si="3"/>
        <v>16.940300000000001</v>
      </c>
      <c r="M123" t="str" cm="1">
        <f t="array" ref="M123">_xlfn.IFS(B123&lt;18,"Under 18",B123 &lt;=25,"18-25",B123&lt;=35,"26-35",B123&lt;=45,"36-45",B123&lt;=60,"46-60",TRUE,"60+")</f>
        <v>60+</v>
      </c>
      <c r="N123" t="str">
        <f t="shared" si="4"/>
        <v>Discounted</v>
      </c>
      <c r="O123" t="str">
        <f t="shared" si="5"/>
        <v>Returning</v>
      </c>
    </row>
    <row r="124" spans="1:15" x14ac:dyDescent="0.25">
      <c r="A124">
        <v>123</v>
      </c>
      <c r="B124">
        <v>35</v>
      </c>
      <c r="C124" t="s">
        <v>16</v>
      </c>
      <c r="D124" t="s">
        <v>27</v>
      </c>
      <c r="E124" t="s">
        <v>32</v>
      </c>
      <c r="F124" s="1">
        <v>1187.02</v>
      </c>
      <c r="G124" t="s">
        <v>14</v>
      </c>
      <c r="H124" t="s">
        <v>15</v>
      </c>
      <c r="I124" s="2">
        <v>3.5</v>
      </c>
      <c r="J124" s="4">
        <v>15</v>
      </c>
      <c r="K124" s="3">
        <v>5</v>
      </c>
      <c r="L124" s="1">
        <f t="shared" si="3"/>
        <v>1008.967</v>
      </c>
      <c r="M124" t="str" cm="1">
        <f t="array" ref="M124">_xlfn.IFS(B124&lt;18,"Under 18",B124 &lt;=25,"18-25",B124&lt;=35,"26-35",B124&lt;=45,"36-45",B124&lt;=60,"46-60",TRUE,"60+")</f>
        <v>26-35</v>
      </c>
      <c r="N124" t="str">
        <f t="shared" si="4"/>
        <v>Discounted</v>
      </c>
      <c r="O124" t="str">
        <f t="shared" si="5"/>
        <v>Returning</v>
      </c>
    </row>
    <row r="125" spans="1:15" x14ac:dyDescent="0.25">
      <c r="A125">
        <v>124</v>
      </c>
      <c r="B125">
        <v>53</v>
      </c>
      <c r="C125" t="s">
        <v>16</v>
      </c>
      <c r="D125" t="s">
        <v>27</v>
      </c>
      <c r="E125" t="s">
        <v>28</v>
      </c>
      <c r="F125" s="1">
        <v>559.1</v>
      </c>
      <c r="G125" t="s">
        <v>14</v>
      </c>
      <c r="H125" t="s">
        <v>15</v>
      </c>
      <c r="I125" s="2">
        <v>3.4</v>
      </c>
      <c r="J125" s="4">
        <v>17</v>
      </c>
      <c r="K125" s="3">
        <v>6</v>
      </c>
      <c r="L125" s="1">
        <f t="shared" si="3"/>
        <v>464.053</v>
      </c>
      <c r="M125" t="str" cm="1">
        <f t="array" ref="M125">_xlfn.IFS(B125&lt;18,"Under 18",B125 &lt;=25,"18-25",B125&lt;=35,"26-35",B125&lt;=45,"36-45",B125&lt;=60,"46-60",TRUE,"60+")</f>
        <v>46-60</v>
      </c>
      <c r="N125" t="str">
        <f t="shared" si="4"/>
        <v>Discounted</v>
      </c>
      <c r="O125" t="str">
        <f t="shared" si="5"/>
        <v>Returning</v>
      </c>
    </row>
    <row r="126" spans="1:15" x14ac:dyDescent="0.25">
      <c r="A126">
        <v>125</v>
      </c>
      <c r="B126">
        <v>54</v>
      </c>
      <c r="C126" t="s">
        <v>16</v>
      </c>
      <c r="D126" t="s">
        <v>33</v>
      </c>
      <c r="E126" t="s">
        <v>34</v>
      </c>
      <c r="F126" s="1">
        <v>129.91999999999999</v>
      </c>
      <c r="G126" t="s">
        <v>24</v>
      </c>
      <c r="H126" t="s">
        <v>15</v>
      </c>
      <c r="I126" s="2">
        <v>4.2</v>
      </c>
      <c r="J126" s="4">
        <v>13</v>
      </c>
      <c r="K126" s="3">
        <v>4</v>
      </c>
      <c r="L126" s="1">
        <f t="shared" si="3"/>
        <v>113.03039999999999</v>
      </c>
      <c r="M126" t="str" cm="1">
        <f t="array" ref="M126">_xlfn.IFS(B126&lt;18,"Under 18",B126 &lt;=25,"18-25",B126&lt;=35,"26-35",B126&lt;=45,"36-45",B126&lt;=60,"46-60",TRUE,"60+")</f>
        <v>46-60</v>
      </c>
      <c r="N126" t="str">
        <f t="shared" si="4"/>
        <v>Discounted</v>
      </c>
      <c r="O126" t="str">
        <f t="shared" si="5"/>
        <v>Returning</v>
      </c>
    </row>
    <row r="127" spans="1:15" x14ac:dyDescent="0.25">
      <c r="A127">
        <v>126</v>
      </c>
      <c r="B127">
        <v>65</v>
      </c>
      <c r="C127" t="s">
        <v>11</v>
      </c>
      <c r="D127" t="s">
        <v>25</v>
      </c>
      <c r="E127" t="s">
        <v>57</v>
      </c>
      <c r="F127" s="1">
        <v>19.39</v>
      </c>
      <c r="G127" t="s">
        <v>19</v>
      </c>
      <c r="H127" t="s">
        <v>37</v>
      </c>
      <c r="I127" s="2">
        <v>3.4</v>
      </c>
      <c r="J127" s="4">
        <v>6</v>
      </c>
      <c r="K127" s="3">
        <v>3</v>
      </c>
      <c r="L127" s="1">
        <f t="shared" si="3"/>
        <v>18.226600000000001</v>
      </c>
      <c r="M127" t="str" cm="1">
        <f t="array" ref="M127">_xlfn.IFS(B127&lt;18,"Under 18",B127 &lt;=25,"18-25",B127&lt;=35,"26-35",B127&lt;=45,"36-45",B127&lt;=60,"46-60",TRUE,"60+")</f>
        <v>60+</v>
      </c>
      <c r="N127" t="str">
        <f t="shared" si="4"/>
        <v>Discounted</v>
      </c>
      <c r="O127" t="str">
        <f t="shared" si="5"/>
        <v>Returning</v>
      </c>
    </row>
    <row r="128" spans="1:15" x14ac:dyDescent="0.25">
      <c r="A128">
        <v>127</v>
      </c>
      <c r="B128">
        <v>24</v>
      </c>
      <c r="C128" t="s">
        <v>11</v>
      </c>
      <c r="D128" t="s">
        <v>29</v>
      </c>
      <c r="E128" t="s">
        <v>51</v>
      </c>
      <c r="F128" s="1">
        <v>97.07</v>
      </c>
      <c r="G128" t="s">
        <v>14</v>
      </c>
      <c r="H128" t="s">
        <v>37</v>
      </c>
      <c r="I128" s="2">
        <v>2.4</v>
      </c>
      <c r="J128" s="4">
        <v>13</v>
      </c>
      <c r="K128" s="3">
        <v>4</v>
      </c>
      <c r="L128" s="1">
        <f t="shared" si="3"/>
        <v>84.45089999999999</v>
      </c>
      <c r="M128" t="str" cm="1">
        <f t="array" ref="M128">_xlfn.IFS(B128&lt;18,"Under 18",B128 &lt;=25,"18-25",B128&lt;=35,"26-35",B128&lt;=45,"36-45",B128&lt;=60,"46-60",TRUE,"60+")</f>
        <v>18-25</v>
      </c>
      <c r="N128" t="str">
        <f t="shared" si="4"/>
        <v>Discounted</v>
      </c>
      <c r="O128" t="str">
        <f t="shared" si="5"/>
        <v>Returning</v>
      </c>
    </row>
    <row r="129" spans="1:15" x14ac:dyDescent="0.25">
      <c r="A129">
        <v>128</v>
      </c>
      <c r="B129">
        <v>55</v>
      </c>
      <c r="C129" t="s">
        <v>16</v>
      </c>
      <c r="D129" t="s">
        <v>20</v>
      </c>
      <c r="E129" t="s">
        <v>39</v>
      </c>
      <c r="F129" s="1">
        <v>70.209999999999994</v>
      </c>
      <c r="G129" t="s">
        <v>19</v>
      </c>
      <c r="H129" t="s">
        <v>37</v>
      </c>
      <c r="I129" s="2">
        <v>3.4</v>
      </c>
      <c r="J129" s="4">
        <v>18</v>
      </c>
      <c r="K129" s="3">
        <v>4</v>
      </c>
      <c r="L129" s="1">
        <f t="shared" si="3"/>
        <v>57.572200000000002</v>
      </c>
      <c r="M129" t="str" cm="1">
        <f t="array" ref="M129">_xlfn.IFS(B129&lt;18,"Under 18",B129 &lt;=25,"18-25",B129&lt;=35,"26-35",B129&lt;=45,"36-45",B129&lt;=60,"46-60",TRUE,"60+")</f>
        <v>46-60</v>
      </c>
      <c r="N129" t="str">
        <f t="shared" si="4"/>
        <v>Discounted</v>
      </c>
      <c r="O129" t="str">
        <f t="shared" si="5"/>
        <v>Returning</v>
      </c>
    </row>
    <row r="130" spans="1:15" x14ac:dyDescent="0.25">
      <c r="A130">
        <v>129</v>
      </c>
      <c r="B130">
        <v>64</v>
      </c>
      <c r="C130" t="s">
        <v>16</v>
      </c>
      <c r="D130" t="s">
        <v>20</v>
      </c>
      <c r="E130" t="s">
        <v>36</v>
      </c>
      <c r="F130" s="1">
        <v>248.31</v>
      </c>
      <c r="G130" t="s">
        <v>24</v>
      </c>
      <c r="H130" t="s">
        <v>15</v>
      </c>
      <c r="I130" s="2">
        <v>3.7</v>
      </c>
      <c r="J130" s="4">
        <v>19</v>
      </c>
      <c r="K130" s="3">
        <v>7</v>
      </c>
      <c r="L130" s="1">
        <f t="shared" si="3"/>
        <v>201.1311</v>
      </c>
      <c r="M130" t="str" cm="1">
        <f t="array" ref="M130">_xlfn.IFS(B130&lt;18,"Under 18",B130 &lt;=25,"18-25",B130&lt;=35,"26-35",B130&lt;=45,"36-45",B130&lt;=60,"46-60",TRUE,"60+")</f>
        <v>60+</v>
      </c>
      <c r="N130" t="str">
        <f t="shared" si="4"/>
        <v>Discounted</v>
      </c>
      <c r="O130" t="str">
        <f t="shared" si="5"/>
        <v>Returning</v>
      </c>
    </row>
    <row r="131" spans="1:15" x14ac:dyDescent="0.25">
      <c r="A131">
        <v>130</v>
      </c>
      <c r="B131">
        <v>21</v>
      </c>
      <c r="C131" t="s">
        <v>16</v>
      </c>
      <c r="D131" t="s">
        <v>20</v>
      </c>
      <c r="E131" t="s">
        <v>21</v>
      </c>
      <c r="F131" s="1">
        <v>149.61000000000001</v>
      </c>
      <c r="G131" t="s">
        <v>14</v>
      </c>
      <c r="H131" t="s">
        <v>15</v>
      </c>
      <c r="I131" s="2">
        <v>3.6</v>
      </c>
      <c r="J131" s="4">
        <v>21</v>
      </c>
      <c r="K131" s="3">
        <v>8</v>
      </c>
      <c r="L131" s="1">
        <f t="shared" ref="L131:L194" si="6">F131 * (1 - J131 / 100)</f>
        <v>118.19190000000002</v>
      </c>
      <c r="M131" t="str" cm="1">
        <f t="array" ref="M131">_xlfn.IFS(B131&lt;18,"Under 18",B131 &lt;=25,"18-25",B131&lt;=35,"26-35",B131&lt;=45,"36-45",B131&lt;=60,"46-60",TRUE,"60+")</f>
        <v>18-25</v>
      </c>
      <c r="N131" t="str">
        <f t="shared" ref="N131:N194" si="7">IF(J131&gt;0,"Discounted","No Discount")</f>
        <v>Discounted</v>
      </c>
      <c r="O131" t="str">
        <f t="shared" ref="O131:O194" si="8">IF(K131&gt;0,"Returning","New")</f>
        <v>Returning</v>
      </c>
    </row>
    <row r="132" spans="1:15" x14ac:dyDescent="0.25">
      <c r="A132">
        <v>131</v>
      </c>
      <c r="B132">
        <v>66</v>
      </c>
      <c r="C132" t="s">
        <v>16</v>
      </c>
      <c r="D132" t="s">
        <v>22</v>
      </c>
      <c r="E132" t="s">
        <v>43</v>
      </c>
      <c r="F132" s="1">
        <v>132.77000000000001</v>
      </c>
      <c r="G132" t="s">
        <v>19</v>
      </c>
      <c r="H132" t="s">
        <v>15</v>
      </c>
      <c r="I132" s="2">
        <v>3.5</v>
      </c>
      <c r="J132" s="4">
        <v>17</v>
      </c>
      <c r="K132" s="3">
        <v>6</v>
      </c>
      <c r="L132" s="1">
        <f t="shared" si="6"/>
        <v>110.1991</v>
      </c>
      <c r="M132" t="str" cm="1">
        <f t="array" ref="M132">_xlfn.IFS(B132&lt;18,"Under 18",B132 &lt;=25,"18-25",B132&lt;=35,"26-35",B132&lt;=45,"36-45",B132&lt;=60,"46-60",TRUE,"60+")</f>
        <v>60+</v>
      </c>
      <c r="N132" t="str">
        <f t="shared" si="7"/>
        <v>Discounted</v>
      </c>
      <c r="O132" t="str">
        <f t="shared" si="8"/>
        <v>Returning</v>
      </c>
    </row>
    <row r="133" spans="1:15" x14ac:dyDescent="0.25">
      <c r="A133">
        <v>132</v>
      </c>
      <c r="B133">
        <v>39</v>
      </c>
      <c r="C133" t="s">
        <v>11</v>
      </c>
      <c r="D133" t="s">
        <v>29</v>
      </c>
      <c r="E133" t="s">
        <v>51</v>
      </c>
      <c r="F133" s="1">
        <v>37.229999999999997</v>
      </c>
      <c r="G133" t="s">
        <v>24</v>
      </c>
      <c r="H133" t="s">
        <v>15</v>
      </c>
      <c r="I133" s="2">
        <v>3.4</v>
      </c>
      <c r="J133" s="4">
        <v>14</v>
      </c>
      <c r="K133" s="3">
        <v>7</v>
      </c>
      <c r="L133" s="1">
        <f t="shared" si="6"/>
        <v>32.017799999999994</v>
      </c>
      <c r="M133" t="str" cm="1">
        <f t="array" ref="M133">_xlfn.IFS(B133&lt;18,"Under 18",B133 &lt;=25,"18-25",B133&lt;=35,"26-35",B133&lt;=45,"36-45",B133&lt;=60,"46-60",TRUE,"60+")</f>
        <v>36-45</v>
      </c>
      <c r="N133" t="str">
        <f t="shared" si="7"/>
        <v>Discounted</v>
      </c>
      <c r="O133" t="str">
        <f t="shared" si="8"/>
        <v>Returning</v>
      </c>
    </row>
    <row r="134" spans="1:15" x14ac:dyDescent="0.25">
      <c r="A134">
        <v>133</v>
      </c>
      <c r="B134">
        <v>53</v>
      </c>
      <c r="C134" t="s">
        <v>11</v>
      </c>
      <c r="D134" t="s">
        <v>33</v>
      </c>
      <c r="E134" t="s">
        <v>40</v>
      </c>
      <c r="F134" s="1">
        <v>88.84</v>
      </c>
      <c r="G134" t="s">
        <v>31</v>
      </c>
      <c r="H134" t="s">
        <v>37</v>
      </c>
      <c r="I134" s="2">
        <v>1.8</v>
      </c>
      <c r="J134" s="4">
        <v>16</v>
      </c>
      <c r="K134" s="3">
        <v>3</v>
      </c>
      <c r="L134" s="1">
        <f t="shared" si="6"/>
        <v>74.625600000000006</v>
      </c>
      <c r="M134" t="str" cm="1">
        <f t="array" ref="M134">_xlfn.IFS(B134&lt;18,"Under 18",B134 &lt;=25,"18-25",B134&lt;=35,"26-35",B134&lt;=45,"36-45",B134&lt;=60,"46-60",TRUE,"60+")</f>
        <v>46-60</v>
      </c>
      <c r="N134" t="str">
        <f t="shared" si="7"/>
        <v>Discounted</v>
      </c>
      <c r="O134" t="str">
        <f t="shared" si="8"/>
        <v>Returning</v>
      </c>
    </row>
    <row r="135" spans="1:15" x14ac:dyDescent="0.25">
      <c r="A135">
        <v>134</v>
      </c>
      <c r="B135">
        <v>25</v>
      </c>
      <c r="C135" t="s">
        <v>11</v>
      </c>
      <c r="D135" t="s">
        <v>41</v>
      </c>
      <c r="E135" t="s">
        <v>45</v>
      </c>
      <c r="F135" s="1">
        <v>140.53</v>
      </c>
      <c r="G135" t="s">
        <v>19</v>
      </c>
      <c r="H135" t="s">
        <v>15</v>
      </c>
      <c r="I135" s="2">
        <v>3.9</v>
      </c>
      <c r="J135" s="4">
        <v>11</v>
      </c>
      <c r="K135" s="3">
        <v>3</v>
      </c>
      <c r="L135" s="1">
        <f t="shared" si="6"/>
        <v>125.07170000000001</v>
      </c>
      <c r="M135" t="str" cm="1">
        <f t="array" ref="M135">_xlfn.IFS(B135&lt;18,"Under 18",B135 &lt;=25,"18-25",B135&lt;=35,"26-35",B135&lt;=45,"36-45",B135&lt;=60,"46-60",TRUE,"60+")</f>
        <v>18-25</v>
      </c>
      <c r="N135" t="str">
        <f t="shared" si="7"/>
        <v>Discounted</v>
      </c>
      <c r="O135" t="str">
        <f t="shared" si="8"/>
        <v>Returning</v>
      </c>
    </row>
    <row r="136" spans="1:15" x14ac:dyDescent="0.25">
      <c r="A136">
        <v>135</v>
      </c>
      <c r="B136">
        <v>30</v>
      </c>
      <c r="C136" t="s">
        <v>11</v>
      </c>
      <c r="D136" t="s">
        <v>20</v>
      </c>
      <c r="E136" t="s">
        <v>21</v>
      </c>
      <c r="F136" s="1">
        <v>121.83</v>
      </c>
      <c r="G136" t="s">
        <v>14</v>
      </c>
      <c r="H136" t="s">
        <v>15</v>
      </c>
      <c r="I136" s="2">
        <v>3.5</v>
      </c>
      <c r="J136" s="4">
        <v>16</v>
      </c>
      <c r="K136" s="3">
        <v>3</v>
      </c>
      <c r="L136" s="1">
        <f t="shared" si="6"/>
        <v>102.3372</v>
      </c>
      <c r="M136" t="str" cm="1">
        <f t="array" ref="M136">_xlfn.IFS(B136&lt;18,"Under 18",B136 &lt;=25,"18-25",B136&lt;=35,"26-35",B136&lt;=45,"36-45",B136&lt;=60,"46-60",TRUE,"60+")</f>
        <v>26-35</v>
      </c>
      <c r="N136" t="str">
        <f t="shared" si="7"/>
        <v>Discounted</v>
      </c>
      <c r="O136" t="str">
        <f t="shared" si="8"/>
        <v>Returning</v>
      </c>
    </row>
    <row r="137" spans="1:15" x14ac:dyDescent="0.25">
      <c r="A137">
        <v>136</v>
      </c>
      <c r="B137">
        <v>23</v>
      </c>
      <c r="C137" t="s">
        <v>16</v>
      </c>
      <c r="D137" t="s">
        <v>27</v>
      </c>
      <c r="E137" t="s">
        <v>53</v>
      </c>
      <c r="F137" s="1">
        <v>1052.01</v>
      </c>
      <c r="G137" t="s">
        <v>14</v>
      </c>
      <c r="H137" t="s">
        <v>15</v>
      </c>
      <c r="I137" s="2">
        <v>4.0999999999999996</v>
      </c>
      <c r="J137" s="4">
        <v>24</v>
      </c>
      <c r="K137" s="3">
        <v>7</v>
      </c>
      <c r="L137" s="1">
        <f t="shared" si="6"/>
        <v>799.52760000000001</v>
      </c>
      <c r="M137" t="str" cm="1">
        <f t="array" ref="M137">_xlfn.IFS(B137&lt;18,"Under 18",B137 &lt;=25,"18-25",B137&lt;=35,"26-35",B137&lt;=45,"36-45",B137&lt;=60,"46-60",TRUE,"60+")</f>
        <v>18-25</v>
      </c>
      <c r="N137" t="str">
        <f t="shared" si="7"/>
        <v>Discounted</v>
      </c>
      <c r="O137" t="str">
        <f t="shared" si="8"/>
        <v>Returning</v>
      </c>
    </row>
    <row r="138" spans="1:15" x14ac:dyDescent="0.25">
      <c r="A138">
        <v>137</v>
      </c>
      <c r="B138">
        <v>41</v>
      </c>
      <c r="C138" t="s">
        <v>11</v>
      </c>
      <c r="D138" t="s">
        <v>25</v>
      </c>
      <c r="E138" t="s">
        <v>54</v>
      </c>
      <c r="F138" s="1">
        <v>77.290000000000006</v>
      </c>
      <c r="G138" t="s">
        <v>24</v>
      </c>
      <c r="H138" t="s">
        <v>15</v>
      </c>
      <c r="I138" s="2">
        <v>3.9</v>
      </c>
      <c r="J138" s="4">
        <v>18</v>
      </c>
      <c r="K138" s="3">
        <v>4</v>
      </c>
      <c r="L138" s="1">
        <f t="shared" si="6"/>
        <v>63.377800000000008</v>
      </c>
      <c r="M138" t="str" cm="1">
        <f t="array" ref="M138">_xlfn.IFS(B138&lt;18,"Under 18",B138 &lt;=25,"18-25",B138&lt;=35,"26-35",B138&lt;=45,"36-45",B138&lt;=60,"46-60",TRUE,"60+")</f>
        <v>36-45</v>
      </c>
      <c r="N138" t="str">
        <f t="shared" si="7"/>
        <v>Discounted</v>
      </c>
      <c r="O138" t="str">
        <f t="shared" si="8"/>
        <v>Returning</v>
      </c>
    </row>
    <row r="139" spans="1:15" x14ac:dyDescent="0.25">
      <c r="A139">
        <v>138</v>
      </c>
      <c r="B139">
        <v>40</v>
      </c>
      <c r="C139" t="s">
        <v>11</v>
      </c>
      <c r="D139" t="s">
        <v>29</v>
      </c>
      <c r="E139" t="s">
        <v>55</v>
      </c>
      <c r="F139" s="1">
        <v>124.2</v>
      </c>
      <c r="G139" t="s">
        <v>19</v>
      </c>
      <c r="H139" t="s">
        <v>15</v>
      </c>
      <c r="I139" s="2">
        <v>3.1</v>
      </c>
      <c r="J139" s="4">
        <v>17</v>
      </c>
      <c r="K139" s="3">
        <v>6</v>
      </c>
      <c r="L139" s="1">
        <f t="shared" si="6"/>
        <v>103.086</v>
      </c>
      <c r="M139" t="str" cm="1">
        <f t="array" ref="M139">_xlfn.IFS(B139&lt;18,"Under 18",B139 &lt;=25,"18-25",B139&lt;=35,"26-35",B139&lt;=45,"36-45",B139&lt;=60,"46-60",TRUE,"60+")</f>
        <v>36-45</v>
      </c>
      <c r="N139" t="str">
        <f t="shared" si="7"/>
        <v>Discounted</v>
      </c>
      <c r="O139" t="str">
        <f t="shared" si="8"/>
        <v>Returning</v>
      </c>
    </row>
    <row r="140" spans="1:15" x14ac:dyDescent="0.25">
      <c r="A140">
        <v>139</v>
      </c>
      <c r="B140">
        <v>23</v>
      </c>
      <c r="C140" t="s">
        <v>11</v>
      </c>
      <c r="D140" t="s">
        <v>33</v>
      </c>
      <c r="E140" t="s">
        <v>34</v>
      </c>
      <c r="F140" s="1">
        <v>139.96</v>
      </c>
      <c r="G140" t="s">
        <v>14</v>
      </c>
      <c r="H140" t="s">
        <v>15</v>
      </c>
      <c r="I140" s="2">
        <v>4.0999999999999996</v>
      </c>
      <c r="J140" s="4">
        <v>18</v>
      </c>
      <c r="K140" s="3">
        <v>9</v>
      </c>
      <c r="L140" s="1">
        <f t="shared" si="6"/>
        <v>114.76720000000002</v>
      </c>
      <c r="M140" t="str" cm="1">
        <f t="array" ref="M140">_xlfn.IFS(B140&lt;18,"Under 18",B140 &lt;=25,"18-25",B140&lt;=35,"26-35",B140&lt;=45,"36-45",B140&lt;=60,"46-60",TRUE,"60+")</f>
        <v>18-25</v>
      </c>
      <c r="N140" t="str">
        <f t="shared" si="7"/>
        <v>Discounted</v>
      </c>
      <c r="O140" t="str">
        <f t="shared" si="8"/>
        <v>Returning</v>
      </c>
    </row>
    <row r="141" spans="1:15" x14ac:dyDescent="0.25">
      <c r="A141">
        <v>140</v>
      </c>
      <c r="B141">
        <v>59</v>
      </c>
      <c r="C141" t="s">
        <v>16</v>
      </c>
      <c r="D141" t="s">
        <v>33</v>
      </c>
      <c r="E141" t="s">
        <v>34</v>
      </c>
      <c r="F141" s="1">
        <v>121.13</v>
      </c>
      <c r="G141" t="s">
        <v>31</v>
      </c>
      <c r="H141" t="s">
        <v>15</v>
      </c>
      <c r="I141" s="2">
        <v>3.6</v>
      </c>
      <c r="J141" s="4">
        <v>10</v>
      </c>
      <c r="K141" s="3">
        <v>5</v>
      </c>
      <c r="L141" s="1">
        <f t="shared" si="6"/>
        <v>109.017</v>
      </c>
      <c r="M141" t="str" cm="1">
        <f t="array" ref="M141">_xlfn.IFS(B141&lt;18,"Under 18",B141 &lt;=25,"18-25",B141&lt;=35,"26-35",B141&lt;=45,"36-45",B141&lt;=60,"46-60",TRUE,"60+")</f>
        <v>46-60</v>
      </c>
      <c r="N141" t="str">
        <f t="shared" si="7"/>
        <v>Discounted</v>
      </c>
      <c r="O141" t="str">
        <f t="shared" si="8"/>
        <v>Returning</v>
      </c>
    </row>
    <row r="142" spans="1:15" x14ac:dyDescent="0.25">
      <c r="A142">
        <v>141</v>
      </c>
      <c r="B142">
        <v>56</v>
      </c>
      <c r="C142" t="s">
        <v>11</v>
      </c>
      <c r="D142" t="s">
        <v>25</v>
      </c>
      <c r="E142" t="s">
        <v>26</v>
      </c>
      <c r="F142" s="1">
        <v>58.72</v>
      </c>
      <c r="G142" t="s">
        <v>14</v>
      </c>
      <c r="H142" t="s">
        <v>15</v>
      </c>
      <c r="I142" s="2">
        <v>2.6</v>
      </c>
      <c r="J142" s="4">
        <v>2</v>
      </c>
      <c r="K142" s="3">
        <v>1</v>
      </c>
      <c r="L142" s="1">
        <f t="shared" si="6"/>
        <v>57.5456</v>
      </c>
      <c r="M142" t="str" cm="1">
        <f t="array" ref="M142">_xlfn.IFS(B142&lt;18,"Under 18",B142 &lt;=25,"18-25",B142&lt;=35,"26-35",B142&lt;=45,"36-45",B142&lt;=60,"46-60",TRUE,"60+")</f>
        <v>46-60</v>
      </c>
      <c r="N142" t="str">
        <f t="shared" si="7"/>
        <v>Discounted</v>
      </c>
      <c r="O142" t="str">
        <f t="shared" si="8"/>
        <v>Returning</v>
      </c>
    </row>
    <row r="143" spans="1:15" x14ac:dyDescent="0.25">
      <c r="A143">
        <v>142</v>
      </c>
      <c r="B143">
        <v>34</v>
      </c>
      <c r="C143" t="s">
        <v>16</v>
      </c>
      <c r="D143" t="s">
        <v>20</v>
      </c>
      <c r="E143" t="s">
        <v>39</v>
      </c>
      <c r="F143" s="1">
        <v>64.17</v>
      </c>
      <c r="G143" t="s">
        <v>14</v>
      </c>
      <c r="H143" t="s">
        <v>15</v>
      </c>
      <c r="I143" s="2">
        <v>3</v>
      </c>
      <c r="J143" s="4">
        <v>8</v>
      </c>
      <c r="K143" s="3">
        <v>4</v>
      </c>
      <c r="L143" s="1">
        <f t="shared" si="6"/>
        <v>59.036400000000008</v>
      </c>
      <c r="M143" t="str" cm="1">
        <f t="array" ref="M143">_xlfn.IFS(B143&lt;18,"Under 18",B143 &lt;=25,"18-25",B143&lt;=35,"26-35",B143&lt;=45,"36-45",B143&lt;=60,"46-60",TRUE,"60+")</f>
        <v>26-35</v>
      </c>
      <c r="N143" t="str">
        <f t="shared" si="7"/>
        <v>Discounted</v>
      </c>
      <c r="O143" t="str">
        <f t="shared" si="8"/>
        <v>Returning</v>
      </c>
    </row>
    <row r="144" spans="1:15" x14ac:dyDescent="0.25">
      <c r="A144">
        <v>143</v>
      </c>
      <c r="B144">
        <v>59</v>
      </c>
      <c r="C144" t="s">
        <v>16</v>
      </c>
      <c r="D144" t="s">
        <v>33</v>
      </c>
      <c r="E144" t="s">
        <v>34</v>
      </c>
      <c r="F144" s="1">
        <v>42.19</v>
      </c>
      <c r="G144" t="s">
        <v>19</v>
      </c>
      <c r="H144" t="s">
        <v>37</v>
      </c>
      <c r="I144" s="2">
        <v>3.2</v>
      </c>
      <c r="J144" s="4">
        <v>4</v>
      </c>
      <c r="K144" s="3">
        <v>2</v>
      </c>
      <c r="L144" s="1">
        <f t="shared" si="6"/>
        <v>40.502399999999994</v>
      </c>
      <c r="M144" t="str" cm="1">
        <f t="array" ref="M144">_xlfn.IFS(B144&lt;18,"Under 18",B144 &lt;=25,"18-25",B144&lt;=35,"26-35",B144&lt;=45,"36-45",B144&lt;=60,"46-60",TRUE,"60+")</f>
        <v>46-60</v>
      </c>
      <c r="N144" t="str">
        <f t="shared" si="7"/>
        <v>Discounted</v>
      </c>
      <c r="O144" t="str">
        <f t="shared" si="8"/>
        <v>Returning</v>
      </c>
    </row>
    <row r="145" spans="1:15" x14ac:dyDescent="0.25">
      <c r="A145">
        <v>144</v>
      </c>
      <c r="B145">
        <v>40</v>
      </c>
      <c r="C145" t="s">
        <v>11</v>
      </c>
      <c r="D145" t="s">
        <v>33</v>
      </c>
      <c r="E145" t="s">
        <v>34</v>
      </c>
      <c r="F145" s="1">
        <v>166.4</v>
      </c>
      <c r="G145" t="s">
        <v>14</v>
      </c>
      <c r="H145" t="s">
        <v>15</v>
      </c>
      <c r="I145" s="2">
        <v>3.8</v>
      </c>
      <c r="J145" s="4">
        <v>14</v>
      </c>
      <c r="K145" s="3">
        <v>7</v>
      </c>
      <c r="L145" s="1">
        <f t="shared" si="6"/>
        <v>143.10400000000001</v>
      </c>
      <c r="M145" t="str" cm="1">
        <f t="array" ref="M145">_xlfn.IFS(B145&lt;18,"Under 18",B145 &lt;=25,"18-25",B145&lt;=35,"26-35",B145&lt;=45,"36-45",B145&lt;=60,"46-60",TRUE,"60+")</f>
        <v>36-45</v>
      </c>
      <c r="N145" t="str">
        <f t="shared" si="7"/>
        <v>Discounted</v>
      </c>
      <c r="O145" t="str">
        <f t="shared" si="8"/>
        <v>Returning</v>
      </c>
    </row>
    <row r="146" spans="1:15" x14ac:dyDescent="0.25">
      <c r="A146">
        <v>145</v>
      </c>
      <c r="B146">
        <v>33</v>
      </c>
      <c r="C146" t="s">
        <v>11</v>
      </c>
      <c r="D146" t="s">
        <v>41</v>
      </c>
      <c r="E146" t="s">
        <v>45</v>
      </c>
      <c r="F146" s="1">
        <v>76.540000000000006</v>
      </c>
      <c r="G146" t="s">
        <v>31</v>
      </c>
      <c r="H146" t="s">
        <v>15</v>
      </c>
      <c r="I146" s="2">
        <v>4.2</v>
      </c>
      <c r="J146" s="4">
        <v>6</v>
      </c>
      <c r="K146" s="3">
        <v>3</v>
      </c>
      <c r="L146" s="1">
        <f t="shared" si="6"/>
        <v>71.947600000000008</v>
      </c>
      <c r="M146" t="str" cm="1">
        <f t="array" ref="M146">_xlfn.IFS(B146&lt;18,"Under 18",B146 &lt;=25,"18-25",B146&lt;=35,"26-35",B146&lt;=45,"36-45",B146&lt;=60,"46-60",TRUE,"60+")</f>
        <v>26-35</v>
      </c>
      <c r="N146" t="str">
        <f t="shared" si="7"/>
        <v>Discounted</v>
      </c>
      <c r="O146" t="str">
        <f t="shared" si="8"/>
        <v>Returning</v>
      </c>
    </row>
    <row r="147" spans="1:15" x14ac:dyDescent="0.25">
      <c r="A147">
        <v>146</v>
      </c>
      <c r="B147">
        <v>68</v>
      </c>
      <c r="C147" t="s">
        <v>11</v>
      </c>
      <c r="D147" t="s">
        <v>41</v>
      </c>
      <c r="E147" t="s">
        <v>46</v>
      </c>
      <c r="F147" s="1">
        <v>158.36000000000001</v>
      </c>
      <c r="G147" t="s">
        <v>19</v>
      </c>
      <c r="H147" t="s">
        <v>15</v>
      </c>
      <c r="I147" s="2">
        <v>3.6</v>
      </c>
      <c r="J147" s="4">
        <v>23</v>
      </c>
      <c r="K147" s="3">
        <v>9</v>
      </c>
      <c r="L147" s="1">
        <f t="shared" si="6"/>
        <v>121.93720000000002</v>
      </c>
      <c r="M147" t="str" cm="1">
        <f t="array" ref="M147">_xlfn.IFS(B147&lt;18,"Under 18",B147 &lt;=25,"18-25",B147&lt;=35,"26-35",B147&lt;=45,"36-45",B147&lt;=60,"46-60",TRUE,"60+")</f>
        <v>60+</v>
      </c>
      <c r="N147" t="str">
        <f t="shared" si="7"/>
        <v>Discounted</v>
      </c>
      <c r="O147" t="str">
        <f t="shared" si="8"/>
        <v>Returning</v>
      </c>
    </row>
    <row r="148" spans="1:15" x14ac:dyDescent="0.25">
      <c r="A148">
        <v>147</v>
      </c>
      <c r="B148">
        <v>48</v>
      </c>
      <c r="C148" t="s">
        <v>16</v>
      </c>
      <c r="D148" t="s">
        <v>33</v>
      </c>
      <c r="E148" t="s">
        <v>34</v>
      </c>
      <c r="F148" s="1">
        <v>84.84</v>
      </c>
      <c r="G148" t="s">
        <v>31</v>
      </c>
      <c r="H148" t="s">
        <v>15</v>
      </c>
      <c r="I148" s="2">
        <v>4.7</v>
      </c>
      <c r="J148" s="4">
        <v>26</v>
      </c>
      <c r="K148" s="3">
        <v>8</v>
      </c>
      <c r="L148" s="1">
        <f t="shared" si="6"/>
        <v>62.781600000000005</v>
      </c>
      <c r="M148" t="str" cm="1">
        <f t="array" ref="M148">_xlfn.IFS(B148&lt;18,"Under 18",B148 &lt;=25,"18-25",B148&lt;=35,"26-35",B148&lt;=45,"36-45",B148&lt;=60,"46-60",TRUE,"60+")</f>
        <v>46-60</v>
      </c>
      <c r="N148" t="str">
        <f t="shared" si="7"/>
        <v>Discounted</v>
      </c>
      <c r="O148" t="str">
        <f t="shared" si="8"/>
        <v>Returning</v>
      </c>
    </row>
    <row r="149" spans="1:15" x14ac:dyDescent="0.25">
      <c r="A149">
        <v>148</v>
      </c>
      <c r="B149">
        <v>27</v>
      </c>
      <c r="C149" t="s">
        <v>11</v>
      </c>
      <c r="D149" t="s">
        <v>33</v>
      </c>
      <c r="E149" t="s">
        <v>40</v>
      </c>
      <c r="F149" s="1">
        <v>195.76</v>
      </c>
      <c r="G149" t="s">
        <v>31</v>
      </c>
      <c r="H149" t="s">
        <v>15</v>
      </c>
      <c r="I149" s="2">
        <v>4</v>
      </c>
      <c r="J149" s="4">
        <v>17</v>
      </c>
      <c r="K149" s="3">
        <v>6</v>
      </c>
      <c r="L149" s="1">
        <f t="shared" si="6"/>
        <v>162.48079999999999</v>
      </c>
      <c r="M149" t="str" cm="1">
        <f t="array" ref="M149">_xlfn.IFS(B149&lt;18,"Under 18",B149 &lt;=25,"18-25",B149&lt;=35,"26-35",B149&lt;=45,"36-45",B149&lt;=60,"46-60",TRUE,"60+")</f>
        <v>26-35</v>
      </c>
      <c r="N149" t="str">
        <f t="shared" si="7"/>
        <v>Discounted</v>
      </c>
      <c r="O149" t="str">
        <f t="shared" si="8"/>
        <v>Returning</v>
      </c>
    </row>
    <row r="150" spans="1:15" x14ac:dyDescent="0.25">
      <c r="A150">
        <v>149</v>
      </c>
      <c r="B150">
        <v>46</v>
      </c>
      <c r="C150" t="s">
        <v>16</v>
      </c>
      <c r="D150" t="s">
        <v>20</v>
      </c>
      <c r="E150" t="s">
        <v>21</v>
      </c>
      <c r="F150" s="1">
        <v>146.21</v>
      </c>
      <c r="G150" t="s">
        <v>31</v>
      </c>
      <c r="H150" t="s">
        <v>15</v>
      </c>
      <c r="I150" s="2">
        <v>3.6</v>
      </c>
      <c r="J150" s="4">
        <v>8</v>
      </c>
      <c r="K150" s="3">
        <v>4</v>
      </c>
      <c r="L150" s="1">
        <f t="shared" si="6"/>
        <v>134.51320000000001</v>
      </c>
      <c r="M150" t="str" cm="1">
        <f t="array" ref="M150">_xlfn.IFS(B150&lt;18,"Under 18",B150 &lt;=25,"18-25",B150&lt;=35,"26-35",B150&lt;=45,"36-45",B150&lt;=60,"46-60",TRUE,"60+")</f>
        <v>46-60</v>
      </c>
      <c r="N150" t="str">
        <f t="shared" si="7"/>
        <v>Discounted</v>
      </c>
      <c r="O150" t="str">
        <f t="shared" si="8"/>
        <v>Returning</v>
      </c>
    </row>
    <row r="151" spans="1:15" x14ac:dyDescent="0.25">
      <c r="A151">
        <v>150</v>
      </c>
      <c r="B151">
        <v>35</v>
      </c>
      <c r="C151" t="s">
        <v>16</v>
      </c>
      <c r="D151" t="s">
        <v>17</v>
      </c>
      <c r="E151" t="s">
        <v>35</v>
      </c>
      <c r="F151" s="1">
        <v>115.35</v>
      </c>
      <c r="G151" t="s">
        <v>24</v>
      </c>
      <c r="H151" t="s">
        <v>15</v>
      </c>
      <c r="I151" s="2">
        <v>4.0999999999999996</v>
      </c>
      <c r="J151" s="4">
        <v>13</v>
      </c>
      <c r="K151" s="3">
        <v>4</v>
      </c>
      <c r="L151" s="1">
        <f t="shared" si="6"/>
        <v>100.3545</v>
      </c>
      <c r="M151" t="str" cm="1">
        <f t="array" ref="M151">_xlfn.IFS(B151&lt;18,"Under 18",B151 &lt;=25,"18-25",B151&lt;=35,"26-35",B151&lt;=45,"36-45",B151&lt;=60,"46-60",TRUE,"60+")</f>
        <v>26-35</v>
      </c>
      <c r="N151" t="str">
        <f t="shared" si="7"/>
        <v>Discounted</v>
      </c>
      <c r="O151" t="str">
        <f t="shared" si="8"/>
        <v>Returning</v>
      </c>
    </row>
    <row r="152" spans="1:15" x14ac:dyDescent="0.25">
      <c r="A152">
        <v>151</v>
      </c>
      <c r="B152">
        <v>57</v>
      </c>
      <c r="C152" t="s">
        <v>16</v>
      </c>
      <c r="D152" t="s">
        <v>20</v>
      </c>
      <c r="E152" t="s">
        <v>21</v>
      </c>
      <c r="F152" s="1">
        <v>31.54</v>
      </c>
      <c r="G152" t="s">
        <v>24</v>
      </c>
      <c r="H152" t="s">
        <v>37</v>
      </c>
      <c r="I152" s="2">
        <v>5</v>
      </c>
      <c r="J152" s="4">
        <v>16</v>
      </c>
      <c r="K152" s="3">
        <v>3</v>
      </c>
      <c r="L152" s="1">
        <f t="shared" si="6"/>
        <v>26.493599999999997</v>
      </c>
      <c r="M152" t="str" cm="1">
        <f t="array" ref="M152">_xlfn.IFS(B152&lt;18,"Under 18",B152 &lt;=25,"18-25",B152&lt;=35,"26-35",B152&lt;=45,"36-45",B152&lt;=60,"46-60",TRUE,"60+")</f>
        <v>46-60</v>
      </c>
      <c r="N152" t="str">
        <f t="shared" si="7"/>
        <v>Discounted</v>
      </c>
      <c r="O152" t="str">
        <f t="shared" si="8"/>
        <v>Returning</v>
      </c>
    </row>
    <row r="153" spans="1:15" x14ac:dyDescent="0.25">
      <c r="A153">
        <v>152</v>
      </c>
      <c r="B153">
        <v>35</v>
      </c>
      <c r="C153" t="s">
        <v>11</v>
      </c>
      <c r="D153" t="s">
        <v>33</v>
      </c>
      <c r="E153" t="s">
        <v>34</v>
      </c>
      <c r="F153" s="1">
        <v>142.19</v>
      </c>
      <c r="G153" t="s">
        <v>19</v>
      </c>
      <c r="H153" t="s">
        <v>15</v>
      </c>
      <c r="I153" s="2">
        <v>3.6</v>
      </c>
      <c r="J153" s="4">
        <v>16</v>
      </c>
      <c r="K153" s="3">
        <v>3</v>
      </c>
      <c r="L153" s="1">
        <f t="shared" si="6"/>
        <v>119.4396</v>
      </c>
      <c r="M153" t="str" cm="1">
        <f t="array" ref="M153">_xlfn.IFS(B153&lt;18,"Under 18",B153 &lt;=25,"18-25",B153&lt;=35,"26-35",B153&lt;=45,"36-45",B153&lt;=60,"46-60",TRUE,"60+")</f>
        <v>26-35</v>
      </c>
      <c r="N153" t="str">
        <f t="shared" si="7"/>
        <v>Discounted</v>
      </c>
      <c r="O153" t="str">
        <f t="shared" si="8"/>
        <v>Returning</v>
      </c>
    </row>
    <row r="154" spans="1:15" x14ac:dyDescent="0.25">
      <c r="A154">
        <v>153</v>
      </c>
      <c r="B154">
        <v>38</v>
      </c>
      <c r="C154" t="s">
        <v>11</v>
      </c>
      <c r="D154" t="s">
        <v>33</v>
      </c>
      <c r="E154" t="s">
        <v>34</v>
      </c>
      <c r="F154" s="1">
        <v>246.21</v>
      </c>
      <c r="G154" t="s">
        <v>14</v>
      </c>
      <c r="H154" t="s">
        <v>15</v>
      </c>
      <c r="I154" s="2">
        <v>3.1</v>
      </c>
      <c r="J154" s="4">
        <v>8</v>
      </c>
      <c r="K154" s="3">
        <v>4</v>
      </c>
      <c r="L154" s="1">
        <f t="shared" si="6"/>
        <v>226.51320000000001</v>
      </c>
      <c r="M154" t="str" cm="1">
        <f t="array" ref="M154">_xlfn.IFS(B154&lt;18,"Under 18",B154 &lt;=25,"18-25",B154&lt;=35,"26-35",B154&lt;=45,"36-45",B154&lt;=60,"46-60",TRUE,"60+")</f>
        <v>36-45</v>
      </c>
      <c r="N154" t="str">
        <f t="shared" si="7"/>
        <v>Discounted</v>
      </c>
      <c r="O154" t="str">
        <f t="shared" si="8"/>
        <v>Returning</v>
      </c>
    </row>
    <row r="155" spans="1:15" x14ac:dyDescent="0.25">
      <c r="A155">
        <v>154</v>
      </c>
      <c r="B155">
        <v>68</v>
      </c>
      <c r="C155" t="s">
        <v>16</v>
      </c>
      <c r="D155" t="s">
        <v>33</v>
      </c>
      <c r="E155" t="s">
        <v>38</v>
      </c>
      <c r="F155" s="1">
        <v>194.06</v>
      </c>
      <c r="G155" t="s">
        <v>19</v>
      </c>
      <c r="H155" t="s">
        <v>15</v>
      </c>
      <c r="I155" s="2">
        <v>3.8</v>
      </c>
      <c r="J155" s="4">
        <v>18</v>
      </c>
      <c r="K155" s="3">
        <v>4</v>
      </c>
      <c r="L155" s="1">
        <f t="shared" si="6"/>
        <v>159.12920000000003</v>
      </c>
      <c r="M155" t="str" cm="1">
        <f t="array" ref="M155">_xlfn.IFS(B155&lt;18,"Under 18",B155 &lt;=25,"18-25",B155&lt;=35,"26-35",B155&lt;=45,"36-45",B155&lt;=60,"46-60",TRUE,"60+")</f>
        <v>60+</v>
      </c>
      <c r="N155" t="str">
        <f t="shared" si="7"/>
        <v>Discounted</v>
      </c>
      <c r="O155" t="str">
        <f t="shared" si="8"/>
        <v>Returning</v>
      </c>
    </row>
    <row r="156" spans="1:15" x14ac:dyDescent="0.25">
      <c r="A156">
        <v>155</v>
      </c>
      <c r="B156">
        <v>66</v>
      </c>
      <c r="C156" t="s">
        <v>11</v>
      </c>
      <c r="D156" t="s">
        <v>12</v>
      </c>
      <c r="E156" t="s">
        <v>13</v>
      </c>
      <c r="F156" s="1">
        <v>172.05</v>
      </c>
      <c r="G156" t="s">
        <v>24</v>
      </c>
      <c r="H156" t="s">
        <v>15</v>
      </c>
      <c r="I156" s="2">
        <v>2.5</v>
      </c>
      <c r="J156" s="4">
        <v>17</v>
      </c>
      <c r="K156" s="3">
        <v>6</v>
      </c>
      <c r="L156" s="1">
        <f t="shared" si="6"/>
        <v>142.8015</v>
      </c>
      <c r="M156" t="str" cm="1">
        <f t="array" ref="M156">_xlfn.IFS(B156&lt;18,"Under 18",B156 &lt;=25,"18-25",B156&lt;=35,"26-35",B156&lt;=45,"36-45",B156&lt;=60,"46-60",TRUE,"60+")</f>
        <v>60+</v>
      </c>
      <c r="N156" t="str">
        <f t="shared" si="7"/>
        <v>Discounted</v>
      </c>
      <c r="O156" t="str">
        <f t="shared" si="8"/>
        <v>Returning</v>
      </c>
    </row>
    <row r="157" spans="1:15" x14ac:dyDescent="0.25">
      <c r="A157">
        <v>156</v>
      </c>
      <c r="B157">
        <v>38</v>
      </c>
      <c r="C157" t="s">
        <v>11</v>
      </c>
      <c r="D157" t="s">
        <v>41</v>
      </c>
      <c r="E157" t="s">
        <v>44</v>
      </c>
      <c r="F157" s="1">
        <v>94.08</v>
      </c>
      <c r="G157" t="s">
        <v>31</v>
      </c>
      <c r="H157" t="s">
        <v>37</v>
      </c>
      <c r="I157" s="2">
        <v>4.0999999999999996</v>
      </c>
      <c r="J157" s="4">
        <v>22</v>
      </c>
      <c r="K157" s="3">
        <v>6</v>
      </c>
      <c r="L157" s="1">
        <f t="shared" si="6"/>
        <v>73.382400000000004</v>
      </c>
      <c r="M157" t="str" cm="1">
        <f t="array" ref="M157">_xlfn.IFS(B157&lt;18,"Under 18",B157 &lt;=25,"18-25",B157&lt;=35,"26-35",B157&lt;=45,"36-45",B157&lt;=60,"46-60",TRUE,"60+")</f>
        <v>36-45</v>
      </c>
      <c r="N157" t="str">
        <f t="shared" si="7"/>
        <v>Discounted</v>
      </c>
      <c r="O157" t="str">
        <f t="shared" si="8"/>
        <v>Returning</v>
      </c>
    </row>
    <row r="158" spans="1:15" x14ac:dyDescent="0.25">
      <c r="A158">
        <v>157</v>
      </c>
      <c r="B158">
        <v>20</v>
      </c>
      <c r="C158" t="s">
        <v>11</v>
      </c>
      <c r="D158" t="s">
        <v>41</v>
      </c>
      <c r="E158" t="s">
        <v>46</v>
      </c>
      <c r="F158" s="1">
        <v>57.01</v>
      </c>
      <c r="G158" t="s">
        <v>31</v>
      </c>
      <c r="H158" t="s">
        <v>15</v>
      </c>
      <c r="I158" s="2">
        <v>3.1</v>
      </c>
      <c r="J158" s="4">
        <v>15</v>
      </c>
      <c r="K158" s="3">
        <v>5</v>
      </c>
      <c r="L158" s="1">
        <f t="shared" si="6"/>
        <v>48.458499999999994</v>
      </c>
      <c r="M158" t="str" cm="1">
        <f t="array" ref="M158">_xlfn.IFS(B158&lt;18,"Under 18",B158 &lt;=25,"18-25",B158&lt;=35,"26-35",B158&lt;=45,"36-45",B158&lt;=60,"46-60",TRUE,"60+")</f>
        <v>18-25</v>
      </c>
      <c r="N158" t="str">
        <f t="shared" si="7"/>
        <v>Discounted</v>
      </c>
      <c r="O158" t="str">
        <f t="shared" si="8"/>
        <v>Returning</v>
      </c>
    </row>
    <row r="159" spans="1:15" x14ac:dyDescent="0.25">
      <c r="A159">
        <v>158</v>
      </c>
      <c r="B159">
        <v>47</v>
      </c>
      <c r="C159" t="s">
        <v>11</v>
      </c>
      <c r="D159" t="s">
        <v>33</v>
      </c>
      <c r="E159" t="s">
        <v>34</v>
      </c>
      <c r="F159" s="1">
        <v>130.07</v>
      </c>
      <c r="G159" t="s">
        <v>19</v>
      </c>
      <c r="H159" t="s">
        <v>15</v>
      </c>
      <c r="I159" s="2">
        <v>3.1</v>
      </c>
      <c r="J159" s="4">
        <v>13</v>
      </c>
      <c r="K159" s="3">
        <v>4</v>
      </c>
      <c r="L159" s="1">
        <f t="shared" si="6"/>
        <v>113.1609</v>
      </c>
      <c r="M159" t="str" cm="1">
        <f t="array" ref="M159">_xlfn.IFS(B159&lt;18,"Under 18",B159 &lt;=25,"18-25",B159&lt;=35,"26-35",B159&lt;=45,"36-45",B159&lt;=60,"46-60",TRUE,"60+")</f>
        <v>46-60</v>
      </c>
      <c r="N159" t="str">
        <f t="shared" si="7"/>
        <v>Discounted</v>
      </c>
      <c r="O159" t="str">
        <f t="shared" si="8"/>
        <v>Returning</v>
      </c>
    </row>
    <row r="160" spans="1:15" x14ac:dyDescent="0.25">
      <c r="A160">
        <v>159</v>
      </c>
      <c r="B160">
        <v>62</v>
      </c>
      <c r="C160" t="s">
        <v>16</v>
      </c>
      <c r="D160" t="s">
        <v>17</v>
      </c>
      <c r="E160" t="s">
        <v>18</v>
      </c>
      <c r="F160" s="1">
        <v>161.22</v>
      </c>
      <c r="G160" t="s">
        <v>14</v>
      </c>
      <c r="H160" t="s">
        <v>15</v>
      </c>
      <c r="I160" s="2">
        <v>4.7</v>
      </c>
      <c r="J160" s="4">
        <v>18</v>
      </c>
      <c r="K160" s="3">
        <v>4</v>
      </c>
      <c r="L160" s="1">
        <f t="shared" si="6"/>
        <v>132.2004</v>
      </c>
      <c r="M160" t="str" cm="1">
        <f t="array" ref="M160">_xlfn.IFS(B160&lt;18,"Under 18",B160 &lt;=25,"18-25",B160&lt;=35,"26-35",B160&lt;=45,"36-45",B160&lt;=60,"46-60",TRUE,"60+")</f>
        <v>60+</v>
      </c>
      <c r="N160" t="str">
        <f t="shared" si="7"/>
        <v>Discounted</v>
      </c>
      <c r="O160" t="str">
        <f t="shared" si="8"/>
        <v>Returning</v>
      </c>
    </row>
    <row r="161" spans="1:15" x14ac:dyDescent="0.25">
      <c r="A161">
        <v>160</v>
      </c>
      <c r="B161">
        <v>33</v>
      </c>
      <c r="C161" t="s">
        <v>16</v>
      </c>
      <c r="D161" t="s">
        <v>27</v>
      </c>
      <c r="E161" t="s">
        <v>28</v>
      </c>
      <c r="F161" s="1">
        <v>862.41</v>
      </c>
      <c r="G161" t="s">
        <v>19</v>
      </c>
      <c r="H161" t="s">
        <v>15</v>
      </c>
      <c r="I161" s="2">
        <v>3.5</v>
      </c>
      <c r="J161" s="4">
        <v>12</v>
      </c>
      <c r="K161" s="3">
        <v>6</v>
      </c>
      <c r="L161" s="1">
        <f t="shared" si="6"/>
        <v>758.92079999999999</v>
      </c>
      <c r="M161" t="str" cm="1">
        <f t="array" ref="M161">_xlfn.IFS(B161&lt;18,"Under 18",B161 &lt;=25,"18-25",B161&lt;=35,"26-35",B161&lt;=45,"36-45",B161&lt;=60,"46-60",TRUE,"60+")</f>
        <v>26-35</v>
      </c>
      <c r="N161" t="str">
        <f t="shared" si="7"/>
        <v>Discounted</v>
      </c>
      <c r="O161" t="str">
        <f t="shared" si="8"/>
        <v>Returning</v>
      </c>
    </row>
    <row r="162" spans="1:15" x14ac:dyDescent="0.25">
      <c r="A162">
        <v>161</v>
      </c>
      <c r="B162">
        <v>23</v>
      </c>
      <c r="C162" t="s">
        <v>16</v>
      </c>
      <c r="D162" t="s">
        <v>33</v>
      </c>
      <c r="E162" t="s">
        <v>34</v>
      </c>
      <c r="F162" s="1">
        <v>157.86000000000001</v>
      </c>
      <c r="G162" t="s">
        <v>19</v>
      </c>
      <c r="H162" t="s">
        <v>15</v>
      </c>
      <c r="I162" s="2">
        <v>5</v>
      </c>
      <c r="J162" s="4">
        <v>13</v>
      </c>
      <c r="K162" s="3">
        <v>4</v>
      </c>
      <c r="L162" s="1">
        <f t="shared" si="6"/>
        <v>137.3382</v>
      </c>
      <c r="M162" t="str" cm="1">
        <f t="array" ref="M162">_xlfn.IFS(B162&lt;18,"Under 18",B162 &lt;=25,"18-25",B162&lt;=35,"26-35",B162&lt;=45,"36-45",B162&lt;=60,"46-60",TRUE,"60+")</f>
        <v>18-25</v>
      </c>
      <c r="N162" t="str">
        <f t="shared" si="7"/>
        <v>Discounted</v>
      </c>
      <c r="O162" t="str">
        <f t="shared" si="8"/>
        <v>Returning</v>
      </c>
    </row>
    <row r="163" spans="1:15" x14ac:dyDescent="0.25">
      <c r="A163">
        <v>162</v>
      </c>
      <c r="B163">
        <v>25</v>
      </c>
      <c r="C163" t="s">
        <v>11</v>
      </c>
      <c r="D163" t="s">
        <v>29</v>
      </c>
      <c r="E163" t="s">
        <v>55</v>
      </c>
      <c r="F163" s="1">
        <v>142.94</v>
      </c>
      <c r="G163" t="s">
        <v>14</v>
      </c>
      <c r="H163" t="s">
        <v>15</v>
      </c>
      <c r="I163" s="2">
        <v>4.5</v>
      </c>
      <c r="J163" s="4">
        <v>17</v>
      </c>
      <c r="K163" s="3">
        <v>6</v>
      </c>
      <c r="L163" s="1">
        <f t="shared" si="6"/>
        <v>118.64019999999999</v>
      </c>
      <c r="M163" t="str" cm="1">
        <f t="array" ref="M163">_xlfn.IFS(B163&lt;18,"Under 18",B163 &lt;=25,"18-25",B163&lt;=35,"26-35",B163&lt;=45,"36-45",B163&lt;=60,"46-60",TRUE,"60+")</f>
        <v>18-25</v>
      </c>
      <c r="N163" t="str">
        <f t="shared" si="7"/>
        <v>Discounted</v>
      </c>
      <c r="O163" t="str">
        <f t="shared" si="8"/>
        <v>Returning</v>
      </c>
    </row>
    <row r="164" spans="1:15" x14ac:dyDescent="0.25">
      <c r="A164">
        <v>163</v>
      </c>
      <c r="B164">
        <v>29</v>
      </c>
      <c r="C164" t="s">
        <v>16</v>
      </c>
      <c r="D164" t="s">
        <v>20</v>
      </c>
      <c r="E164" t="s">
        <v>21</v>
      </c>
      <c r="F164" s="1">
        <v>70.31</v>
      </c>
      <c r="G164" t="s">
        <v>31</v>
      </c>
      <c r="H164" t="s">
        <v>37</v>
      </c>
      <c r="I164" s="2">
        <v>3</v>
      </c>
      <c r="J164" s="4">
        <v>8</v>
      </c>
      <c r="K164" s="3">
        <v>4</v>
      </c>
      <c r="L164" s="1">
        <f t="shared" si="6"/>
        <v>64.685200000000009</v>
      </c>
      <c r="M164" t="str" cm="1">
        <f t="array" ref="M164">_xlfn.IFS(B164&lt;18,"Under 18",B164 &lt;=25,"18-25",B164&lt;=35,"26-35",B164&lt;=45,"36-45",B164&lt;=60,"46-60",TRUE,"60+")</f>
        <v>26-35</v>
      </c>
      <c r="N164" t="str">
        <f t="shared" si="7"/>
        <v>Discounted</v>
      </c>
      <c r="O164" t="str">
        <f t="shared" si="8"/>
        <v>Returning</v>
      </c>
    </row>
    <row r="165" spans="1:15" x14ac:dyDescent="0.25">
      <c r="A165">
        <v>164</v>
      </c>
      <c r="B165">
        <v>60</v>
      </c>
      <c r="C165" t="s">
        <v>11</v>
      </c>
      <c r="D165" t="s">
        <v>41</v>
      </c>
      <c r="E165" t="s">
        <v>46</v>
      </c>
      <c r="F165" s="1">
        <v>34.619999999999997</v>
      </c>
      <c r="G165" t="s">
        <v>31</v>
      </c>
      <c r="H165" t="s">
        <v>15</v>
      </c>
      <c r="I165" s="2">
        <v>4.2</v>
      </c>
      <c r="J165" s="4">
        <v>20</v>
      </c>
      <c r="K165" s="3">
        <v>5</v>
      </c>
      <c r="L165" s="1">
        <f t="shared" si="6"/>
        <v>27.695999999999998</v>
      </c>
      <c r="M165" t="str" cm="1">
        <f t="array" ref="M165">_xlfn.IFS(B165&lt;18,"Under 18",B165 &lt;=25,"18-25",B165&lt;=35,"26-35",B165&lt;=45,"36-45",B165&lt;=60,"46-60",TRUE,"60+")</f>
        <v>46-60</v>
      </c>
      <c r="N165" t="str">
        <f t="shared" si="7"/>
        <v>Discounted</v>
      </c>
      <c r="O165" t="str">
        <f t="shared" si="8"/>
        <v>Returning</v>
      </c>
    </row>
    <row r="166" spans="1:15" x14ac:dyDescent="0.25">
      <c r="A166">
        <v>165</v>
      </c>
      <c r="B166">
        <v>69</v>
      </c>
      <c r="C166" t="s">
        <v>16</v>
      </c>
      <c r="D166" t="s">
        <v>33</v>
      </c>
      <c r="E166" t="s">
        <v>38</v>
      </c>
      <c r="F166" s="1">
        <v>82.79</v>
      </c>
      <c r="G166" t="s">
        <v>31</v>
      </c>
      <c r="H166" t="s">
        <v>37</v>
      </c>
      <c r="I166" s="2">
        <v>5</v>
      </c>
      <c r="J166" s="4">
        <v>21</v>
      </c>
      <c r="K166" s="3">
        <v>8</v>
      </c>
      <c r="L166" s="1">
        <f t="shared" si="6"/>
        <v>65.404100000000014</v>
      </c>
      <c r="M166" t="str" cm="1">
        <f t="array" ref="M166">_xlfn.IFS(B166&lt;18,"Under 18",B166 &lt;=25,"18-25",B166&lt;=35,"26-35",B166&lt;=45,"36-45",B166&lt;=60,"46-60",TRUE,"60+")</f>
        <v>60+</v>
      </c>
      <c r="N166" t="str">
        <f t="shared" si="7"/>
        <v>Discounted</v>
      </c>
      <c r="O166" t="str">
        <f t="shared" si="8"/>
        <v>Returning</v>
      </c>
    </row>
    <row r="167" spans="1:15" x14ac:dyDescent="0.25">
      <c r="A167">
        <v>166</v>
      </c>
      <c r="B167">
        <v>35</v>
      </c>
      <c r="C167" t="s">
        <v>16</v>
      </c>
      <c r="D167" t="s">
        <v>33</v>
      </c>
      <c r="E167" t="s">
        <v>34</v>
      </c>
      <c r="F167" s="1">
        <v>75.459999999999994</v>
      </c>
      <c r="G167" t="s">
        <v>14</v>
      </c>
      <c r="H167" t="s">
        <v>15</v>
      </c>
      <c r="I167" s="2">
        <v>2.5</v>
      </c>
      <c r="J167" s="4">
        <v>16</v>
      </c>
      <c r="K167" s="3">
        <v>3</v>
      </c>
      <c r="L167" s="1">
        <f t="shared" si="6"/>
        <v>63.386399999999995</v>
      </c>
      <c r="M167" t="str" cm="1">
        <f t="array" ref="M167">_xlfn.IFS(B167&lt;18,"Under 18",B167 &lt;=25,"18-25",B167&lt;=35,"26-35",B167&lt;=45,"36-45",B167&lt;=60,"46-60",TRUE,"60+")</f>
        <v>26-35</v>
      </c>
      <c r="N167" t="str">
        <f t="shared" si="7"/>
        <v>Discounted</v>
      </c>
      <c r="O167" t="str">
        <f t="shared" si="8"/>
        <v>Returning</v>
      </c>
    </row>
    <row r="168" spans="1:15" x14ac:dyDescent="0.25">
      <c r="A168">
        <v>167</v>
      </c>
      <c r="B168">
        <v>49</v>
      </c>
      <c r="C168" t="s">
        <v>11</v>
      </c>
      <c r="D168" t="s">
        <v>12</v>
      </c>
      <c r="E168" t="s">
        <v>13</v>
      </c>
      <c r="F168" s="1">
        <v>148.58000000000001</v>
      </c>
      <c r="G168" t="s">
        <v>31</v>
      </c>
      <c r="H168" t="s">
        <v>15</v>
      </c>
      <c r="I168" s="2">
        <v>4.3</v>
      </c>
      <c r="J168" s="4">
        <v>26</v>
      </c>
      <c r="K168" s="3">
        <v>8</v>
      </c>
      <c r="L168" s="1">
        <f t="shared" si="6"/>
        <v>109.9492</v>
      </c>
      <c r="M168" t="str" cm="1">
        <f t="array" ref="M168">_xlfn.IFS(B168&lt;18,"Under 18",B168 &lt;=25,"18-25",B168&lt;=35,"26-35",B168&lt;=45,"36-45",B168&lt;=60,"46-60",TRUE,"60+")</f>
        <v>46-60</v>
      </c>
      <c r="N168" t="str">
        <f t="shared" si="7"/>
        <v>Discounted</v>
      </c>
      <c r="O168" t="str">
        <f t="shared" si="8"/>
        <v>Returning</v>
      </c>
    </row>
    <row r="169" spans="1:15" x14ac:dyDescent="0.25">
      <c r="A169">
        <v>168</v>
      </c>
      <c r="B169">
        <v>52</v>
      </c>
      <c r="C169" t="s">
        <v>11</v>
      </c>
      <c r="D169" t="s">
        <v>41</v>
      </c>
      <c r="E169" t="s">
        <v>45</v>
      </c>
      <c r="F169" s="1">
        <v>43.5</v>
      </c>
      <c r="G169" t="s">
        <v>14</v>
      </c>
      <c r="H169" t="s">
        <v>37</v>
      </c>
      <c r="I169" s="2">
        <v>3.4</v>
      </c>
      <c r="J169" s="4">
        <v>24</v>
      </c>
      <c r="K169" s="3">
        <v>7</v>
      </c>
      <c r="L169" s="1">
        <f t="shared" si="6"/>
        <v>33.06</v>
      </c>
      <c r="M169" t="str" cm="1">
        <f t="array" ref="M169">_xlfn.IFS(B169&lt;18,"Under 18",B169 &lt;=25,"18-25",B169&lt;=35,"26-35",B169&lt;=45,"36-45",B169&lt;=60,"46-60",TRUE,"60+")</f>
        <v>46-60</v>
      </c>
      <c r="N169" t="str">
        <f t="shared" si="7"/>
        <v>Discounted</v>
      </c>
      <c r="O169" t="str">
        <f t="shared" si="8"/>
        <v>Returning</v>
      </c>
    </row>
    <row r="170" spans="1:15" x14ac:dyDescent="0.25">
      <c r="A170">
        <v>169</v>
      </c>
      <c r="B170">
        <v>28</v>
      </c>
      <c r="C170" t="s">
        <v>16</v>
      </c>
      <c r="D170" t="s">
        <v>17</v>
      </c>
      <c r="E170" t="s">
        <v>48</v>
      </c>
      <c r="F170" s="1">
        <v>179.57</v>
      </c>
      <c r="G170" t="s">
        <v>24</v>
      </c>
      <c r="H170" t="s">
        <v>15</v>
      </c>
      <c r="I170" s="2">
        <v>3.2</v>
      </c>
      <c r="J170" s="4">
        <v>6</v>
      </c>
      <c r="K170" s="3">
        <v>3</v>
      </c>
      <c r="L170" s="1">
        <f t="shared" si="6"/>
        <v>168.79579999999999</v>
      </c>
      <c r="M170" t="str" cm="1">
        <f t="array" ref="M170">_xlfn.IFS(B170&lt;18,"Under 18",B170 &lt;=25,"18-25",B170&lt;=35,"26-35",B170&lt;=45,"36-45",B170&lt;=60,"46-60",TRUE,"60+")</f>
        <v>26-35</v>
      </c>
      <c r="N170" t="str">
        <f t="shared" si="7"/>
        <v>Discounted</v>
      </c>
      <c r="O170" t="str">
        <f t="shared" si="8"/>
        <v>Returning</v>
      </c>
    </row>
    <row r="171" spans="1:15" x14ac:dyDescent="0.25">
      <c r="A171">
        <v>170</v>
      </c>
      <c r="B171">
        <v>70</v>
      </c>
      <c r="C171" t="s">
        <v>16</v>
      </c>
      <c r="D171" t="s">
        <v>20</v>
      </c>
      <c r="E171" t="s">
        <v>21</v>
      </c>
      <c r="F171" s="1">
        <v>122.99</v>
      </c>
      <c r="G171" t="s">
        <v>14</v>
      </c>
      <c r="H171" t="s">
        <v>15</v>
      </c>
      <c r="I171" s="2">
        <v>3.4</v>
      </c>
      <c r="J171" s="4">
        <v>10</v>
      </c>
      <c r="K171" s="3">
        <v>5</v>
      </c>
      <c r="L171" s="1">
        <f t="shared" si="6"/>
        <v>110.691</v>
      </c>
      <c r="M171" t="str" cm="1">
        <f t="array" ref="M171">_xlfn.IFS(B171&lt;18,"Under 18",B171 &lt;=25,"18-25",B171&lt;=35,"26-35",B171&lt;=45,"36-45",B171&lt;=60,"46-60",TRUE,"60+")</f>
        <v>60+</v>
      </c>
      <c r="N171" t="str">
        <f t="shared" si="7"/>
        <v>Discounted</v>
      </c>
      <c r="O171" t="str">
        <f t="shared" si="8"/>
        <v>Returning</v>
      </c>
    </row>
    <row r="172" spans="1:15" x14ac:dyDescent="0.25">
      <c r="A172">
        <v>171</v>
      </c>
      <c r="B172">
        <v>53</v>
      </c>
      <c r="C172" t="s">
        <v>11</v>
      </c>
      <c r="D172" t="s">
        <v>33</v>
      </c>
      <c r="E172" t="s">
        <v>38</v>
      </c>
      <c r="F172" s="1">
        <v>76.73</v>
      </c>
      <c r="G172" t="s">
        <v>14</v>
      </c>
      <c r="H172" t="s">
        <v>37</v>
      </c>
      <c r="I172" s="2">
        <v>5</v>
      </c>
      <c r="J172" s="4">
        <v>24</v>
      </c>
      <c r="K172" s="3">
        <v>7</v>
      </c>
      <c r="L172" s="1">
        <f t="shared" si="6"/>
        <v>58.314800000000005</v>
      </c>
      <c r="M172" t="str" cm="1">
        <f t="array" ref="M172">_xlfn.IFS(B172&lt;18,"Under 18",B172 &lt;=25,"18-25",B172&lt;=35,"26-35",B172&lt;=45,"36-45",B172&lt;=60,"46-60",TRUE,"60+")</f>
        <v>46-60</v>
      </c>
      <c r="N172" t="str">
        <f t="shared" si="7"/>
        <v>Discounted</v>
      </c>
      <c r="O172" t="str">
        <f t="shared" si="8"/>
        <v>Returning</v>
      </c>
    </row>
    <row r="173" spans="1:15" x14ac:dyDescent="0.25">
      <c r="A173">
        <v>172</v>
      </c>
      <c r="B173">
        <v>36</v>
      </c>
      <c r="C173" t="s">
        <v>16</v>
      </c>
      <c r="D173" t="s">
        <v>20</v>
      </c>
      <c r="E173" t="s">
        <v>21</v>
      </c>
      <c r="F173" s="1">
        <v>227.24</v>
      </c>
      <c r="G173" t="s">
        <v>31</v>
      </c>
      <c r="H173" t="s">
        <v>15</v>
      </c>
      <c r="I173" s="2">
        <v>3.4</v>
      </c>
      <c r="J173" s="4">
        <v>14</v>
      </c>
      <c r="K173" s="3">
        <v>2</v>
      </c>
      <c r="L173" s="1">
        <f t="shared" si="6"/>
        <v>195.4264</v>
      </c>
      <c r="M173" t="str" cm="1">
        <f t="array" ref="M173">_xlfn.IFS(B173&lt;18,"Under 18",B173 &lt;=25,"18-25",B173&lt;=35,"26-35",B173&lt;=45,"36-45",B173&lt;=60,"46-60",TRUE,"60+")</f>
        <v>36-45</v>
      </c>
      <c r="N173" t="str">
        <f t="shared" si="7"/>
        <v>Discounted</v>
      </c>
      <c r="O173" t="str">
        <f t="shared" si="8"/>
        <v>Returning</v>
      </c>
    </row>
    <row r="174" spans="1:15" x14ac:dyDescent="0.25">
      <c r="A174">
        <v>173</v>
      </c>
      <c r="B174">
        <v>53</v>
      </c>
      <c r="C174" t="s">
        <v>11</v>
      </c>
      <c r="D174" t="s">
        <v>41</v>
      </c>
      <c r="E174" t="s">
        <v>42</v>
      </c>
      <c r="F174" s="1">
        <v>94.87</v>
      </c>
      <c r="G174" t="s">
        <v>24</v>
      </c>
      <c r="H174" t="s">
        <v>37</v>
      </c>
      <c r="I174" s="2">
        <v>3.6</v>
      </c>
      <c r="J174" s="4">
        <v>13</v>
      </c>
      <c r="K174" s="3">
        <v>4</v>
      </c>
      <c r="L174" s="1">
        <f t="shared" si="6"/>
        <v>82.536900000000003</v>
      </c>
      <c r="M174" t="str" cm="1">
        <f t="array" ref="M174">_xlfn.IFS(B174&lt;18,"Under 18",B174 &lt;=25,"18-25",B174&lt;=35,"26-35",B174&lt;=45,"36-45",B174&lt;=60,"46-60",TRUE,"60+")</f>
        <v>46-60</v>
      </c>
      <c r="N174" t="str">
        <f t="shared" si="7"/>
        <v>Discounted</v>
      </c>
      <c r="O174" t="str">
        <f t="shared" si="8"/>
        <v>Returning</v>
      </c>
    </row>
    <row r="175" spans="1:15" x14ac:dyDescent="0.25">
      <c r="A175">
        <v>174</v>
      </c>
      <c r="B175">
        <v>38</v>
      </c>
      <c r="C175" t="s">
        <v>11</v>
      </c>
      <c r="D175" t="s">
        <v>41</v>
      </c>
      <c r="E175" t="s">
        <v>44</v>
      </c>
      <c r="F175" s="1">
        <v>166.83</v>
      </c>
      <c r="G175" t="s">
        <v>24</v>
      </c>
      <c r="H175" t="s">
        <v>15</v>
      </c>
      <c r="I175" s="2">
        <v>4.0999999999999996</v>
      </c>
      <c r="J175" s="4">
        <v>16</v>
      </c>
      <c r="K175" s="3">
        <v>3</v>
      </c>
      <c r="L175" s="1">
        <f t="shared" si="6"/>
        <v>140.13720000000001</v>
      </c>
      <c r="M175" t="str" cm="1">
        <f t="array" ref="M175">_xlfn.IFS(B175&lt;18,"Under 18",B175 &lt;=25,"18-25",B175&lt;=35,"26-35",B175&lt;=45,"36-45",B175&lt;=60,"46-60",TRUE,"60+")</f>
        <v>36-45</v>
      </c>
      <c r="N175" t="str">
        <f t="shared" si="7"/>
        <v>Discounted</v>
      </c>
      <c r="O175" t="str">
        <f t="shared" si="8"/>
        <v>Returning</v>
      </c>
    </row>
    <row r="176" spans="1:15" x14ac:dyDescent="0.25">
      <c r="A176">
        <v>175</v>
      </c>
      <c r="B176">
        <v>38</v>
      </c>
      <c r="C176" t="s">
        <v>16</v>
      </c>
      <c r="D176" t="s">
        <v>20</v>
      </c>
      <c r="E176" t="s">
        <v>36</v>
      </c>
      <c r="F176" s="1">
        <v>52.06</v>
      </c>
      <c r="G176" t="s">
        <v>24</v>
      </c>
      <c r="H176" t="s">
        <v>15</v>
      </c>
      <c r="I176" s="2">
        <v>2.2999999999999998</v>
      </c>
      <c r="J176" s="4">
        <v>4</v>
      </c>
      <c r="K176" s="3">
        <v>2</v>
      </c>
      <c r="L176" s="1">
        <f t="shared" si="6"/>
        <v>49.977600000000002</v>
      </c>
      <c r="M176" t="str" cm="1">
        <f t="array" ref="M176">_xlfn.IFS(B176&lt;18,"Under 18",B176 &lt;=25,"18-25",B176&lt;=35,"26-35",B176&lt;=45,"36-45",B176&lt;=60,"46-60",TRUE,"60+")</f>
        <v>36-45</v>
      </c>
      <c r="N176" t="str">
        <f t="shared" si="7"/>
        <v>Discounted</v>
      </c>
      <c r="O176" t="str">
        <f t="shared" si="8"/>
        <v>Returning</v>
      </c>
    </row>
    <row r="177" spans="1:15" x14ac:dyDescent="0.25">
      <c r="A177">
        <v>176</v>
      </c>
      <c r="B177">
        <v>54</v>
      </c>
      <c r="C177" t="s">
        <v>16</v>
      </c>
      <c r="D177" t="s">
        <v>17</v>
      </c>
      <c r="E177" t="s">
        <v>18</v>
      </c>
      <c r="F177" s="1">
        <v>38.18</v>
      </c>
      <c r="G177" t="s">
        <v>24</v>
      </c>
      <c r="H177" t="s">
        <v>37</v>
      </c>
      <c r="I177" s="2">
        <v>3.5</v>
      </c>
      <c r="J177" s="4">
        <v>12</v>
      </c>
      <c r="K177" s="3">
        <v>6</v>
      </c>
      <c r="L177" s="1">
        <f t="shared" si="6"/>
        <v>33.598399999999998</v>
      </c>
      <c r="M177" t="str" cm="1">
        <f t="array" ref="M177">_xlfn.IFS(B177&lt;18,"Under 18",B177 &lt;=25,"18-25",B177&lt;=35,"26-35",B177&lt;=45,"36-45",B177&lt;=60,"46-60",TRUE,"60+")</f>
        <v>46-60</v>
      </c>
      <c r="N177" t="str">
        <f t="shared" si="7"/>
        <v>Discounted</v>
      </c>
      <c r="O177" t="str">
        <f t="shared" si="8"/>
        <v>Returning</v>
      </c>
    </row>
    <row r="178" spans="1:15" x14ac:dyDescent="0.25">
      <c r="A178">
        <v>177</v>
      </c>
      <c r="B178">
        <v>67</v>
      </c>
      <c r="C178" t="s">
        <v>11</v>
      </c>
      <c r="D178" t="s">
        <v>12</v>
      </c>
      <c r="E178" t="s">
        <v>56</v>
      </c>
      <c r="F178" s="1">
        <v>156.91</v>
      </c>
      <c r="G178" t="s">
        <v>31</v>
      </c>
      <c r="H178" t="s">
        <v>15</v>
      </c>
      <c r="I178" s="2">
        <v>3.3</v>
      </c>
      <c r="J178" s="4">
        <v>8</v>
      </c>
      <c r="K178" s="3">
        <v>4</v>
      </c>
      <c r="L178" s="1">
        <f t="shared" si="6"/>
        <v>144.35720000000001</v>
      </c>
      <c r="M178" t="str" cm="1">
        <f t="array" ref="M178">_xlfn.IFS(B178&lt;18,"Under 18",B178 &lt;=25,"18-25",B178&lt;=35,"26-35",B178&lt;=45,"36-45",B178&lt;=60,"46-60",TRUE,"60+")</f>
        <v>60+</v>
      </c>
      <c r="N178" t="str">
        <f t="shared" si="7"/>
        <v>Discounted</v>
      </c>
      <c r="O178" t="str">
        <f t="shared" si="8"/>
        <v>Returning</v>
      </c>
    </row>
    <row r="179" spans="1:15" x14ac:dyDescent="0.25">
      <c r="A179">
        <v>178</v>
      </c>
      <c r="B179">
        <v>36</v>
      </c>
      <c r="C179" t="s">
        <v>11</v>
      </c>
      <c r="D179" t="s">
        <v>29</v>
      </c>
      <c r="E179" t="s">
        <v>55</v>
      </c>
      <c r="F179" s="1">
        <v>110.28</v>
      </c>
      <c r="G179" t="s">
        <v>19</v>
      </c>
      <c r="H179" t="s">
        <v>15</v>
      </c>
      <c r="I179" s="2">
        <v>3.8</v>
      </c>
      <c r="J179" s="4">
        <v>16</v>
      </c>
      <c r="K179" s="3">
        <v>3</v>
      </c>
      <c r="L179" s="1">
        <f t="shared" si="6"/>
        <v>92.635199999999998</v>
      </c>
      <c r="M179" t="str" cm="1">
        <f t="array" ref="M179">_xlfn.IFS(B179&lt;18,"Under 18",B179 &lt;=25,"18-25",B179&lt;=35,"26-35",B179&lt;=45,"36-45",B179&lt;=60,"46-60",TRUE,"60+")</f>
        <v>36-45</v>
      </c>
      <c r="N179" t="str">
        <f t="shared" si="7"/>
        <v>Discounted</v>
      </c>
      <c r="O179" t="str">
        <f t="shared" si="8"/>
        <v>Returning</v>
      </c>
    </row>
    <row r="180" spans="1:15" x14ac:dyDescent="0.25">
      <c r="A180">
        <v>179</v>
      </c>
      <c r="B180">
        <v>48</v>
      </c>
      <c r="C180" t="s">
        <v>11</v>
      </c>
      <c r="D180" t="s">
        <v>12</v>
      </c>
      <c r="E180" t="s">
        <v>56</v>
      </c>
      <c r="F180" s="1">
        <v>114.67</v>
      </c>
      <c r="G180" t="s">
        <v>24</v>
      </c>
      <c r="H180" t="s">
        <v>15</v>
      </c>
      <c r="I180" s="2">
        <v>3.5</v>
      </c>
      <c r="J180" s="4">
        <v>8</v>
      </c>
      <c r="K180" s="3">
        <v>4</v>
      </c>
      <c r="L180" s="1">
        <f t="shared" si="6"/>
        <v>105.49640000000001</v>
      </c>
      <c r="M180" t="str" cm="1">
        <f t="array" ref="M180">_xlfn.IFS(B180&lt;18,"Under 18",B180 &lt;=25,"18-25",B180&lt;=35,"26-35",B180&lt;=45,"36-45",B180&lt;=60,"46-60",TRUE,"60+")</f>
        <v>46-60</v>
      </c>
      <c r="N180" t="str">
        <f t="shared" si="7"/>
        <v>Discounted</v>
      </c>
      <c r="O180" t="str">
        <f t="shared" si="8"/>
        <v>Returning</v>
      </c>
    </row>
    <row r="181" spans="1:15" x14ac:dyDescent="0.25">
      <c r="A181">
        <v>180</v>
      </c>
      <c r="B181">
        <v>20</v>
      </c>
      <c r="C181" t="s">
        <v>11</v>
      </c>
      <c r="D181" t="s">
        <v>41</v>
      </c>
      <c r="E181" t="s">
        <v>45</v>
      </c>
      <c r="F181" s="1">
        <v>73.25</v>
      </c>
      <c r="G181" t="s">
        <v>24</v>
      </c>
      <c r="H181" t="s">
        <v>15</v>
      </c>
      <c r="I181" s="2">
        <v>2.5</v>
      </c>
      <c r="J181" s="4">
        <v>11</v>
      </c>
      <c r="K181" s="3">
        <v>3</v>
      </c>
      <c r="L181" s="1">
        <f t="shared" si="6"/>
        <v>65.192499999999995</v>
      </c>
      <c r="M181" t="str" cm="1">
        <f t="array" ref="M181">_xlfn.IFS(B181&lt;18,"Under 18",B181 &lt;=25,"18-25",B181&lt;=35,"26-35",B181&lt;=45,"36-45",B181&lt;=60,"46-60",TRUE,"60+")</f>
        <v>18-25</v>
      </c>
      <c r="N181" t="str">
        <f t="shared" si="7"/>
        <v>Discounted</v>
      </c>
      <c r="O181" t="str">
        <f t="shared" si="8"/>
        <v>Returning</v>
      </c>
    </row>
    <row r="182" spans="1:15" x14ac:dyDescent="0.25">
      <c r="A182">
        <v>181</v>
      </c>
      <c r="B182">
        <v>48</v>
      </c>
      <c r="C182" t="s">
        <v>16</v>
      </c>
      <c r="D182" t="s">
        <v>20</v>
      </c>
      <c r="E182" t="s">
        <v>36</v>
      </c>
      <c r="F182" s="1">
        <v>162.43</v>
      </c>
      <c r="G182" t="s">
        <v>31</v>
      </c>
      <c r="H182" t="s">
        <v>15</v>
      </c>
      <c r="I182" s="2">
        <v>3.4</v>
      </c>
      <c r="J182" s="4">
        <v>11</v>
      </c>
      <c r="K182" s="3">
        <v>3</v>
      </c>
      <c r="L182" s="1">
        <f t="shared" si="6"/>
        <v>144.56270000000001</v>
      </c>
      <c r="M182" t="str" cm="1">
        <f t="array" ref="M182">_xlfn.IFS(B182&lt;18,"Under 18",B182 &lt;=25,"18-25",B182&lt;=35,"26-35",B182&lt;=45,"36-45",B182&lt;=60,"46-60",TRUE,"60+")</f>
        <v>46-60</v>
      </c>
      <c r="N182" t="str">
        <f t="shared" si="7"/>
        <v>Discounted</v>
      </c>
      <c r="O182" t="str">
        <f t="shared" si="8"/>
        <v>Returning</v>
      </c>
    </row>
    <row r="183" spans="1:15" x14ac:dyDescent="0.25">
      <c r="A183">
        <v>182</v>
      </c>
      <c r="B183">
        <v>40</v>
      </c>
      <c r="C183" t="s">
        <v>16</v>
      </c>
      <c r="D183" t="s">
        <v>17</v>
      </c>
      <c r="E183" t="s">
        <v>42</v>
      </c>
      <c r="F183" s="1">
        <v>79.89</v>
      </c>
      <c r="G183" t="s">
        <v>31</v>
      </c>
      <c r="H183" t="s">
        <v>15</v>
      </c>
      <c r="I183" s="2">
        <v>4.4000000000000004</v>
      </c>
      <c r="J183" s="4">
        <v>18</v>
      </c>
      <c r="K183" s="3">
        <v>4</v>
      </c>
      <c r="L183" s="1">
        <f t="shared" si="6"/>
        <v>65.509799999999998</v>
      </c>
      <c r="M183" t="str" cm="1">
        <f t="array" ref="M183">_xlfn.IFS(B183&lt;18,"Under 18",B183 &lt;=25,"18-25",B183&lt;=35,"26-35",B183&lt;=45,"36-45",B183&lt;=60,"46-60",TRUE,"60+")</f>
        <v>36-45</v>
      </c>
      <c r="N183" t="str">
        <f t="shared" si="7"/>
        <v>Discounted</v>
      </c>
      <c r="O183" t="str">
        <f t="shared" si="8"/>
        <v>Returning</v>
      </c>
    </row>
    <row r="184" spans="1:15" x14ac:dyDescent="0.25">
      <c r="A184">
        <v>183</v>
      </c>
      <c r="B184">
        <v>60</v>
      </c>
      <c r="C184" t="s">
        <v>16</v>
      </c>
      <c r="D184" t="s">
        <v>33</v>
      </c>
      <c r="E184" t="s">
        <v>34</v>
      </c>
      <c r="F184" s="1">
        <v>248.49</v>
      </c>
      <c r="G184" t="s">
        <v>14</v>
      </c>
      <c r="H184" t="s">
        <v>15</v>
      </c>
      <c r="I184" s="2">
        <v>4.2</v>
      </c>
      <c r="J184" s="4">
        <v>6</v>
      </c>
      <c r="K184" s="3">
        <v>3</v>
      </c>
      <c r="L184" s="1">
        <f t="shared" si="6"/>
        <v>233.5806</v>
      </c>
      <c r="M184" t="str" cm="1">
        <f t="array" ref="M184">_xlfn.IFS(B184&lt;18,"Under 18",B184 &lt;=25,"18-25",B184&lt;=35,"26-35",B184&lt;=45,"36-45",B184&lt;=60,"46-60",TRUE,"60+")</f>
        <v>46-60</v>
      </c>
      <c r="N184" t="str">
        <f t="shared" si="7"/>
        <v>Discounted</v>
      </c>
      <c r="O184" t="str">
        <f t="shared" si="8"/>
        <v>Returning</v>
      </c>
    </row>
    <row r="185" spans="1:15" x14ac:dyDescent="0.25">
      <c r="A185">
        <v>184</v>
      </c>
      <c r="B185">
        <v>52</v>
      </c>
      <c r="C185" t="s">
        <v>16</v>
      </c>
      <c r="D185" t="s">
        <v>20</v>
      </c>
      <c r="E185" t="s">
        <v>36</v>
      </c>
      <c r="F185" s="1">
        <v>187.31</v>
      </c>
      <c r="G185" t="s">
        <v>24</v>
      </c>
      <c r="H185" t="s">
        <v>15</v>
      </c>
      <c r="I185" s="2">
        <v>4.7</v>
      </c>
      <c r="J185" s="4">
        <v>7</v>
      </c>
      <c r="K185" s="3">
        <v>1</v>
      </c>
      <c r="L185" s="1">
        <f t="shared" si="6"/>
        <v>174.19829999999999</v>
      </c>
      <c r="M185" t="str" cm="1">
        <f t="array" ref="M185">_xlfn.IFS(B185&lt;18,"Under 18",B185 &lt;=25,"18-25",B185&lt;=35,"26-35",B185&lt;=45,"36-45",B185&lt;=60,"46-60",TRUE,"60+")</f>
        <v>46-60</v>
      </c>
      <c r="N185" t="str">
        <f t="shared" si="7"/>
        <v>Discounted</v>
      </c>
      <c r="O185" t="str">
        <f t="shared" si="8"/>
        <v>Returning</v>
      </c>
    </row>
    <row r="186" spans="1:15" x14ac:dyDescent="0.25">
      <c r="A186">
        <v>185</v>
      </c>
      <c r="B186">
        <v>66</v>
      </c>
      <c r="C186" t="s">
        <v>16</v>
      </c>
      <c r="D186" t="s">
        <v>22</v>
      </c>
      <c r="E186" t="s">
        <v>23</v>
      </c>
      <c r="F186" s="1">
        <v>60.91</v>
      </c>
      <c r="G186" t="s">
        <v>24</v>
      </c>
      <c r="H186" t="s">
        <v>15</v>
      </c>
      <c r="I186" s="2">
        <v>4</v>
      </c>
      <c r="J186" s="4">
        <v>8</v>
      </c>
      <c r="K186" s="3">
        <v>4</v>
      </c>
      <c r="L186" s="1">
        <f t="shared" si="6"/>
        <v>56.037199999999999</v>
      </c>
      <c r="M186" t="str" cm="1">
        <f t="array" ref="M186">_xlfn.IFS(B186&lt;18,"Under 18",B186 &lt;=25,"18-25",B186&lt;=35,"26-35",B186&lt;=45,"36-45",B186&lt;=60,"46-60",TRUE,"60+")</f>
        <v>60+</v>
      </c>
      <c r="N186" t="str">
        <f t="shared" si="7"/>
        <v>Discounted</v>
      </c>
      <c r="O186" t="str">
        <f t="shared" si="8"/>
        <v>Returning</v>
      </c>
    </row>
    <row r="187" spans="1:15" x14ac:dyDescent="0.25">
      <c r="A187">
        <v>186</v>
      </c>
      <c r="B187">
        <v>60</v>
      </c>
      <c r="C187" t="s">
        <v>11</v>
      </c>
      <c r="D187" t="s">
        <v>12</v>
      </c>
      <c r="E187" t="s">
        <v>13</v>
      </c>
      <c r="F187" s="1">
        <v>21.62</v>
      </c>
      <c r="G187" t="s">
        <v>19</v>
      </c>
      <c r="H187" t="s">
        <v>37</v>
      </c>
      <c r="I187" s="2">
        <v>3.8</v>
      </c>
      <c r="J187" s="4">
        <v>19</v>
      </c>
      <c r="K187" s="3">
        <v>7</v>
      </c>
      <c r="L187" s="1">
        <f t="shared" si="6"/>
        <v>17.512200000000004</v>
      </c>
      <c r="M187" t="str" cm="1">
        <f t="array" ref="M187">_xlfn.IFS(B187&lt;18,"Under 18",B187 &lt;=25,"18-25",B187&lt;=35,"26-35",B187&lt;=45,"36-45",B187&lt;=60,"46-60",TRUE,"60+")</f>
        <v>46-60</v>
      </c>
      <c r="N187" t="str">
        <f t="shared" si="7"/>
        <v>Discounted</v>
      </c>
      <c r="O187" t="str">
        <f t="shared" si="8"/>
        <v>Returning</v>
      </c>
    </row>
    <row r="188" spans="1:15" x14ac:dyDescent="0.25">
      <c r="A188">
        <v>187</v>
      </c>
      <c r="B188">
        <v>36</v>
      </c>
      <c r="C188" t="s">
        <v>16</v>
      </c>
      <c r="D188" t="s">
        <v>33</v>
      </c>
      <c r="E188" t="s">
        <v>38</v>
      </c>
      <c r="F188" s="1">
        <v>142.06</v>
      </c>
      <c r="G188" t="s">
        <v>14</v>
      </c>
      <c r="H188" t="s">
        <v>15</v>
      </c>
      <c r="I188" s="2">
        <v>3.5</v>
      </c>
      <c r="J188" s="4">
        <v>4</v>
      </c>
      <c r="K188" s="3">
        <v>2</v>
      </c>
      <c r="L188" s="1">
        <f t="shared" si="6"/>
        <v>136.3776</v>
      </c>
      <c r="M188" t="str" cm="1">
        <f t="array" ref="M188">_xlfn.IFS(B188&lt;18,"Under 18",B188 &lt;=25,"18-25",B188&lt;=35,"26-35",B188&lt;=45,"36-45",B188&lt;=60,"46-60",TRUE,"60+")</f>
        <v>36-45</v>
      </c>
      <c r="N188" t="str">
        <f t="shared" si="7"/>
        <v>Discounted</v>
      </c>
      <c r="O188" t="str">
        <f t="shared" si="8"/>
        <v>Returning</v>
      </c>
    </row>
    <row r="189" spans="1:15" x14ac:dyDescent="0.25">
      <c r="A189">
        <v>188</v>
      </c>
      <c r="B189">
        <v>57</v>
      </c>
      <c r="C189" t="s">
        <v>11</v>
      </c>
      <c r="D189" t="s">
        <v>12</v>
      </c>
      <c r="E189" t="s">
        <v>56</v>
      </c>
      <c r="F189" s="1">
        <v>84.62</v>
      </c>
      <c r="G189" t="s">
        <v>14</v>
      </c>
      <c r="H189" t="s">
        <v>15</v>
      </c>
      <c r="I189" s="2">
        <v>2.8</v>
      </c>
      <c r="J189" s="4">
        <v>18</v>
      </c>
      <c r="K189" s="3">
        <v>4</v>
      </c>
      <c r="L189" s="1">
        <f t="shared" si="6"/>
        <v>69.388400000000004</v>
      </c>
      <c r="M189" t="str" cm="1">
        <f t="array" ref="M189">_xlfn.IFS(B189&lt;18,"Under 18",B189 &lt;=25,"18-25",B189&lt;=35,"26-35",B189&lt;=45,"36-45",B189&lt;=60,"46-60",TRUE,"60+")</f>
        <v>46-60</v>
      </c>
      <c r="N189" t="str">
        <f t="shared" si="7"/>
        <v>Discounted</v>
      </c>
      <c r="O189" t="str">
        <f t="shared" si="8"/>
        <v>Returning</v>
      </c>
    </row>
    <row r="190" spans="1:15" x14ac:dyDescent="0.25">
      <c r="A190">
        <v>189</v>
      </c>
      <c r="B190">
        <v>63</v>
      </c>
      <c r="C190" t="s">
        <v>16</v>
      </c>
      <c r="D190" t="s">
        <v>33</v>
      </c>
      <c r="E190" t="s">
        <v>38</v>
      </c>
      <c r="F190" s="1">
        <v>162.26</v>
      </c>
      <c r="G190" t="s">
        <v>14</v>
      </c>
      <c r="H190" t="s">
        <v>15</v>
      </c>
      <c r="I190" s="2">
        <v>3.5</v>
      </c>
      <c r="J190" s="4">
        <v>12</v>
      </c>
      <c r="K190" s="3">
        <v>6</v>
      </c>
      <c r="L190" s="1">
        <f t="shared" si="6"/>
        <v>142.78879999999998</v>
      </c>
      <c r="M190" t="str" cm="1">
        <f t="array" ref="M190">_xlfn.IFS(B190&lt;18,"Under 18",B190 &lt;=25,"18-25",B190&lt;=35,"26-35",B190&lt;=45,"36-45",B190&lt;=60,"46-60",TRUE,"60+")</f>
        <v>60+</v>
      </c>
      <c r="N190" t="str">
        <f t="shared" si="7"/>
        <v>Discounted</v>
      </c>
      <c r="O190" t="str">
        <f t="shared" si="8"/>
        <v>Returning</v>
      </c>
    </row>
    <row r="191" spans="1:15" x14ac:dyDescent="0.25">
      <c r="A191">
        <v>190</v>
      </c>
      <c r="B191">
        <v>38</v>
      </c>
      <c r="C191" t="s">
        <v>16</v>
      </c>
      <c r="D191" t="s">
        <v>17</v>
      </c>
      <c r="E191" t="s">
        <v>35</v>
      </c>
      <c r="F191" s="1">
        <v>31.14</v>
      </c>
      <c r="G191" t="s">
        <v>31</v>
      </c>
      <c r="H191" t="s">
        <v>15</v>
      </c>
      <c r="I191" s="2">
        <v>4.4000000000000004</v>
      </c>
      <c r="J191" s="4">
        <v>19</v>
      </c>
      <c r="K191" s="3">
        <v>7</v>
      </c>
      <c r="L191" s="1">
        <f t="shared" si="6"/>
        <v>25.223400000000002</v>
      </c>
      <c r="M191" t="str" cm="1">
        <f t="array" ref="M191">_xlfn.IFS(B191&lt;18,"Under 18",B191 &lt;=25,"18-25",B191&lt;=35,"26-35",B191&lt;=45,"36-45",B191&lt;=60,"46-60",TRUE,"60+")</f>
        <v>36-45</v>
      </c>
      <c r="N191" t="str">
        <f t="shared" si="7"/>
        <v>Discounted</v>
      </c>
      <c r="O191" t="str">
        <f t="shared" si="8"/>
        <v>Returning</v>
      </c>
    </row>
    <row r="192" spans="1:15" x14ac:dyDescent="0.25">
      <c r="A192">
        <v>191</v>
      </c>
      <c r="B192">
        <v>23</v>
      </c>
      <c r="C192" t="s">
        <v>16</v>
      </c>
      <c r="D192" t="s">
        <v>25</v>
      </c>
      <c r="E192" t="s">
        <v>54</v>
      </c>
      <c r="F192" s="1">
        <v>7.07</v>
      </c>
      <c r="G192" t="s">
        <v>19</v>
      </c>
      <c r="H192" t="s">
        <v>37</v>
      </c>
      <c r="I192" s="2">
        <v>3.7</v>
      </c>
      <c r="J192" s="4">
        <v>18</v>
      </c>
      <c r="K192" s="3">
        <v>4</v>
      </c>
      <c r="L192" s="1">
        <f t="shared" si="6"/>
        <v>5.7974000000000006</v>
      </c>
      <c r="M192" t="str" cm="1">
        <f t="array" ref="M192">_xlfn.IFS(B192&lt;18,"Under 18",B192 &lt;=25,"18-25",B192&lt;=35,"26-35",B192&lt;=45,"36-45",B192&lt;=60,"46-60",TRUE,"60+")</f>
        <v>18-25</v>
      </c>
      <c r="N192" t="str">
        <f t="shared" si="7"/>
        <v>Discounted</v>
      </c>
      <c r="O192" t="str">
        <f t="shared" si="8"/>
        <v>Returning</v>
      </c>
    </row>
    <row r="193" spans="1:15" x14ac:dyDescent="0.25">
      <c r="A193">
        <v>192</v>
      </c>
      <c r="B193">
        <v>56</v>
      </c>
      <c r="C193" t="s">
        <v>11</v>
      </c>
      <c r="D193" t="s">
        <v>22</v>
      </c>
      <c r="E193" t="s">
        <v>43</v>
      </c>
      <c r="F193" s="1">
        <v>157.97999999999999</v>
      </c>
      <c r="G193" t="s">
        <v>24</v>
      </c>
      <c r="H193" t="s">
        <v>15</v>
      </c>
      <c r="I193" s="2">
        <v>4.8</v>
      </c>
      <c r="J193" s="4">
        <v>10</v>
      </c>
      <c r="K193" s="3">
        <v>5</v>
      </c>
      <c r="L193" s="1">
        <f t="shared" si="6"/>
        <v>142.18199999999999</v>
      </c>
      <c r="M193" t="str" cm="1">
        <f t="array" ref="M193">_xlfn.IFS(B193&lt;18,"Under 18",B193 &lt;=25,"18-25",B193&lt;=35,"26-35",B193&lt;=45,"36-45",B193&lt;=60,"46-60",TRUE,"60+")</f>
        <v>46-60</v>
      </c>
      <c r="N193" t="str">
        <f t="shared" si="7"/>
        <v>Discounted</v>
      </c>
      <c r="O193" t="str">
        <f t="shared" si="8"/>
        <v>Returning</v>
      </c>
    </row>
    <row r="194" spans="1:15" x14ac:dyDescent="0.25">
      <c r="A194">
        <v>193</v>
      </c>
      <c r="B194">
        <v>51</v>
      </c>
      <c r="C194" t="s">
        <v>11</v>
      </c>
      <c r="D194" t="s">
        <v>29</v>
      </c>
      <c r="E194" t="s">
        <v>55</v>
      </c>
      <c r="F194" s="1">
        <v>82.12</v>
      </c>
      <c r="G194" t="s">
        <v>24</v>
      </c>
      <c r="H194" t="s">
        <v>15</v>
      </c>
      <c r="I194" s="2">
        <v>3.2</v>
      </c>
      <c r="J194" s="4">
        <v>13</v>
      </c>
      <c r="K194" s="3">
        <v>4</v>
      </c>
      <c r="L194" s="1">
        <f t="shared" si="6"/>
        <v>71.444400000000002</v>
      </c>
      <c r="M194" t="str" cm="1">
        <f t="array" ref="M194">_xlfn.IFS(B194&lt;18,"Under 18",B194 &lt;=25,"18-25",B194&lt;=35,"26-35",B194&lt;=45,"36-45",B194&lt;=60,"46-60",TRUE,"60+")</f>
        <v>46-60</v>
      </c>
      <c r="N194" t="str">
        <f t="shared" si="7"/>
        <v>Discounted</v>
      </c>
      <c r="O194" t="str">
        <f t="shared" si="8"/>
        <v>Returning</v>
      </c>
    </row>
    <row r="195" spans="1:15" x14ac:dyDescent="0.25">
      <c r="A195">
        <v>194</v>
      </c>
      <c r="B195">
        <v>65</v>
      </c>
      <c r="C195" t="s">
        <v>16</v>
      </c>
      <c r="D195" t="s">
        <v>20</v>
      </c>
      <c r="E195" t="s">
        <v>39</v>
      </c>
      <c r="F195" s="1">
        <v>150.47999999999999</v>
      </c>
      <c r="G195" t="s">
        <v>24</v>
      </c>
      <c r="H195" t="s">
        <v>15</v>
      </c>
      <c r="I195" s="2">
        <v>3.5</v>
      </c>
      <c r="J195" s="4">
        <v>20</v>
      </c>
      <c r="K195" s="3">
        <v>5</v>
      </c>
      <c r="L195" s="1">
        <f t="shared" ref="L195:L258" si="9">F195 * (1 - J195 / 100)</f>
        <v>120.384</v>
      </c>
      <c r="M195" t="str" cm="1">
        <f t="array" ref="M195">_xlfn.IFS(B195&lt;18,"Under 18",B195 &lt;=25,"18-25",B195&lt;=35,"26-35",B195&lt;=45,"36-45",B195&lt;=60,"46-60",TRUE,"60+")</f>
        <v>60+</v>
      </c>
      <c r="N195" t="str">
        <f t="shared" ref="N195:N258" si="10">IF(J195&gt;0,"Discounted","No Discount")</f>
        <v>Discounted</v>
      </c>
      <c r="O195" t="str">
        <f t="shared" ref="O195:O258" si="11">IF(K195&gt;0,"Returning","New")</f>
        <v>Returning</v>
      </c>
    </row>
    <row r="196" spans="1:15" x14ac:dyDescent="0.25">
      <c r="A196">
        <v>195</v>
      </c>
      <c r="B196">
        <v>36</v>
      </c>
      <c r="C196" t="s">
        <v>16</v>
      </c>
      <c r="D196" t="s">
        <v>20</v>
      </c>
      <c r="E196" t="s">
        <v>36</v>
      </c>
      <c r="F196" s="1">
        <v>153.11000000000001</v>
      </c>
      <c r="G196" t="s">
        <v>31</v>
      </c>
      <c r="H196" t="s">
        <v>15</v>
      </c>
      <c r="I196" s="2">
        <v>4</v>
      </c>
      <c r="J196" s="4">
        <v>6</v>
      </c>
      <c r="K196" s="3">
        <v>3</v>
      </c>
      <c r="L196" s="1">
        <f t="shared" si="9"/>
        <v>143.92340000000002</v>
      </c>
      <c r="M196" t="str" cm="1">
        <f t="array" ref="M196">_xlfn.IFS(B196&lt;18,"Under 18",B196 &lt;=25,"18-25",B196&lt;=35,"26-35",B196&lt;=45,"36-45",B196&lt;=60,"46-60",TRUE,"60+")</f>
        <v>36-45</v>
      </c>
      <c r="N196" t="str">
        <f t="shared" si="10"/>
        <v>Discounted</v>
      </c>
      <c r="O196" t="str">
        <f t="shared" si="11"/>
        <v>Returning</v>
      </c>
    </row>
    <row r="197" spans="1:15" x14ac:dyDescent="0.25">
      <c r="A197">
        <v>196</v>
      </c>
      <c r="B197">
        <v>46</v>
      </c>
      <c r="C197" t="s">
        <v>16</v>
      </c>
      <c r="D197" t="s">
        <v>17</v>
      </c>
      <c r="E197" t="s">
        <v>18</v>
      </c>
      <c r="F197" s="1">
        <v>107.94</v>
      </c>
      <c r="G197" t="s">
        <v>19</v>
      </c>
      <c r="H197" t="s">
        <v>15</v>
      </c>
      <c r="I197" s="2">
        <v>3.8</v>
      </c>
      <c r="J197" s="4">
        <v>6</v>
      </c>
      <c r="K197" s="3">
        <v>3</v>
      </c>
      <c r="L197" s="1">
        <f t="shared" si="9"/>
        <v>101.46359999999999</v>
      </c>
      <c r="M197" t="str" cm="1">
        <f t="array" ref="M197">_xlfn.IFS(B197&lt;18,"Under 18",B197 &lt;=25,"18-25",B197&lt;=35,"26-35",B197&lt;=45,"36-45",B197&lt;=60,"46-60",TRUE,"60+")</f>
        <v>46-60</v>
      </c>
      <c r="N197" t="str">
        <f t="shared" si="10"/>
        <v>Discounted</v>
      </c>
      <c r="O197" t="str">
        <f t="shared" si="11"/>
        <v>Returning</v>
      </c>
    </row>
    <row r="198" spans="1:15" x14ac:dyDescent="0.25">
      <c r="A198">
        <v>197</v>
      </c>
      <c r="B198">
        <v>31</v>
      </c>
      <c r="C198" t="s">
        <v>11</v>
      </c>
      <c r="D198" t="s">
        <v>20</v>
      </c>
      <c r="E198" t="s">
        <v>36</v>
      </c>
      <c r="F198" s="1">
        <v>245.72</v>
      </c>
      <c r="G198" t="s">
        <v>24</v>
      </c>
      <c r="H198" t="s">
        <v>15</v>
      </c>
      <c r="I198" s="2">
        <v>4.0999999999999996</v>
      </c>
      <c r="J198" s="4">
        <v>20</v>
      </c>
      <c r="K198" s="3">
        <v>5</v>
      </c>
      <c r="L198" s="1">
        <f t="shared" si="9"/>
        <v>196.57600000000002</v>
      </c>
      <c r="M198" t="str" cm="1">
        <f t="array" ref="M198">_xlfn.IFS(B198&lt;18,"Under 18",B198 &lt;=25,"18-25",B198&lt;=35,"26-35",B198&lt;=45,"36-45",B198&lt;=60,"46-60",TRUE,"60+")</f>
        <v>26-35</v>
      </c>
      <c r="N198" t="str">
        <f t="shared" si="10"/>
        <v>Discounted</v>
      </c>
      <c r="O198" t="str">
        <f t="shared" si="11"/>
        <v>Returning</v>
      </c>
    </row>
    <row r="199" spans="1:15" x14ac:dyDescent="0.25">
      <c r="A199">
        <v>198</v>
      </c>
      <c r="B199">
        <v>70</v>
      </c>
      <c r="C199" t="s">
        <v>11</v>
      </c>
      <c r="D199" t="s">
        <v>29</v>
      </c>
      <c r="E199" t="s">
        <v>51</v>
      </c>
      <c r="F199" s="1">
        <v>79.28</v>
      </c>
      <c r="G199" t="s">
        <v>24</v>
      </c>
      <c r="H199" t="s">
        <v>15</v>
      </c>
      <c r="I199" s="2">
        <v>2</v>
      </c>
      <c r="J199" s="4">
        <v>12</v>
      </c>
      <c r="K199" s="3">
        <v>6</v>
      </c>
      <c r="L199" s="1">
        <f t="shared" si="9"/>
        <v>69.766400000000004</v>
      </c>
      <c r="M199" t="str" cm="1">
        <f t="array" ref="M199">_xlfn.IFS(B199&lt;18,"Under 18",B199 &lt;=25,"18-25",B199&lt;=35,"26-35",B199&lt;=45,"36-45",B199&lt;=60,"46-60",TRUE,"60+")</f>
        <v>60+</v>
      </c>
      <c r="N199" t="str">
        <f t="shared" si="10"/>
        <v>Discounted</v>
      </c>
      <c r="O199" t="str">
        <f t="shared" si="11"/>
        <v>Returning</v>
      </c>
    </row>
    <row r="200" spans="1:15" x14ac:dyDescent="0.25">
      <c r="A200">
        <v>199</v>
      </c>
      <c r="B200">
        <v>68</v>
      </c>
      <c r="C200" t="s">
        <v>16</v>
      </c>
      <c r="D200" t="s">
        <v>33</v>
      </c>
      <c r="E200" t="s">
        <v>38</v>
      </c>
      <c r="F200" s="1">
        <v>225.53</v>
      </c>
      <c r="G200" t="s">
        <v>19</v>
      </c>
      <c r="H200" t="s">
        <v>15</v>
      </c>
      <c r="I200" s="2">
        <v>4.5</v>
      </c>
      <c r="J200" s="4">
        <v>13</v>
      </c>
      <c r="K200" s="3">
        <v>4</v>
      </c>
      <c r="L200" s="1">
        <f t="shared" si="9"/>
        <v>196.21109999999999</v>
      </c>
      <c r="M200" t="str" cm="1">
        <f t="array" ref="M200">_xlfn.IFS(B200&lt;18,"Under 18",B200 &lt;=25,"18-25",B200&lt;=35,"26-35",B200&lt;=45,"36-45",B200&lt;=60,"46-60",TRUE,"60+")</f>
        <v>60+</v>
      </c>
      <c r="N200" t="str">
        <f t="shared" si="10"/>
        <v>Discounted</v>
      </c>
      <c r="O200" t="str">
        <f t="shared" si="11"/>
        <v>Returning</v>
      </c>
    </row>
    <row r="201" spans="1:15" x14ac:dyDescent="0.25">
      <c r="A201">
        <v>200</v>
      </c>
      <c r="B201">
        <v>29</v>
      </c>
      <c r="C201" t="s">
        <v>11</v>
      </c>
      <c r="D201" t="s">
        <v>29</v>
      </c>
      <c r="E201" t="s">
        <v>51</v>
      </c>
      <c r="F201" s="1">
        <v>63.34</v>
      </c>
      <c r="G201" t="s">
        <v>31</v>
      </c>
      <c r="H201" t="s">
        <v>15</v>
      </c>
      <c r="I201" s="2">
        <v>4.5</v>
      </c>
      <c r="J201" s="4">
        <v>17</v>
      </c>
      <c r="K201" s="3">
        <v>6</v>
      </c>
      <c r="L201" s="1">
        <f t="shared" si="9"/>
        <v>52.572200000000002</v>
      </c>
      <c r="M201" t="str" cm="1">
        <f t="array" ref="M201">_xlfn.IFS(B201&lt;18,"Under 18",B201 &lt;=25,"18-25",B201&lt;=35,"26-35",B201&lt;=45,"36-45",B201&lt;=60,"46-60",TRUE,"60+")</f>
        <v>26-35</v>
      </c>
      <c r="N201" t="str">
        <f t="shared" si="10"/>
        <v>Discounted</v>
      </c>
      <c r="O201" t="str">
        <f t="shared" si="11"/>
        <v>Returning</v>
      </c>
    </row>
    <row r="202" spans="1:15" x14ac:dyDescent="0.25">
      <c r="A202">
        <v>201</v>
      </c>
      <c r="B202">
        <v>20</v>
      </c>
      <c r="C202" t="s">
        <v>11</v>
      </c>
      <c r="D202" t="s">
        <v>29</v>
      </c>
      <c r="E202" t="s">
        <v>30</v>
      </c>
      <c r="F202" s="1">
        <v>38.57</v>
      </c>
      <c r="G202" t="s">
        <v>19</v>
      </c>
      <c r="H202" t="s">
        <v>15</v>
      </c>
      <c r="I202" s="2">
        <v>4.5999999999999996</v>
      </c>
      <c r="J202" s="4">
        <v>19</v>
      </c>
      <c r="K202" s="3">
        <v>7</v>
      </c>
      <c r="L202" s="1">
        <f t="shared" si="9"/>
        <v>31.241700000000002</v>
      </c>
      <c r="M202" t="str" cm="1">
        <f t="array" ref="M202">_xlfn.IFS(B202&lt;18,"Under 18",B202 &lt;=25,"18-25",B202&lt;=35,"26-35",B202&lt;=45,"36-45",B202&lt;=60,"46-60",TRUE,"60+")</f>
        <v>18-25</v>
      </c>
      <c r="N202" t="str">
        <f t="shared" si="10"/>
        <v>Discounted</v>
      </c>
      <c r="O202" t="str">
        <f t="shared" si="11"/>
        <v>Returning</v>
      </c>
    </row>
    <row r="203" spans="1:15" x14ac:dyDescent="0.25">
      <c r="A203">
        <v>202</v>
      </c>
      <c r="B203">
        <v>30</v>
      </c>
      <c r="C203" t="s">
        <v>16</v>
      </c>
      <c r="D203" t="s">
        <v>17</v>
      </c>
      <c r="E203" t="s">
        <v>35</v>
      </c>
      <c r="F203" s="1">
        <v>128.1</v>
      </c>
      <c r="G203" t="s">
        <v>31</v>
      </c>
      <c r="H203" t="s">
        <v>15</v>
      </c>
      <c r="I203" s="2">
        <v>3</v>
      </c>
      <c r="J203" s="4">
        <v>12</v>
      </c>
      <c r="K203" s="3">
        <v>1</v>
      </c>
      <c r="L203" s="1">
        <f t="shared" si="9"/>
        <v>112.72799999999999</v>
      </c>
      <c r="M203" t="str" cm="1">
        <f t="array" ref="M203">_xlfn.IFS(B203&lt;18,"Under 18",B203 &lt;=25,"18-25",B203&lt;=35,"26-35",B203&lt;=45,"36-45",B203&lt;=60,"46-60",TRUE,"60+")</f>
        <v>26-35</v>
      </c>
      <c r="N203" t="str">
        <f t="shared" si="10"/>
        <v>Discounted</v>
      </c>
      <c r="O203" t="str">
        <f t="shared" si="11"/>
        <v>Returning</v>
      </c>
    </row>
    <row r="204" spans="1:15" x14ac:dyDescent="0.25">
      <c r="A204">
        <v>203</v>
      </c>
      <c r="B204">
        <v>57</v>
      </c>
      <c r="C204" t="s">
        <v>11</v>
      </c>
      <c r="D204" t="s">
        <v>29</v>
      </c>
      <c r="E204" t="s">
        <v>30</v>
      </c>
      <c r="F204" s="1">
        <v>129.47</v>
      </c>
      <c r="G204" t="s">
        <v>19</v>
      </c>
      <c r="H204" t="s">
        <v>15</v>
      </c>
      <c r="I204" s="2">
        <v>4.4000000000000004</v>
      </c>
      <c r="J204" s="4">
        <v>15</v>
      </c>
      <c r="K204" s="3">
        <v>5</v>
      </c>
      <c r="L204" s="1">
        <f t="shared" si="9"/>
        <v>110.04949999999999</v>
      </c>
      <c r="M204" t="str" cm="1">
        <f t="array" ref="M204">_xlfn.IFS(B204&lt;18,"Under 18",B204 &lt;=25,"18-25",B204&lt;=35,"26-35",B204&lt;=45,"36-45",B204&lt;=60,"46-60",TRUE,"60+")</f>
        <v>46-60</v>
      </c>
      <c r="N204" t="str">
        <f t="shared" si="10"/>
        <v>Discounted</v>
      </c>
      <c r="O204" t="str">
        <f t="shared" si="11"/>
        <v>Returning</v>
      </c>
    </row>
    <row r="205" spans="1:15" x14ac:dyDescent="0.25">
      <c r="A205">
        <v>204</v>
      </c>
      <c r="B205">
        <v>46</v>
      </c>
      <c r="C205" t="s">
        <v>11</v>
      </c>
      <c r="D205" t="s">
        <v>29</v>
      </c>
      <c r="E205" t="s">
        <v>30</v>
      </c>
      <c r="F205" s="1">
        <v>49.38</v>
      </c>
      <c r="G205" t="s">
        <v>19</v>
      </c>
      <c r="H205" t="s">
        <v>37</v>
      </c>
      <c r="I205" s="2">
        <v>3.4</v>
      </c>
      <c r="J205" s="4">
        <v>19</v>
      </c>
      <c r="K205" s="3">
        <v>7</v>
      </c>
      <c r="L205" s="1">
        <f t="shared" si="9"/>
        <v>39.997800000000005</v>
      </c>
      <c r="M205" t="str" cm="1">
        <f t="array" ref="M205">_xlfn.IFS(B205&lt;18,"Under 18",B205 &lt;=25,"18-25",B205&lt;=35,"26-35",B205&lt;=45,"36-45",B205&lt;=60,"46-60",TRUE,"60+")</f>
        <v>46-60</v>
      </c>
      <c r="N205" t="str">
        <f t="shared" si="10"/>
        <v>Discounted</v>
      </c>
      <c r="O205" t="str">
        <f t="shared" si="11"/>
        <v>Returning</v>
      </c>
    </row>
    <row r="206" spans="1:15" x14ac:dyDescent="0.25">
      <c r="A206">
        <v>205</v>
      </c>
      <c r="B206">
        <v>55</v>
      </c>
      <c r="C206" t="s">
        <v>11</v>
      </c>
      <c r="D206" t="s">
        <v>33</v>
      </c>
      <c r="E206" t="s">
        <v>34</v>
      </c>
      <c r="F206" s="1">
        <v>90.81</v>
      </c>
      <c r="G206" t="s">
        <v>14</v>
      </c>
      <c r="H206" t="s">
        <v>15</v>
      </c>
      <c r="I206" s="2">
        <v>4.4000000000000004</v>
      </c>
      <c r="J206" s="4">
        <v>24</v>
      </c>
      <c r="K206" s="3">
        <v>7</v>
      </c>
      <c r="L206" s="1">
        <f t="shared" si="9"/>
        <v>69.015600000000006</v>
      </c>
      <c r="M206" t="str" cm="1">
        <f t="array" ref="M206">_xlfn.IFS(B206&lt;18,"Under 18",B206 &lt;=25,"18-25",B206&lt;=35,"26-35",B206&lt;=45,"36-45",B206&lt;=60,"46-60",TRUE,"60+")</f>
        <v>46-60</v>
      </c>
      <c r="N206" t="str">
        <f t="shared" si="10"/>
        <v>Discounted</v>
      </c>
      <c r="O206" t="str">
        <f t="shared" si="11"/>
        <v>Returning</v>
      </c>
    </row>
    <row r="207" spans="1:15" x14ac:dyDescent="0.25">
      <c r="A207">
        <v>206</v>
      </c>
      <c r="B207">
        <v>68</v>
      </c>
      <c r="C207" t="s">
        <v>16</v>
      </c>
      <c r="D207" t="s">
        <v>25</v>
      </c>
      <c r="E207" t="s">
        <v>54</v>
      </c>
      <c r="F207" s="1">
        <v>63.73</v>
      </c>
      <c r="G207" t="s">
        <v>24</v>
      </c>
      <c r="H207" t="s">
        <v>15</v>
      </c>
      <c r="I207" s="2">
        <v>4.5</v>
      </c>
      <c r="J207" s="4">
        <v>24</v>
      </c>
      <c r="K207" s="3">
        <v>7</v>
      </c>
      <c r="L207" s="1">
        <f t="shared" si="9"/>
        <v>48.434799999999996</v>
      </c>
      <c r="M207" t="str" cm="1">
        <f t="array" ref="M207">_xlfn.IFS(B207&lt;18,"Under 18",B207 &lt;=25,"18-25",B207&lt;=35,"26-35",B207&lt;=45,"36-45",B207&lt;=60,"46-60",TRUE,"60+")</f>
        <v>60+</v>
      </c>
      <c r="N207" t="str">
        <f t="shared" si="10"/>
        <v>Discounted</v>
      </c>
      <c r="O207" t="str">
        <f t="shared" si="11"/>
        <v>Returning</v>
      </c>
    </row>
    <row r="208" spans="1:15" x14ac:dyDescent="0.25">
      <c r="A208">
        <v>207</v>
      </c>
      <c r="B208">
        <v>62</v>
      </c>
      <c r="C208" t="s">
        <v>16</v>
      </c>
      <c r="D208" t="s">
        <v>17</v>
      </c>
      <c r="E208" t="s">
        <v>35</v>
      </c>
      <c r="F208" s="1">
        <v>127.21</v>
      </c>
      <c r="G208" t="s">
        <v>14</v>
      </c>
      <c r="H208" t="s">
        <v>15</v>
      </c>
      <c r="I208" s="2">
        <v>4.9000000000000004</v>
      </c>
      <c r="J208" s="4">
        <v>14</v>
      </c>
      <c r="K208" s="3">
        <v>7</v>
      </c>
      <c r="L208" s="1">
        <f t="shared" si="9"/>
        <v>109.4006</v>
      </c>
      <c r="M208" t="str" cm="1">
        <f t="array" ref="M208">_xlfn.IFS(B208&lt;18,"Under 18",B208 &lt;=25,"18-25",B208&lt;=35,"26-35",B208&lt;=45,"36-45",B208&lt;=60,"46-60",TRUE,"60+")</f>
        <v>60+</v>
      </c>
      <c r="N208" t="str">
        <f t="shared" si="10"/>
        <v>Discounted</v>
      </c>
      <c r="O208" t="str">
        <f t="shared" si="11"/>
        <v>Returning</v>
      </c>
    </row>
    <row r="209" spans="1:15" x14ac:dyDescent="0.25">
      <c r="A209">
        <v>208</v>
      </c>
      <c r="B209">
        <v>29</v>
      </c>
      <c r="C209" t="s">
        <v>16</v>
      </c>
      <c r="D209" t="s">
        <v>25</v>
      </c>
      <c r="E209" t="s">
        <v>26</v>
      </c>
      <c r="F209" s="1">
        <v>54.98</v>
      </c>
      <c r="G209" t="s">
        <v>14</v>
      </c>
      <c r="H209" t="s">
        <v>37</v>
      </c>
      <c r="I209" s="2">
        <v>2.9</v>
      </c>
      <c r="J209" s="4">
        <v>16</v>
      </c>
      <c r="K209" s="3">
        <v>8</v>
      </c>
      <c r="L209" s="1">
        <f t="shared" si="9"/>
        <v>46.183199999999992</v>
      </c>
      <c r="M209" t="str" cm="1">
        <f t="array" ref="M209">_xlfn.IFS(B209&lt;18,"Under 18",B209 &lt;=25,"18-25",B209&lt;=35,"26-35",B209&lt;=45,"36-45",B209&lt;=60,"46-60",TRUE,"60+")</f>
        <v>26-35</v>
      </c>
      <c r="N209" t="str">
        <f t="shared" si="10"/>
        <v>Discounted</v>
      </c>
      <c r="O209" t="str">
        <f t="shared" si="11"/>
        <v>Returning</v>
      </c>
    </row>
    <row r="210" spans="1:15" x14ac:dyDescent="0.25">
      <c r="A210">
        <v>209</v>
      </c>
      <c r="B210">
        <v>58</v>
      </c>
      <c r="C210" t="s">
        <v>11</v>
      </c>
      <c r="D210" t="s">
        <v>12</v>
      </c>
      <c r="E210" t="s">
        <v>50</v>
      </c>
      <c r="F210" s="1">
        <v>37.76</v>
      </c>
      <c r="G210" t="s">
        <v>14</v>
      </c>
      <c r="H210" t="s">
        <v>15</v>
      </c>
      <c r="I210" s="2">
        <v>3.5</v>
      </c>
      <c r="J210" s="4">
        <v>14</v>
      </c>
      <c r="K210" s="3">
        <v>2</v>
      </c>
      <c r="L210" s="1">
        <f t="shared" si="9"/>
        <v>32.473599999999998</v>
      </c>
      <c r="M210" t="str" cm="1">
        <f t="array" ref="M210">_xlfn.IFS(B210&lt;18,"Under 18",B210 &lt;=25,"18-25",B210&lt;=35,"26-35",B210&lt;=45,"36-45",B210&lt;=60,"46-60",TRUE,"60+")</f>
        <v>46-60</v>
      </c>
      <c r="N210" t="str">
        <f t="shared" si="10"/>
        <v>Discounted</v>
      </c>
      <c r="O210" t="str">
        <f t="shared" si="11"/>
        <v>Returning</v>
      </c>
    </row>
    <row r="211" spans="1:15" x14ac:dyDescent="0.25">
      <c r="A211">
        <v>210</v>
      </c>
      <c r="B211">
        <v>50</v>
      </c>
      <c r="C211" t="s">
        <v>11</v>
      </c>
      <c r="D211" t="s">
        <v>29</v>
      </c>
      <c r="E211" t="s">
        <v>51</v>
      </c>
      <c r="F211" s="1">
        <v>81.400000000000006</v>
      </c>
      <c r="G211" t="s">
        <v>19</v>
      </c>
      <c r="H211" t="s">
        <v>37</v>
      </c>
      <c r="I211" s="2">
        <v>4.9000000000000004</v>
      </c>
      <c r="J211" s="4">
        <v>20</v>
      </c>
      <c r="K211" s="3">
        <v>5</v>
      </c>
      <c r="L211" s="1">
        <f t="shared" si="9"/>
        <v>65.12</v>
      </c>
      <c r="M211" t="str" cm="1">
        <f t="array" ref="M211">_xlfn.IFS(B211&lt;18,"Under 18",B211 &lt;=25,"18-25",B211&lt;=35,"26-35",B211&lt;=45,"36-45",B211&lt;=60,"46-60",TRUE,"60+")</f>
        <v>46-60</v>
      </c>
      <c r="N211" t="str">
        <f t="shared" si="10"/>
        <v>Discounted</v>
      </c>
      <c r="O211" t="str">
        <f t="shared" si="11"/>
        <v>Returning</v>
      </c>
    </row>
    <row r="212" spans="1:15" x14ac:dyDescent="0.25">
      <c r="A212">
        <v>211</v>
      </c>
      <c r="B212">
        <v>22</v>
      </c>
      <c r="C212" t="s">
        <v>11</v>
      </c>
      <c r="D212" t="s">
        <v>33</v>
      </c>
      <c r="E212" t="s">
        <v>40</v>
      </c>
      <c r="F212" s="1">
        <v>183.26</v>
      </c>
      <c r="G212" t="s">
        <v>24</v>
      </c>
      <c r="H212" t="s">
        <v>15</v>
      </c>
      <c r="I212" s="2">
        <v>2.4</v>
      </c>
      <c r="J212" s="4">
        <v>6</v>
      </c>
      <c r="K212" s="3">
        <v>3</v>
      </c>
      <c r="L212" s="1">
        <f t="shared" si="9"/>
        <v>172.26439999999999</v>
      </c>
      <c r="M212" t="str" cm="1">
        <f t="array" ref="M212">_xlfn.IFS(B212&lt;18,"Under 18",B212 &lt;=25,"18-25",B212&lt;=35,"26-35",B212&lt;=45,"36-45",B212&lt;=60,"46-60",TRUE,"60+")</f>
        <v>18-25</v>
      </c>
      <c r="N212" t="str">
        <f t="shared" si="10"/>
        <v>Discounted</v>
      </c>
      <c r="O212" t="str">
        <f t="shared" si="11"/>
        <v>Returning</v>
      </c>
    </row>
    <row r="213" spans="1:15" x14ac:dyDescent="0.25">
      <c r="A213">
        <v>212</v>
      </c>
      <c r="B213">
        <v>29</v>
      </c>
      <c r="C213" t="s">
        <v>11</v>
      </c>
      <c r="D213" t="s">
        <v>41</v>
      </c>
      <c r="E213" t="s">
        <v>42</v>
      </c>
      <c r="F213" s="1">
        <v>172.51</v>
      </c>
      <c r="G213" t="s">
        <v>14</v>
      </c>
      <c r="H213" t="s">
        <v>15</v>
      </c>
      <c r="I213" s="2">
        <v>3.8</v>
      </c>
      <c r="J213" s="4">
        <v>13</v>
      </c>
      <c r="K213" s="3">
        <v>4</v>
      </c>
      <c r="L213" s="1">
        <f t="shared" si="9"/>
        <v>150.08369999999999</v>
      </c>
      <c r="M213" t="str" cm="1">
        <f t="array" ref="M213">_xlfn.IFS(B213&lt;18,"Under 18",B213 &lt;=25,"18-25",B213&lt;=35,"26-35",B213&lt;=45,"36-45",B213&lt;=60,"46-60",TRUE,"60+")</f>
        <v>26-35</v>
      </c>
      <c r="N213" t="str">
        <f t="shared" si="10"/>
        <v>Discounted</v>
      </c>
      <c r="O213" t="str">
        <f t="shared" si="11"/>
        <v>Returning</v>
      </c>
    </row>
    <row r="214" spans="1:15" x14ac:dyDescent="0.25">
      <c r="A214">
        <v>213</v>
      </c>
      <c r="B214">
        <v>43</v>
      </c>
      <c r="C214" t="s">
        <v>16</v>
      </c>
      <c r="D214" t="s">
        <v>20</v>
      </c>
      <c r="E214" t="s">
        <v>36</v>
      </c>
      <c r="F214" s="1">
        <v>141.78</v>
      </c>
      <c r="G214" t="s">
        <v>24</v>
      </c>
      <c r="H214" t="s">
        <v>15</v>
      </c>
      <c r="I214" s="2">
        <v>2.9</v>
      </c>
      <c r="J214" s="4">
        <v>24</v>
      </c>
      <c r="K214" s="3">
        <v>7</v>
      </c>
      <c r="L214" s="1">
        <f t="shared" si="9"/>
        <v>107.75280000000001</v>
      </c>
      <c r="M214" t="str" cm="1">
        <f t="array" ref="M214">_xlfn.IFS(B214&lt;18,"Under 18",B214 &lt;=25,"18-25",B214&lt;=35,"26-35",B214&lt;=45,"36-45",B214&lt;=60,"46-60",TRUE,"60+")</f>
        <v>36-45</v>
      </c>
      <c r="N214" t="str">
        <f t="shared" si="10"/>
        <v>Discounted</v>
      </c>
      <c r="O214" t="str">
        <f t="shared" si="11"/>
        <v>Returning</v>
      </c>
    </row>
    <row r="215" spans="1:15" x14ac:dyDescent="0.25">
      <c r="A215">
        <v>214</v>
      </c>
      <c r="B215">
        <v>25</v>
      </c>
      <c r="C215" t="s">
        <v>16</v>
      </c>
      <c r="D215" t="s">
        <v>25</v>
      </c>
      <c r="E215" t="s">
        <v>47</v>
      </c>
      <c r="F215" s="1">
        <v>62.99</v>
      </c>
      <c r="G215" t="s">
        <v>14</v>
      </c>
      <c r="H215" t="s">
        <v>15</v>
      </c>
      <c r="I215" s="2">
        <v>2.9</v>
      </c>
      <c r="J215" s="4">
        <v>16</v>
      </c>
      <c r="K215" s="3">
        <v>3</v>
      </c>
      <c r="L215" s="1">
        <f t="shared" si="9"/>
        <v>52.9116</v>
      </c>
      <c r="M215" t="str" cm="1">
        <f t="array" ref="M215">_xlfn.IFS(B215&lt;18,"Under 18",B215 &lt;=25,"18-25",B215&lt;=35,"26-35",B215&lt;=45,"36-45",B215&lt;=60,"46-60",TRUE,"60+")</f>
        <v>18-25</v>
      </c>
      <c r="N215" t="str">
        <f t="shared" si="10"/>
        <v>Discounted</v>
      </c>
      <c r="O215" t="str">
        <f t="shared" si="11"/>
        <v>Returning</v>
      </c>
    </row>
    <row r="216" spans="1:15" x14ac:dyDescent="0.25">
      <c r="A216">
        <v>215</v>
      </c>
      <c r="B216">
        <v>32</v>
      </c>
      <c r="C216" t="s">
        <v>16</v>
      </c>
      <c r="D216" t="s">
        <v>33</v>
      </c>
      <c r="E216" t="s">
        <v>40</v>
      </c>
      <c r="F216" s="1">
        <v>154.86000000000001</v>
      </c>
      <c r="G216" t="s">
        <v>19</v>
      </c>
      <c r="H216" t="s">
        <v>15</v>
      </c>
      <c r="I216" s="2">
        <v>4.0999999999999996</v>
      </c>
      <c r="J216" s="4">
        <v>18</v>
      </c>
      <c r="K216" s="3">
        <v>4</v>
      </c>
      <c r="L216" s="1">
        <f t="shared" si="9"/>
        <v>126.98520000000002</v>
      </c>
      <c r="M216" t="str" cm="1">
        <f t="array" ref="M216">_xlfn.IFS(B216&lt;18,"Under 18",B216 &lt;=25,"18-25",B216&lt;=35,"26-35",B216&lt;=45,"36-45",B216&lt;=60,"46-60",TRUE,"60+")</f>
        <v>26-35</v>
      </c>
      <c r="N216" t="str">
        <f t="shared" si="10"/>
        <v>Discounted</v>
      </c>
      <c r="O216" t="str">
        <f t="shared" si="11"/>
        <v>Returning</v>
      </c>
    </row>
    <row r="217" spans="1:15" x14ac:dyDescent="0.25">
      <c r="A217">
        <v>216</v>
      </c>
      <c r="B217">
        <v>47</v>
      </c>
      <c r="C217" t="s">
        <v>16</v>
      </c>
      <c r="D217" t="s">
        <v>33</v>
      </c>
      <c r="E217" t="s">
        <v>34</v>
      </c>
      <c r="F217" s="1">
        <v>162.26</v>
      </c>
      <c r="G217" t="s">
        <v>14</v>
      </c>
      <c r="H217" t="s">
        <v>15</v>
      </c>
      <c r="I217" s="2">
        <v>4</v>
      </c>
      <c r="J217" s="4">
        <v>19</v>
      </c>
      <c r="K217" s="3">
        <v>7</v>
      </c>
      <c r="L217" s="1">
        <f t="shared" si="9"/>
        <v>131.4306</v>
      </c>
      <c r="M217" t="str" cm="1">
        <f t="array" ref="M217">_xlfn.IFS(B217&lt;18,"Under 18",B217 &lt;=25,"18-25",B217&lt;=35,"26-35",B217&lt;=45,"36-45",B217&lt;=60,"46-60",TRUE,"60+")</f>
        <v>46-60</v>
      </c>
      <c r="N217" t="str">
        <f t="shared" si="10"/>
        <v>Discounted</v>
      </c>
      <c r="O217" t="str">
        <f t="shared" si="11"/>
        <v>Returning</v>
      </c>
    </row>
    <row r="218" spans="1:15" x14ac:dyDescent="0.25">
      <c r="A218">
        <v>217</v>
      </c>
      <c r="B218">
        <v>26</v>
      </c>
      <c r="C218" t="s">
        <v>11</v>
      </c>
      <c r="D218" t="s">
        <v>29</v>
      </c>
      <c r="E218" t="s">
        <v>51</v>
      </c>
      <c r="F218" s="1">
        <v>60.97</v>
      </c>
      <c r="G218" t="s">
        <v>19</v>
      </c>
      <c r="H218" t="s">
        <v>15</v>
      </c>
      <c r="I218" s="2">
        <v>4.5999999999999996</v>
      </c>
      <c r="J218" s="4">
        <v>21</v>
      </c>
      <c r="K218" s="3">
        <v>8</v>
      </c>
      <c r="L218" s="1">
        <f t="shared" si="9"/>
        <v>48.1663</v>
      </c>
      <c r="M218" t="str" cm="1">
        <f t="array" ref="M218">_xlfn.IFS(B218&lt;18,"Under 18",B218 &lt;=25,"18-25",B218&lt;=35,"26-35",B218&lt;=45,"36-45",B218&lt;=60,"46-60",TRUE,"60+")</f>
        <v>26-35</v>
      </c>
      <c r="N218" t="str">
        <f t="shared" si="10"/>
        <v>Discounted</v>
      </c>
      <c r="O218" t="str">
        <f t="shared" si="11"/>
        <v>Returning</v>
      </c>
    </row>
    <row r="219" spans="1:15" x14ac:dyDescent="0.25">
      <c r="A219">
        <v>218</v>
      </c>
      <c r="B219">
        <v>69</v>
      </c>
      <c r="C219" t="s">
        <v>11</v>
      </c>
      <c r="D219" t="s">
        <v>25</v>
      </c>
      <c r="E219" t="s">
        <v>57</v>
      </c>
      <c r="F219" s="1">
        <v>52.32</v>
      </c>
      <c r="G219" t="s">
        <v>24</v>
      </c>
      <c r="H219" t="s">
        <v>37</v>
      </c>
      <c r="I219" s="2">
        <v>3.6</v>
      </c>
      <c r="J219" s="4">
        <v>10</v>
      </c>
      <c r="K219" s="3">
        <v>5</v>
      </c>
      <c r="L219" s="1">
        <f t="shared" si="9"/>
        <v>47.088000000000001</v>
      </c>
      <c r="M219" t="str" cm="1">
        <f t="array" ref="M219">_xlfn.IFS(B219&lt;18,"Under 18",B219 &lt;=25,"18-25",B219&lt;=35,"26-35",B219&lt;=45,"36-45",B219&lt;=60,"46-60",TRUE,"60+")</f>
        <v>60+</v>
      </c>
      <c r="N219" t="str">
        <f t="shared" si="10"/>
        <v>Discounted</v>
      </c>
      <c r="O219" t="str">
        <f t="shared" si="11"/>
        <v>Returning</v>
      </c>
    </row>
    <row r="220" spans="1:15" x14ac:dyDescent="0.25">
      <c r="A220">
        <v>219</v>
      </c>
      <c r="B220">
        <v>25</v>
      </c>
      <c r="C220" t="s">
        <v>11</v>
      </c>
      <c r="D220" t="s">
        <v>41</v>
      </c>
      <c r="E220" t="s">
        <v>45</v>
      </c>
      <c r="F220" s="1">
        <v>122.97</v>
      </c>
      <c r="G220" t="s">
        <v>14</v>
      </c>
      <c r="H220" t="s">
        <v>15</v>
      </c>
      <c r="I220" s="2">
        <v>4.3</v>
      </c>
      <c r="J220" s="4">
        <v>24</v>
      </c>
      <c r="K220" s="3">
        <v>7</v>
      </c>
      <c r="L220" s="1">
        <f t="shared" si="9"/>
        <v>93.4572</v>
      </c>
      <c r="M220" t="str" cm="1">
        <f t="array" ref="M220">_xlfn.IFS(B220&lt;18,"Under 18",B220 &lt;=25,"18-25",B220&lt;=35,"26-35",B220&lt;=45,"36-45",B220&lt;=60,"46-60",TRUE,"60+")</f>
        <v>18-25</v>
      </c>
      <c r="N220" t="str">
        <f t="shared" si="10"/>
        <v>Discounted</v>
      </c>
      <c r="O220" t="str">
        <f t="shared" si="11"/>
        <v>Returning</v>
      </c>
    </row>
    <row r="221" spans="1:15" x14ac:dyDescent="0.25">
      <c r="A221">
        <v>220</v>
      </c>
      <c r="B221">
        <v>63</v>
      </c>
      <c r="C221" t="s">
        <v>11</v>
      </c>
      <c r="D221" t="s">
        <v>20</v>
      </c>
      <c r="E221" t="s">
        <v>39</v>
      </c>
      <c r="F221" s="1">
        <v>245.76</v>
      </c>
      <c r="G221" t="s">
        <v>19</v>
      </c>
      <c r="H221" t="s">
        <v>15</v>
      </c>
      <c r="I221" s="2">
        <v>4</v>
      </c>
      <c r="J221" s="4">
        <v>13</v>
      </c>
      <c r="K221" s="3">
        <v>4</v>
      </c>
      <c r="L221" s="1">
        <f t="shared" si="9"/>
        <v>213.81119999999999</v>
      </c>
      <c r="M221" t="str" cm="1">
        <f t="array" ref="M221">_xlfn.IFS(B221&lt;18,"Under 18",B221 &lt;=25,"18-25",B221&lt;=35,"26-35",B221&lt;=45,"36-45",B221&lt;=60,"46-60",TRUE,"60+")</f>
        <v>60+</v>
      </c>
      <c r="N221" t="str">
        <f t="shared" si="10"/>
        <v>Discounted</v>
      </c>
      <c r="O221" t="str">
        <f t="shared" si="11"/>
        <v>Returning</v>
      </c>
    </row>
    <row r="222" spans="1:15" x14ac:dyDescent="0.25">
      <c r="A222">
        <v>221</v>
      </c>
      <c r="B222">
        <v>45</v>
      </c>
      <c r="C222" t="s">
        <v>11</v>
      </c>
      <c r="D222" t="s">
        <v>20</v>
      </c>
      <c r="E222" t="s">
        <v>21</v>
      </c>
      <c r="F222" s="1">
        <v>229.28</v>
      </c>
      <c r="G222" t="s">
        <v>14</v>
      </c>
      <c r="H222" t="s">
        <v>15</v>
      </c>
      <c r="I222" s="2">
        <v>4.9000000000000004</v>
      </c>
      <c r="J222" s="4">
        <v>16</v>
      </c>
      <c r="K222" s="3">
        <v>8</v>
      </c>
      <c r="L222" s="1">
        <f t="shared" si="9"/>
        <v>192.59520000000001</v>
      </c>
      <c r="M222" t="str" cm="1">
        <f t="array" ref="M222">_xlfn.IFS(B222&lt;18,"Under 18",B222 &lt;=25,"18-25",B222&lt;=35,"26-35",B222&lt;=45,"36-45",B222&lt;=60,"46-60",TRUE,"60+")</f>
        <v>36-45</v>
      </c>
      <c r="N222" t="str">
        <f t="shared" si="10"/>
        <v>Discounted</v>
      </c>
      <c r="O222" t="str">
        <f t="shared" si="11"/>
        <v>Returning</v>
      </c>
    </row>
    <row r="223" spans="1:15" x14ac:dyDescent="0.25">
      <c r="A223">
        <v>222</v>
      </c>
      <c r="B223">
        <v>43</v>
      </c>
      <c r="C223" t="s">
        <v>11</v>
      </c>
      <c r="D223" t="s">
        <v>41</v>
      </c>
      <c r="E223" t="s">
        <v>42</v>
      </c>
      <c r="F223" s="1">
        <v>32.06</v>
      </c>
      <c r="G223" t="s">
        <v>31</v>
      </c>
      <c r="H223" t="s">
        <v>15</v>
      </c>
      <c r="I223" s="2">
        <v>3.5</v>
      </c>
      <c r="J223" s="4">
        <v>7</v>
      </c>
      <c r="K223" s="3">
        <v>1</v>
      </c>
      <c r="L223" s="1">
        <f t="shared" si="9"/>
        <v>29.815799999999999</v>
      </c>
      <c r="M223" t="str" cm="1">
        <f t="array" ref="M223">_xlfn.IFS(B223&lt;18,"Under 18",B223 &lt;=25,"18-25",B223&lt;=35,"26-35",B223&lt;=45,"36-45",B223&lt;=60,"46-60",TRUE,"60+")</f>
        <v>36-45</v>
      </c>
      <c r="N223" t="str">
        <f t="shared" si="10"/>
        <v>Discounted</v>
      </c>
      <c r="O223" t="str">
        <f t="shared" si="11"/>
        <v>Returning</v>
      </c>
    </row>
    <row r="224" spans="1:15" x14ac:dyDescent="0.25">
      <c r="A224">
        <v>223</v>
      </c>
      <c r="B224">
        <v>40</v>
      </c>
      <c r="C224" t="s">
        <v>11</v>
      </c>
      <c r="D224" t="s">
        <v>33</v>
      </c>
      <c r="E224" t="s">
        <v>34</v>
      </c>
      <c r="F224" s="1">
        <v>148.08000000000001</v>
      </c>
      <c r="G224" t="s">
        <v>24</v>
      </c>
      <c r="H224" t="s">
        <v>15</v>
      </c>
      <c r="I224" s="2">
        <v>3.7</v>
      </c>
      <c r="J224" s="4">
        <v>10</v>
      </c>
      <c r="K224" s="3">
        <v>5</v>
      </c>
      <c r="L224" s="1">
        <f t="shared" si="9"/>
        <v>133.27200000000002</v>
      </c>
      <c r="M224" t="str" cm="1">
        <f t="array" ref="M224">_xlfn.IFS(B224&lt;18,"Under 18",B224 &lt;=25,"18-25",B224&lt;=35,"26-35",B224&lt;=45,"36-45",B224&lt;=60,"46-60",TRUE,"60+")</f>
        <v>36-45</v>
      </c>
      <c r="N224" t="str">
        <f t="shared" si="10"/>
        <v>Discounted</v>
      </c>
      <c r="O224" t="str">
        <f t="shared" si="11"/>
        <v>Returning</v>
      </c>
    </row>
    <row r="225" spans="1:15" x14ac:dyDescent="0.25">
      <c r="A225">
        <v>224</v>
      </c>
      <c r="B225">
        <v>48</v>
      </c>
      <c r="C225" t="s">
        <v>16</v>
      </c>
      <c r="D225" t="s">
        <v>20</v>
      </c>
      <c r="E225" t="s">
        <v>21</v>
      </c>
      <c r="F225" s="1">
        <v>32.340000000000003</v>
      </c>
      <c r="G225" t="s">
        <v>24</v>
      </c>
      <c r="H225" t="s">
        <v>37</v>
      </c>
      <c r="I225" s="2">
        <v>4.0999999999999996</v>
      </c>
      <c r="J225" s="4">
        <v>6</v>
      </c>
      <c r="K225" s="3">
        <v>3</v>
      </c>
      <c r="L225" s="1">
        <f t="shared" si="9"/>
        <v>30.399600000000003</v>
      </c>
      <c r="M225" t="str" cm="1">
        <f t="array" ref="M225">_xlfn.IFS(B225&lt;18,"Under 18",B225 &lt;=25,"18-25",B225&lt;=35,"26-35",B225&lt;=45,"36-45",B225&lt;=60,"46-60",TRUE,"60+")</f>
        <v>46-60</v>
      </c>
      <c r="N225" t="str">
        <f t="shared" si="10"/>
        <v>Discounted</v>
      </c>
      <c r="O225" t="str">
        <f t="shared" si="11"/>
        <v>Returning</v>
      </c>
    </row>
    <row r="226" spans="1:15" x14ac:dyDescent="0.25">
      <c r="A226">
        <v>225</v>
      </c>
      <c r="B226">
        <v>39</v>
      </c>
      <c r="C226" t="s">
        <v>16</v>
      </c>
      <c r="D226" t="s">
        <v>20</v>
      </c>
      <c r="E226" t="s">
        <v>21</v>
      </c>
      <c r="F226" s="1">
        <v>79.09</v>
      </c>
      <c r="G226" t="s">
        <v>24</v>
      </c>
      <c r="H226" t="s">
        <v>15</v>
      </c>
      <c r="I226" s="2">
        <v>4</v>
      </c>
      <c r="J226" s="4">
        <v>8</v>
      </c>
      <c r="K226" s="3">
        <v>4</v>
      </c>
      <c r="L226" s="1">
        <f t="shared" si="9"/>
        <v>72.762800000000013</v>
      </c>
      <c r="M226" t="str" cm="1">
        <f t="array" ref="M226">_xlfn.IFS(B226&lt;18,"Under 18",B226 &lt;=25,"18-25",B226&lt;=35,"26-35",B226&lt;=45,"36-45",B226&lt;=60,"46-60",TRUE,"60+")</f>
        <v>36-45</v>
      </c>
      <c r="N226" t="str">
        <f t="shared" si="10"/>
        <v>Discounted</v>
      </c>
      <c r="O226" t="str">
        <f t="shared" si="11"/>
        <v>Returning</v>
      </c>
    </row>
    <row r="227" spans="1:15" x14ac:dyDescent="0.25">
      <c r="A227">
        <v>226</v>
      </c>
      <c r="B227">
        <v>23</v>
      </c>
      <c r="C227" t="s">
        <v>16</v>
      </c>
      <c r="D227" t="s">
        <v>20</v>
      </c>
      <c r="E227" t="s">
        <v>39</v>
      </c>
      <c r="F227" s="1">
        <v>121.19</v>
      </c>
      <c r="G227" t="s">
        <v>14</v>
      </c>
      <c r="H227" t="s">
        <v>15</v>
      </c>
      <c r="I227" s="2">
        <v>3.2</v>
      </c>
      <c r="J227" s="4">
        <v>17</v>
      </c>
      <c r="K227" s="3">
        <v>6</v>
      </c>
      <c r="L227" s="1">
        <f t="shared" si="9"/>
        <v>100.5877</v>
      </c>
      <c r="M227" t="str" cm="1">
        <f t="array" ref="M227">_xlfn.IFS(B227&lt;18,"Under 18",B227 &lt;=25,"18-25",B227&lt;=35,"26-35",B227&lt;=45,"36-45",B227&lt;=60,"46-60",TRUE,"60+")</f>
        <v>18-25</v>
      </c>
      <c r="N227" t="str">
        <f t="shared" si="10"/>
        <v>Discounted</v>
      </c>
      <c r="O227" t="str">
        <f t="shared" si="11"/>
        <v>Returning</v>
      </c>
    </row>
    <row r="228" spans="1:15" x14ac:dyDescent="0.25">
      <c r="A228">
        <v>227</v>
      </c>
      <c r="B228">
        <v>42</v>
      </c>
      <c r="C228" t="s">
        <v>11</v>
      </c>
      <c r="D228" t="s">
        <v>41</v>
      </c>
      <c r="E228" t="s">
        <v>42</v>
      </c>
      <c r="F228" s="1">
        <v>64.760000000000005</v>
      </c>
      <c r="G228" t="s">
        <v>31</v>
      </c>
      <c r="H228" t="s">
        <v>15</v>
      </c>
      <c r="I228" s="2">
        <v>3.7</v>
      </c>
      <c r="J228" s="4">
        <v>11</v>
      </c>
      <c r="K228" s="3">
        <v>3</v>
      </c>
      <c r="L228" s="1">
        <f t="shared" si="9"/>
        <v>57.636400000000009</v>
      </c>
      <c r="M228" t="str" cm="1">
        <f t="array" ref="M228">_xlfn.IFS(B228&lt;18,"Under 18",B228 &lt;=25,"18-25",B228&lt;=35,"26-35",B228&lt;=45,"36-45",B228&lt;=60,"46-60",TRUE,"60+")</f>
        <v>36-45</v>
      </c>
      <c r="N228" t="str">
        <f t="shared" si="10"/>
        <v>Discounted</v>
      </c>
      <c r="O228" t="str">
        <f t="shared" si="11"/>
        <v>Returning</v>
      </c>
    </row>
    <row r="229" spans="1:15" x14ac:dyDescent="0.25">
      <c r="A229">
        <v>228</v>
      </c>
      <c r="B229">
        <v>43</v>
      </c>
      <c r="C229" t="s">
        <v>16</v>
      </c>
      <c r="D229" t="s">
        <v>27</v>
      </c>
      <c r="E229" t="s">
        <v>32</v>
      </c>
      <c r="F229" s="1">
        <v>2234.0500000000002</v>
      </c>
      <c r="G229" t="s">
        <v>31</v>
      </c>
      <c r="H229" t="s">
        <v>15</v>
      </c>
      <c r="I229" s="2">
        <v>4.2</v>
      </c>
      <c r="J229" s="4">
        <v>12</v>
      </c>
      <c r="K229" s="3">
        <v>6</v>
      </c>
      <c r="L229" s="1">
        <f t="shared" si="9"/>
        <v>1965.9640000000002</v>
      </c>
      <c r="M229" t="str" cm="1">
        <f t="array" ref="M229">_xlfn.IFS(B229&lt;18,"Under 18",B229 &lt;=25,"18-25",B229&lt;=35,"26-35",B229&lt;=45,"36-45",B229&lt;=60,"46-60",TRUE,"60+")</f>
        <v>36-45</v>
      </c>
      <c r="N229" t="str">
        <f t="shared" si="10"/>
        <v>Discounted</v>
      </c>
      <c r="O229" t="str">
        <f t="shared" si="11"/>
        <v>Returning</v>
      </c>
    </row>
    <row r="230" spans="1:15" x14ac:dyDescent="0.25">
      <c r="A230">
        <v>229</v>
      </c>
      <c r="B230">
        <v>60</v>
      </c>
      <c r="C230" t="s">
        <v>16</v>
      </c>
      <c r="D230" t="s">
        <v>20</v>
      </c>
      <c r="E230" t="s">
        <v>36</v>
      </c>
      <c r="F230" s="1">
        <v>106.49</v>
      </c>
      <c r="G230" t="s">
        <v>31</v>
      </c>
      <c r="H230" t="s">
        <v>15</v>
      </c>
      <c r="I230" s="2">
        <v>3.4</v>
      </c>
      <c r="J230" s="4">
        <v>16</v>
      </c>
      <c r="K230" s="3">
        <v>3</v>
      </c>
      <c r="L230" s="1">
        <f t="shared" si="9"/>
        <v>89.451599999999999</v>
      </c>
      <c r="M230" t="str" cm="1">
        <f t="array" ref="M230">_xlfn.IFS(B230&lt;18,"Under 18",B230 &lt;=25,"18-25",B230&lt;=35,"26-35",B230&lt;=45,"36-45",B230&lt;=60,"46-60",TRUE,"60+")</f>
        <v>46-60</v>
      </c>
      <c r="N230" t="str">
        <f t="shared" si="10"/>
        <v>Discounted</v>
      </c>
      <c r="O230" t="str">
        <f t="shared" si="11"/>
        <v>Returning</v>
      </c>
    </row>
    <row r="231" spans="1:15" x14ac:dyDescent="0.25">
      <c r="A231">
        <v>230</v>
      </c>
      <c r="B231">
        <v>55</v>
      </c>
      <c r="C231" t="s">
        <v>16</v>
      </c>
      <c r="D231" t="s">
        <v>27</v>
      </c>
      <c r="E231" t="s">
        <v>53</v>
      </c>
      <c r="F231" s="1">
        <v>2024.08</v>
      </c>
      <c r="G231" t="s">
        <v>31</v>
      </c>
      <c r="H231" t="s">
        <v>15</v>
      </c>
      <c r="I231" s="2">
        <v>3.2</v>
      </c>
      <c r="J231" s="4">
        <v>18</v>
      </c>
      <c r="K231" s="3">
        <v>4</v>
      </c>
      <c r="L231" s="1">
        <f t="shared" si="9"/>
        <v>1659.7456</v>
      </c>
      <c r="M231" t="str" cm="1">
        <f t="array" ref="M231">_xlfn.IFS(B231&lt;18,"Under 18",B231 &lt;=25,"18-25",B231&lt;=35,"26-35",B231&lt;=45,"36-45",B231&lt;=60,"46-60",TRUE,"60+")</f>
        <v>46-60</v>
      </c>
      <c r="N231" t="str">
        <f t="shared" si="10"/>
        <v>Discounted</v>
      </c>
      <c r="O231" t="str">
        <f t="shared" si="11"/>
        <v>Returning</v>
      </c>
    </row>
    <row r="232" spans="1:15" x14ac:dyDescent="0.25">
      <c r="A232">
        <v>231</v>
      </c>
      <c r="B232">
        <v>55</v>
      </c>
      <c r="C232" t="s">
        <v>16</v>
      </c>
      <c r="D232" t="s">
        <v>17</v>
      </c>
      <c r="E232" t="s">
        <v>18</v>
      </c>
      <c r="F232" s="1">
        <v>122.22</v>
      </c>
      <c r="G232" t="s">
        <v>31</v>
      </c>
      <c r="H232" t="s">
        <v>15</v>
      </c>
      <c r="I232" s="2">
        <v>4.0999999999999996</v>
      </c>
      <c r="J232" s="4">
        <v>13</v>
      </c>
      <c r="K232" s="3">
        <v>4</v>
      </c>
      <c r="L232" s="1">
        <f t="shared" si="9"/>
        <v>106.3314</v>
      </c>
      <c r="M232" t="str" cm="1">
        <f t="array" ref="M232">_xlfn.IFS(B232&lt;18,"Under 18",B232 &lt;=25,"18-25",B232&lt;=35,"26-35",B232&lt;=45,"36-45",B232&lt;=60,"46-60",TRUE,"60+")</f>
        <v>46-60</v>
      </c>
      <c r="N232" t="str">
        <f t="shared" si="10"/>
        <v>Discounted</v>
      </c>
      <c r="O232" t="str">
        <f t="shared" si="11"/>
        <v>Returning</v>
      </c>
    </row>
    <row r="233" spans="1:15" x14ac:dyDescent="0.25">
      <c r="A233">
        <v>232</v>
      </c>
      <c r="B233">
        <v>51</v>
      </c>
      <c r="C233" t="s">
        <v>11</v>
      </c>
      <c r="D233" t="s">
        <v>29</v>
      </c>
      <c r="E233" t="s">
        <v>30</v>
      </c>
      <c r="F233" s="1">
        <v>112.88</v>
      </c>
      <c r="G233" t="s">
        <v>14</v>
      </c>
      <c r="H233" t="s">
        <v>15</v>
      </c>
      <c r="I233" s="2">
        <v>4.9000000000000004</v>
      </c>
      <c r="J233" s="4">
        <v>22</v>
      </c>
      <c r="K233" s="3">
        <v>6</v>
      </c>
      <c r="L233" s="1">
        <f t="shared" si="9"/>
        <v>88.046400000000006</v>
      </c>
      <c r="M233" t="str" cm="1">
        <f t="array" ref="M233">_xlfn.IFS(B233&lt;18,"Under 18",B233 &lt;=25,"18-25",B233&lt;=35,"26-35",B233&lt;=45,"36-45",B233&lt;=60,"46-60",TRUE,"60+")</f>
        <v>46-60</v>
      </c>
      <c r="N233" t="str">
        <f t="shared" si="10"/>
        <v>Discounted</v>
      </c>
      <c r="O233" t="str">
        <f t="shared" si="11"/>
        <v>Returning</v>
      </c>
    </row>
    <row r="234" spans="1:15" x14ac:dyDescent="0.25">
      <c r="A234">
        <v>233</v>
      </c>
      <c r="B234">
        <v>58</v>
      </c>
      <c r="C234" t="s">
        <v>16</v>
      </c>
      <c r="D234" t="s">
        <v>33</v>
      </c>
      <c r="E234" t="s">
        <v>38</v>
      </c>
      <c r="F234" s="1">
        <v>66.28</v>
      </c>
      <c r="G234" t="s">
        <v>24</v>
      </c>
      <c r="H234" t="s">
        <v>37</v>
      </c>
      <c r="I234" s="2">
        <v>2.7</v>
      </c>
      <c r="J234" s="4">
        <v>6</v>
      </c>
      <c r="K234" s="3">
        <v>3</v>
      </c>
      <c r="L234" s="1">
        <f t="shared" si="9"/>
        <v>62.303199999999997</v>
      </c>
      <c r="M234" t="str" cm="1">
        <f t="array" ref="M234">_xlfn.IFS(B234&lt;18,"Under 18",B234 &lt;=25,"18-25",B234&lt;=35,"26-35",B234&lt;=45,"36-45",B234&lt;=60,"46-60",TRUE,"60+")</f>
        <v>46-60</v>
      </c>
      <c r="N234" t="str">
        <f t="shared" si="10"/>
        <v>Discounted</v>
      </c>
      <c r="O234" t="str">
        <f t="shared" si="11"/>
        <v>Returning</v>
      </c>
    </row>
    <row r="235" spans="1:15" x14ac:dyDescent="0.25">
      <c r="A235">
        <v>234</v>
      </c>
      <c r="B235">
        <v>22</v>
      </c>
      <c r="C235" t="s">
        <v>16</v>
      </c>
      <c r="D235" t="s">
        <v>20</v>
      </c>
      <c r="E235" t="s">
        <v>39</v>
      </c>
      <c r="F235" s="1">
        <v>122.95</v>
      </c>
      <c r="G235" t="s">
        <v>14</v>
      </c>
      <c r="H235" t="s">
        <v>15</v>
      </c>
      <c r="I235" s="2">
        <v>3.1</v>
      </c>
      <c r="J235" s="4">
        <v>22</v>
      </c>
      <c r="K235" s="3">
        <v>6</v>
      </c>
      <c r="L235" s="1">
        <f t="shared" si="9"/>
        <v>95.90100000000001</v>
      </c>
      <c r="M235" t="str" cm="1">
        <f t="array" ref="M235">_xlfn.IFS(B235&lt;18,"Under 18",B235 &lt;=25,"18-25",B235&lt;=35,"26-35",B235&lt;=45,"36-45",B235&lt;=60,"46-60",TRUE,"60+")</f>
        <v>18-25</v>
      </c>
      <c r="N235" t="str">
        <f t="shared" si="10"/>
        <v>Discounted</v>
      </c>
      <c r="O235" t="str">
        <f t="shared" si="11"/>
        <v>Returning</v>
      </c>
    </row>
    <row r="236" spans="1:15" x14ac:dyDescent="0.25">
      <c r="A236">
        <v>235</v>
      </c>
      <c r="B236">
        <v>54</v>
      </c>
      <c r="C236" t="s">
        <v>11</v>
      </c>
      <c r="D236" t="s">
        <v>29</v>
      </c>
      <c r="E236" t="s">
        <v>51</v>
      </c>
      <c r="F236" s="1">
        <v>129.63</v>
      </c>
      <c r="G236" t="s">
        <v>19</v>
      </c>
      <c r="H236" t="s">
        <v>15</v>
      </c>
      <c r="I236" s="2">
        <v>5</v>
      </c>
      <c r="J236" s="4">
        <v>10</v>
      </c>
      <c r="K236" s="3">
        <v>5</v>
      </c>
      <c r="L236" s="1">
        <f t="shared" si="9"/>
        <v>116.667</v>
      </c>
      <c r="M236" t="str" cm="1">
        <f t="array" ref="M236">_xlfn.IFS(B236&lt;18,"Under 18",B236 &lt;=25,"18-25",B236&lt;=35,"26-35",B236&lt;=45,"36-45",B236&lt;=60,"46-60",TRUE,"60+")</f>
        <v>46-60</v>
      </c>
      <c r="N236" t="str">
        <f t="shared" si="10"/>
        <v>Discounted</v>
      </c>
      <c r="O236" t="str">
        <f t="shared" si="11"/>
        <v>Returning</v>
      </c>
    </row>
    <row r="237" spans="1:15" x14ac:dyDescent="0.25">
      <c r="A237">
        <v>236</v>
      </c>
      <c r="B237">
        <v>59</v>
      </c>
      <c r="C237" t="s">
        <v>16</v>
      </c>
      <c r="D237" t="s">
        <v>17</v>
      </c>
      <c r="E237" t="s">
        <v>48</v>
      </c>
      <c r="F237" s="1">
        <v>191.92</v>
      </c>
      <c r="G237" t="s">
        <v>14</v>
      </c>
      <c r="H237" t="s">
        <v>15</v>
      </c>
      <c r="I237" s="2">
        <v>3.9</v>
      </c>
      <c r="J237" s="4">
        <v>21</v>
      </c>
      <c r="K237" s="3">
        <v>8</v>
      </c>
      <c r="L237" s="1">
        <f t="shared" si="9"/>
        <v>151.61679999999998</v>
      </c>
      <c r="M237" t="str" cm="1">
        <f t="array" ref="M237">_xlfn.IFS(B237&lt;18,"Under 18",B237 &lt;=25,"18-25",B237&lt;=35,"26-35",B237&lt;=45,"36-45",B237&lt;=60,"46-60",TRUE,"60+")</f>
        <v>46-60</v>
      </c>
      <c r="N237" t="str">
        <f t="shared" si="10"/>
        <v>Discounted</v>
      </c>
      <c r="O237" t="str">
        <f t="shared" si="11"/>
        <v>Returning</v>
      </c>
    </row>
    <row r="238" spans="1:15" x14ac:dyDescent="0.25">
      <c r="A238">
        <v>237</v>
      </c>
      <c r="B238">
        <v>22</v>
      </c>
      <c r="C238" t="s">
        <v>11</v>
      </c>
      <c r="D238" t="s">
        <v>12</v>
      </c>
      <c r="E238" t="s">
        <v>50</v>
      </c>
      <c r="F238" s="1">
        <v>21.95</v>
      </c>
      <c r="G238" t="s">
        <v>24</v>
      </c>
      <c r="H238" t="s">
        <v>37</v>
      </c>
      <c r="I238" s="2">
        <v>3.6</v>
      </c>
      <c r="J238" s="4">
        <v>16</v>
      </c>
      <c r="K238" s="3">
        <v>3</v>
      </c>
      <c r="L238" s="1">
        <f t="shared" si="9"/>
        <v>18.437999999999999</v>
      </c>
      <c r="M238" t="str" cm="1">
        <f t="array" ref="M238">_xlfn.IFS(B238&lt;18,"Under 18",B238 &lt;=25,"18-25",B238&lt;=35,"26-35",B238&lt;=45,"36-45",B238&lt;=60,"46-60",TRUE,"60+")</f>
        <v>18-25</v>
      </c>
      <c r="N238" t="str">
        <f t="shared" si="10"/>
        <v>Discounted</v>
      </c>
      <c r="O238" t="str">
        <f t="shared" si="11"/>
        <v>Returning</v>
      </c>
    </row>
    <row r="239" spans="1:15" x14ac:dyDescent="0.25">
      <c r="A239">
        <v>238</v>
      </c>
      <c r="B239">
        <v>24</v>
      </c>
      <c r="C239" t="s">
        <v>16</v>
      </c>
      <c r="D239" t="s">
        <v>27</v>
      </c>
      <c r="E239" t="s">
        <v>28</v>
      </c>
      <c r="F239" s="1">
        <v>1117.83</v>
      </c>
      <c r="G239" t="s">
        <v>31</v>
      </c>
      <c r="H239" t="s">
        <v>15</v>
      </c>
      <c r="I239" s="2">
        <v>2.9</v>
      </c>
      <c r="J239" s="4">
        <v>13</v>
      </c>
      <c r="K239" s="3">
        <v>4</v>
      </c>
      <c r="L239" s="1">
        <f t="shared" si="9"/>
        <v>972.51209999999992</v>
      </c>
      <c r="M239" t="str" cm="1">
        <f t="array" ref="M239">_xlfn.IFS(B239&lt;18,"Under 18",B239 &lt;=25,"18-25",B239&lt;=35,"26-35",B239&lt;=45,"36-45",B239&lt;=60,"46-60",TRUE,"60+")</f>
        <v>18-25</v>
      </c>
      <c r="N239" t="str">
        <f t="shared" si="10"/>
        <v>Discounted</v>
      </c>
      <c r="O239" t="str">
        <f t="shared" si="11"/>
        <v>Returning</v>
      </c>
    </row>
    <row r="240" spans="1:15" x14ac:dyDescent="0.25">
      <c r="A240">
        <v>239</v>
      </c>
      <c r="B240">
        <v>58</v>
      </c>
      <c r="C240" t="s">
        <v>11</v>
      </c>
      <c r="D240" t="s">
        <v>33</v>
      </c>
      <c r="E240" t="s">
        <v>34</v>
      </c>
      <c r="F240" s="1">
        <v>194.03</v>
      </c>
      <c r="G240" t="s">
        <v>19</v>
      </c>
      <c r="H240" t="s">
        <v>15</v>
      </c>
      <c r="I240" s="2">
        <v>3</v>
      </c>
      <c r="J240" s="4">
        <v>21</v>
      </c>
      <c r="K240" s="3">
        <v>8</v>
      </c>
      <c r="L240" s="1">
        <f t="shared" si="9"/>
        <v>153.28370000000001</v>
      </c>
      <c r="M240" t="str" cm="1">
        <f t="array" ref="M240">_xlfn.IFS(B240&lt;18,"Under 18",B240 &lt;=25,"18-25",B240&lt;=35,"26-35",B240&lt;=45,"36-45",B240&lt;=60,"46-60",TRUE,"60+")</f>
        <v>46-60</v>
      </c>
      <c r="N240" t="str">
        <f t="shared" si="10"/>
        <v>Discounted</v>
      </c>
      <c r="O240" t="str">
        <f t="shared" si="11"/>
        <v>Returning</v>
      </c>
    </row>
    <row r="241" spans="1:15" x14ac:dyDescent="0.25">
      <c r="A241">
        <v>240</v>
      </c>
      <c r="B241">
        <v>24</v>
      </c>
      <c r="C241" t="s">
        <v>11</v>
      </c>
      <c r="D241" t="s">
        <v>29</v>
      </c>
      <c r="E241" t="s">
        <v>51</v>
      </c>
      <c r="F241" s="1">
        <v>111.59</v>
      </c>
      <c r="G241" t="s">
        <v>31</v>
      </c>
      <c r="H241" t="s">
        <v>15</v>
      </c>
      <c r="I241" s="2">
        <v>3.7</v>
      </c>
      <c r="J241" s="4">
        <v>8</v>
      </c>
      <c r="K241" s="3">
        <v>4</v>
      </c>
      <c r="L241" s="1">
        <f t="shared" si="9"/>
        <v>102.6628</v>
      </c>
      <c r="M241" t="str" cm="1">
        <f t="array" ref="M241">_xlfn.IFS(B241&lt;18,"Under 18",B241 &lt;=25,"18-25",B241&lt;=35,"26-35",B241&lt;=45,"36-45",B241&lt;=60,"46-60",TRUE,"60+")</f>
        <v>18-25</v>
      </c>
      <c r="N241" t="str">
        <f t="shared" si="10"/>
        <v>Discounted</v>
      </c>
      <c r="O241" t="str">
        <f t="shared" si="11"/>
        <v>Returning</v>
      </c>
    </row>
    <row r="242" spans="1:15" x14ac:dyDescent="0.25">
      <c r="A242">
        <v>241</v>
      </c>
      <c r="B242">
        <v>35</v>
      </c>
      <c r="C242" t="s">
        <v>11</v>
      </c>
      <c r="D242" t="s">
        <v>41</v>
      </c>
      <c r="E242" t="s">
        <v>45</v>
      </c>
      <c r="F242" s="1">
        <v>194.65</v>
      </c>
      <c r="G242" t="s">
        <v>14</v>
      </c>
      <c r="H242" t="s">
        <v>15</v>
      </c>
      <c r="I242" s="2">
        <v>3.6</v>
      </c>
      <c r="J242" s="4">
        <v>9</v>
      </c>
      <c r="K242" s="3">
        <v>2</v>
      </c>
      <c r="L242" s="1">
        <f t="shared" si="9"/>
        <v>177.13150000000002</v>
      </c>
      <c r="M242" t="str" cm="1">
        <f t="array" ref="M242">_xlfn.IFS(B242&lt;18,"Under 18",B242 &lt;=25,"18-25",B242&lt;=35,"26-35",B242&lt;=45,"36-45",B242&lt;=60,"46-60",TRUE,"60+")</f>
        <v>26-35</v>
      </c>
      <c r="N242" t="str">
        <f t="shared" si="10"/>
        <v>Discounted</v>
      </c>
      <c r="O242" t="str">
        <f t="shared" si="11"/>
        <v>Returning</v>
      </c>
    </row>
    <row r="243" spans="1:15" x14ac:dyDescent="0.25">
      <c r="A243">
        <v>242</v>
      </c>
      <c r="B243">
        <v>63</v>
      </c>
      <c r="C243" t="s">
        <v>16</v>
      </c>
      <c r="D243" t="s">
        <v>33</v>
      </c>
      <c r="E243" t="s">
        <v>34</v>
      </c>
      <c r="F243" s="1">
        <v>96.15</v>
      </c>
      <c r="G243" t="s">
        <v>24</v>
      </c>
      <c r="H243" t="s">
        <v>15</v>
      </c>
      <c r="I243" s="2">
        <v>3.2</v>
      </c>
      <c r="J243" s="4">
        <v>9</v>
      </c>
      <c r="K243" s="3">
        <v>2</v>
      </c>
      <c r="L243" s="1">
        <f t="shared" si="9"/>
        <v>87.496500000000012</v>
      </c>
      <c r="M243" t="str" cm="1">
        <f t="array" ref="M243">_xlfn.IFS(B243&lt;18,"Under 18",B243 &lt;=25,"18-25",B243&lt;=35,"26-35",B243&lt;=45,"36-45",B243&lt;=60,"46-60",TRUE,"60+")</f>
        <v>60+</v>
      </c>
      <c r="N243" t="str">
        <f t="shared" si="10"/>
        <v>Discounted</v>
      </c>
      <c r="O243" t="str">
        <f t="shared" si="11"/>
        <v>Returning</v>
      </c>
    </row>
    <row r="244" spans="1:15" x14ac:dyDescent="0.25">
      <c r="A244">
        <v>243</v>
      </c>
      <c r="B244">
        <v>51</v>
      </c>
      <c r="C244" t="s">
        <v>11</v>
      </c>
      <c r="D244" t="s">
        <v>12</v>
      </c>
      <c r="E244" t="s">
        <v>50</v>
      </c>
      <c r="F244" s="1">
        <v>115.63</v>
      </c>
      <c r="G244" t="s">
        <v>24</v>
      </c>
      <c r="H244" t="s">
        <v>15</v>
      </c>
      <c r="I244" s="2">
        <v>2.9</v>
      </c>
      <c r="J244" s="4">
        <v>19</v>
      </c>
      <c r="K244" s="3">
        <v>7</v>
      </c>
      <c r="L244" s="1">
        <f t="shared" si="9"/>
        <v>93.660300000000007</v>
      </c>
      <c r="M244" t="str" cm="1">
        <f t="array" ref="M244">_xlfn.IFS(B244&lt;18,"Under 18",B244 &lt;=25,"18-25",B244&lt;=35,"26-35",B244&lt;=45,"36-45",B244&lt;=60,"46-60",TRUE,"60+")</f>
        <v>46-60</v>
      </c>
      <c r="N244" t="str">
        <f t="shared" si="10"/>
        <v>Discounted</v>
      </c>
      <c r="O244" t="str">
        <f t="shared" si="11"/>
        <v>Returning</v>
      </c>
    </row>
    <row r="245" spans="1:15" x14ac:dyDescent="0.25">
      <c r="A245">
        <v>244</v>
      </c>
      <c r="B245">
        <v>47</v>
      </c>
      <c r="C245" t="s">
        <v>16</v>
      </c>
      <c r="D245" t="s">
        <v>20</v>
      </c>
      <c r="E245" t="s">
        <v>21</v>
      </c>
      <c r="F245" s="1">
        <v>146.94999999999999</v>
      </c>
      <c r="G245" t="s">
        <v>19</v>
      </c>
      <c r="H245" t="s">
        <v>15</v>
      </c>
      <c r="I245" s="2">
        <v>5</v>
      </c>
      <c r="J245" s="4">
        <v>24</v>
      </c>
      <c r="K245" s="3">
        <v>7</v>
      </c>
      <c r="L245" s="1">
        <f t="shared" si="9"/>
        <v>111.68199999999999</v>
      </c>
      <c r="M245" t="str" cm="1">
        <f t="array" ref="M245">_xlfn.IFS(B245&lt;18,"Under 18",B245 &lt;=25,"18-25",B245&lt;=35,"26-35",B245&lt;=45,"36-45",B245&lt;=60,"46-60",TRUE,"60+")</f>
        <v>46-60</v>
      </c>
      <c r="N245" t="str">
        <f t="shared" si="10"/>
        <v>Discounted</v>
      </c>
      <c r="O245" t="str">
        <f t="shared" si="11"/>
        <v>Returning</v>
      </c>
    </row>
    <row r="246" spans="1:15" x14ac:dyDescent="0.25">
      <c r="A246">
        <v>245</v>
      </c>
      <c r="B246">
        <v>69</v>
      </c>
      <c r="C246" t="s">
        <v>16</v>
      </c>
      <c r="D246" t="s">
        <v>27</v>
      </c>
      <c r="E246" t="s">
        <v>53</v>
      </c>
      <c r="F246" s="1">
        <v>2517.9699999999998</v>
      </c>
      <c r="G246" t="s">
        <v>14</v>
      </c>
      <c r="H246" t="s">
        <v>15</v>
      </c>
      <c r="I246" s="2">
        <v>4.3</v>
      </c>
      <c r="J246" s="4">
        <v>28</v>
      </c>
      <c r="K246" s="3">
        <v>9</v>
      </c>
      <c r="L246" s="1">
        <f t="shared" si="9"/>
        <v>1812.9383999999998</v>
      </c>
      <c r="M246" t="str" cm="1">
        <f t="array" ref="M246">_xlfn.IFS(B246&lt;18,"Under 18",B246 &lt;=25,"18-25",B246&lt;=35,"26-35",B246&lt;=45,"36-45",B246&lt;=60,"46-60",TRUE,"60+")</f>
        <v>60+</v>
      </c>
      <c r="N246" t="str">
        <f t="shared" si="10"/>
        <v>Discounted</v>
      </c>
      <c r="O246" t="str">
        <f t="shared" si="11"/>
        <v>Returning</v>
      </c>
    </row>
    <row r="247" spans="1:15" x14ac:dyDescent="0.25">
      <c r="A247">
        <v>246</v>
      </c>
      <c r="B247">
        <v>66</v>
      </c>
      <c r="C247" t="s">
        <v>11</v>
      </c>
      <c r="D247" t="s">
        <v>29</v>
      </c>
      <c r="E247" t="s">
        <v>51</v>
      </c>
      <c r="F247" s="1">
        <v>55.2</v>
      </c>
      <c r="G247" t="s">
        <v>31</v>
      </c>
      <c r="H247" t="s">
        <v>15</v>
      </c>
      <c r="I247" s="2">
        <v>3.6</v>
      </c>
      <c r="J247" s="4">
        <v>11</v>
      </c>
      <c r="K247" s="3">
        <v>3</v>
      </c>
      <c r="L247" s="1">
        <f t="shared" si="9"/>
        <v>49.128</v>
      </c>
      <c r="M247" t="str" cm="1">
        <f t="array" ref="M247">_xlfn.IFS(B247&lt;18,"Under 18",B247 &lt;=25,"18-25",B247&lt;=35,"26-35",B247&lt;=45,"36-45",B247&lt;=60,"46-60",TRUE,"60+")</f>
        <v>60+</v>
      </c>
      <c r="N247" t="str">
        <f t="shared" si="10"/>
        <v>Discounted</v>
      </c>
      <c r="O247" t="str">
        <f t="shared" si="11"/>
        <v>Returning</v>
      </c>
    </row>
    <row r="248" spans="1:15" x14ac:dyDescent="0.25">
      <c r="A248">
        <v>247</v>
      </c>
      <c r="B248">
        <v>35</v>
      </c>
      <c r="C248" t="s">
        <v>11</v>
      </c>
      <c r="D248" t="s">
        <v>12</v>
      </c>
      <c r="E248" t="s">
        <v>56</v>
      </c>
      <c r="F248" s="1">
        <v>161.59</v>
      </c>
      <c r="G248" t="s">
        <v>19</v>
      </c>
      <c r="H248" t="s">
        <v>15</v>
      </c>
      <c r="I248" s="2">
        <v>3.4</v>
      </c>
      <c r="J248" s="4">
        <v>22</v>
      </c>
      <c r="K248" s="3">
        <v>6</v>
      </c>
      <c r="L248" s="1">
        <f t="shared" si="9"/>
        <v>126.04020000000001</v>
      </c>
      <c r="M248" t="str" cm="1">
        <f t="array" ref="M248">_xlfn.IFS(B248&lt;18,"Under 18",B248 &lt;=25,"18-25",B248&lt;=35,"26-35",B248&lt;=45,"36-45",B248&lt;=60,"46-60",TRUE,"60+")</f>
        <v>26-35</v>
      </c>
      <c r="N248" t="str">
        <f t="shared" si="10"/>
        <v>Discounted</v>
      </c>
      <c r="O248" t="str">
        <f t="shared" si="11"/>
        <v>Returning</v>
      </c>
    </row>
    <row r="249" spans="1:15" x14ac:dyDescent="0.25">
      <c r="A249">
        <v>248</v>
      </c>
      <c r="B249">
        <v>36</v>
      </c>
      <c r="C249" t="s">
        <v>16</v>
      </c>
      <c r="D249" t="s">
        <v>33</v>
      </c>
      <c r="E249" t="s">
        <v>40</v>
      </c>
      <c r="F249" s="1">
        <v>110.06</v>
      </c>
      <c r="G249" t="s">
        <v>19</v>
      </c>
      <c r="H249" t="s">
        <v>15</v>
      </c>
      <c r="I249" s="2">
        <v>3.9</v>
      </c>
      <c r="J249" s="4">
        <v>19</v>
      </c>
      <c r="K249" s="3">
        <v>7</v>
      </c>
      <c r="L249" s="1">
        <f t="shared" si="9"/>
        <v>89.148600000000002</v>
      </c>
      <c r="M249" t="str" cm="1">
        <f t="array" ref="M249">_xlfn.IFS(B249&lt;18,"Under 18",B249 &lt;=25,"18-25",B249&lt;=35,"26-35",B249&lt;=45,"36-45",B249&lt;=60,"46-60",TRUE,"60+")</f>
        <v>36-45</v>
      </c>
      <c r="N249" t="str">
        <f t="shared" si="10"/>
        <v>Discounted</v>
      </c>
      <c r="O249" t="str">
        <f t="shared" si="11"/>
        <v>Returning</v>
      </c>
    </row>
    <row r="250" spans="1:15" x14ac:dyDescent="0.25">
      <c r="A250">
        <v>249</v>
      </c>
      <c r="B250">
        <v>59</v>
      </c>
      <c r="C250" t="s">
        <v>11</v>
      </c>
      <c r="D250" t="s">
        <v>12</v>
      </c>
      <c r="E250" t="s">
        <v>13</v>
      </c>
      <c r="F250" s="1">
        <v>145.44</v>
      </c>
      <c r="G250" t="s">
        <v>31</v>
      </c>
      <c r="H250" t="s">
        <v>15</v>
      </c>
      <c r="I250" s="2">
        <v>4.5</v>
      </c>
      <c r="J250" s="4">
        <v>22</v>
      </c>
      <c r="K250" s="3">
        <v>6</v>
      </c>
      <c r="L250" s="1">
        <f t="shared" si="9"/>
        <v>113.4432</v>
      </c>
      <c r="M250" t="str" cm="1">
        <f t="array" ref="M250">_xlfn.IFS(B250&lt;18,"Under 18",B250 &lt;=25,"18-25",B250&lt;=35,"26-35",B250&lt;=45,"36-45",B250&lt;=60,"46-60",TRUE,"60+")</f>
        <v>46-60</v>
      </c>
      <c r="N250" t="str">
        <f t="shared" si="10"/>
        <v>Discounted</v>
      </c>
      <c r="O250" t="str">
        <f t="shared" si="11"/>
        <v>Returning</v>
      </c>
    </row>
    <row r="251" spans="1:15" x14ac:dyDescent="0.25">
      <c r="A251">
        <v>250</v>
      </c>
      <c r="B251">
        <v>20</v>
      </c>
      <c r="C251" t="s">
        <v>16</v>
      </c>
      <c r="D251" t="s">
        <v>17</v>
      </c>
      <c r="E251" t="s">
        <v>42</v>
      </c>
      <c r="F251" s="1">
        <v>99.49</v>
      </c>
      <c r="G251" t="s">
        <v>14</v>
      </c>
      <c r="H251" t="s">
        <v>37</v>
      </c>
      <c r="I251" s="2">
        <v>3.8</v>
      </c>
      <c r="J251" s="4">
        <v>18</v>
      </c>
      <c r="K251" s="3">
        <v>9</v>
      </c>
      <c r="L251" s="1">
        <f t="shared" si="9"/>
        <v>81.581800000000001</v>
      </c>
      <c r="M251" t="str" cm="1">
        <f t="array" ref="M251">_xlfn.IFS(B251&lt;18,"Under 18",B251 &lt;=25,"18-25",B251&lt;=35,"26-35",B251&lt;=45,"36-45",B251&lt;=60,"46-60",TRUE,"60+")</f>
        <v>18-25</v>
      </c>
      <c r="N251" t="str">
        <f t="shared" si="10"/>
        <v>Discounted</v>
      </c>
      <c r="O251" t="str">
        <f t="shared" si="11"/>
        <v>Returning</v>
      </c>
    </row>
    <row r="252" spans="1:15" x14ac:dyDescent="0.25">
      <c r="A252">
        <v>251</v>
      </c>
      <c r="B252">
        <v>46</v>
      </c>
      <c r="C252" t="s">
        <v>11</v>
      </c>
      <c r="D252" t="s">
        <v>29</v>
      </c>
      <c r="E252" t="s">
        <v>55</v>
      </c>
      <c r="F252" s="1">
        <v>116.53</v>
      </c>
      <c r="G252" t="s">
        <v>24</v>
      </c>
      <c r="H252" t="s">
        <v>15</v>
      </c>
      <c r="I252" s="2">
        <v>4.2</v>
      </c>
      <c r="J252" s="4">
        <v>12</v>
      </c>
      <c r="K252" s="3">
        <v>6</v>
      </c>
      <c r="L252" s="1">
        <f t="shared" si="9"/>
        <v>102.54640000000001</v>
      </c>
      <c r="M252" t="str" cm="1">
        <f t="array" ref="M252">_xlfn.IFS(B252&lt;18,"Under 18",B252 &lt;=25,"18-25",B252&lt;=35,"26-35",B252&lt;=45,"36-45",B252&lt;=60,"46-60",TRUE,"60+")</f>
        <v>46-60</v>
      </c>
      <c r="N252" t="str">
        <f t="shared" si="10"/>
        <v>Discounted</v>
      </c>
      <c r="O252" t="str">
        <f t="shared" si="11"/>
        <v>Returning</v>
      </c>
    </row>
    <row r="253" spans="1:15" x14ac:dyDescent="0.25">
      <c r="A253">
        <v>252</v>
      </c>
      <c r="B253">
        <v>68</v>
      </c>
      <c r="C253" t="s">
        <v>16</v>
      </c>
      <c r="D253" t="s">
        <v>17</v>
      </c>
      <c r="E253" t="s">
        <v>48</v>
      </c>
      <c r="F253" s="1">
        <v>170.91</v>
      </c>
      <c r="G253" t="s">
        <v>24</v>
      </c>
      <c r="H253" t="s">
        <v>15</v>
      </c>
      <c r="I253" s="2">
        <v>3.8</v>
      </c>
      <c r="J253" s="4">
        <v>14</v>
      </c>
      <c r="K253" s="3">
        <v>7</v>
      </c>
      <c r="L253" s="1">
        <f t="shared" si="9"/>
        <v>146.98259999999999</v>
      </c>
      <c r="M253" t="str" cm="1">
        <f t="array" ref="M253">_xlfn.IFS(B253&lt;18,"Under 18",B253 &lt;=25,"18-25",B253&lt;=35,"26-35",B253&lt;=45,"36-45",B253&lt;=60,"46-60",TRUE,"60+")</f>
        <v>60+</v>
      </c>
      <c r="N253" t="str">
        <f t="shared" si="10"/>
        <v>Discounted</v>
      </c>
      <c r="O253" t="str">
        <f t="shared" si="11"/>
        <v>Returning</v>
      </c>
    </row>
    <row r="254" spans="1:15" x14ac:dyDescent="0.25">
      <c r="A254">
        <v>253</v>
      </c>
      <c r="B254">
        <v>66</v>
      </c>
      <c r="C254" t="s">
        <v>16</v>
      </c>
      <c r="D254" t="s">
        <v>20</v>
      </c>
      <c r="E254" t="s">
        <v>36</v>
      </c>
      <c r="F254" s="1">
        <v>111.58</v>
      </c>
      <c r="G254" t="s">
        <v>14</v>
      </c>
      <c r="H254" t="s">
        <v>15</v>
      </c>
      <c r="I254" s="2">
        <v>3.4</v>
      </c>
      <c r="J254" s="4">
        <v>21</v>
      </c>
      <c r="K254" s="3">
        <v>8</v>
      </c>
      <c r="L254" s="1">
        <f t="shared" si="9"/>
        <v>88.148200000000003</v>
      </c>
      <c r="M254" t="str" cm="1">
        <f t="array" ref="M254">_xlfn.IFS(B254&lt;18,"Under 18",B254 &lt;=25,"18-25",B254&lt;=35,"26-35",B254&lt;=45,"36-45",B254&lt;=60,"46-60",TRUE,"60+")</f>
        <v>60+</v>
      </c>
      <c r="N254" t="str">
        <f t="shared" si="10"/>
        <v>Discounted</v>
      </c>
      <c r="O254" t="str">
        <f t="shared" si="11"/>
        <v>Returning</v>
      </c>
    </row>
    <row r="255" spans="1:15" x14ac:dyDescent="0.25">
      <c r="A255">
        <v>254</v>
      </c>
      <c r="B255">
        <v>70</v>
      </c>
      <c r="C255" t="s">
        <v>11</v>
      </c>
      <c r="D255" t="s">
        <v>22</v>
      </c>
      <c r="E255" t="s">
        <v>52</v>
      </c>
      <c r="F255" s="1">
        <v>96.25</v>
      </c>
      <c r="G255" t="s">
        <v>14</v>
      </c>
      <c r="H255" t="s">
        <v>37</v>
      </c>
      <c r="I255" s="2">
        <v>2.9</v>
      </c>
      <c r="J255" s="4">
        <v>14</v>
      </c>
      <c r="K255" s="3">
        <v>2</v>
      </c>
      <c r="L255" s="1">
        <f t="shared" si="9"/>
        <v>82.775000000000006</v>
      </c>
      <c r="M255" t="str" cm="1">
        <f t="array" ref="M255">_xlfn.IFS(B255&lt;18,"Under 18",B255 &lt;=25,"18-25",B255&lt;=35,"26-35",B255&lt;=45,"36-45",B255&lt;=60,"46-60",TRUE,"60+")</f>
        <v>60+</v>
      </c>
      <c r="N255" t="str">
        <f t="shared" si="10"/>
        <v>Discounted</v>
      </c>
      <c r="O255" t="str">
        <f t="shared" si="11"/>
        <v>Returning</v>
      </c>
    </row>
    <row r="256" spans="1:15" x14ac:dyDescent="0.25">
      <c r="A256">
        <v>255</v>
      </c>
      <c r="B256">
        <v>43</v>
      </c>
      <c r="C256" t="s">
        <v>11</v>
      </c>
      <c r="D256" t="s">
        <v>29</v>
      </c>
      <c r="E256" t="s">
        <v>30</v>
      </c>
      <c r="F256" s="1">
        <v>118</v>
      </c>
      <c r="G256" t="s">
        <v>24</v>
      </c>
      <c r="H256" t="s">
        <v>15</v>
      </c>
      <c r="I256" s="2">
        <v>4.0999999999999996</v>
      </c>
      <c r="J256" s="4">
        <v>12</v>
      </c>
      <c r="K256" s="3">
        <v>6</v>
      </c>
      <c r="L256" s="1">
        <f t="shared" si="9"/>
        <v>103.84</v>
      </c>
      <c r="M256" t="str" cm="1">
        <f t="array" ref="M256">_xlfn.IFS(B256&lt;18,"Under 18",B256 &lt;=25,"18-25",B256&lt;=35,"26-35",B256&lt;=45,"36-45",B256&lt;=60,"46-60",TRUE,"60+")</f>
        <v>36-45</v>
      </c>
      <c r="N256" t="str">
        <f t="shared" si="10"/>
        <v>Discounted</v>
      </c>
      <c r="O256" t="str">
        <f t="shared" si="11"/>
        <v>Returning</v>
      </c>
    </row>
    <row r="257" spans="1:15" x14ac:dyDescent="0.25">
      <c r="A257">
        <v>256</v>
      </c>
      <c r="B257">
        <v>67</v>
      </c>
      <c r="C257" t="s">
        <v>16</v>
      </c>
      <c r="D257" t="s">
        <v>27</v>
      </c>
      <c r="E257" t="s">
        <v>49</v>
      </c>
      <c r="F257" s="1">
        <v>1597.74</v>
      </c>
      <c r="G257" t="s">
        <v>31</v>
      </c>
      <c r="H257" t="s">
        <v>15</v>
      </c>
      <c r="I257" s="2">
        <v>5</v>
      </c>
      <c r="J257" s="4">
        <v>30</v>
      </c>
      <c r="K257" s="3">
        <v>10</v>
      </c>
      <c r="L257" s="1">
        <f t="shared" si="9"/>
        <v>1118.4179999999999</v>
      </c>
      <c r="M257" t="str" cm="1">
        <f t="array" ref="M257">_xlfn.IFS(B257&lt;18,"Under 18",B257 &lt;=25,"18-25",B257&lt;=35,"26-35",B257&lt;=45,"36-45",B257&lt;=60,"46-60",TRUE,"60+")</f>
        <v>60+</v>
      </c>
      <c r="N257" t="str">
        <f t="shared" si="10"/>
        <v>Discounted</v>
      </c>
      <c r="O257" t="str">
        <f t="shared" si="11"/>
        <v>Returning</v>
      </c>
    </row>
    <row r="258" spans="1:15" x14ac:dyDescent="0.25">
      <c r="A258">
        <v>257</v>
      </c>
      <c r="B258">
        <v>48</v>
      </c>
      <c r="C258" t="s">
        <v>16</v>
      </c>
      <c r="D258" t="s">
        <v>17</v>
      </c>
      <c r="E258" t="s">
        <v>35</v>
      </c>
      <c r="F258" s="1">
        <v>179.87</v>
      </c>
      <c r="G258" t="s">
        <v>31</v>
      </c>
      <c r="H258" t="s">
        <v>15</v>
      </c>
      <c r="I258" s="2">
        <v>3.7</v>
      </c>
      <c r="J258" s="4">
        <v>17</v>
      </c>
      <c r="K258" s="3">
        <v>6</v>
      </c>
      <c r="L258" s="1">
        <f t="shared" si="9"/>
        <v>149.2921</v>
      </c>
      <c r="M258" t="str" cm="1">
        <f t="array" ref="M258">_xlfn.IFS(B258&lt;18,"Under 18",B258 &lt;=25,"18-25",B258&lt;=35,"26-35",B258&lt;=45,"36-45",B258&lt;=60,"46-60",TRUE,"60+")</f>
        <v>46-60</v>
      </c>
      <c r="N258" t="str">
        <f t="shared" si="10"/>
        <v>Discounted</v>
      </c>
      <c r="O258" t="str">
        <f t="shared" si="11"/>
        <v>Returning</v>
      </c>
    </row>
    <row r="259" spans="1:15" x14ac:dyDescent="0.25">
      <c r="A259">
        <v>258</v>
      </c>
      <c r="B259">
        <v>38</v>
      </c>
      <c r="C259" t="s">
        <v>11</v>
      </c>
      <c r="D259" t="s">
        <v>12</v>
      </c>
      <c r="E259" t="s">
        <v>50</v>
      </c>
      <c r="F259" s="1">
        <v>22.14</v>
      </c>
      <c r="G259" t="s">
        <v>14</v>
      </c>
      <c r="H259" t="s">
        <v>37</v>
      </c>
      <c r="I259" s="2">
        <v>4.7</v>
      </c>
      <c r="J259" s="4">
        <v>9</v>
      </c>
      <c r="K259" s="3">
        <v>2</v>
      </c>
      <c r="L259" s="1">
        <f t="shared" ref="L259:L322" si="12">F259 * (1 - J259 / 100)</f>
        <v>20.147400000000001</v>
      </c>
      <c r="M259" t="str" cm="1">
        <f t="array" ref="M259">_xlfn.IFS(B259&lt;18,"Under 18",B259 &lt;=25,"18-25",B259&lt;=35,"26-35",B259&lt;=45,"36-45",B259&lt;=60,"46-60",TRUE,"60+")</f>
        <v>36-45</v>
      </c>
      <c r="N259" t="str">
        <f t="shared" ref="N259:N322" si="13">IF(J259&gt;0,"Discounted","No Discount")</f>
        <v>Discounted</v>
      </c>
      <c r="O259" t="str">
        <f t="shared" ref="O259:O322" si="14">IF(K259&gt;0,"Returning","New")</f>
        <v>Returning</v>
      </c>
    </row>
    <row r="260" spans="1:15" x14ac:dyDescent="0.25">
      <c r="A260">
        <v>259</v>
      </c>
      <c r="B260">
        <v>41</v>
      </c>
      <c r="C260" t="s">
        <v>11</v>
      </c>
      <c r="D260" t="s">
        <v>29</v>
      </c>
      <c r="E260" t="s">
        <v>30</v>
      </c>
      <c r="F260" s="1">
        <v>28.65</v>
      </c>
      <c r="G260" t="s">
        <v>31</v>
      </c>
      <c r="H260" t="s">
        <v>15</v>
      </c>
      <c r="I260" s="2">
        <v>2.2999999999999998</v>
      </c>
      <c r="J260" s="4">
        <v>8</v>
      </c>
      <c r="K260" s="3">
        <v>4</v>
      </c>
      <c r="L260" s="1">
        <f t="shared" si="12"/>
        <v>26.358000000000001</v>
      </c>
      <c r="M260" t="str" cm="1">
        <f t="array" ref="M260">_xlfn.IFS(B260&lt;18,"Under 18",B260 &lt;=25,"18-25",B260&lt;=35,"26-35",B260&lt;=45,"36-45",B260&lt;=60,"46-60",TRUE,"60+")</f>
        <v>36-45</v>
      </c>
      <c r="N260" t="str">
        <f t="shared" si="13"/>
        <v>Discounted</v>
      </c>
      <c r="O260" t="str">
        <f t="shared" si="14"/>
        <v>Returning</v>
      </c>
    </row>
    <row r="261" spans="1:15" x14ac:dyDescent="0.25">
      <c r="A261">
        <v>260</v>
      </c>
      <c r="B261">
        <v>33</v>
      </c>
      <c r="C261" t="s">
        <v>11</v>
      </c>
      <c r="D261" t="s">
        <v>12</v>
      </c>
      <c r="E261" t="s">
        <v>56</v>
      </c>
      <c r="F261" s="1">
        <v>79.92</v>
      </c>
      <c r="G261" t="s">
        <v>31</v>
      </c>
      <c r="H261" t="s">
        <v>37</v>
      </c>
      <c r="I261" s="2">
        <v>4.2</v>
      </c>
      <c r="J261" s="4">
        <v>14</v>
      </c>
      <c r="K261" s="3">
        <v>2</v>
      </c>
      <c r="L261" s="1">
        <f t="shared" si="12"/>
        <v>68.731200000000001</v>
      </c>
      <c r="M261" t="str" cm="1">
        <f t="array" ref="M261">_xlfn.IFS(B261&lt;18,"Under 18",B261 &lt;=25,"18-25",B261&lt;=35,"26-35",B261&lt;=45,"36-45",B261&lt;=60,"46-60",TRUE,"60+")</f>
        <v>26-35</v>
      </c>
      <c r="N261" t="str">
        <f t="shared" si="13"/>
        <v>Discounted</v>
      </c>
      <c r="O261" t="str">
        <f t="shared" si="14"/>
        <v>Returning</v>
      </c>
    </row>
    <row r="262" spans="1:15" x14ac:dyDescent="0.25">
      <c r="A262">
        <v>261</v>
      </c>
      <c r="B262">
        <v>21</v>
      </c>
      <c r="C262" t="s">
        <v>11</v>
      </c>
      <c r="D262" t="s">
        <v>29</v>
      </c>
      <c r="E262" t="s">
        <v>30</v>
      </c>
      <c r="F262" s="1">
        <v>124.58</v>
      </c>
      <c r="G262" t="s">
        <v>31</v>
      </c>
      <c r="H262" t="s">
        <v>15</v>
      </c>
      <c r="I262" s="2">
        <v>4.3</v>
      </c>
      <c r="J262" s="4">
        <v>19</v>
      </c>
      <c r="K262" s="3">
        <v>7</v>
      </c>
      <c r="L262" s="1">
        <f t="shared" si="12"/>
        <v>100.9098</v>
      </c>
      <c r="M262" t="str" cm="1">
        <f t="array" ref="M262">_xlfn.IFS(B262&lt;18,"Under 18",B262 &lt;=25,"18-25",B262&lt;=35,"26-35",B262&lt;=45,"36-45",B262&lt;=60,"46-60",TRUE,"60+")</f>
        <v>18-25</v>
      </c>
      <c r="N262" t="str">
        <f t="shared" si="13"/>
        <v>Discounted</v>
      </c>
      <c r="O262" t="str">
        <f t="shared" si="14"/>
        <v>Returning</v>
      </c>
    </row>
    <row r="263" spans="1:15" x14ac:dyDescent="0.25">
      <c r="A263">
        <v>262</v>
      </c>
      <c r="B263">
        <v>26</v>
      </c>
      <c r="C263" t="s">
        <v>11</v>
      </c>
      <c r="D263" t="s">
        <v>22</v>
      </c>
      <c r="E263" t="s">
        <v>43</v>
      </c>
      <c r="F263" s="1">
        <v>72.84</v>
      </c>
      <c r="G263" t="s">
        <v>31</v>
      </c>
      <c r="H263" t="s">
        <v>15</v>
      </c>
      <c r="I263" s="2">
        <v>3.1</v>
      </c>
      <c r="J263" s="4">
        <v>14</v>
      </c>
      <c r="K263" s="3">
        <v>7</v>
      </c>
      <c r="L263" s="1">
        <f t="shared" si="12"/>
        <v>62.642400000000002</v>
      </c>
      <c r="M263" t="str" cm="1">
        <f t="array" ref="M263">_xlfn.IFS(B263&lt;18,"Under 18",B263 &lt;=25,"18-25",B263&lt;=35,"26-35",B263&lt;=45,"36-45",B263&lt;=60,"46-60",TRUE,"60+")</f>
        <v>26-35</v>
      </c>
      <c r="N263" t="str">
        <f t="shared" si="13"/>
        <v>Discounted</v>
      </c>
      <c r="O263" t="str">
        <f t="shared" si="14"/>
        <v>Returning</v>
      </c>
    </row>
    <row r="264" spans="1:15" x14ac:dyDescent="0.25">
      <c r="A264">
        <v>263</v>
      </c>
      <c r="B264">
        <v>35</v>
      </c>
      <c r="C264" t="s">
        <v>11</v>
      </c>
      <c r="D264" t="s">
        <v>29</v>
      </c>
      <c r="E264" t="s">
        <v>55</v>
      </c>
      <c r="F264" s="1">
        <v>47.94</v>
      </c>
      <c r="G264" t="s">
        <v>19</v>
      </c>
      <c r="H264" t="s">
        <v>15</v>
      </c>
      <c r="I264" s="2">
        <v>3.6</v>
      </c>
      <c r="J264" s="4">
        <v>13</v>
      </c>
      <c r="K264" s="3">
        <v>4</v>
      </c>
      <c r="L264" s="1">
        <f t="shared" si="12"/>
        <v>41.707799999999999</v>
      </c>
      <c r="M264" t="str" cm="1">
        <f t="array" ref="M264">_xlfn.IFS(B264&lt;18,"Under 18",B264 &lt;=25,"18-25",B264&lt;=35,"26-35",B264&lt;=45,"36-45",B264&lt;=60,"46-60",TRUE,"60+")</f>
        <v>26-35</v>
      </c>
      <c r="N264" t="str">
        <f t="shared" si="13"/>
        <v>Discounted</v>
      </c>
      <c r="O264" t="str">
        <f t="shared" si="14"/>
        <v>Returning</v>
      </c>
    </row>
    <row r="265" spans="1:15" x14ac:dyDescent="0.25">
      <c r="A265">
        <v>264</v>
      </c>
      <c r="B265">
        <v>51</v>
      </c>
      <c r="C265" t="s">
        <v>16</v>
      </c>
      <c r="D265" t="s">
        <v>17</v>
      </c>
      <c r="E265" t="s">
        <v>18</v>
      </c>
      <c r="F265" s="1">
        <v>74.89</v>
      </c>
      <c r="G265" t="s">
        <v>19</v>
      </c>
      <c r="H265" t="s">
        <v>37</v>
      </c>
      <c r="I265" s="2">
        <v>3.2</v>
      </c>
      <c r="J265" s="4">
        <v>22</v>
      </c>
      <c r="K265" s="3">
        <v>6</v>
      </c>
      <c r="L265" s="1">
        <f t="shared" si="12"/>
        <v>58.414200000000001</v>
      </c>
      <c r="M265" t="str" cm="1">
        <f t="array" ref="M265">_xlfn.IFS(B265&lt;18,"Under 18",B265 &lt;=25,"18-25",B265&lt;=35,"26-35",B265&lt;=45,"36-45",B265&lt;=60,"46-60",TRUE,"60+")</f>
        <v>46-60</v>
      </c>
      <c r="N265" t="str">
        <f t="shared" si="13"/>
        <v>Discounted</v>
      </c>
      <c r="O265" t="str">
        <f t="shared" si="14"/>
        <v>Returning</v>
      </c>
    </row>
    <row r="266" spans="1:15" x14ac:dyDescent="0.25">
      <c r="A266">
        <v>265</v>
      </c>
      <c r="B266">
        <v>58</v>
      </c>
      <c r="C266" t="s">
        <v>16</v>
      </c>
      <c r="D266" t="s">
        <v>20</v>
      </c>
      <c r="E266" t="s">
        <v>39</v>
      </c>
      <c r="F266" s="1">
        <v>246.24</v>
      </c>
      <c r="G266" t="s">
        <v>24</v>
      </c>
      <c r="H266" t="s">
        <v>15</v>
      </c>
      <c r="I266" s="2">
        <v>3.5</v>
      </c>
      <c r="J266" s="4">
        <v>12</v>
      </c>
      <c r="K266" s="3">
        <v>6</v>
      </c>
      <c r="L266" s="1">
        <f t="shared" si="12"/>
        <v>216.69120000000001</v>
      </c>
      <c r="M266" t="str" cm="1">
        <f t="array" ref="M266">_xlfn.IFS(B266&lt;18,"Under 18",B266 &lt;=25,"18-25",B266&lt;=35,"26-35",B266&lt;=45,"36-45",B266&lt;=60,"46-60",TRUE,"60+")</f>
        <v>46-60</v>
      </c>
      <c r="N266" t="str">
        <f t="shared" si="13"/>
        <v>Discounted</v>
      </c>
      <c r="O266" t="str">
        <f t="shared" si="14"/>
        <v>Returning</v>
      </c>
    </row>
    <row r="267" spans="1:15" x14ac:dyDescent="0.25">
      <c r="A267">
        <v>266</v>
      </c>
      <c r="B267">
        <v>65</v>
      </c>
      <c r="C267" t="s">
        <v>11</v>
      </c>
      <c r="D267" t="s">
        <v>29</v>
      </c>
      <c r="E267" t="s">
        <v>51</v>
      </c>
      <c r="F267" s="1">
        <v>135.46</v>
      </c>
      <c r="G267" t="s">
        <v>14</v>
      </c>
      <c r="H267" t="s">
        <v>15</v>
      </c>
      <c r="I267" s="2">
        <v>4.3</v>
      </c>
      <c r="J267" s="4">
        <v>24</v>
      </c>
      <c r="K267" s="3">
        <v>7</v>
      </c>
      <c r="L267" s="1">
        <f t="shared" si="12"/>
        <v>102.9496</v>
      </c>
      <c r="M267" t="str" cm="1">
        <f t="array" ref="M267">_xlfn.IFS(B267&lt;18,"Under 18",B267 &lt;=25,"18-25",B267&lt;=35,"26-35",B267&lt;=45,"36-45",B267&lt;=60,"46-60",TRUE,"60+")</f>
        <v>60+</v>
      </c>
      <c r="N267" t="str">
        <f t="shared" si="13"/>
        <v>Discounted</v>
      </c>
      <c r="O267" t="str">
        <f t="shared" si="14"/>
        <v>Returning</v>
      </c>
    </row>
    <row r="268" spans="1:15" x14ac:dyDescent="0.25">
      <c r="A268">
        <v>267</v>
      </c>
      <c r="B268">
        <v>31</v>
      </c>
      <c r="C268" t="s">
        <v>16</v>
      </c>
      <c r="D268" t="s">
        <v>33</v>
      </c>
      <c r="E268" t="s">
        <v>40</v>
      </c>
      <c r="F268" s="1">
        <v>220.18</v>
      </c>
      <c r="G268" t="s">
        <v>19</v>
      </c>
      <c r="H268" t="s">
        <v>15</v>
      </c>
      <c r="I268" s="2">
        <v>3.4</v>
      </c>
      <c r="J268" s="4">
        <v>6</v>
      </c>
      <c r="K268" s="3">
        <v>3</v>
      </c>
      <c r="L268" s="1">
        <f t="shared" si="12"/>
        <v>206.9692</v>
      </c>
      <c r="M268" t="str" cm="1">
        <f t="array" ref="M268">_xlfn.IFS(B268&lt;18,"Under 18",B268 &lt;=25,"18-25",B268&lt;=35,"26-35",B268&lt;=45,"36-45",B268&lt;=60,"46-60",TRUE,"60+")</f>
        <v>26-35</v>
      </c>
      <c r="N268" t="str">
        <f t="shared" si="13"/>
        <v>Discounted</v>
      </c>
      <c r="O268" t="str">
        <f t="shared" si="14"/>
        <v>Returning</v>
      </c>
    </row>
    <row r="269" spans="1:15" x14ac:dyDescent="0.25">
      <c r="A269">
        <v>268</v>
      </c>
      <c r="B269">
        <v>67</v>
      </c>
      <c r="C269" t="s">
        <v>16</v>
      </c>
      <c r="D269" t="s">
        <v>17</v>
      </c>
      <c r="E269" t="s">
        <v>48</v>
      </c>
      <c r="F269" s="1">
        <v>159.94</v>
      </c>
      <c r="G269" t="s">
        <v>24</v>
      </c>
      <c r="H269" t="s">
        <v>15</v>
      </c>
      <c r="I269" s="2">
        <v>4.5</v>
      </c>
      <c r="J269" s="4">
        <v>10</v>
      </c>
      <c r="K269" s="3">
        <v>5</v>
      </c>
      <c r="L269" s="1">
        <f t="shared" si="12"/>
        <v>143.946</v>
      </c>
      <c r="M269" t="str" cm="1">
        <f t="array" ref="M269">_xlfn.IFS(B269&lt;18,"Under 18",B269 &lt;=25,"18-25",B269&lt;=35,"26-35",B269&lt;=45,"36-45",B269&lt;=60,"46-60",TRUE,"60+")</f>
        <v>60+</v>
      </c>
      <c r="N269" t="str">
        <f t="shared" si="13"/>
        <v>Discounted</v>
      </c>
      <c r="O269" t="str">
        <f t="shared" si="14"/>
        <v>Returning</v>
      </c>
    </row>
    <row r="270" spans="1:15" x14ac:dyDescent="0.25">
      <c r="A270">
        <v>269</v>
      </c>
      <c r="B270">
        <v>29</v>
      </c>
      <c r="C270" t="s">
        <v>16</v>
      </c>
      <c r="D270" t="s">
        <v>27</v>
      </c>
      <c r="E270" t="s">
        <v>49</v>
      </c>
      <c r="F270" s="1">
        <v>2391.83</v>
      </c>
      <c r="G270" t="s">
        <v>24</v>
      </c>
      <c r="H270" t="s">
        <v>15</v>
      </c>
      <c r="I270" s="2">
        <v>3.4</v>
      </c>
      <c r="J270" s="4">
        <v>14</v>
      </c>
      <c r="K270" s="3">
        <v>7</v>
      </c>
      <c r="L270" s="1">
        <f t="shared" si="12"/>
        <v>2056.9737999999998</v>
      </c>
      <c r="M270" t="str" cm="1">
        <f t="array" ref="M270">_xlfn.IFS(B270&lt;18,"Under 18",B270 &lt;=25,"18-25",B270&lt;=35,"26-35",B270&lt;=45,"36-45",B270&lt;=60,"46-60",TRUE,"60+")</f>
        <v>26-35</v>
      </c>
      <c r="N270" t="str">
        <f t="shared" si="13"/>
        <v>Discounted</v>
      </c>
      <c r="O270" t="str">
        <f t="shared" si="14"/>
        <v>Returning</v>
      </c>
    </row>
    <row r="271" spans="1:15" x14ac:dyDescent="0.25">
      <c r="A271">
        <v>270</v>
      </c>
      <c r="B271">
        <v>31</v>
      </c>
      <c r="C271" t="s">
        <v>11</v>
      </c>
      <c r="D271" t="s">
        <v>29</v>
      </c>
      <c r="E271" t="s">
        <v>51</v>
      </c>
      <c r="F271" s="1">
        <v>112.96</v>
      </c>
      <c r="G271" t="s">
        <v>14</v>
      </c>
      <c r="H271" t="s">
        <v>15</v>
      </c>
      <c r="I271" s="2">
        <v>5</v>
      </c>
      <c r="J271" s="4">
        <v>13</v>
      </c>
      <c r="K271" s="3">
        <v>4</v>
      </c>
      <c r="L271" s="1">
        <f t="shared" si="12"/>
        <v>98.275199999999998</v>
      </c>
      <c r="M271" t="str" cm="1">
        <f t="array" ref="M271">_xlfn.IFS(B271&lt;18,"Under 18",B271 &lt;=25,"18-25",B271&lt;=35,"26-35",B271&lt;=45,"36-45",B271&lt;=60,"46-60",TRUE,"60+")</f>
        <v>26-35</v>
      </c>
      <c r="N271" t="str">
        <f t="shared" si="13"/>
        <v>Discounted</v>
      </c>
      <c r="O271" t="str">
        <f t="shared" si="14"/>
        <v>Returning</v>
      </c>
    </row>
    <row r="272" spans="1:15" x14ac:dyDescent="0.25">
      <c r="A272">
        <v>271</v>
      </c>
      <c r="B272">
        <v>42</v>
      </c>
      <c r="C272" t="s">
        <v>16</v>
      </c>
      <c r="D272" t="s">
        <v>25</v>
      </c>
      <c r="E272" t="s">
        <v>26</v>
      </c>
      <c r="F272" s="1">
        <v>56.82</v>
      </c>
      <c r="G272" t="s">
        <v>19</v>
      </c>
      <c r="H272" t="s">
        <v>15</v>
      </c>
      <c r="I272" s="2">
        <v>5</v>
      </c>
      <c r="J272" s="4">
        <v>17</v>
      </c>
      <c r="K272" s="3">
        <v>6</v>
      </c>
      <c r="L272" s="1">
        <f t="shared" si="12"/>
        <v>47.160599999999995</v>
      </c>
      <c r="M272" t="str" cm="1">
        <f t="array" ref="M272">_xlfn.IFS(B272&lt;18,"Under 18",B272 &lt;=25,"18-25",B272&lt;=35,"26-35",B272&lt;=45,"36-45",B272&lt;=60,"46-60",TRUE,"60+")</f>
        <v>36-45</v>
      </c>
      <c r="N272" t="str">
        <f t="shared" si="13"/>
        <v>Discounted</v>
      </c>
      <c r="O272" t="str">
        <f t="shared" si="14"/>
        <v>Returning</v>
      </c>
    </row>
    <row r="273" spans="1:15" x14ac:dyDescent="0.25">
      <c r="A273">
        <v>272</v>
      </c>
      <c r="B273">
        <v>33</v>
      </c>
      <c r="C273" t="s">
        <v>11</v>
      </c>
      <c r="D273" t="s">
        <v>25</v>
      </c>
      <c r="E273" t="s">
        <v>26</v>
      </c>
      <c r="F273" s="1">
        <v>17.86</v>
      </c>
      <c r="G273" t="s">
        <v>14</v>
      </c>
      <c r="H273" t="s">
        <v>37</v>
      </c>
      <c r="I273" s="2">
        <v>3.7</v>
      </c>
      <c r="J273" s="4">
        <v>30</v>
      </c>
      <c r="K273" s="3">
        <v>10</v>
      </c>
      <c r="L273" s="1">
        <f t="shared" si="12"/>
        <v>12.501999999999999</v>
      </c>
      <c r="M273" t="str" cm="1">
        <f t="array" ref="M273">_xlfn.IFS(B273&lt;18,"Under 18",B273 &lt;=25,"18-25",B273&lt;=35,"26-35",B273&lt;=45,"36-45",B273&lt;=60,"46-60",TRUE,"60+")</f>
        <v>26-35</v>
      </c>
      <c r="N273" t="str">
        <f t="shared" si="13"/>
        <v>Discounted</v>
      </c>
      <c r="O273" t="str">
        <f t="shared" si="14"/>
        <v>Returning</v>
      </c>
    </row>
    <row r="274" spans="1:15" x14ac:dyDescent="0.25">
      <c r="A274">
        <v>273</v>
      </c>
      <c r="B274">
        <v>59</v>
      </c>
      <c r="C274" t="s">
        <v>16</v>
      </c>
      <c r="D274" t="s">
        <v>25</v>
      </c>
      <c r="E274" t="s">
        <v>57</v>
      </c>
      <c r="F274" s="1">
        <v>22.31</v>
      </c>
      <c r="G274" t="s">
        <v>19</v>
      </c>
      <c r="H274" t="s">
        <v>15</v>
      </c>
      <c r="I274" s="2">
        <v>3.9</v>
      </c>
      <c r="J274" s="4">
        <v>28</v>
      </c>
      <c r="K274" s="3">
        <v>9</v>
      </c>
      <c r="L274" s="1">
        <f t="shared" si="12"/>
        <v>16.063199999999998</v>
      </c>
      <c r="M274" t="str" cm="1">
        <f t="array" ref="M274">_xlfn.IFS(B274&lt;18,"Under 18",B274 &lt;=25,"18-25",B274&lt;=35,"26-35",B274&lt;=45,"36-45",B274&lt;=60,"46-60",TRUE,"60+")</f>
        <v>46-60</v>
      </c>
      <c r="N274" t="str">
        <f t="shared" si="13"/>
        <v>Discounted</v>
      </c>
      <c r="O274" t="str">
        <f t="shared" si="14"/>
        <v>Returning</v>
      </c>
    </row>
    <row r="275" spans="1:15" x14ac:dyDescent="0.25">
      <c r="A275">
        <v>274</v>
      </c>
      <c r="B275">
        <v>36</v>
      </c>
      <c r="C275" t="s">
        <v>16</v>
      </c>
      <c r="D275" t="s">
        <v>27</v>
      </c>
      <c r="E275" t="s">
        <v>32</v>
      </c>
      <c r="F275" s="1">
        <v>2851.93</v>
      </c>
      <c r="G275" t="s">
        <v>14</v>
      </c>
      <c r="H275" t="s">
        <v>15</v>
      </c>
      <c r="I275" s="2">
        <v>3.4</v>
      </c>
      <c r="J275" s="4">
        <v>8</v>
      </c>
      <c r="K275" s="3">
        <v>4</v>
      </c>
      <c r="L275" s="1">
        <f t="shared" si="12"/>
        <v>2623.7755999999999</v>
      </c>
      <c r="M275" t="str" cm="1">
        <f t="array" ref="M275">_xlfn.IFS(B275&lt;18,"Under 18",B275 &lt;=25,"18-25",B275&lt;=35,"26-35",B275&lt;=45,"36-45",B275&lt;=60,"46-60",TRUE,"60+")</f>
        <v>36-45</v>
      </c>
      <c r="N275" t="str">
        <f t="shared" si="13"/>
        <v>Discounted</v>
      </c>
      <c r="O275" t="str">
        <f t="shared" si="14"/>
        <v>Returning</v>
      </c>
    </row>
    <row r="276" spans="1:15" x14ac:dyDescent="0.25">
      <c r="A276">
        <v>275</v>
      </c>
      <c r="B276">
        <v>61</v>
      </c>
      <c r="C276" t="s">
        <v>11</v>
      </c>
      <c r="D276" t="s">
        <v>41</v>
      </c>
      <c r="E276" t="s">
        <v>44</v>
      </c>
      <c r="F276" s="1">
        <v>164.2</v>
      </c>
      <c r="G276" t="s">
        <v>14</v>
      </c>
      <c r="H276" t="s">
        <v>15</v>
      </c>
      <c r="I276" s="2">
        <v>3.6</v>
      </c>
      <c r="J276" s="4">
        <v>11</v>
      </c>
      <c r="K276" s="3">
        <v>3</v>
      </c>
      <c r="L276" s="1">
        <f t="shared" si="12"/>
        <v>146.13800000000001</v>
      </c>
      <c r="M276" t="str" cm="1">
        <f t="array" ref="M276">_xlfn.IFS(B276&lt;18,"Under 18",B276 &lt;=25,"18-25",B276&lt;=35,"26-35",B276&lt;=45,"36-45",B276&lt;=60,"46-60",TRUE,"60+")</f>
        <v>60+</v>
      </c>
      <c r="N276" t="str">
        <f t="shared" si="13"/>
        <v>Discounted</v>
      </c>
      <c r="O276" t="str">
        <f t="shared" si="14"/>
        <v>Returning</v>
      </c>
    </row>
    <row r="277" spans="1:15" x14ac:dyDescent="0.25">
      <c r="A277">
        <v>276</v>
      </c>
      <c r="B277">
        <v>22</v>
      </c>
      <c r="C277" t="s">
        <v>16</v>
      </c>
      <c r="D277" t="s">
        <v>20</v>
      </c>
      <c r="E277" t="s">
        <v>39</v>
      </c>
      <c r="F277" s="1">
        <v>204.62</v>
      </c>
      <c r="G277" t="s">
        <v>14</v>
      </c>
      <c r="H277" t="s">
        <v>15</v>
      </c>
      <c r="I277" s="2">
        <v>3.3</v>
      </c>
      <c r="J277" s="4">
        <v>16</v>
      </c>
      <c r="K277" s="3">
        <v>3</v>
      </c>
      <c r="L277" s="1">
        <f t="shared" si="12"/>
        <v>171.88079999999999</v>
      </c>
      <c r="M277" t="str" cm="1">
        <f t="array" ref="M277">_xlfn.IFS(B277&lt;18,"Under 18",B277 &lt;=25,"18-25",B277&lt;=35,"26-35",B277&lt;=45,"36-45",B277&lt;=60,"46-60",TRUE,"60+")</f>
        <v>18-25</v>
      </c>
      <c r="N277" t="str">
        <f t="shared" si="13"/>
        <v>Discounted</v>
      </c>
      <c r="O277" t="str">
        <f t="shared" si="14"/>
        <v>Returning</v>
      </c>
    </row>
    <row r="278" spans="1:15" x14ac:dyDescent="0.25">
      <c r="A278">
        <v>277</v>
      </c>
      <c r="B278">
        <v>68</v>
      </c>
      <c r="C278" t="s">
        <v>11</v>
      </c>
      <c r="D278" t="s">
        <v>33</v>
      </c>
      <c r="E278" t="s">
        <v>40</v>
      </c>
      <c r="F278" s="1">
        <v>75.72</v>
      </c>
      <c r="G278" t="s">
        <v>19</v>
      </c>
      <c r="H278" t="s">
        <v>37</v>
      </c>
      <c r="I278" s="2">
        <v>4.3</v>
      </c>
      <c r="J278" s="4">
        <v>20</v>
      </c>
      <c r="K278" s="3">
        <v>5</v>
      </c>
      <c r="L278" s="1">
        <f t="shared" si="12"/>
        <v>60.576000000000001</v>
      </c>
      <c r="M278" t="str" cm="1">
        <f t="array" ref="M278">_xlfn.IFS(B278&lt;18,"Under 18",B278 &lt;=25,"18-25",B278&lt;=35,"26-35",B278&lt;=45,"36-45",B278&lt;=60,"46-60",TRUE,"60+")</f>
        <v>60+</v>
      </c>
      <c r="N278" t="str">
        <f t="shared" si="13"/>
        <v>Discounted</v>
      </c>
      <c r="O278" t="str">
        <f t="shared" si="14"/>
        <v>Returning</v>
      </c>
    </row>
    <row r="279" spans="1:15" x14ac:dyDescent="0.25">
      <c r="A279">
        <v>278</v>
      </c>
      <c r="B279">
        <v>24</v>
      </c>
      <c r="C279" t="s">
        <v>11</v>
      </c>
      <c r="D279" t="s">
        <v>33</v>
      </c>
      <c r="E279" t="s">
        <v>34</v>
      </c>
      <c r="F279" s="1">
        <v>105.45</v>
      </c>
      <c r="G279" t="s">
        <v>31</v>
      </c>
      <c r="H279" t="s">
        <v>15</v>
      </c>
      <c r="I279" s="2">
        <v>2.2999999999999998</v>
      </c>
      <c r="J279" s="4">
        <v>5</v>
      </c>
      <c r="K279" s="3">
        <v>0</v>
      </c>
      <c r="L279" s="1">
        <f t="shared" si="12"/>
        <v>100.17749999999999</v>
      </c>
      <c r="M279" t="str" cm="1">
        <f t="array" ref="M279">_xlfn.IFS(B279&lt;18,"Under 18",B279 &lt;=25,"18-25",B279&lt;=35,"26-35",B279&lt;=45,"36-45",B279&lt;=60,"46-60",TRUE,"60+")</f>
        <v>18-25</v>
      </c>
      <c r="N279" t="str">
        <f t="shared" si="13"/>
        <v>Discounted</v>
      </c>
      <c r="O279" t="str">
        <f t="shared" si="14"/>
        <v>New</v>
      </c>
    </row>
    <row r="280" spans="1:15" x14ac:dyDescent="0.25">
      <c r="A280">
        <v>279</v>
      </c>
      <c r="B280">
        <v>36</v>
      </c>
      <c r="C280" t="s">
        <v>16</v>
      </c>
      <c r="D280" t="s">
        <v>33</v>
      </c>
      <c r="E280" t="s">
        <v>34</v>
      </c>
      <c r="F280" s="1">
        <v>212.7</v>
      </c>
      <c r="G280" t="s">
        <v>14</v>
      </c>
      <c r="H280" t="s">
        <v>15</v>
      </c>
      <c r="I280" s="2">
        <v>4</v>
      </c>
      <c r="J280" s="4">
        <v>18</v>
      </c>
      <c r="K280" s="3">
        <v>4</v>
      </c>
      <c r="L280" s="1">
        <f t="shared" si="12"/>
        <v>174.41400000000002</v>
      </c>
      <c r="M280" t="str" cm="1">
        <f t="array" ref="M280">_xlfn.IFS(B280&lt;18,"Under 18",B280 &lt;=25,"18-25",B280&lt;=35,"26-35",B280&lt;=45,"36-45",B280&lt;=60,"46-60",TRUE,"60+")</f>
        <v>36-45</v>
      </c>
      <c r="N280" t="str">
        <f t="shared" si="13"/>
        <v>Discounted</v>
      </c>
      <c r="O280" t="str">
        <f t="shared" si="14"/>
        <v>Returning</v>
      </c>
    </row>
    <row r="281" spans="1:15" x14ac:dyDescent="0.25">
      <c r="A281">
        <v>280</v>
      </c>
      <c r="B281">
        <v>28</v>
      </c>
      <c r="C281" t="s">
        <v>11</v>
      </c>
      <c r="D281" t="s">
        <v>12</v>
      </c>
      <c r="E281" t="s">
        <v>13</v>
      </c>
      <c r="F281" s="1">
        <v>98.3</v>
      </c>
      <c r="G281" t="s">
        <v>14</v>
      </c>
      <c r="H281" t="s">
        <v>15</v>
      </c>
      <c r="I281" s="2">
        <v>3.3</v>
      </c>
      <c r="J281" s="4">
        <v>24</v>
      </c>
      <c r="K281" s="3">
        <v>7</v>
      </c>
      <c r="L281" s="1">
        <f t="shared" si="12"/>
        <v>74.707999999999998</v>
      </c>
      <c r="M281" t="str" cm="1">
        <f t="array" ref="M281">_xlfn.IFS(B281&lt;18,"Under 18",B281 &lt;=25,"18-25",B281&lt;=35,"26-35",B281&lt;=45,"36-45",B281&lt;=60,"46-60",TRUE,"60+")</f>
        <v>26-35</v>
      </c>
      <c r="N281" t="str">
        <f t="shared" si="13"/>
        <v>Discounted</v>
      </c>
      <c r="O281" t="str">
        <f t="shared" si="14"/>
        <v>Returning</v>
      </c>
    </row>
    <row r="282" spans="1:15" x14ac:dyDescent="0.25">
      <c r="A282">
        <v>281</v>
      </c>
      <c r="B282">
        <v>59</v>
      </c>
      <c r="C282" t="s">
        <v>16</v>
      </c>
      <c r="D282" t="s">
        <v>27</v>
      </c>
      <c r="E282" t="s">
        <v>49</v>
      </c>
      <c r="F282" s="1">
        <v>1775.37</v>
      </c>
      <c r="G282" t="s">
        <v>24</v>
      </c>
      <c r="H282" t="s">
        <v>15</v>
      </c>
      <c r="I282" s="2">
        <v>3.2</v>
      </c>
      <c r="J282" s="4">
        <v>16</v>
      </c>
      <c r="K282" s="3">
        <v>8</v>
      </c>
      <c r="L282" s="1">
        <f t="shared" si="12"/>
        <v>1491.3107999999997</v>
      </c>
      <c r="M282" t="str" cm="1">
        <f t="array" ref="M282">_xlfn.IFS(B282&lt;18,"Under 18",B282 &lt;=25,"18-25",B282&lt;=35,"26-35",B282&lt;=45,"36-45",B282&lt;=60,"46-60",TRUE,"60+")</f>
        <v>46-60</v>
      </c>
      <c r="N282" t="str">
        <f t="shared" si="13"/>
        <v>Discounted</v>
      </c>
      <c r="O282" t="str">
        <f t="shared" si="14"/>
        <v>Returning</v>
      </c>
    </row>
    <row r="283" spans="1:15" x14ac:dyDescent="0.25">
      <c r="A283">
        <v>282</v>
      </c>
      <c r="B283">
        <v>53</v>
      </c>
      <c r="C283" t="s">
        <v>11</v>
      </c>
      <c r="D283" t="s">
        <v>29</v>
      </c>
      <c r="E283" t="s">
        <v>51</v>
      </c>
      <c r="F283" s="1">
        <v>146.09</v>
      </c>
      <c r="G283" t="s">
        <v>31</v>
      </c>
      <c r="H283" t="s">
        <v>15</v>
      </c>
      <c r="I283" s="2">
        <v>3.2</v>
      </c>
      <c r="J283" s="4">
        <v>10</v>
      </c>
      <c r="K283" s="3">
        <v>5</v>
      </c>
      <c r="L283" s="1">
        <f t="shared" si="12"/>
        <v>131.48099999999999</v>
      </c>
      <c r="M283" t="str" cm="1">
        <f t="array" ref="M283">_xlfn.IFS(B283&lt;18,"Under 18",B283 &lt;=25,"18-25",B283&lt;=35,"26-35",B283&lt;=45,"36-45",B283&lt;=60,"46-60",TRUE,"60+")</f>
        <v>46-60</v>
      </c>
      <c r="N283" t="str">
        <f t="shared" si="13"/>
        <v>Discounted</v>
      </c>
      <c r="O283" t="str">
        <f t="shared" si="14"/>
        <v>Returning</v>
      </c>
    </row>
    <row r="284" spans="1:15" x14ac:dyDescent="0.25">
      <c r="A284">
        <v>283</v>
      </c>
      <c r="B284">
        <v>50</v>
      </c>
      <c r="C284" t="s">
        <v>16</v>
      </c>
      <c r="D284" t="s">
        <v>17</v>
      </c>
      <c r="E284" t="s">
        <v>35</v>
      </c>
      <c r="F284" s="1">
        <v>144.37</v>
      </c>
      <c r="G284" t="s">
        <v>24</v>
      </c>
      <c r="H284" t="s">
        <v>15</v>
      </c>
      <c r="I284" s="2">
        <v>4.5999999999999996</v>
      </c>
      <c r="J284" s="4">
        <v>8</v>
      </c>
      <c r="K284" s="3">
        <v>4</v>
      </c>
      <c r="L284" s="1">
        <f t="shared" si="12"/>
        <v>132.82040000000001</v>
      </c>
      <c r="M284" t="str" cm="1">
        <f t="array" ref="M284">_xlfn.IFS(B284&lt;18,"Under 18",B284 &lt;=25,"18-25",B284&lt;=35,"26-35",B284&lt;=45,"36-45",B284&lt;=60,"46-60",TRUE,"60+")</f>
        <v>46-60</v>
      </c>
      <c r="N284" t="str">
        <f t="shared" si="13"/>
        <v>Discounted</v>
      </c>
      <c r="O284" t="str">
        <f t="shared" si="14"/>
        <v>Returning</v>
      </c>
    </row>
    <row r="285" spans="1:15" x14ac:dyDescent="0.25">
      <c r="A285">
        <v>284</v>
      </c>
      <c r="B285">
        <v>39</v>
      </c>
      <c r="C285" t="s">
        <v>11</v>
      </c>
      <c r="D285" t="s">
        <v>41</v>
      </c>
      <c r="E285" t="s">
        <v>42</v>
      </c>
      <c r="F285" s="1">
        <v>107.92</v>
      </c>
      <c r="G285" t="s">
        <v>14</v>
      </c>
      <c r="H285" t="s">
        <v>15</v>
      </c>
      <c r="I285" s="2">
        <v>4.9000000000000004</v>
      </c>
      <c r="J285" s="4">
        <v>13</v>
      </c>
      <c r="K285" s="3">
        <v>4</v>
      </c>
      <c r="L285" s="1">
        <f t="shared" si="12"/>
        <v>93.8904</v>
      </c>
      <c r="M285" t="str" cm="1">
        <f t="array" ref="M285">_xlfn.IFS(B285&lt;18,"Under 18",B285 &lt;=25,"18-25",B285&lt;=35,"26-35",B285&lt;=45,"36-45",B285&lt;=60,"46-60",TRUE,"60+")</f>
        <v>36-45</v>
      </c>
      <c r="N285" t="str">
        <f t="shared" si="13"/>
        <v>Discounted</v>
      </c>
      <c r="O285" t="str">
        <f t="shared" si="14"/>
        <v>Returning</v>
      </c>
    </row>
    <row r="286" spans="1:15" x14ac:dyDescent="0.25">
      <c r="A286">
        <v>285</v>
      </c>
      <c r="B286">
        <v>27</v>
      </c>
      <c r="C286" t="s">
        <v>16</v>
      </c>
      <c r="D286" t="s">
        <v>33</v>
      </c>
      <c r="E286" t="s">
        <v>40</v>
      </c>
      <c r="F286" s="1">
        <v>138.29</v>
      </c>
      <c r="G286" t="s">
        <v>31</v>
      </c>
      <c r="H286" t="s">
        <v>15</v>
      </c>
      <c r="I286" s="2">
        <v>3.6</v>
      </c>
      <c r="J286" s="4">
        <v>14</v>
      </c>
      <c r="K286" s="3">
        <v>7</v>
      </c>
      <c r="L286" s="1">
        <f t="shared" si="12"/>
        <v>118.92939999999999</v>
      </c>
      <c r="M286" t="str" cm="1">
        <f t="array" ref="M286">_xlfn.IFS(B286&lt;18,"Under 18",B286 &lt;=25,"18-25",B286&lt;=35,"26-35",B286&lt;=45,"36-45",B286&lt;=60,"46-60",TRUE,"60+")</f>
        <v>26-35</v>
      </c>
      <c r="N286" t="str">
        <f t="shared" si="13"/>
        <v>Discounted</v>
      </c>
      <c r="O286" t="str">
        <f t="shared" si="14"/>
        <v>Returning</v>
      </c>
    </row>
    <row r="287" spans="1:15" x14ac:dyDescent="0.25">
      <c r="A287">
        <v>286</v>
      </c>
      <c r="B287">
        <v>40</v>
      </c>
      <c r="C287" t="s">
        <v>11</v>
      </c>
      <c r="D287" t="s">
        <v>12</v>
      </c>
      <c r="E287" t="s">
        <v>13</v>
      </c>
      <c r="F287" s="1">
        <v>101.69</v>
      </c>
      <c r="G287" t="s">
        <v>24</v>
      </c>
      <c r="H287" t="s">
        <v>15</v>
      </c>
      <c r="I287" s="2">
        <v>5</v>
      </c>
      <c r="J287" s="4">
        <v>10</v>
      </c>
      <c r="K287" s="3">
        <v>5</v>
      </c>
      <c r="L287" s="1">
        <f t="shared" si="12"/>
        <v>91.521000000000001</v>
      </c>
      <c r="M287" t="str" cm="1">
        <f t="array" ref="M287">_xlfn.IFS(B287&lt;18,"Under 18",B287 &lt;=25,"18-25",B287&lt;=35,"26-35",B287&lt;=45,"36-45",B287&lt;=60,"46-60",TRUE,"60+")</f>
        <v>36-45</v>
      </c>
      <c r="N287" t="str">
        <f t="shared" si="13"/>
        <v>Discounted</v>
      </c>
      <c r="O287" t="str">
        <f t="shared" si="14"/>
        <v>Returning</v>
      </c>
    </row>
    <row r="288" spans="1:15" x14ac:dyDescent="0.25">
      <c r="A288">
        <v>287</v>
      </c>
      <c r="B288">
        <v>28</v>
      </c>
      <c r="C288" t="s">
        <v>11</v>
      </c>
      <c r="D288" t="s">
        <v>33</v>
      </c>
      <c r="E288" t="s">
        <v>38</v>
      </c>
      <c r="F288" s="1">
        <v>198.28</v>
      </c>
      <c r="G288" t="s">
        <v>14</v>
      </c>
      <c r="H288" t="s">
        <v>15</v>
      </c>
      <c r="I288" s="2">
        <v>3.6</v>
      </c>
      <c r="J288" s="4">
        <v>20</v>
      </c>
      <c r="K288" s="3">
        <v>5</v>
      </c>
      <c r="L288" s="1">
        <f t="shared" si="12"/>
        <v>158.62400000000002</v>
      </c>
      <c r="M288" t="str" cm="1">
        <f t="array" ref="M288">_xlfn.IFS(B288&lt;18,"Under 18",B288 &lt;=25,"18-25",B288&lt;=35,"26-35",B288&lt;=45,"36-45",B288&lt;=60,"46-60",TRUE,"60+")</f>
        <v>26-35</v>
      </c>
      <c r="N288" t="str">
        <f t="shared" si="13"/>
        <v>Discounted</v>
      </c>
      <c r="O288" t="str">
        <f t="shared" si="14"/>
        <v>Returning</v>
      </c>
    </row>
    <row r="289" spans="1:15" x14ac:dyDescent="0.25">
      <c r="A289">
        <v>288</v>
      </c>
      <c r="B289">
        <v>61</v>
      </c>
      <c r="C289" t="s">
        <v>11</v>
      </c>
      <c r="D289" t="s">
        <v>20</v>
      </c>
      <c r="E289" t="s">
        <v>39</v>
      </c>
      <c r="F289" s="1">
        <v>171.59</v>
      </c>
      <c r="G289" t="s">
        <v>24</v>
      </c>
      <c r="H289" t="s">
        <v>15</v>
      </c>
      <c r="I289" s="2">
        <v>3</v>
      </c>
      <c r="J289" s="4">
        <v>16</v>
      </c>
      <c r="K289" s="3">
        <v>8</v>
      </c>
      <c r="L289" s="1">
        <f t="shared" si="12"/>
        <v>144.13560000000001</v>
      </c>
      <c r="M289" t="str" cm="1">
        <f t="array" ref="M289">_xlfn.IFS(B289&lt;18,"Under 18",B289 &lt;=25,"18-25",B289&lt;=35,"26-35",B289&lt;=45,"36-45",B289&lt;=60,"46-60",TRUE,"60+")</f>
        <v>60+</v>
      </c>
      <c r="N289" t="str">
        <f t="shared" si="13"/>
        <v>Discounted</v>
      </c>
      <c r="O289" t="str">
        <f t="shared" si="14"/>
        <v>Returning</v>
      </c>
    </row>
    <row r="290" spans="1:15" x14ac:dyDescent="0.25">
      <c r="A290">
        <v>289</v>
      </c>
      <c r="B290">
        <v>54</v>
      </c>
      <c r="C290" t="s">
        <v>16</v>
      </c>
      <c r="D290" t="s">
        <v>27</v>
      </c>
      <c r="E290" t="s">
        <v>49</v>
      </c>
      <c r="F290" s="1">
        <v>2903.73</v>
      </c>
      <c r="G290" t="s">
        <v>19</v>
      </c>
      <c r="H290" t="s">
        <v>15</v>
      </c>
      <c r="I290" s="2">
        <v>3.7</v>
      </c>
      <c r="J290" s="4">
        <v>30</v>
      </c>
      <c r="K290" s="3">
        <v>10</v>
      </c>
      <c r="L290" s="1">
        <f t="shared" si="12"/>
        <v>2032.6109999999999</v>
      </c>
      <c r="M290" t="str" cm="1">
        <f t="array" ref="M290">_xlfn.IFS(B290&lt;18,"Under 18",B290 &lt;=25,"18-25",B290&lt;=35,"26-35",B290&lt;=45,"36-45",B290&lt;=60,"46-60",TRUE,"60+")</f>
        <v>46-60</v>
      </c>
      <c r="N290" t="str">
        <f t="shared" si="13"/>
        <v>Discounted</v>
      </c>
      <c r="O290" t="str">
        <f t="shared" si="14"/>
        <v>Returning</v>
      </c>
    </row>
    <row r="291" spans="1:15" x14ac:dyDescent="0.25">
      <c r="A291">
        <v>290</v>
      </c>
      <c r="B291">
        <v>51</v>
      </c>
      <c r="C291" t="s">
        <v>16</v>
      </c>
      <c r="D291" t="s">
        <v>33</v>
      </c>
      <c r="E291" t="s">
        <v>34</v>
      </c>
      <c r="F291" s="1">
        <v>206.84</v>
      </c>
      <c r="G291" t="s">
        <v>31</v>
      </c>
      <c r="H291" t="s">
        <v>15</v>
      </c>
      <c r="I291" s="2">
        <v>2.2000000000000002</v>
      </c>
      <c r="J291" s="4">
        <v>8</v>
      </c>
      <c r="K291" s="3">
        <v>4</v>
      </c>
      <c r="L291" s="1">
        <f t="shared" si="12"/>
        <v>190.2928</v>
      </c>
      <c r="M291" t="str" cm="1">
        <f t="array" ref="M291">_xlfn.IFS(B291&lt;18,"Under 18",B291 &lt;=25,"18-25",B291&lt;=35,"26-35",B291&lt;=45,"36-45",B291&lt;=60,"46-60",TRUE,"60+")</f>
        <v>46-60</v>
      </c>
      <c r="N291" t="str">
        <f t="shared" si="13"/>
        <v>Discounted</v>
      </c>
      <c r="O291" t="str">
        <f t="shared" si="14"/>
        <v>Returning</v>
      </c>
    </row>
    <row r="292" spans="1:15" x14ac:dyDescent="0.25">
      <c r="A292">
        <v>291</v>
      </c>
      <c r="B292">
        <v>31</v>
      </c>
      <c r="C292" t="s">
        <v>11</v>
      </c>
      <c r="D292" t="s">
        <v>41</v>
      </c>
      <c r="E292" t="s">
        <v>42</v>
      </c>
      <c r="F292" s="1">
        <v>63.74</v>
      </c>
      <c r="G292" t="s">
        <v>14</v>
      </c>
      <c r="H292" t="s">
        <v>37</v>
      </c>
      <c r="I292" s="2">
        <v>3.7</v>
      </c>
      <c r="J292" s="4">
        <v>8</v>
      </c>
      <c r="K292" s="3">
        <v>4</v>
      </c>
      <c r="L292" s="1">
        <f t="shared" si="12"/>
        <v>58.640800000000006</v>
      </c>
      <c r="M292" t="str" cm="1">
        <f t="array" ref="M292">_xlfn.IFS(B292&lt;18,"Under 18",B292 &lt;=25,"18-25",B292&lt;=35,"26-35",B292&lt;=45,"36-45",B292&lt;=60,"46-60",TRUE,"60+")</f>
        <v>26-35</v>
      </c>
      <c r="N292" t="str">
        <f t="shared" si="13"/>
        <v>Discounted</v>
      </c>
      <c r="O292" t="str">
        <f t="shared" si="14"/>
        <v>Returning</v>
      </c>
    </row>
    <row r="293" spans="1:15" x14ac:dyDescent="0.25">
      <c r="A293">
        <v>292</v>
      </c>
      <c r="B293">
        <v>61</v>
      </c>
      <c r="C293" t="s">
        <v>16</v>
      </c>
      <c r="D293" t="s">
        <v>20</v>
      </c>
      <c r="E293" t="s">
        <v>36</v>
      </c>
      <c r="F293" s="1">
        <v>64.87</v>
      </c>
      <c r="G293" t="s">
        <v>31</v>
      </c>
      <c r="H293" t="s">
        <v>37</v>
      </c>
      <c r="I293" s="2">
        <v>1.8</v>
      </c>
      <c r="J293" s="4">
        <v>22</v>
      </c>
      <c r="K293" s="3">
        <v>6</v>
      </c>
      <c r="L293" s="1">
        <f t="shared" si="12"/>
        <v>50.598600000000005</v>
      </c>
      <c r="M293" t="str" cm="1">
        <f t="array" ref="M293">_xlfn.IFS(B293&lt;18,"Under 18",B293 &lt;=25,"18-25",B293&lt;=35,"26-35",B293&lt;=45,"36-45",B293&lt;=60,"46-60",TRUE,"60+")</f>
        <v>60+</v>
      </c>
      <c r="N293" t="str">
        <f t="shared" si="13"/>
        <v>Discounted</v>
      </c>
      <c r="O293" t="str">
        <f t="shared" si="14"/>
        <v>Returning</v>
      </c>
    </row>
    <row r="294" spans="1:15" x14ac:dyDescent="0.25">
      <c r="A294">
        <v>293</v>
      </c>
      <c r="B294">
        <v>50</v>
      </c>
      <c r="C294" t="s">
        <v>11</v>
      </c>
      <c r="D294" t="s">
        <v>12</v>
      </c>
      <c r="E294" t="s">
        <v>50</v>
      </c>
      <c r="F294" s="1">
        <v>67.819999999999993</v>
      </c>
      <c r="G294" t="s">
        <v>19</v>
      </c>
      <c r="H294" t="s">
        <v>15</v>
      </c>
      <c r="I294" s="2">
        <v>2.5</v>
      </c>
      <c r="J294" s="4">
        <v>14</v>
      </c>
      <c r="K294" s="3">
        <v>7</v>
      </c>
      <c r="L294" s="1">
        <f t="shared" si="12"/>
        <v>58.325199999999995</v>
      </c>
      <c r="M294" t="str" cm="1">
        <f t="array" ref="M294">_xlfn.IFS(B294&lt;18,"Under 18",B294 &lt;=25,"18-25",B294&lt;=35,"26-35",B294&lt;=45,"36-45",B294&lt;=60,"46-60",TRUE,"60+")</f>
        <v>46-60</v>
      </c>
      <c r="N294" t="str">
        <f t="shared" si="13"/>
        <v>Discounted</v>
      </c>
      <c r="O294" t="str">
        <f t="shared" si="14"/>
        <v>Returning</v>
      </c>
    </row>
    <row r="295" spans="1:15" x14ac:dyDescent="0.25">
      <c r="A295">
        <v>294</v>
      </c>
      <c r="B295">
        <v>65</v>
      </c>
      <c r="C295" t="s">
        <v>11</v>
      </c>
      <c r="D295" t="s">
        <v>29</v>
      </c>
      <c r="E295" t="s">
        <v>55</v>
      </c>
      <c r="F295" s="1">
        <v>95.87</v>
      </c>
      <c r="G295" t="s">
        <v>14</v>
      </c>
      <c r="H295" t="s">
        <v>15</v>
      </c>
      <c r="I295" s="2">
        <v>4</v>
      </c>
      <c r="J295" s="4">
        <v>14</v>
      </c>
      <c r="K295" s="3">
        <v>2</v>
      </c>
      <c r="L295" s="1">
        <f t="shared" si="12"/>
        <v>82.4482</v>
      </c>
      <c r="M295" t="str" cm="1">
        <f t="array" ref="M295">_xlfn.IFS(B295&lt;18,"Under 18",B295 &lt;=25,"18-25",B295&lt;=35,"26-35",B295&lt;=45,"36-45",B295&lt;=60,"46-60",TRUE,"60+")</f>
        <v>60+</v>
      </c>
      <c r="N295" t="str">
        <f t="shared" si="13"/>
        <v>Discounted</v>
      </c>
      <c r="O295" t="str">
        <f t="shared" si="14"/>
        <v>Returning</v>
      </c>
    </row>
    <row r="296" spans="1:15" x14ac:dyDescent="0.25">
      <c r="A296">
        <v>295</v>
      </c>
      <c r="B296">
        <v>46</v>
      </c>
      <c r="C296" t="s">
        <v>11</v>
      </c>
      <c r="D296" t="s">
        <v>20</v>
      </c>
      <c r="E296" t="s">
        <v>36</v>
      </c>
      <c r="F296" s="1">
        <v>142.71</v>
      </c>
      <c r="G296" t="s">
        <v>19</v>
      </c>
      <c r="H296" t="s">
        <v>15</v>
      </c>
      <c r="I296" s="2">
        <v>3.2</v>
      </c>
      <c r="J296" s="4">
        <v>10</v>
      </c>
      <c r="K296" s="3">
        <v>5</v>
      </c>
      <c r="L296" s="1">
        <f t="shared" si="12"/>
        <v>128.43900000000002</v>
      </c>
      <c r="M296" t="str" cm="1">
        <f t="array" ref="M296">_xlfn.IFS(B296&lt;18,"Under 18",B296 &lt;=25,"18-25",B296&lt;=35,"26-35",B296&lt;=45,"36-45",B296&lt;=60,"46-60",TRUE,"60+")</f>
        <v>46-60</v>
      </c>
      <c r="N296" t="str">
        <f t="shared" si="13"/>
        <v>Discounted</v>
      </c>
      <c r="O296" t="str">
        <f t="shared" si="14"/>
        <v>Returning</v>
      </c>
    </row>
    <row r="297" spans="1:15" x14ac:dyDescent="0.25">
      <c r="A297">
        <v>296</v>
      </c>
      <c r="B297">
        <v>48</v>
      </c>
      <c r="C297" t="s">
        <v>16</v>
      </c>
      <c r="D297" t="s">
        <v>22</v>
      </c>
      <c r="E297" t="s">
        <v>43</v>
      </c>
      <c r="F297" s="1">
        <v>218.92</v>
      </c>
      <c r="G297" t="s">
        <v>24</v>
      </c>
      <c r="H297" t="s">
        <v>15</v>
      </c>
      <c r="I297" s="2">
        <v>3.7</v>
      </c>
      <c r="J297" s="4">
        <v>21</v>
      </c>
      <c r="K297" s="3">
        <v>8</v>
      </c>
      <c r="L297" s="1">
        <f t="shared" si="12"/>
        <v>172.9468</v>
      </c>
      <c r="M297" t="str" cm="1">
        <f t="array" ref="M297">_xlfn.IFS(B297&lt;18,"Under 18",B297 &lt;=25,"18-25",B297&lt;=35,"26-35",B297&lt;=45,"36-45",B297&lt;=60,"46-60",TRUE,"60+")</f>
        <v>46-60</v>
      </c>
      <c r="N297" t="str">
        <f t="shared" si="13"/>
        <v>Discounted</v>
      </c>
      <c r="O297" t="str">
        <f t="shared" si="14"/>
        <v>Returning</v>
      </c>
    </row>
    <row r="298" spans="1:15" x14ac:dyDescent="0.25">
      <c r="A298">
        <v>297</v>
      </c>
      <c r="B298">
        <v>58</v>
      </c>
      <c r="C298" t="s">
        <v>16</v>
      </c>
      <c r="D298" t="s">
        <v>20</v>
      </c>
      <c r="E298" t="s">
        <v>39</v>
      </c>
      <c r="F298" s="1">
        <v>57.47</v>
      </c>
      <c r="G298" t="s">
        <v>24</v>
      </c>
      <c r="H298" t="s">
        <v>15</v>
      </c>
      <c r="I298" s="2">
        <v>2.5</v>
      </c>
      <c r="J298" s="4">
        <v>2</v>
      </c>
      <c r="K298" s="3">
        <v>1</v>
      </c>
      <c r="L298" s="1">
        <f t="shared" si="12"/>
        <v>56.320599999999999</v>
      </c>
      <c r="M298" t="str" cm="1">
        <f t="array" ref="M298">_xlfn.IFS(B298&lt;18,"Under 18",B298 &lt;=25,"18-25",B298&lt;=35,"26-35",B298&lt;=45,"36-45",B298&lt;=60,"46-60",TRUE,"60+")</f>
        <v>46-60</v>
      </c>
      <c r="N298" t="str">
        <f t="shared" si="13"/>
        <v>Discounted</v>
      </c>
      <c r="O298" t="str">
        <f t="shared" si="14"/>
        <v>Returning</v>
      </c>
    </row>
    <row r="299" spans="1:15" x14ac:dyDescent="0.25">
      <c r="A299">
        <v>298</v>
      </c>
      <c r="B299">
        <v>20</v>
      </c>
      <c r="C299" t="s">
        <v>16</v>
      </c>
      <c r="D299" t="s">
        <v>17</v>
      </c>
      <c r="E299" t="s">
        <v>42</v>
      </c>
      <c r="F299" s="1">
        <v>170</v>
      </c>
      <c r="G299" t="s">
        <v>19</v>
      </c>
      <c r="H299" t="s">
        <v>15</v>
      </c>
      <c r="I299" s="2">
        <v>3.6</v>
      </c>
      <c r="J299" s="4">
        <v>12</v>
      </c>
      <c r="K299" s="3">
        <v>6</v>
      </c>
      <c r="L299" s="1">
        <f t="shared" si="12"/>
        <v>149.6</v>
      </c>
      <c r="M299" t="str" cm="1">
        <f t="array" ref="M299">_xlfn.IFS(B299&lt;18,"Under 18",B299 &lt;=25,"18-25",B299&lt;=35,"26-35",B299&lt;=45,"36-45",B299&lt;=60,"46-60",TRUE,"60+")</f>
        <v>18-25</v>
      </c>
      <c r="N299" t="str">
        <f t="shared" si="13"/>
        <v>Discounted</v>
      </c>
      <c r="O299" t="str">
        <f t="shared" si="14"/>
        <v>Returning</v>
      </c>
    </row>
    <row r="300" spans="1:15" x14ac:dyDescent="0.25">
      <c r="A300">
        <v>299</v>
      </c>
      <c r="B300">
        <v>36</v>
      </c>
      <c r="C300" t="s">
        <v>11</v>
      </c>
      <c r="D300" t="s">
        <v>41</v>
      </c>
      <c r="E300" t="s">
        <v>44</v>
      </c>
      <c r="F300" s="1">
        <v>67.61</v>
      </c>
      <c r="G300" t="s">
        <v>19</v>
      </c>
      <c r="H300" t="s">
        <v>37</v>
      </c>
      <c r="I300" s="2">
        <v>3.8</v>
      </c>
      <c r="J300" s="4">
        <v>19</v>
      </c>
      <c r="K300" s="3">
        <v>7</v>
      </c>
      <c r="L300" s="1">
        <f t="shared" si="12"/>
        <v>54.764100000000006</v>
      </c>
      <c r="M300" t="str" cm="1">
        <f t="array" ref="M300">_xlfn.IFS(B300&lt;18,"Under 18",B300 &lt;=25,"18-25",B300&lt;=35,"26-35",B300&lt;=45,"36-45",B300&lt;=60,"46-60",TRUE,"60+")</f>
        <v>36-45</v>
      </c>
      <c r="N300" t="str">
        <f t="shared" si="13"/>
        <v>Discounted</v>
      </c>
      <c r="O300" t="str">
        <f t="shared" si="14"/>
        <v>Returning</v>
      </c>
    </row>
    <row r="301" spans="1:15" x14ac:dyDescent="0.25">
      <c r="A301">
        <v>300</v>
      </c>
      <c r="B301">
        <v>66</v>
      </c>
      <c r="C301" t="s">
        <v>16</v>
      </c>
      <c r="D301" t="s">
        <v>17</v>
      </c>
      <c r="E301" t="s">
        <v>42</v>
      </c>
      <c r="F301" s="1">
        <v>141.21</v>
      </c>
      <c r="G301" t="s">
        <v>31</v>
      </c>
      <c r="H301" t="s">
        <v>15</v>
      </c>
      <c r="I301" s="2">
        <v>3.4</v>
      </c>
      <c r="J301" s="4">
        <v>22</v>
      </c>
      <c r="K301" s="3">
        <v>6</v>
      </c>
      <c r="L301" s="1">
        <f t="shared" si="12"/>
        <v>110.14380000000001</v>
      </c>
      <c r="M301" t="str" cm="1">
        <f t="array" ref="M301">_xlfn.IFS(B301&lt;18,"Under 18",B301 &lt;=25,"18-25",B301&lt;=35,"26-35",B301&lt;=45,"36-45",B301&lt;=60,"46-60",TRUE,"60+")</f>
        <v>60+</v>
      </c>
      <c r="N301" t="str">
        <f t="shared" si="13"/>
        <v>Discounted</v>
      </c>
      <c r="O301" t="str">
        <f t="shared" si="14"/>
        <v>Returning</v>
      </c>
    </row>
    <row r="302" spans="1:15" x14ac:dyDescent="0.25">
      <c r="A302">
        <v>301</v>
      </c>
      <c r="B302">
        <v>66</v>
      </c>
      <c r="C302" t="s">
        <v>11</v>
      </c>
      <c r="D302" t="s">
        <v>12</v>
      </c>
      <c r="E302" t="s">
        <v>50</v>
      </c>
      <c r="F302" s="1">
        <v>57.04</v>
      </c>
      <c r="G302" t="s">
        <v>14</v>
      </c>
      <c r="H302" t="s">
        <v>37</v>
      </c>
      <c r="I302" s="2">
        <v>3.5</v>
      </c>
      <c r="J302" s="4">
        <v>18</v>
      </c>
      <c r="K302" s="3">
        <v>4</v>
      </c>
      <c r="L302" s="1">
        <f t="shared" si="12"/>
        <v>46.772800000000004</v>
      </c>
      <c r="M302" t="str" cm="1">
        <f t="array" ref="M302">_xlfn.IFS(B302&lt;18,"Under 18",B302 &lt;=25,"18-25",B302&lt;=35,"26-35",B302&lt;=45,"36-45",B302&lt;=60,"46-60",TRUE,"60+")</f>
        <v>60+</v>
      </c>
      <c r="N302" t="str">
        <f t="shared" si="13"/>
        <v>Discounted</v>
      </c>
      <c r="O302" t="str">
        <f t="shared" si="14"/>
        <v>Returning</v>
      </c>
    </row>
    <row r="303" spans="1:15" x14ac:dyDescent="0.25">
      <c r="A303">
        <v>302</v>
      </c>
      <c r="B303">
        <v>32</v>
      </c>
      <c r="C303" t="s">
        <v>11</v>
      </c>
      <c r="D303" t="s">
        <v>41</v>
      </c>
      <c r="E303" t="s">
        <v>46</v>
      </c>
      <c r="F303" s="1">
        <v>41.92</v>
      </c>
      <c r="G303" t="s">
        <v>14</v>
      </c>
      <c r="H303" t="s">
        <v>37</v>
      </c>
      <c r="I303" s="2">
        <v>3.5</v>
      </c>
      <c r="J303" s="4">
        <v>8</v>
      </c>
      <c r="K303" s="3">
        <v>4</v>
      </c>
      <c r="L303" s="1">
        <f t="shared" si="12"/>
        <v>38.566400000000002</v>
      </c>
      <c r="M303" t="str" cm="1">
        <f t="array" ref="M303">_xlfn.IFS(B303&lt;18,"Under 18",B303 &lt;=25,"18-25",B303&lt;=35,"26-35",B303&lt;=45,"36-45",B303&lt;=60,"46-60",TRUE,"60+")</f>
        <v>26-35</v>
      </c>
      <c r="N303" t="str">
        <f t="shared" si="13"/>
        <v>Discounted</v>
      </c>
      <c r="O303" t="str">
        <f t="shared" si="14"/>
        <v>Returning</v>
      </c>
    </row>
    <row r="304" spans="1:15" x14ac:dyDescent="0.25">
      <c r="A304">
        <v>303</v>
      </c>
      <c r="B304">
        <v>51</v>
      </c>
      <c r="C304" t="s">
        <v>16</v>
      </c>
      <c r="D304" t="s">
        <v>33</v>
      </c>
      <c r="E304" t="s">
        <v>34</v>
      </c>
      <c r="F304" s="1">
        <v>106.72</v>
      </c>
      <c r="G304" t="s">
        <v>14</v>
      </c>
      <c r="H304" t="s">
        <v>15</v>
      </c>
      <c r="I304" s="2">
        <v>2.8</v>
      </c>
      <c r="J304" s="4">
        <v>18</v>
      </c>
      <c r="K304" s="3">
        <v>4</v>
      </c>
      <c r="L304" s="1">
        <f t="shared" si="12"/>
        <v>87.510400000000004</v>
      </c>
      <c r="M304" t="str" cm="1">
        <f t="array" ref="M304">_xlfn.IFS(B304&lt;18,"Under 18",B304 &lt;=25,"18-25",B304&lt;=35,"26-35",B304&lt;=45,"36-45",B304&lt;=60,"46-60",TRUE,"60+")</f>
        <v>46-60</v>
      </c>
      <c r="N304" t="str">
        <f t="shared" si="13"/>
        <v>Discounted</v>
      </c>
      <c r="O304" t="str">
        <f t="shared" si="14"/>
        <v>Returning</v>
      </c>
    </row>
    <row r="305" spans="1:15" x14ac:dyDescent="0.25">
      <c r="A305">
        <v>304</v>
      </c>
      <c r="B305">
        <v>54</v>
      </c>
      <c r="C305" t="s">
        <v>11</v>
      </c>
      <c r="D305" t="s">
        <v>41</v>
      </c>
      <c r="E305" t="s">
        <v>45</v>
      </c>
      <c r="F305" s="1">
        <v>145.16</v>
      </c>
      <c r="G305" t="s">
        <v>31</v>
      </c>
      <c r="H305" t="s">
        <v>15</v>
      </c>
      <c r="I305" s="2">
        <v>3.1</v>
      </c>
      <c r="J305" s="4">
        <v>14</v>
      </c>
      <c r="K305" s="3">
        <v>7</v>
      </c>
      <c r="L305" s="1">
        <f t="shared" si="12"/>
        <v>124.83759999999999</v>
      </c>
      <c r="M305" t="str" cm="1">
        <f t="array" ref="M305">_xlfn.IFS(B305&lt;18,"Under 18",B305 &lt;=25,"18-25",B305&lt;=35,"26-35",B305&lt;=45,"36-45",B305&lt;=60,"46-60",TRUE,"60+")</f>
        <v>46-60</v>
      </c>
      <c r="N305" t="str">
        <f t="shared" si="13"/>
        <v>Discounted</v>
      </c>
      <c r="O305" t="str">
        <f t="shared" si="14"/>
        <v>Returning</v>
      </c>
    </row>
    <row r="306" spans="1:15" x14ac:dyDescent="0.25">
      <c r="A306">
        <v>305</v>
      </c>
      <c r="B306">
        <v>25</v>
      </c>
      <c r="C306" t="s">
        <v>11</v>
      </c>
      <c r="D306" t="s">
        <v>12</v>
      </c>
      <c r="E306" t="s">
        <v>56</v>
      </c>
      <c r="F306" s="1">
        <v>102.26</v>
      </c>
      <c r="G306" t="s">
        <v>14</v>
      </c>
      <c r="H306" t="s">
        <v>15</v>
      </c>
      <c r="I306" s="2">
        <v>4.2</v>
      </c>
      <c r="J306" s="4">
        <v>16</v>
      </c>
      <c r="K306" s="3">
        <v>3</v>
      </c>
      <c r="L306" s="1">
        <f t="shared" si="12"/>
        <v>85.898399999999995</v>
      </c>
      <c r="M306" t="str" cm="1">
        <f t="array" ref="M306">_xlfn.IFS(B306&lt;18,"Under 18",B306 &lt;=25,"18-25",B306&lt;=35,"26-35",B306&lt;=45,"36-45",B306&lt;=60,"46-60",TRUE,"60+")</f>
        <v>18-25</v>
      </c>
      <c r="N306" t="str">
        <f t="shared" si="13"/>
        <v>Discounted</v>
      </c>
      <c r="O306" t="str">
        <f t="shared" si="14"/>
        <v>Returning</v>
      </c>
    </row>
    <row r="307" spans="1:15" x14ac:dyDescent="0.25">
      <c r="A307">
        <v>306</v>
      </c>
      <c r="B307">
        <v>23</v>
      </c>
      <c r="C307" t="s">
        <v>16</v>
      </c>
      <c r="D307" t="s">
        <v>27</v>
      </c>
      <c r="E307" t="s">
        <v>53</v>
      </c>
      <c r="F307" s="1">
        <v>1364.52</v>
      </c>
      <c r="G307" t="s">
        <v>19</v>
      </c>
      <c r="H307" t="s">
        <v>15</v>
      </c>
      <c r="I307" s="2">
        <v>4.5999999999999996</v>
      </c>
      <c r="J307" s="4">
        <v>24</v>
      </c>
      <c r="K307" s="3">
        <v>7</v>
      </c>
      <c r="L307" s="1">
        <f t="shared" si="12"/>
        <v>1037.0352</v>
      </c>
      <c r="M307" t="str" cm="1">
        <f t="array" ref="M307">_xlfn.IFS(B307&lt;18,"Under 18",B307 &lt;=25,"18-25",B307&lt;=35,"26-35",B307&lt;=45,"36-45",B307&lt;=60,"46-60",TRUE,"60+")</f>
        <v>18-25</v>
      </c>
      <c r="N307" t="str">
        <f t="shared" si="13"/>
        <v>Discounted</v>
      </c>
      <c r="O307" t="str">
        <f t="shared" si="14"/>
        <v>Returning</v>
      </c>
    </row>
    <row r="308" spans="1:15" x14ac:dyDescent="0.25">
      <c r="A308">
        <v>307</v>
      </c>
      <c r="B308">
        <v>52</v>
      </c>
      <c r="C308" t="s">
        <v>11</v>
      </c>
      <c r="D308" t="s">
        <v>25</v>
      </c>
      <c r="E308" t="s">
        <v>47</v>
      </c>
      <c r="F308" s="1">
        <v>18.59</v>
      </c>
      <c r="G308" t="s">
        <v>19</v>
      </c>
      <c r="H308" t="s">
        <v>37</v>
      </c>
      <c r="I308" s="2">
        <v>2.5</v>
      </c>
      <c r="J308" s="4">
        <v>10</v>
      </c>
      <c r="K308" s="3">
        <v>5</v>
      </c>
      <c r="L308" s="1">
        <f t="shared" si="12"/>
        <v>16.731000000000002</v>
      </c>
      <c r="M308" t="str" cm="1">
        <f t="array" ref="M308">_xlfn.IFS(B308&lt;18,"Under 18",B308 &lt;=25,"18-25",B308&lt;=35,"26-35",B308&lt;=45,"36-45",B308&lt;=60,"46-60",TRUE,"60+")</f>
        <v>46-60</v>
      </c>
      <c r="N308" t="str">
        <f t="shared" si="13"/>
        <v>Discounted</v>
      </c>
      <c r="O308" t="str">
        <f t="shared" si="14"/>
        <v>Returning</v>
      </c>
    </row>
    <row r="309" spans="1:15" x14ac:dyDescent="0.25">
      <c r="A309">
        <v>308</v>
      </c>
      <c r="B309">
        <v>61</v>
      </c>
      <c r="C309" t="s">
        <v>16</v>
      </c>
      <c r="D309" t="s">
        <v>17</v>
      </c>
      <c r="E309" t="s">
        <v>48</v>
      </c>
      <c r="F309" s="1">
        <v>166.84</v>
      </c>
      <c r="G309" t="s">
        <v>31</v>
      </c>
      <c r="H309" t="s">
        <v>15</v>
      </c>
      <c r="I309" s="2">
        <v>5</v>
      </c>
      <c r="J309" s="4">
        <v>9</v>
      </c>
      <c r="K309" s="3">
        <v>2</v>
      </c>
      <c r="L309" s="1">
        <f t="shared" si="12"/>
        <v>151.8244</v>
      </c>
      <c r="M309" t="str" cm="1">
        <f t="array" ref="M309">_xlfn.IFS(B309&lt;18,"Under 18",B309 &lt;=25,"18-25",B309&lt;=35,"26-35",B309&lt;=45,"36-45",B309&lt;=60,"46-60",TRUE,"60+")</f>
        <v>60+</v>
      </c>
      <c r="N309" t="str">
        <f t="shared" si="13"/>
        <v>Discounted</v>
      </c>
      <c r="O309" t="str">
        <f t="shared" si="14"/>
        <v>Returning</v>
      </c>
    </row>
    <row r="310" spans="1:15" x14ac:dyDescent="0.25">
      <c r="A310">
        <v>309</v>
      </c>
      <c r="B310">
        <v>30</v>
      </c>
      <c r="C310" t="s">
        <v>16</v>
      </c>
      <c r="D310" t="s">
        <v>17</v>
      </c>
      <c r="E310" t="s">
        <v>18</v>
      </c>
      <c r="F310" s="1">
        <v>81.78</v>
      </c>
      <c r="G310" t="s">
        <v>31</v>
      </c>
      <c r="H310" t="s">
        <v>15</v>
      </c>
      <c r="I310" s="2">
        <v>2.4</v>
      </c>
      <c r="J310" s="4">
        <v>11</v>
      </c>
      <c r="K310" s="3">
        <v>3</v>
      </c>
      <c r="L310" s="1">
        <f t="shared" si="12"/>
        <v>72.784199999999998</v>
      </c>
      <c r="M310" t="str" cm="1">
        <f t="array" ref="M310">_xlfn.IFS(B310&lt;18,"Under 18",B310 &lt;=25,"18-25",B310&lt;=35,"26-35",B310&lt;=45,"36-45",B310&lt;=60,"46-60",TRUE,"60+")</f>
        <v>26-35</v>
      </c>
      <c r="N310" t="str">
        <f t="shared" si="13"/>
        <v>Discounted</v>
      </c>
      <c r="O310" t="str">
        <f t="shared" si="14"/>
        <v>Returning</v>
      </c>
    </row>
    <row r="311" spans="1:15" x14ac:dyDescent="0.25">
      <c r="A311">
        <v>310</v>
      </c>
      <c r="B311">
        <v>45</v>
      </c>
      <c r="C311" t="s">
        <v>11</v>
      </c>
      <c r="D311" t="s">
        <v>20</v>
      </c>
      <c r="E311" t="s">
        <v>39</v>
      </c>
      <c r="F311" s="1">
        <v>80.77</v>
      </c>
      <c r="G311" t="s">
        <v>31</v>
      </c>
      <c r="H311" t="s">
        <v>15</v>
      </c>
      <c r="I311" s="2">
        <v>4.5999999999999996</v>
      </c>
      <c r="J311" s="4">
        <v>11</v>
      </c>
      <c r="K311" s="3">
        <v>3</v>
      </c>
      <c r="L311" s="1">
        <f t="shared" si="12"/>
        <v>71.885300000000001</v>
      </c>
      <c r="M311" t="str" cm="1">
        <f t="array" ref="M311">_xlfn.IFS(B311&lt;18,"Under 18",B311 &lt;=25,"18-25",B311&lt;=35,"26-35",B311&lt;=45,"36-45",B311&lt;=60,"46-60",TRUE,"60+")</f>
        <v>36-45</v>
      </c>
      <c r="N311" t="str">
        <f t="shared" si="13"/>
        <v>Discounted</v>
      </c>
      <c r="O311" t="str">
        <f t="shared" si="14"/>
        <v>Returning</v>
      </c>
    </row>
    <row r="312" spans="1:15" x14ac:dyDescent="0.25">
      <c r="A312">
        <v>311</v>
      </c>
      <c r="B312">
        <v>46</v>
      </c>
      <c r="C312" t="s">
        <v>16</v>
      </c>
      <c r="D312" t="s">
        <v>33</v>
      </c>
      <c r="E312" t="s">
        <v>38</v>
      </c>
      <c r="F312" s="1">
        <v>118.69</v>
      </c>
      <c r="G312" t="s">
        <v>31</v>
      </c>
      <c r="H312" t="s">
        <v>15</v>
      </c>
      <c r="I312" s="2">
        <v>2.7</v>
      </c>
      <c r="J312" s="4">
        <v>10</v>
      </c>
      <c r="K312" s="3">
        <v>5</v>
      </c>
      <c r="L312" s="1">
        <f t="shared" si="12"/>
        <v>106.821</v>
      </c>
      <c r="M312" t="str" cm="1">
        <f t="array" ref="M312">_xlfn.IFS(B312&lt;18,"Under 18",B312 &lt;=25,"18-25",B312&lt;=35,"26-35",B312&lt;=45,"36-45",B312&lt;=60,"46-60",TRUE,"60+")</f>
        <v>46-60</v>
      </c>
      <c r="N312" t="str">
        <f t="shared" si="13"/>
        <v>Discounted</v>
      </c>
      <c r="O312" t="str">
        <f t="shared" si="14"/>
        <v>Returning</v>
      </c>
    </row>
    <row r="313" spans="1:15" x14ac:dyDescent="0.25">
      <c r="A313">
        <v>312</v>
      </c>
      <c r="B313">
        <v>35</v>
      </c>
      <c r="C313" t="s">
        <v>11</v>
      </c>
      <c r="D313" t="s">
        <v>29</v>
      </c>
      <c r="E313" t="s">
        <v>55</v>
      </c>
      <c r="F313" s="1">
        <v>77.47</v>
      </c>
      <c r="G313" t="s">
        <v>31</v>
      </c>
      <c r="H313" t="s">
        <v>15</v>
      </c>
      <c r="I313" s="2">
        <v>4.3</v>
      </c>
      <c r="J313" s="4">
        <v>8</v>
      </c>
      <c r="K313" s="3">
        <v>4</v>
      </c>
      <c r="L313" s="1">
        <f t="shared" si="12"/>
        <v>71.272400000000005</v>
      </c>
      <c r="M313" t="str" cm="1">
        <f t="array" ref="M313">_xlfn.IFS(B313&lt;18,"Under 18",B313 &lt;=25,"18-25",B313&lt;=35,"26-35",B313&lt;=45,"36-45",B313&lt;=60,"46-60",TRUE,"60+")</f>
        <v>26-35</v>
      </c>
      <c r="N313" t="str">
        <f t="shared" si="13"/>
        <v>Discounted</v>
      </c>
      <c r="O313" t="str">
        <f t="shared" si="14"/>
        <v>Returning</v>
      </c>
    </row>
    <row r="314" spans="1:15" x14ac:dyDescent="0.25">
      <c r="A314">
        <v>313</v>
      </c>
      <c r="B314">
        <v>48</v>
      </c>
      <c r="C314" t="s">
        <v>11</v>
      </c>
      <c r="D314" t="s">
        <v>12</v>
      </c>
      <c r="E314" t="s">
        <v>56</v>
      </c>
      <c r="F314" s="1">
        <v>85.35</v>
      </c>
      <c r="G314" t="s">
        <v>19</v>
      </c>
      <c r="H314" t="s">
        <v>15</v>
      </c>
      <c r="I314" s="2">
        <v>4.3</v>
      </c>
      <c r="J314" s="4">
        <v>4</v>
      </c>
      <c r="K314" s="3">
        <v>2</v>
      </c>
      <c r="L314" s="1">
        <f t="shared" si="12"/>
        <v>81.935999999999993</v>
      </c>
      <c r="M314" t="str" cm="1">
        <f t="array" ref="M314">_xlfn.IFS(B314&lt;18,"Under 18",B314 &lt;=25,"18-25",B314&lt;=35,"26-35",B314&lt;=45,"36-45",B314&lt;=60,"46-60",TRUE,"60+")</f>
        <v>46-60</v>
      </c>
      <c r="N314" t="str">
        <f t="shared" si="13"/>
        <v>Discounted</v>
      </c>
      <c r="O314" t="str">
        <f t="shared" si="14"/>
        <v>Returning</v>
      </c>
    </row>
    <row r="315" spans="1:15" x14ac:dyDescent="0.25">
      <c r="A315">
        <v>314</v>
      </c>
      <c r="B315">
        <v>48</v>
      </c>
      <c r="C315" t="s">
        <v>11</v>
      </c>
      <c r="D315" t="s">
        <v>33</v>
      </c>
      <c r="E315" t="s">
        <v>38</v>
      </c>
      <c r="F315" s="1">
        <v>102.43</v>
      </c>
      <c r="G315" t="s">
        <v>19</v>
      </c>
      <c r="H315" t="s">
        <v>15</v>
      </c>
      <c r="I315" s="2">
        <v>3.6</v>
      </c>
      <c r="J315" s="4">
        <v>24</v>
      </c>
      <c r="K315" s="3">
        <v>7</v>
      </c>
      <c r="L315" s="1">
        <f t="shared" si="12"/>
        <v>77.846800000000002</v>
      </c>
      <c r="M315" t="str" cm="1">
        <f t="array" ref="M315">_xlfn.IFS(B315&lt;18,"Under 18",B315 &lt;=25,"18-25",B315&lt;=35,"26-35",B315&lt;=45,"36-45",B315&lt;=60,"46-60",TRUE,"60+")</f>
        <v>46-60</v>
      </c>
      <c r="N315" t="str">
        <f t="shared" si="13"/>
        <v>Discounted</v>
      </c>
      <c r="O315" t="str">
        <f t="shared" si="14"/>
        <v>Returning</v>
      </c>
    </row>
    <row r="316" spans="1:15" x14ac:dyDescent="0.25">
      <c r="A316">
        <v>315</v>
      </c>
      <c r="B316">
        <v>30</v>
      </c>
      <c r="C316" t="s">
        <v>16</v>
      </c>
      <c r="D316" t="s">
        <v>25</v>
      </c>
      <c r="E316" t="s">
        <v>57</v>
      </c>
      <c r="F316" s="1">
        <v>11.09</v>
      </c>
      <c r="G316" t="s">
        <v>14</v>
      </c>
      <c r="H316" t="s">
        <v>37</v>
      </c>
      <c r="I316" s="2">
        <v>2.8</v>
      </c>
      <c r="J316" s="4">
        <v>23</v>
      </c>
      <c r="K316" s="3">
        <v>9</v>
      </c>
      <c r="L316" s="1">
        <f t="shared" si="12"/>
        <v>8.5393000000000008</v>
      </c>
      <c r="M316" t="str" cm="1">
        <f t="array" ref="M316">_xlfn.IFS(B316&lt;18,"Under 18",B316 &lt;=25,"18-25",B316&lt;=35,"26-35",B316&lt;=45,"36-45",B316&lt;=60,"46-60",TRUE,"60+")</f>
        <v>26-35</v>
      </c>
      <c r="N316" t="str">
        <f t="shared" si="13"/>
        <v>Discounted</v>
      </c>
      <c r="O316" t="str">
        <f t="shared" si="14"/>
        <v>Returning</v>
      </c>
    </row>
    <row r="317" spans="1:15" x14ac:dyDescent="0.25">
      <c r="A317">
        <v>316</v>
      </c>
      <c r="B317">
        <v>43</v>
      </c>
      <c r="C317" t="s">
        <v>16</v>
      </c>
      <c r="D317" t="s">
        <v>20</v>
      </c>
      <c r="E317" t="s">
        <v>36</v>
      </c>
      <c r="F317" s="1">
        <v>30.29</v>
      </c>
      <c r="G317" t="s">
        <v>31</v>
      </c>
      <c r="H317" t="s">
        <v>37</v>
      </c>
      <c r="I317" s="2">
        <v>2.4</v>
      </c>
      <c r="J317" s="4">
        <v>16</v>
      </c>
      <c r="K317" s="3">
        <v>3</v>
      </c>
      <c r="L317" s="1">
        <f t="shared" si="12"/>
        <v>25.4436</v>
      </c>
      <c r="M317" t="str" cm="1">
        <f t="array" ref="M317">_xlfn.IFS(B317&lt;18,"Under 18",B317 &lt;=25,"18-25",B317&lt;=35,"26-35",B317&lt;=45,"36-45",B317&lt;=60,"46-60",TRUE,"60+")</f>
        <v>36-45</v>
      </c>
      <c r="N317" t="str">
        <f t="shared" si="13"/>
        <v>Discounted</v>
      </c>
      <c r="O317" t="str">
        <f t="shared" si="14"/>
        <v>Returning</v>
      </c>
    </row>
    <row r="318" spans="1:15" x14ac:dyDescent="0.25">
      <c r="A318">
        <v>317</v>
      </c>
      <c r="B318">
        <v>69</v>
      </c>
      <c r="C318" t="s">
        <v>11</v>
      </c>
      <c r="D318" t="s">
        <v>25</v>
      </c>
      <c r="E318" t="s">
        <v>26</v>
      </c>
      <c r="F318" s="1">
        <v>79.400000000000006</v>
      </c>
      <c r="G318" t="s">
        <v>24</v>
      </c>
      <c r="H318" t="s">
        <v>15</v>
      </c>
      <c r="I318" s="2">
        <v>3.4</v>
      </c>
      <c r="J318" s="4">
        <v>15</v>
      </c>
      <c r="K318" s="3">
        <v>5</v>
      </c>
      <c r="L318" s="1">
        <f t="shared" si="12"/>
        <v>67.490000000000009</v>
      </c>
      <c r="M318" t="str" cm="1">
        <f t="array" ref="M318">_xlfn.IFS(B318&lt;18,"Under 18",B318 &lt;=25,"18-25",B318&lt;=35,"26-35",B318&lt;=45,"36-45",B318&lt;=60,"46-60",TRUE,"60+")</f>
        <v>60+</v>
      </c>
      <c r="N318" t="str">
        <f t="shared" si="13"/>
        <v>Discounted</v>
      </c>
      <c r="O318" t="str">
        <f t="shared" si="14"/>
        <v>Returning</v>
      </c>
    </row>
    <row r="319" spans="1:15" x14ac:dyDescent="0.25">
      <c r="A319">
        <v>318</v>
      </c>
      <c r="B319">
        <v>22</v>
      </c>
      <c r="C319" t="s">
        <v>11</v>
      </c>
      <c r="D319" t="s">
        <v>20</v>
      </c>
      <c r="E319" t="s">
        <v>21</v>
      </c>
      <c r="F319" s="1">
        <v>237.38</v>
      </c>
      <c r="G319" t="s">
        <v>19</v>
      </c>
      <c r="H319" t="s">
        <v>15</v>
      </c>
      <c r="I319" s="2">
        <v>3.4</v>
      </c>
      <c r="J319" s="4">
        <v>7</v>
      </c>
      <c r="K319" s="3">
        <v>1</v>
      </c>
      <c r="L319" s="1">
        <f t="shared" si="12"/>
        <v>220.76339999999999</v>
      </c>
      <c r="M319" t="str" cm="1">
        <f t="array" ref="M319">_xlfn.IFS(B319&lt;18,"Under 18",B319 &lt;=25,"18-25",B319&lt;=35,"26-35",B319&lt;=45,"36-45",B319&lt;=60,"46-60",TRUE,"60+")</f>
        <v>18-25</v>
      </c>
      <c r="N319" t="str">
        <f t="shared" si="13"/>
        <v>Discounted</v>
      </c>
      <c r="O319" t="str">
        <f t="shared" si="14"/>
        <v>Returning</v>
      </c>
    </row>
    <row r="320" spans="1:15" x14ac:dyDescent="0.25">
      <c r="A320">
        <v>319</v>
      </c>
      <c r="B320">
        <v>39</v>
      </c>
      <c r="C320" t="s">
        <v>11</v>
      </c>
      <c r="D320" t="s">
        <v>25</v>
      </c>
      <c r="E320" t="s">
        <v>54</v>
      </c>
      <c r="F320" s="1">
        <v>56.93</v>
      </c>
      <c r="G320" t="s">
        <v>31</v>
      </c>
      <c r="H320" t="s">
        <v>15</v>
      </c>
      <c r="I320" s="2">
        <v>4.4000000000000004</v>
      </c>
      <c r="J320" s="4">
        <v>8</v>
      </c>
      <c r="K320" s="3">
        <v>4</v>
      </c>
      <c r="L320" s="1">
        <f t="shared" si="12"/>
        <v>52.375599999999999</v>
      </c>
      <c r="M320" t="str" cm="1">
        <f t="array" ref="M320">_xlfn.IFS(B320&lt;18,"Under 18",B320 &lt;=25,"18-25",B320&lt;=35,"26-35",B320&lt;=45,"36-45",B320&lt;=60,"46-60",TRUE,"60+")</f>
        <v>36-45</v>
      </c>
      <c r="N320" t="str">
        <f t="shared" si="13"/>
        <v>Discounted</v>
      </c>
      <c r="O320" t="str">
        <f t="shared" si="14"/>
        <v>Returning</v>
      </c>
    </row>
    <row r="321" spans="1:15" x14ac:dyDescent="0.25">
      <c r="A321">
        <v>320</v>
      </c>
      <c r="B321">
        <v>60</v>
      </c>
      <c r="C321" t="s">
        <v>11</v>
      </c>
      <c r="D321" t="s">
        <v>41</v>
      </c>
      <c r="E321" t="s">
        <v>46</v>
      </c>
      <c r="F321" s="1">
        <v>187.91</v>
      </c>
      <c r="G321" t="s">
        <v>19</v>
      </c>
      <c r="H321" t="s">
        <v>15</v>
      </c>
      <c r="I321" s="2">
        <v>3.8</v>
      </c>
      <c r="J321" s="4">
        <v>4</v>
      </c>
      <c r="K321" s="3">
        <v>2</v>
      </c>
      <c r="L321" s="1">
        <f t="shared" si="12"/>
        <v>180.39359999999999</v>
      </c>
      <c r="M321" t="str" cm="1">
        <f t="array" ref="M321">_xlfn.IFS(B321&lt;18,"Under 18",B321 &lt;=25,"18-25",B321&lt;=35,"26-35",B321&lt;=45,"36-45",B321&lt;=60,"46-60",TRUE,"60+")</f>
        <v>46-60</v>
      </c>
      <c r="N321" t="str">
        <f t="shared" si="13"/>
        <v>Discounted</v>
      </c>
      <c r="O321" t="str">
        <f t="shared" si="14"/>
        <v>Returning</v>
      </c>
    </row>
    <row r="322" spans="1:15" x14ac:dyDescent="0.25">
      <c r="A322">
        <v>321</v>
      </c>
      <c r="B322">
        <v>67</v>
      </c>
      <c r="C322" t="s">
        <v>11</v>
      </c>
      <c r="D322" t="s">
        <v>41</v>
      </c>
      <c r="E322" t="s">
        <v>46</v>
      </c>
      <c r="F322" s="1">
        <v>144.38</v>
      </c>
      <c r="G322" t="s">
        <v>19</v>
      </c>
      <c r="H322" t="s">
        <v>15</v>
      </c>
      <c r="I322" s="2">
        <v>3.4</v>
      </c>
      <c r="J322" s="4">
        <v>24</v>
      </c>
      <c r="K322" s="3">
        <v>7</v>
      </c>
      <c r="L322" s="1">
        <f t="shared" si="12"/>
        <v>109.72879999999999</v>
      </c>
      <c r="M322" t="str" cm="1">
        <f t="array" ref="M322">_xlfn.IFS(B322&lt;18,"Under 18",B322 &lt;=25,"18-25",B322&lt;=35,"26-35",B322&lt;=45,"36-45",B322&lt;=60,"46-60",TRUE,"60+")</f>
        <v>60+</v>
      </c>
      <c r="N322" t="str">
        <f t="shared" si="13"/>
        <v>Discounted</v>
      </c>
      <c r="O322" t="str">
        <f t="shared" si="14"/>
        <v>Returning</v>
      </c>
    </row>
    <row r="323" spans="1:15" x14ac:dyDescent="0.25">
      <c r="A323">
        <v>322</v>
      </c>
      <c r="B323">
        <v>56</v>
      </c>
      <c r="C323" t="s">
        <v>11</v>
      </c>
      <c r="D323" t="s">
        <v>22</v>
      </c>
      <c r="E323" t="s">
        <v>23</v>
      </c>
      <c r="F323" s="1">
        <v>139.78</v>
      </c>
      <c r="G323" t="s">
        <v>19</v>
      </c>
      <c r="H323" t="s">
        <v>15</v>
      </c>
      <c r="I323" s="2">
        <v>3.9</v>
      </c>
      <c r="J323" s="4">
        <v>19</v>
      </c>
      <c r="K323" s="3">
        <v>7</v>
      </c>
      <c r="L323" s="1">
        <f t="shared" ref="L323:L386" si="15">F323 * (1 - J323 / 100)</f>
        <v>113.2218</v>
      </c>
      <c r="M323" t="str" cm="1">
        <f t="array" ref="M323">_xlfn.IFS(B323&lt;18,"Under 18",B323 &lt;=25,"18-25",B323&lt;=35,"26-35",B323&lt;=45,"36-45",B323&lt;=60,"46-60",TRUE,"60+")</f>
        <v>46-60</v>
      </c>
      <c r="N323" t="str">
        <f t="shared" ref="N323:N386" si="16">IF(J323&gt;0,"Discounted","No Discount")</f>
        <v>Discounted</v>
      </c>
      <c r="O323" t="str">
        <f t="shared" ref="O323:O386" si="17">IF(K323&gt;0,"Returning","New")</f>
        <v>Returning</v>
      </c>
    </row>
    <row r="324" spans="1:15" x14ac:dyDescent="0.25">
      <c r="A324">
        <v>323</v>
      </c>
      <c r="B324">
        <v>22</v>
      </c>
      <c r="C324" t="s">
        <v>16</v>
      </c>
      <c r="D324" t="s">
        <v>20</v>
      </c>
      <c r="E324" t="s">
        <v>39</v>
      </c>
      <c r="F324" s="1">
        <v>232.96</v>
      </c>
      <c r="G324" t="s">
        <v>31</v>
      </c>
      <c r="H324" t="s">
        <v>15</v>
      </c>
      <c r="I324" s="2">
        <v>4.0999999999999996</v>
      </c>
      <c r="J324" s="4">
        <v>6</v>
      </c>
      <c r="K324" s="3">
        <v>3</v>
      </c>
      <c r="L324" s="1">
        <f t="shared" si="15"/>
        <v>218.98239999999998</v>
      </c>
      <c r="M324" t="str" cm="1">
        <f t="array" ref="M324">_xlfn.IFS(B324&lt;18,"Under 18",B324 &lt;=25,"18-25",B324&lt;=35,"26-35",B324&lt;=45,"36-45",B324&lt;=60,"46-60",TRUE,"60+")</f>
        <v>18-25</v>
      </c>
      <c r="N324" t="str">
        <f t="shared" si="16"/>
        <v>Discounted</v>
      </c>
      <c r="O324" t="str">
        <f t="shared" si="17"/>
        <v>Returning</v>
      </c>
    </row>
    <row r="325" spans="1:15" x14ac:dyDescent="0.25">
      <c r="A325">
        <v>324</v>
      </c>
      <c r="B325">
        <v>65</v>
      </c>
      <c r="C325" t="s">
        <v>11</v>
      </c>
      <c r="D325" t="s">
        <v>29</v>
      </c>
      <c r="E325" t="s">
        <v>55</v>
      </c>
      <c r="F325" s="1">
        <v>79.89</v>
      </c>
      <c r="G325" t="s">
        <v>14</v>
      </c>
      <c r="H325" t="s">
        <v>15</v>
      </c>
      <c r="I325" s="2">
        <v>5</v>
      </c>
      <c r="J325" s="4">
        <v>24</v>
      </c>
      <c r="K325" s="3">
        <v>7</v>
      </c>
      <c r="L325" s="1">
        <f t="shared" si="15"/>
        <v>60.7164</v>
      </c>
      <c r="M325" t="str" cm="1">
        <f t="array" ref="M325">_xlfn.IFS(B325&lt;18,"Under 18",B325 &lt;=25,"18-25",B325&lt;=35,"26-35",B325&lt;=45,"36-45",B325&lt;=60,"46-60",TRUE,"60+")</f>
        <v>60+</v>
      </c>
      <c r="N325" t="str">
        <f t="shared" si="16"/>
        <v>Discounted</v>
      </c>
      <c r="O325" t="str">
        <f t="shared" si="17"/>
        <v>Returning</v>
      </c>
    </row>
    <row r="326" spans="1:15" x14ac:dyDescent="0.25">
      <c r="A326">
        <v>325</v>
      </c>
      <c r="B326">
        <v>38</v>
      </c>
      <c r="C326" t="s">
        <v>11</v>
      </c>
      <c r="D326" t="s">
        <v>20</v>
      </c>
      <c r="E326" t="s">
        <v>21</v>
      </c>
      <c r="F326" s="1">
        <v>240.47</v>
      </c>
      <c r="G326" t="s">
        <v>14</v>
      </c>
      <c r="H326" t="s">
        <v>15</v>
      </c>
      <c r="I326" s="2">
        <v>3.4</v>
      </c>
      <c r="J326" s="4">
        <v>8</v>
      </c>
      <c r="K326" s="3">
        <v>4</v>
      </c>
      <c r="L326" s="1">
        <f t="shared" si="15"/>
        <v>221.23240000000001</v>
      </c>
      <c r="M326" t="str" cm="1">
        <f t="array" ref="M326">_xlfn.IFS(B326&lt;18,"Under 18",B326 &lt;=25,"18-25",B326&lt;=35,"26-35",B326&lt;=45,"36-45",B326&lt;=60,"46-60",TRUE,"60+")</f>
        <v>36-45</v>
      </c>
      <c r="N326" t="str">
        <f t="shared" si="16"/>
        <v>Discounted</v>
      </c>
      <c r="O326" t="str">
        <f t="shared" si="17"/>
        <v>Returning</v>
      </c>
    </row>
    <row r="327" spans="1:15" x14ac:dyDescent="0.25">
      <c r="A327">
        <v>326</v>
      </c>
      <c r="B327">
        <v>42</v>
      </c>
      <c r="C327" t="s">
        <v>11</v>
      </c>
      <c r="D327" t="s">
        <v>20</v>
      </c>
      <c r="E327" t="s">
        <v>36</v>
      </c>
      <c r="F327" s="1">
        <v>124.92</v>
      </c>
      <c r="G327" t="s">
        <v>14</v>
      </c>
      <c r="H327" t="s">
        <v>15</v>
      </c>
      <c r="I327" s="2">
        <v>2.2000000000000002</v>
      </c>
      <c r="J327" s="4">
        <v>21</v>
      </c>
      <c r="K327" s="3">
        <v>8</v>
      </c>
      <c r="L327" s="1">
        <f t="shared" si="15"/>
        <v>98.686800000000005</v>
      </c>
      <c r="M327" t="str" cm="1">
        <f t="array" ref="M327">_xlfn.IFS(B327&lt;18,"Under 18",B327 &lt;=25,"18-25",B327&lt;=35,"26-35",B327&lt;=45,"36-45",B327&lt;=60,"46-60",TRUE,"60+")</f>
        <v>36-45</v>
      </c>
      <c r="N327" t="str">
        <f t="shared" si="16"/>
        <v>Discounted</v>
      </c>
      <c r="O327" t="str">
        <f t="shared" si="17"/>
        <v>Returning</v>
      </c>
    </row>
    <row r="328" spans="1:15" x14ac:dyDescent="0.25">
      <c r="A328">
        <v>327</v>
      </c>
      <c r="B328">
        <v>48</v>
      </c>
      <c r="C328" t="s">
        <v>11</v>
      </c>
      <c r="D328" t="s">
        <v>20</v>
      </c>
      <c r="E328" t="s">
        <v>39</v>
      </c>
      <c r="F328" s="1">
        <v>174.99</v>
      </c>
      <c r="G328" t="s">
        <v>24</v>
      </c>
      <c r="H328" t="s">
        <v>15</v>
      </c>
      <c r="I328" s="2">
        <v>4.4000000000000004</v>
      </c>
      <c r="J328" s="4">
        <v>18</v>
      </c>
      <c r="K328" s="3">
        <v>4</v>
      </c>
      <c r="L328" s="1">
        <f t="shared" si="15"/>
        <v>143.49180000000001</v>
      </c>
      <c r="M328" t="str" cm="1">
        <f t="array" ref="M328">_xlfn.IFS(B328&lt;18,"Under 18",B328 &lt;=25,"18-25",B328&lt;=35,"26-35",B328&lt;=45,"36-45",B328&lt;=60,"46-60",TRUE,"60+")</f>
        <v>46-60</v>
      </c>
      <c r="N328" t="str">
        <f t="shared" si="16"/>
        <v>Discounted</v>
      </c>
      <c r="O328" t="str">
        <f t="shared" si="17"/>
        <v>Returning</v>
      </c>
    </row>
    <row r="329" spans="1:15" x14ac:dyDescent="0.25">
      <c r="A329">
        <v>328</v>
      </c>
      <c r="B329">
        <v>32</v>
      </c>
      <c r="C329" t="s">
        <v>11</v>
      </c>
      <c r="D329" t="s">
        <v>33</v>
      </c>
      <c r="E329" t="s">
        <v>38</v>
      </c>
      <c r="F329" s="1">
        <v>169.59</v>
      </c>
      <c r="G329" t="s">
        <v>31</v>
      </c>
      <c r="H329" t="s">
        <v>15</v>
      </c>
      <c r="I329" s="2">
        <v>4.8</v>
      </c>
      <c r="J329" s="4">
        <v>13</v>
      </c>
      <c r="K329" s="3">
        <v>4</v>
      </c>
      <c r="L329" s="1">
        <f t="shared" si="15"/>
        <v>147.54330000000002</v>
      </c>
      <c r="M329" t="str" cm="1">
        <f t="array" ref="M329">_xlfn.IFS(B329&lt;18,"Under 18",B329 &lt;=25,"18-25",B329&lt;=35,"26-35",B329&lt;=45,"36-45",B329&lt;=60,"46-60",TRUE,"60+")</f>
        <v>26-35</v>
      </c>
      <c r="N329" t="str">
        <f t="shared" si="16"/>
        <v>Discounted</v>
      </c>
      <c r="O329" t="str">
        <f t="shared" si="17"/>
        <v>Returning</v>
      </c>
    </row>
    <row r="330" spans="1:15" x14ac:dyDescent="0.25">
      <c r="A330">
        <v>329</v>
      </c>
      <c r="B330">
        <v>62</v>
      </c>
      <c r="C330" t="s">
        <v>16</v>
      </c>
      <c r="D330" t="s">
        <v>20</v>
      </c>
      <c r="E330" t="s">
        <v>39</v>
      </c>
      <c r="F330" s="1">
        <v>212.29</v>
      </c>
      <c r="G330" t="s">
        <v>19</v>
      </c>
      <c r="H330" t="s">
        <v>15</v>
      </c>
      <c r="I330" s="2">
        <v>5</v>
      </c>
      <c r="J330" s="4">
        <v>11</v>
      </c>
      <c r="K330" s="3">
        <v>3</v>
      </c>
      <c r="L330" s="1">
        <f t="shared" si="15"/>
        <v>188.93809999999999</v>
      </c>
      <c r="M330" t="str" cm="1">
        <f t="array" ref="M330">_xlfn.IFS(B330&lt;18,"Under 18",B330 &lt;=25,"18-25",B330&lt;=35,"26-35",B330&lt;=45,"36-45",B330&lt;=60,"46-60",TRUE,"60+")</f>
        <v>60+</v>
      </c>
      <c r="N330" t="str">
        <f t="shared" si="16"/>
        <v>Discounted</v>
      </c>
      <c r="O330" t="str">
        <f t="shared" si="17"/>
        <v>Returning</v>
      </c>
    </row>
    <row r="331" spans="1:15" x14ac:dyDescent="0.25">
      <c r="A331">
        <v>330</v>
      </c>
      <c r="B331">
        <v>57</v>
      </c>
      <c r="C331" t="s">
        <v>16</v>
      </c>
      <c r="D331" t="s">
        <v>27</v>
      </c>
      <c r="E331" t="s">
        <v>53</v>
      </c>
      <c r="F331" s="1">
        <v>2524.81</v>
      </c>
      <c r="G331" t="s">
        <v>14</v>
      </c>
      <c r="H331" t="s">
        <v>15</v>
      </c>
      <c r="I331" s="2">
        <v>3.8</v>
      </c>
      <c r="J331" s="4">
        <v>17</v>
      </c>
      <c r="K331" s="3">
        <v>6</v>
      </c>
      <c r="L331" s="1">
        <f t="shared" si="15"/>
        <v>2095.5922999999998</v>
      </c>
      <c r="M331" t="str" cm="1">
        <f t="array" ref="M331">_xlfn.IFS(B331&lt;18,"Under 18",B331 &lt;=25,"18-25",B331&lt;=35,"26-35",B331&lt;=45,"36-45",B331&lt;=60,"46-60",TRUE,"60+")</f>
        <v>46-60</v>
      </c>
      <c r="N331" t="str">
        <f t="shared" si="16"/>
        <v>Discounted</v>
      </c>
      <c r="O331" t="str">
        <f t="shared" si="17"/>
        <v>Returning</v>
      </c>
    </row>
    <row r="332" spans="1:15" x14ac:dyDescent="0.25">
      <c r="A332">
        <v>331</v>
      </c>
      <c r="B332">
        <v>62</v>
      </c>
      <c r="C332" t="s">
        <v>16</v>
      </c>
      <c r="D332" t="s">
        <v>17</v>
      </c>
      <c r="E332" t="s">
        <v>18</v>
      </c>
      <c r="F332" s="1">
        <v>83.68</v>
      </c>
      <c r="G332" t="s">
        <v>19</v>
      </c>
      <c r="H332" t="s">
        <v>37</v>
      </c>
      <c r="I332" s="2">
        <v>2.9</v>
      </c>
      <c r="J332" s="4">
        <v>10</v>
      </c>
      <c r="K332" s="3">
        <v>5</v>
      </c>
      <c r="L332" s="1">
        <f t="shared" si="15"/>
        <v>75.312000000000012</v>
      </c>
      <c r="M332" t="str" cm="1">
        <f t="array" ref="M332">_xlfn.IFS(B332&lt;18,"Under 18",B332 &lt;=25,"18-25",B332&lt;=35,"26-35",B332&lt;=45,"36-45",B332&lt;=60,"46-60",TRUE,"60+")</f>
        <v>60+</v>
      </c>
      <c r="N332" t="str">
        <f t="shared" si="16"/>
        <v>Discounted</v>
      </c>
      <c r="O332" t="str">
        <f t="shared" si="17"/>
        <v>Returning</v>
      </c>
    </row>
    <row r="333" spans="1:15" x14ac:dyDescent="0.25">
      <c r="A333">
        <v>332</v>
      </c>
      <c r="B333">
        <v>60</v>
      </c>
      <c r="C333" t="s">
        <v>16</v>
      </c>
      <c r="D333" t="s">
        <v>17</v>
      </c>
      <c r="E333" t="s">
        <v>35</v>
      </c>
      <c r="F333" s="1">
        <v>128.55000000000001</v>
      </c>
      <c r="G333" t="s">
        <v>19</v>
      </c>
      <c r="H333" t="s">
        <v>15</v>
      </c>
      <c r="I333" s="2">
        <v>4.5999999999999996</v>
      </c>
      <c r="J333" s="4">
        <v>18</v>
      </c>
      <c r="K333" s="3">
        <v>4</v>
      </c>
      <c r="L333" s="1">
        <f t="shared" si="15"/>
        <v>105.41100000000002</v>
      </c>
      <c r="M333" t="str" cm="1">
        <f t="array" ref="M333">_xlfn.IFS(B333&lt;18,"Under 18",B333 &lt;=25,"18-25",B333&lt;=35,"26-35",B333&lt;=45,"36-45",B333&lt;=60,"46-60",TRUE,"60+")</f>
        <v>46-60</v>
      </c>
      <c r="N333" t="str">
        <f t="shared" si="16"/>
        <v>Discounted</v>
      </c>
      <c r="O333" t="str">
        <f t="shared" si="17"/>
        <v>Returning</v>
      </c>
    </row>
    <row r="334" spans="1:15" x14ac:dyDescent="0.25">
      <c r="A334">
        <v>333</v>
      </c>
      <c r="B334">
        <v>47</v>
      </c>
      <c r="C334" t="s">
        <v>16</v>
      </c>
      <c r="D334" t="s">
        <v>22</v>
      </c>
      <c r="E334" t="s">
        <v>23</v>
      </c>
      <c r="F334" s="1">
        <v>284.08</v>
      </c>
      <c r="G334" t="s">
        <v>14</v>
      </c>
      <c r="H334" t="s">
        <v>15</v>
      </c>
      <c r="I334" s="2">
        <v>3.3</v>
      </c>
      <c r="J334" s="4">
        <v>16</v>
      </c>
      <c r="K334" s="3">
        <v>3</v>
      </c>
      <c r="L334" s="1">
        <f t="shared" si="15"/>
        <v>238.62719999999999</v>
      </c>
      <c r="M334" t="str" cm="1">
        <f t="array" ref="M334">_xlfn.IFS(B334&lt;18,"Under 18",B334 &lt;=25,"18-25",B334&lt;=35,"26-35",B334&lt;=45,"36-45",B334&lt;=60,"46-60",TRUE,"60+")</f>
        <v>46-60</v>
      </c>
      <c r="N334" t="str">
        <f t="shared" si="16"/>
        <v>Discounted</v>
      </c>
      <c r="O334" t="str">
        <f t="shared" si="17"/>
        <v>Returning</v>
      </c>
    </row>
    <row r="335" spans="1:15" x14ac:dyDescent="0.25">
      <c r="A335">
        <v>334</v>
      </c>
      <c r="B335">
        <v>57</v>
      </c>
      <c r="C335" t="s">
        <v>11</v>
      </c>
      <c r="D335" t="s">
        <v>41</v>
      </c>
      <c r="E335" t="s">
        <v>44</v>
      </c>
      <c r="F335" s="1">
        <v>140.29</v>
      </c>
      <c r="G335" t="s">
        <v>14</v>
      </c>
      <c r="H335" t="s">
        <v>15</v>
      </c>
      <c r="I335" s="2">
        <v>5</v>
      </c>
      <c r="J335" s="4">
        <v>12</v>
      </c>
      <c r="K335" s="3">
        <v>6</v>
      </c>
      <c r="L335" s="1">
        <f t="shared" si="15"/>
        <v>123.45519999999999</v>
      </c>
      <c r="M335" t="str" cm="1">
        <f t="array" ref="M335">_xlfn.IFS(B335&lt;18,"Under 18",B335 &lt;=25,"18-25",B335&lt;=35,"26-35",B335&lt;=45,"36-45",B335&lt;=60,"46-60",TRUE,"60+")</f>
        <v>46-60</v>
      </c>
      <c r="N335" t="str">
        <f t="shared" si="16"/>
        <v>Discounted</v>
      </c>
      <c r="O335" t="str">
        <f t="shared" si="17"/>
        <v>Returning</v>
      </c>
    </row>
    <row r="336" spans="1:15" x14ac:dyDescent="0.25">
      <c r="A336">
        <v>335</v>
      </c>
      <c r="B336">
        <v>53</v>
      </c>
      <c r="C336" t="s">
        <v>11</v>
      </c>
      <c r="D336" t="s">
        <v>12</v>
      </c>
      <c r="E336" t="s">
        <v>56</v>
      </c>
      <c r="F336" s="1">
        <v>29.37</v>
      </c>
      <c r="G336" t="s">
        <v>14</v>
      </c>
      <c r="H336" t="s">
        <v>37</v>
      </c>
      <c r="I336" s="2">
        <v>3.2</v>
      </c>
      <c r="J336" s="4">
        <v>24</v>
      </c>
      <c r="K336" s="3">
        <v>7</v>
      </c>
      <c r="L336" s="1">
        <f t="shared" si="15"/>
        <v>22.321200000000001</v>
      </c>
      <c r="M336" t="str" cm="1">
        <f t="array" ref="M336">_xlfn.IFS(B336&lt;18,"Under 18",B336 &lt;=25,"18-25",B336&lt;=35,"26-35",B336&lt;=45,"36-45",B336&lt;=60,"46-60",TRUE,"60+")</f>
        <v>46-60</v>
      </c>
      <c r="N336" t="str">
        <f t="shared" si="16"/>
        <v>Discounted</v>
      </c>
      <c r="O336" t="str">
        <f t="shared" si="17"/>
        <v>Returning</v>
      </c>
    </row>
    <row r="337" spans="1:15" x14ac:dyDescent="0.25">
      <c r="A337">
        <v>336</v>
      </c>
      <c r="B337">
        <v>48</v>
      </c>
      <c r="C337" t="s">
        <v>11</v>
      </c>
      <c r="D337" t="s">
        <v>12</v>
      </c>
      <c r="E337" t="s">
        <v>50</v>
      </c>
      <c r="F337" s="1">
        <v>79.45</v>
      </c>
      <c r="G337" t="s">
        <v>19</v>
      </c>
      <c r="H337" t="s">
        <v>15</v>
      </c>
      <c r="I337" s="2">
        <v>4</v>
      </c>
      <c r="J337" s="4">
        <v>15</v>
      </c>
      <c r="K337" s="3">
        <v>5</v>
      </c>
      <c r="L337" s="1">
        <f t="shared" si="15"/>
        <v>67.532499999999999</v>
      </c>
      <c r="M337" t="str" cm="1">
        <f t="array" ref="M337">_xlfn.IFS(B337&lt;18,"Under 18",B337 &lt;=25,"18-25",B337&lt;=35,"26-35",B337&lt;=45,"36-45",B337&lt;=60,"46-60",TRUE,"60+")</f>
        <v>46-60</v>
      </c>
      <c r="N337" t="str">
        <f t="shared" si="16"/>
        <v>Discounted</v>
      </c>
      <c r="O337" t="str">
        <f t="shared" si="17"/>
        <v>Returning</v>
      </c>
    </row>
    <row r="338" spans="1:15" x14ac:dyDescent="0.25">
      <c r="A338">
        <v>337</v>
      </c>
      <c r="B338">
        <v>63</v>
      </c>
      <c r="C338" t="s">
        <v>11</v>
      </c>
      <c r="D338" t="s">
        <v>41</v>
      </c>
      <c r="E338" t="s">
        <v>45</v>
      </c>
      <c r="F338" s="1">
        <v>77.099999999999994</v>
      </c>
      <c r="G338" t="s">
        <v>24</v>
      </c>
      <c r="H338" t="s">
        <v>37</v>
      </c>
      <c r="I338" s="2">
        <v>2.1</v>
      </c>
      <c r="J338" s="4">
        <v>17</v>
      </c>
      <c r="K338" s="3">
        <v>6</v>
      </c>
      <c r="L338" s="1">
        <f t="shared" si="15"/>
        <v>63.992999999999995</v>
      </c>
      <c r="M338" t="str" cm="1">
        <f t="array" ref="M338">_xlfn.IFS(B338&lt;18,"Under 18",B338 &lt;=25,"18-25",B338&lt;=35,"26-35",B338&lt;=45,"36-45",B338&lt;=60,"46-60",TRUE,"60+")</f>
        <v>60+</v>
      </c>
      <c r="N338" t="str">
        <f t="shared" si="16"/>
        <v>Discounted</v>
      </c>
      <c r="O338" t="str">
        <f t="shared" si="17"/>
        <v>Returning</v>
      </c>
    </row>
    <row r="339" spans="1:15" x14ac:dyDescent="0.25">
      <c r="A339">
        <v>338</v>
      </c>
      <c r="B339">
        <v>49</v>
      </c>
      <c r="C339" t="s">
        <v>16</v>
      </c>
      <c r="D339" t="s">
        <v>17</v>
      </c>
      <c r="E339" t="s">
        <v>18</v>
      </c>
      <c r="F339" s="1">
        <v>163.61000000000001</v>
      </c>
      <c r="G339" t="s">
        <v>24</v>
      </c>
      <c r="H339" t="s">
        <v>15</v>
      </c>
      <c r="I339" s="2">
        <v>2.9</v>
      </c>
      <c r="J339" s="4">
        <v>6</v>
      </c>
      <c r="K339" s="3">
        <v>3</v>
      </c>
      <c r="L339" s="1">
        <f t="shared" si="15"/>
        <v>153.79339999999999</v>
      </c>
      <c r="M339" t="str" cm="1">
        <f t="array" ref="M339">_xlfn.IFS(B339&lt;18,"Under 18",B339 &lt;=25,"18-25",B339&lt;=35,"26-35",B339&lt;=45,"36-45",B339&lt;=60,"46-60",TRUE,"60+")</f>
        <v>46-60</v>
      </c>
      <c r="N339" t="str">
        <f t="shared" si="16"/>
        <v>Discounted</v>
      </c>
      <c r="O339" t="str">
        <f t="shared" si="17"/>
        <v>Returning</v>
      </c>
    </row>
    <row r="340" spans="1:15" x14ac:dyDescent="0.25">
      <c r="A340">
        <v>339</v>
      </c>
      <c r="B340">
        <v>62</v>
      </c>
      <c r="C340" t="s">
        <v>11</v>
      </c>
      <c r="D340" t="s">
        <v>41</v>
      </c>
      <c r="E340" t="s">
        <v>42</v>
      </c>
      <c r="F340" s="1">
        <v>34.1</v>
      </c>
      <c r="G340" t="s">
        <v>14</v>
      </c>
      <c r="H340" t="s">
        <v>15</v>
      </c>
      <c r="I340" s="2">
        <v>2.8</v>
      </c>
      <c r="J340" s="4">
        <v>9</v>
      </c>
      <c r="K340" s="3">
        <v>2</v>
      </c>
      <c r="L340" s="1">
        <f t="shared" si="15"/>
        <v>31.031000000000002</v>
      </c>
      <c r="M340" t="str" cm="1">
        <f t="array" ref="M340">_xlfn.IFS(B340&lt;18,"Under 18",B340 &lt;=25,"18-25",B340&lt;=35,"26-35",B340&lt;=45,"36-45",B340&lt;=60,"46-60",TRUE,"60+")</f>
        <v>60+</v>
      </c>
      <c r="N340" t="str">
        <f t="shared" si="16"/>
        <v>Discounted</v>
      </c>
      <c r="O340" t="str">
        <f t="shared" si="17"/>
        <v>Returning</v>
      </c>
    </row>
    <row r="341" spans="1:15" x14ac:dyDescent="0.25">
      <c r="A341">
        <v>340</v>
      </c>
      <c r="B341">
        <v>50</v>
      </c>
      <c r="C341" t="s">
        <v>11</v>
      </c>
      <c r="D341" t="s">
        <v>12</v>
      </c>
      <c r="E341" t="s">
        <v>56</v>
      </c>
      <c r="F341" s="1">
        <v>62.32</v>
      </c>
      <c r="G341" t="s">
        <v>24</v>
      </c>
      <c r="H341" t="s">
        <v>15</v>
      </c>
      <c r="I341" s="2">
        <v>3.5</v>
      </c>
      <c r="J341" s="4">
        <v>18</v>
      </c>
      <c r="K341" s="3">
        <v>4</v>
      </c>
      <c r="L341" s="1">
        <f t="shared" si="15"/>
        <v>51.102400000000003</v>
      </c>
      <c r="M341" t="str" cm="1">
        <f t="array" ref="M341">_xlfn.IFS(B341&lt;18,"Under 18",B341 &lt;=25,"18-25",B341&lt;=35,"26-35",B341&lt;=45,"36-45",B341&lt;=60,"46-60",TRUE,"60+")</f>
        <v>46-60</v>
      </c>
      <c r="N341" t="str">
        <f t="shared" si="16"/>
        <v>Discounted</v>
      </c>
      <c r="O341" t="str">
        <f t="shared" si="17"/>
        <v>Returning</v>
      </c>
    </row>
    <row r="342" spans="1:15" x14ac:dyDescent="0.25">
      <c r="A342">
        <v>341</v>
      </c>
      <c r="B342">
        <v>35</v>
      </c>
      <c r="C342" t="s">
        <v>16</v>
      </c>
      <c r="D342" t="s">
        <v>20</v>
      </c>
      <c r="E342" t="s">
        <v>39</v>
      </c>
      <c r="F342" s="1">
        <v>165.77</v>
      </c>
      <c r="G342" t="s">
        <v>31</v>
      </c>
      <c r="H342" t="s">
        <v>15</v>
      </c>
      <c r="I342" s="2">
        <v>3.3</v>
      </c>
      <c r="J342" s="4">
        <v>14</v>
      </c>
      <c r="K342" s="3">
        <v>2</v>
      </c>
      <c r="L342" s="1">
        <f t="shared" si="15"/>
        <v>142.56220000000002</v>
      </c>
      <c r="M342" t="str" cm="1">
        <f t="array" ref="M342">_xlfn.IFS(B342&lt;18,"Under 18",B342 &lt;=25,"18-25",B342&lt;=35,"26-35",B342&lt;=45,"36-45",B342&lt;=60,"46-60",TRUE,"60+")</f>
        <v>26-35</v>
      </c>
      <c r="N342" t="str">
        <f t="shared" si="16"/>
        <v>Discounted</v>
      </c>
      <c r="O342" t="str">
        <f t="shared" si="17"/>
        <v>Returning</v>
      </c>
    </row>
    <row r="343" spans="1:15" x14ac:dyDescent="0.25">
      <c r="A343">
        <v>342</v>
      </c>
      <c r="B343">
        <v>29</v>
      </c>
      <c r="C343" t="s">
        <v>16</v>
      </c>
      <c r="D343" t="s">
        <v>33</v>
      </c>
      <c r="E343" t="s">
        <v>38</v>
      </c>
      <c r="F343" s="1">
        <v>132.79</v>
      </c>
      <c r="G343" t="s">
        <v>31</v>
      </c>
      <c r="H343" t="s">
        <v>15</v>
      </c>
      <c r="I343" s="2">
        <v>4.4000000000000004</v>
      </c>
      <c r="J343" s="4">
        <v>14</v>
      </c>
      <c r="K343" s="3">
        <v>2</v>
      </c>
      <c r="L343" s="1">
        <f t="shared" si="15"/>
        <v>114.1994</v>
      </c>
      <c r="M343" t="str" cm="1">
        <f t="array" ref="M343">_xlfn.IFS(B343&lt;18,"Under 18",B343 &lt;=25,"18-25",B343&lt;=35,"26-35",B343&lt;=45,"36-45",B343&lt;=60,"46-60",TRUE,"60+")</f>
        <v>26-35</v>
      </c>
      <c r="N343" t="str">
        <f t="shared" si="16"/>
        <v>Discounted</v>
      </c>
      <c r="O343" t="str">
        <f t="shared" si="17"/>
        <v>Returning</v>
      </c>
    </row>
    <row r="344" spans="1:15" x14ac:dyDescent="0.25">
      <c r="A344">
        <v>343</v>
      </c>
      <c r="B344">
        <v>25</v>
      </c>
      <c r="C344" t="s">
        <v>11</v>
      </c>
      <c r="D344" t="s">
        <v>29</v>
      </c>
      <c r="E344" t="s">
        <v>55</v>
      </c>
      <c r="F344" s="1">
        <v>82.83</v>
      </c>
      <c r="G344" t="s">
        <v>14</v>
      </c>
      <c r="H344" t="s">
        <v>15</v>
      </c>
      <c r="I344" s="2">
        <v>4.4000000000000004</v>
      </c>
      <c r="J344" s="4">
        <v>8</v>
      </c>
      <c r="K344" s="3">
        <v>4</v>
      </c>
      <c r="L344" s="1">
        <f t="shared" si="15"/>
        <v>76.203600000000009</v>
      </c>
      <c r="M344" t="str" cm="1">
        <f t="array" ref="M344">_xlfn.IFS(B344&lt;18,"Under 18",B344 &lt;=25,"18-25",B344&lt;=35,"26-35",B344&lt;=45,"36-45",B344&lt;=60,"46-60",TRUE,"60+")</f>
        <v>18-25</v>
      </c>
      <c r="N344" t="str">
        <f t="shared" si="16"/>
        <v>Discounted</v>
      </c>
      <c r="O344" t="str">
        <f t="shared" si="17"/>
        <v>Returning</v>
      </c>
    </row>
    <row r="345" spans="1:15" x14ac:dyDescent="0.25">
      <c r="A345">
        <v>344</v>
      </c>
      <c r="B345">
        <v>28</v>
      </c>
      <c r="C345" t="s">
        <v>11</v>
      </c>
      <c r="D345" t="s">
        <v>29</v>
      </c>
      <c r="E345" t="s">
        <v>55</v>
      </c>
      <c r="F345" s="1">
        <v>139.28</v>
      </c>
      <c r="G345" t="s">
        <v>14</v>
      </c>
      <c r="H345" t="s">
        <v>15</v>
      </c>
      <c r="I345" s="2">
        <v>5</v>
      </c>
      <c r="J345" s="4">
        <v>21</v>
      </c>
      <c r="K345" s="3">
        <v>8</v>
      </c>
      <c r="L345" s="1">
        <f t="shared" si="15"/>
        <v>110.03120000000001</v>
      </c>
      <c r="M345" t="str" cm="1">
        <f t="array" ref="M345">_xlfn.IFS(B345&lt;18,"Under 18",B345 &lt;=25,"18-25",B345&lt;=35,"26-35",B345&lt;=45,"36-45",B345&lt;=60,"46-60",TRUE,"60+")</f>
        <v>26-35</v>
      </c>
      <c r="N345" t="str">
        <f t="shared" si="16"/>
        <v>Discounted</v>
      </c>
      <c r="O345" t="str">
        <f t="shared" si="17"/>
        <v>Returning</v>
      </c>
    </row>
    <row r="346" spans="1:15" x14ac:dyDescent="0.25">
      <c r="A346">
        <v>345</v>
      </c>
      <c r="B346">
        <v>44</v>
      </c>
      <c r="C346" t="s">
        <v>16</v>
      </c>
      <c r="D346" t="s">
        <v>17</v>
      </c>
      <c r="E346" t="s">
        <v>35</v>
      </c>
      <c r="F346" s="1">
        <v>145.69</v>
      </c>
      <c r="G346" t="s">
        <v>19</v>
      </c>
      <c r="H346" t="s">
        <v>15</v>
      </c>
      <c r="I346" s="2">
        <v>3.4</v>
      </c>
      <c r="J346" s="4">
        <v>6</v>
      </c>
      <c r="K346" s="3">
        <v>3</v>
      </c>
      <c r="L346" s="1">
        <f t="shared" si="15"/>
        <v>136.9486</v>
      </c>
      <c r="M346" t="str" cm="1">
        <f t="array" ref="M346">_xlfn.IFS(B346&lt;18,"Under 18",B346 &lt;=25,"18-25",B346&lt;=35,"26-35",B346&lt;=45,"36-45",B346&lt;=60,"46-60",TRUE,"60+")</f>
        <v>36-45</v>
      </c>
      <c r="N346" t="str">
        <f t="shared" si="16"/>
        <v>Discounted</v>
      </c>
      <c r="O346" t="str">
        <f t="shared" si="17"/>
        <v>Returning</v>
      </c>
    </row>
    <row r="347" spans="1:15" x14ac:dyDescent="0.25">
      <c r="A347">
        <v>346</v>
      </c>
      <c r="B347">
        <v>47</v>
      </c>
      <c r="C347" t="s">
        <v>11</v>
      </c>
      <c r="D347" t="s">
        <v>12</v>
      </c>
      <c r="E347" t="s">
        <v>13</v>
      </c>
      <c r="F347" s="1">
        <v>28.87</v>
      </c>
      <c r="G347" t="s">
        <v>14</v>
      </c>
      <c r="H347" t="s">
        <v>37</v>
      </c>
      <c r="I347" s="2">
        <v>3</v>
      </c>
      <c r="J347" s="4">
        <v>10</v>
      </c>
      <c r="K347" s="3">
        <v>5</v>
      </c>
      <c r="L347" s="1">
        <f t="shared" si="15"/>
        <v>25.983000000000001</v>
      </c>
      <c r="M347" t="str" cm="1">
        <f t="array" ref="M347">_xlfn.IFS(B347&lt;18,"Under 18",B347 &lt;=25,"18-25",B347&lt;=35,"26-35",B347&lt;=45,"36-45",B347&lt;=60,"46-60",TRUE,"60+")</f>
        <v>46-60</v>
      </c>
      <c r="N347" t="str">
        <f t="shared" si="16"/>
        <v>Discounted</v>
      </c>
      <c r="O347" t="str">
        <f t="shared" si="17"/>
        <v>Returning</v>
      </c>
    </row>
    <row r="348" spans="1:15" x14ac:dyDescent="0.25">
      <c r="A348">
        <v>347</v>
      </c>
      <c r="B348">
        <v>22</v>
      </c>
      <c r="C348" t="s">
        <v>11</v>
      </c>
      <c r="D348" t="s">
        <v>33</v>
      </c>
      <c r="E348" t="s">
        <v>38</v>
      </c>
      <c r="F348" s="1">
        <v>122.56</v>
      </c>
      <c r="G348" t="s">
        <v>24</v>
      </c>
      <c r="H348" t="s">
        <v>15</v>
      </c>
      <c r="I348" s="2">
        <v>4.0999999999999996</v>
      </c>
      <c r="J348" s="4">
        <v>14</v>
      </c>
      <c r="K348" s="3">
        <v>2</v>
      </c>
      <c r="L348" s="1">
        <f t="shared" si="15"/>
        <v>105.4016</v>
      </c>
      <c r="M348" t="str" cm="1">
        <f t="array" ref="M348">_xlfn.IFS(B348&lt;18,"Under 18",B348 &lt;=25,"18-25",B348&lt;=35,"26-35",B348&lt;=45,"36-45",B348&lt;=60,"46-60",TRUE,"60+")</f>
        <v>18-25</v>
      </c>
      <c r="N348" t="str">
        <f t="shared" si="16"/>
        <v>Discounted</v>
      </c>
      <c r="O348" t="str">
        <f t="shared" si="17"/>
        <v>Returning</v>
      </c>
    </row>
    <row r="349" spans="1:15" x14ac:dyDescent="0.25">
      <c r="A349">
        <v>348</v>
      </c>
      <c r="B349">
        <v>69</v>
      </c>
      <c r="C349" t="s">
        <v>16</v>
      </c>
      <c r="D349" t="s">
        <v>33</v>
      </c>
      <c r="E349" t="s">
        <v>40</v>
      </c>
      <c r="F349" s="1">
        <v>98.93</v>
      </c>
      <c r="G349" t="s">
        <v>31</v>
      </c>
      <c r="H349" t="s">
        <v>15</v>
      </c>
      <c r="I349" s="2">
        <v>3</v>
      </c>
      <c r="J349" s="4">
        <v>24</v>
      </c>
      <c r="K349" s="3">
        <v>7</v>
      </c>
      <c r="L349" s="1">
        <f t="shared" si="15"/>
        <v>75.186800000000005</v>
      </c>
      <c r="M349" t="str" cm="1">
        <f t="array" ref="M349">_xlfn.IFS(B349&lt;18,"Under 18",B349 &lt;=25,"18-25",B349&lt;=35,"26-35",B349&lt;=45,"36-45",B349&lt;=60,"46-60",TRUE,"60+")</f>
        <v>60+</v>
      </c>
      <c r="N349" t="str">
        <f t="shared" si="16"/>
        <v>Discounted</v>
      </c>
      <c r="O349" t="str">
        <f t="shared" si="17"/>
        <v>Returning</v>
      </c>
    </row>
    <row r="350" spans="1:15" x14ac:dyDescent="0.25">
      <c r="A350">
        <v>349</v>
      </c>
      <c r="B350">
        <v>41</v>
      </c>
      <c r="C350" t="s">
        <v>16</v>
      </c>
      <c r="D350" t="s">
        <v>20</v>
      </c>
      <c r="E350" t="s">
        <v>36</v>
      </c>
      <c r="F350" s="1">
        <v>207.36</v>
      </c>
      <c r="G350" t="s">
        <v>19</v>
      </c>
      <c r="H350" t="s">
        <v>15</v>
      </c>
      <c r="I350" s="2">
        <v>3.9</v>
      </c>
      <c r="J350" s="4">
        <v>13</v>
      </c>
      <c r="K350" s="3">
        <v>4</v>
      </c>
      <c r="L350" s="1">
        <f t="shared" si="15"/>
        <v>180.4032</v>
      </c>
      <c r="M350" t="str" cm="1">
        <f t="array" ref="M350">_xlfn.IFS(B350&lt;18,"Under 18",B350 &lt;=25,"18-25",B350&lt;=35,"26-35",B350&lt;=45,"36-45",B350&lt;=60,"46-60",TRUE,"60+")</f>
        <v>36-45</v>
      </c>
      <c r="N350" t="str">
        <f t="shared" si="16"/>
        <v>Discounted</v>
      </c>
      <c r="O350" t="str">
        <f t="shared" si="17"/>
        <v>Returning</v>
      </c>
    </row>
    <row r="351" spans="1:15" x14ac:dyDescent="0.25">
      <c r="A351">
        <v>350</v>
      </c>
      <c r="B351">
        <v>54</v>
      </c>
      <c r="C351" t="s">
        <v>11</v>
      </c>
      <c r="D351" t="s">
        <v>29</v>
      </c>
      <c r="E351" t="s">
        <v>51</v>
      </c>
      <c r="F351" s="1">
        <v>87.55</v>
      </c>
      <c r="G351" t="s">
        <v>19</v>
      </c>
      <c r="H351" t="s">
        <v>15</v>
      </c>
      <c r="I351" s="2">
        <v>3.6</v>
      </c>
      <c r="J351" s="4">
        <v>18</v>
      </c>
      <c r="K351" s="3">
        <v>4</v>
      </c>
      <c r="L351" s="1">
        <f t="shared" si="15"/>
        <v>71.790999999999997</v>
      </c>
      <c r="M351" t="str" cm="1">
        <f t="array" ref="M351">_xlfn.IFS(B351&lt;18,"Under 18",B351 &lt;=25,"18-25",B351&lt;=35,"26-35",B351&lt;=45,"36-45",B351&lt;=60,"46-60",TRUE,"60+")</f>
        <v>46-60</v>
      </c>
      <c r="N351" t="str">
        <f t="shared" si="16"/>
        <v>Discounted</v>
      </c>
      <c r="O351" t="str">
        <f t="shared" si="17"/>
        <v>Returning</v>
      </c>
    </row>
    <row r="352" spans="1:15" x14ac:dyDescent="0.25">
      <c r="A352">
        <v>351</v>
      </c>
      <c r="B352">
        <v>40</v>
      </c>
      <c r="C352" t="s">
        <v>11</v>
      </c>
      <c r="D352" t="s">
        <v>29</v>
      </c>
      <c r="E352" t="s">
        <v>55</v>
      </c>
      <c r="F352" s="1">
        <v>47.08</v>
      </c>
      <c r="G352" t="s">
        <v>24</v>
      </c>
      <c r="H352" t="s">
        <v>15</v>
      </c>
      <c r="I352" s="2">
        <v>3</v>
      </c>
      <c r="J352" s="4">
        <v>12</v>
      </c>
      <c r="K352" s="3">
        <v>6</v>
      </c>
      <c r="L352" s="1">
        <f t="shared" si="15"/>
        <v>41.430399999999999</v>
      </c>
      <c r="M352" t="str" cm="1">
        <f t="array" ref="M352">_xlfn.IFS(B352&lt;18,"Under 18",B352 &lt;=25,"18-25",B352&lt;=35,"26-35",B352&lt;=45,"36-45",B352&lt;=60,"46-60",TRUE,"60+")</f>
        <v>36-45</v>
      </c>
      <c r="N352" t="str">
        <f t="shared" si="16"/>
        <v>Discounted</v>
      </c>
      <c r="O352" t="str">
        <f t="shared" si="17"/>
        <v>Returning</v>
      </c>
    </row>
    <row r="353" spans="1:15" x14ac:dyDescent="0.25">
      <c r="A353">
        <v>352</v>
      </c>
      <c r="B353">
        <v>63</v>
      </c>
      <c r="C353" t="s">
        <v>11</v>
      </c>
      <c r="D353" t="s">
        <v>20</v>
      </c>
      <c r="E353" t="s">
        <v>39</v>
      </c>
      <c r="F353" s="1">
        <v>104.84</v>
      </c>
      <c r="G353" t="s">
        <v>19</v>
      </c>
      <c r="H353" t="s">
        <v>15</v>
      </c>
      <c r="I353" s="2">
        <v>4.3</v>
      </c>
      <c r="J353" s="4">
        <v>18</v>
      </c>
      <c r="K353" s="3">
        <v>9</v>
      </c>
      <c r="L353" s="1">
        <f t="shared" si="15"/>
        <v>85.968800000000016</v>
      </c>
      <c r="M353" t="str" cm="1">
        <f t="array" ref="M353">_xlfn.IFS(B353&lt;18,"Under 18",B353 &lt;=25,"18-25",B353&lt;=35,"26-35",B353&lt;=45,"36-45",B353&lt;=60,"46-60",TRUE,"60+")</f>
        <v>60+</v>
      </c>
      <c r="N353" t="str">
        <f t="shared" si="16"/>
        <v>Discounted</v>
      </c>
      <c r="O353" t="str">
        <f t="shared" si="17"/>
        <v>Returning</v>
      </c>
    </row>
    <row r="354" spans="1:15" x14ac:dyDescent="0.25">
      <c r="A354">
        <v>353</v>
      </c>
      <c r="B354">
        <v>47</v>
      </c>
      <c r="C354" t="s">
        <v>16</v>
      </c>
      <c r="D354" t="s">
        <v>17</v>
      </c>
      <c r="E354" t="s">
        <v>18</v>
      </c>
      <c r="F354" s="1">
        <v>84.24</v>
      </c>
      <c r="G354" t="s">
        <v>14</v>
      </c>
      <c r="H354" t="s">
        <v>37</v>
      </c>
      <c r="I354" s="2">
        <v>3.1</v>
      </c>
      <c r="J354" s="4">
        <v>13</v>
      </c>
      <c r="K354" s="3">
        <v>4</v>
      </c>
      <c r="L354" s="1">
        <f t="shared" si="15"/>
        <v>73.288799999999995</v>
      </c>
      <c r="M354" t="str" cm="1">
        <f t="array" ref="M354">_xlfn.IFS(B354&lt;18,"Under 18",B354 &lt;=25,"18-25",B354&lt;=35,"26-35",B354&lt;=45,"36-45",B354&lt;=60,"46-60",TRUE,"60+")</f>
        <v>46-60</v>
      </c>
      <c r="N354" t="str">
        <f t="shared" si="16"/>
        <v>Discounted</v>
      </c>
      <c r="O354" t="str">
        <f t="shared" si="17"/>
        <v>Returning</v>
      </c>
    </row>
    <row r="355" spans="1:15" x14ac:dyDescent="0.25">
      <c r="A355">
        <v>354</v>
      </c>
      <c r="B355">
        <v>68</v>
      </c>
      <c r="C355" t="s">
        <v>11</v>
      </c>
      <c r="D355" t="s">
        <v>29</v>
      </c>
      <c r="E355" t="s">
        <v>30</v>
      </c>
      <c r="F355" s="1">
        <v>136.55000000000001</v>
      </c>
      <c r="G355" t="s">
        <v>31</v>
      </c>
      <c r="H355" t="s">
        <v>15</v>
      </c>
      <c r="I355" s="2">
        <v>3.6</v>
      </c>
      <c r="J355" s="4">
        <v>7</v>
      </c>
      <c r="K355" s="3">
        <v>1</v>
      </c>
      <c r="L355" s="1">
        <f t="shared" si="15"/>
        <v>126.9915</v>
      </c>
      <c r="M355" t="str" cm="1">
        <f t="array" ref="M355">_xlfn.IFS(B355&lt;18,"Under 18",B355 &lt;=25,"18-25",B355&lt;=35,"26-35",B355&lt;=45,"36-45",B355&lt;=60,"46-60",TRUE,"60+")</f>
        <v>60+</v>
      </c>
      <c r="N355" t="str">
        <f t="shared" si="16"/>
        <v>Discounted</v>
      </c>
      <c r="O355" t="str">
        <f t="shared" si="17"/>
        <v>Returning</v>
      </c>
    </row>
    <row r="356" spans="1:15" x14ac:dyDescent="0.25">
      <c r="A356">
        <v>355</v>
      </c>
      <c r="B356">
        <v>53</v>
      </c>
      <c r="C356" t="s">
        <v>16</v>
      </c>
      <c r="D356" t="s">
        <v>27</v>
      </c>
      <c r="E356" t="s">
        <v>53</v>
      </c>
      <c r="F356" s="1">
        <v>2520.9899999999998</v>
      </c>
      <c r="G356" t="s">
        <v>24</v>
      </c>
      <c r="H356" t="s">
        <v>15</v>
      </c>
      <c r="I356" s="2">
        <v>3.1</v>
      </c>
      <c r="J356" s="4">
        <v>18</v>
      </c>
      <c r="K356" s="3">
        <v>4</v>
      </c>
      <c r="L356" s="1">
        <f t="shared" si="15"/>
        <v>2067.2118</v>
      </c>
      <c r="M356" t="str" cm="1">
        <f t="array" ref="M356">_xlfn.IFS(B356&lt;18,"Under 18",B356 &lt;=25,"18-25",B356&lt;=35,"26-35",B356&lt;=45,"36-45",B356&lt;=60,"46-60",TRUE,"60+")</f>
        <v>46-60</v>
      </c>
      <c r="N356" t="str">
        <f t="shared" si="16"/>
        <v>Discounted</v>
      </c>
      <c r="O356" t="str">
        <f t="shared" si="17"/>
        <v>Returning</v>
      </c>
    </row>
    <row r="357" spans="1:15" x14ac:dyDescent="0.25">
      <c r="A357">
        <v>356</v>
      </c>
      <c r="B357">
        <v>25</v>
      </c>
      <c r="C357" t="s">
        <v>16</v>
      </c>
      <c r="D357" t="s">
        <v>20</v>
      </c>
      <c r="E357" t="s">
        <v>21</v>
      </c>
      <c r="F357" s="1">
        <v>43.35</v>
      </c>
      <c r="G357" t="s">
        <v>31</v>
      </c>
      <c r="H357" t="s">
        <v>15</v>
      </c>
      <c r="I357" s="2">
        <v>2.2000000000000002</v>
      </c>
      <c r="J357" s="4">
        <v>6</v>
      </c>
      <c r="K357" s="3">
        <v>3</v>
      </c>
      <c r="L357" s="1">
        <f t="shared" si="15"/>
        <v>40.749000000000002</v>
      </c>
      <c r="M357" t="str" cm="1">
        <f t="array" ref="M357">_xlfn.IFS(B357&lt;18,"Under 18",B357 &lt;=25,"18-25",B357&lt;=35,"26-35",B357&lt;=45,"36-45",B357&lt;=60,"46-60",TRUE,"60+")</f>
        <v>18-25</v>
      </c>
      <c r="N357" t="str">
        <f t="shared" si="16"/>
        <v>Discounted</v>
      </c>
      <c r="O357" t="str">
        <f t="shared" si="17"/>
        <v>Returning</v>
      </c>
    </row>
    <row r="358" spans="1:15" x14ac:dyDescent="0.25">
      <c r="A358">
        <v>357</v>
      </c>
      <c r="B358">
        <v>34</v>
      </c>
      <c r="C358" t="s">
        <v>11</v>
      </c>
      <c r="D358" t="s">
        <v>29</v>
      </c>
      <c r="E358" t="s">
        <v>55</v>
      </c>
      <c r="F358" s="1">
        <v>123.83</v>
      </c>
      <c r="G358" t="s">
        <v>19</v>
      </c>
      <c r="H358" t="s">
        <v>15</v>
      </c>
      <c r="I358" s="2">
        <v>5</v>
      </c>
      <c r="J358" s="4">
        <v>4</v>
      </c>
      <c r="K358" s="3">
        <v>2</v>
      </c>
      <c r="L358" s="1">
        <f t="shared" si="15"/>
        <v>118.87679999999999</v>
      </c>
      <c r="M358" t="str" cm="1">
        <f t="array" ref="M358">_xlfn.IFS(B358&lt;18,"Under 18",B358 &lt;=25,"18-25",B358&lt;=35,"26-35",B358&lt;=45,"36-45",B358&lt;=60,"46-60",TRUE,"60+")</f>
        <v>26-35</v>
      </c>
      <c r="N358" t="str">
        <f t="shared" si="16"/>
        <v>Discounted</v>
      </c>
      <c r="O358" t="str">
        <f t="shared" si="17"/>
        <v>Returning</v>
      </c>
    </row>
    <row r="359" spans="1:15" x14ac:dyDescent="0.25">
      <c r="A359">
        <v>358</v>
      </c>
      <c r="B359">
        <v>66</v>
      </c>
      <c r="C359" t="s">
        <v>11</v>
      </c>
      <c r="D359" t="s">
        <v>33</v>
      </c>
      <c r="E359" t="s">
        <v>34</v>
      </c>
      <c r="F359" s="1">
        <v>194.54</v>
      </c>
      <c r="G359" t="s">
        <v>19</v>
      </c>
      <c r="H359" t="s">
        <v>15</v>
      </c>
      <c r="I359" s="2">
        <v>2.6</v>
      </c>
      <c r="J359" s="4">
        <v>6</v>
      </c>
      <c r="K359" s="3">
        <v>3</v>
      </c>
      <c r="L359" s="1">
        <f t="shared" si="15"/>
        <v>182.86759999999998</v>
      </c>
      <c r="M359" t="str" cm="1">
        <f t="array" ref="M359">_xlfn.IFS(B359&lt;18,"Under 18",B359 &lt;=25,"18-25",B359&lt;=35,"26-35",B359&lt;=45,"36-45",B359&lt;=60,"46-60",TRUE,"60+")</f>
        <v>60+</v>
      </c>
      <c r="N359" t="str">
        <f t="shared" si="16"/>
        <v>Discounted</v>
      </c>
      <c r="O359" t="str">
        <f t="shared" si="17"/>
        <v>Returning</v>
      </c>
    </row>
    <row r="360" spans="1:15" x14ac:dyDescent="0.25">
      <c r="A360">
        <v>359</v>
      </c>
      <c r="B360">
        <v>30</v>
      </c>
      <c r="C360" t="s">
        <v>16</v>
      </c>
      <c r="D360" t="s">
        <v>17</v>
      </c>
      <c r="E360" t="s">
        <v>18</v>
      </c>
      <c r="F360" s="1">
        <v>65.61</v>
      </c>
      <c r="G360" t="s">
        <v>31</v>
      </c>
      <c r="H360" t="s">
        <v>15</v>
      </c>
      <c r="I360" s="2">
        <v>3.3</v>
      </c>
      <c r="J360" s="4">
        <v>16</v>
      </c>
      <c r="K360" s="3">
        <v>3</v>
      </c>
      <c r="L360" s="1">
        <f t="shared" si="15"/>
        <v>55.112400000000001</v>
      </c>
      <c r="M360" t="str" cm="1">
        <f t="array" ref="M360">_xlfn.IFS(B360&lt;18,"Under 18",B360 &lt;=25,"18-25",B360&lt;=35,"26-35",B360&lt;=45,"36-45",B360&lt;=60,"46-60",TRUE,"60+")</f>
        <v>26-35</v>
      </c>
      <c r="N360" t="str">
        <f t="shared" si="16"/>
        <v>Discounted</v>
      </c>
      <c r="O360" t="str">
        <f t="shared" si="17"/>
        <v>Returning</v>
      </c>
    </row>
    <row r="361" spans="1:15" x14ac:dyDescent="0.25">
      <c r="A361">
        <v>360</v>
      </c>
      <c r="B361">
        <v>59</v>
      </c>
      <c r="C361" t="s">
        <v>11</v>
      </c>
      <c r="D361" t="s">
        <v>12</v>
      </c>
      <c r="E361" t="s">
        <v>13</v>
      </c>
      <c r="F361" s="1">
        <v>68.540000000000006</v>
      </c>
      <c r="G361" t="s">
        <v>19</v>
      </c>
      <c r="H361" t="s">
        <v>15</v>
      </c>
      <c r="I361" s="2">
        <v>2.7</v>
      </c>
      <c r="J361" s="4">
        <v>21</v>
      </c>
      <c r="K361" s="3">
        <v>8</v>
      </c>
      <c r="L361" s="1">
        <f t="shared" si="15"/>
        <v>54.146600000000007</v>
      </c>
      <c r="M361" t="str" cm="1">
        <f t="array" ref="M361">_xlfn.IFS(B361&lt;18,"Under 18",B361 &lt;=25,"18-25",B361&lt;=35,"26-35",B361&lt;=45,"36-45",B361&lt;=60,"46-60",TRUE,"60+")</f>
        <v>46-60</v>
      </c>
      <c r="N361" t="str">
        <f t="shared" si="16"/>
        <v>Discounted</v>
      </c>
      <c r="O361" t="str">
        <f t="shared" si="17"/>
        <v>Returning</v>
      </c>
    </row>
    <row r="362" spans="1:15" x14ac:dyDescent="0.25">
      <c r="A362">
        <v>361</v>
      </c>
      <c r="B362">
        <v>22</v>
      </c>
      <c r="C362" t="s">
        <v>11</v>
      </c>
      <c r="D362" t="s">
        <v>20</v>
      </c>
      <c r="E362" t="s">
        <v>36</v>
      </c>
      <c r="F362" s="1">
        <v>95.48</v>
      </c>
      <c r="G362" t="s">
        <v>24</v>
      </c>
      <c r="H362" t="s">
        <v>37</v>
      </c>
      <c r="I362" s="2">
        <v>4.0999999999999996</v>
      </c>
      <c r="J362" s="4">
        <v>9</v>
      </c>
      <c r="K362" s="3">
        <v>2</v>
      </c>
      <c r="L362" s="1">
        <f t="shared" si="15"/>
        <v>86.886800000000008</v>
      </c>
      <c r="M362" t="str" cm="1">
        <f t="array" ref="M362">_xlfn.IFS(B362&lt;18,"Under 18",B362 &lt;=25,"18-25",B362&lt;=35,"26-35",B362&lt;=45,"36-45",B362&lt;=60,"46-60",TRUE,"60+")</f>
        <v>18-25</v>
      </c>
      <c r="N362" t="str">
        <f t="shared" si="16"/>
        <v>Discounted</v>
      </c>
      <c r="O362" t="str">
        <f t="shared" si="17"/>
        <v>Returning</v>
      </c>
    </row>
    <row r="363" spans="1:15" x14ac:dyDescent="0.25">
      <c r="A363">
        <v>362</v>
      </c>
      <c r="B363">
        <v>23</v>
      </c>
      <c r="C363" t="s">
        <v>16</v>
      </c>
      <c r="D363" t="s">
        <v>33</v>
      </c>
      <c r="E363" t="s">
        <v>38</v>
      </c>
      <c r="F363" s="1">
        <v>217.69</v>
      </c>
      <c r="G363" t="s">
        <v>19</v>
      </c>
      <c r="H363" t="s">
        <v>15</v>
      </c>
      <c r="I363" s="2">
        <v>3.4</v>
      </c>
      <c r="J363" s="4">
        <v>18</v>
      </c>
      <c r="K363" s="3">
        <v>4</v>
      </c>
      <c r="L363" s="1">
        <f t="shared" si="15"/>
        <v>178.50580000000002</v>
      </c>
      <c r="M363" t="str" cm="1">
        <f t="array" ref="M363">_xlfn.IFS(B363&lt;18,"Under 18",B363 &lt;=25,"18-25",B363&lt;=35,"26-35",B363&lt;=45,"36-45",B363&lt;=60,"46-60",TRUE,"60+")</f>
        <v>18-25</v>
      </c>
      <c r="N363" t="str">
        <f t="shared" si="16"/>
        <v>Discounted</v>
      </c>
      <c r="O363" t="str">
        <f t="shared" si="17"/>
        <v>Returning</v>
      </c>
    </row>
    <row r="364" spans="1:15" x14ac:dyDescent="0.25">
      <c r="A364">
        <v>363</v>
      </c>
      <c r="B364">
        <v>59</v>
      </c>
      <c r="C364" t="s">
        <v>16</v>
      </c>
      <c r="D364" t="s">
        <v>20</v>
      </c>
      <c r="E364" t="s">
        <v>39</v>
      </c>
      <c r="F364" s="1">
        <v>221.98</v>
      </c>
      <c r="G364" t="s">
        <v>31</v>
      </c>
      <c r="H364" t="s">
        <v>15</v>
      </c>
      <c r="I364" s="2">
        <v>3</v>
      </c>
      <c r="J364" s="4">
        <v>16</v>
      </c>
      <c r="K364" s="3">
        <v>8</v>
      </c>
      <c r="L364" s="1">
        <f t="shared" si="15"/>
        <v>186.46319999999997</v>
      </c>
      <c r="M364" t="str" cm="1">
        <f t="array" ref="M364">_xlfn.IFS(B364&lt;18,"Under 18",B364 &lt;=25,"18-25",B364&lt;=35,"26-35",B364&lt;=45,"36-45",B364&lt;=60,"46-60",TRUE,"60+")</f>
        <v>46-60</v>
      </c>
      <c r="N364" t="str">
        <f t="shared" si="16"/>
        <v>Discounted</v>
      </c>
      <c r="O364" t="str">
        <f t="shared" si="17"/>
        <v>Returning</v>
      </c>
    </row>
    <row r="365" spans="1:15" x14ac:dyDescent="0.25">
      <c r="A365">
        <v>364</v>
      </c>
      <c r="B365">
        <v>70</v>
      </c>
      <c r="C365" t="s">
        <v>11</v>
      </c>
      <c r="D365" t="s">
        <v>12</v>
      </c>
      <c r="E365" t="s">
        <v>50</v>
      </c>
      <c r="F365" s="1">
        <v>157.83000000000001</v>
      </c>
      <c r="G365" t="s">
        <v>31</v>
      </c>
      <c r="H365" t="s">
        <v>15</v>
      </c>
      <c r="I365" s="2">
        <v>4.5</v>
      </c>
      <c r="J365" s="4">
        <v>24</v>
      </c>
      <c r="K365" s="3">
        <v>7</v>
      </c>
      <c r="L365" s="1">
        <f t="shared" si="15"/>
        <v>119.95080000000002</v>
      </c>
      <c r="M365" t="str" cm="1">
        <f t="array" ref="M365">_xlfn.IFS(B365&lt;18,"Under 18",B365 &lt;=25,"18-25",B365&lt;=35,"26-35",B365&lt;=45,"36-45",B365&lt;=60,"46-60",TRUE,"60+")</f>
        <v>60+</v>
      </c>
      <c r="N365" t="str">
        <f t="shared" si="16"/>
        <v>Discounted</v>
      </c>
      <c r="O365" t="str">
        <f t="shared" si="17"/>
        <v>Returning</v>
      </c>
    </row>
    <row r="366" spans="1:15" x14ac:dyDescent="0.25">
      <c r="A366">
        <v>365</v>
      </c>
      <c r="B366">
        <v>28</v>
      </c>
      <c r="C366" t="s">
        <v>16</v>
      </c>
      <c r="D366" t="s">
        <v>33</v>
      </c>
      <c r="E366" t="s">
        <v>34</v>
      </c>
      <c r="F366" s="1">
        <v>92.99</v>
      </c>
      <c r="G366" t="s">
        <v>24</v>
      </c>
      <c r="H366" t="s">
        <v>15</v>
      </c>
      <c r="I366" s="2">
        <v>3.8</v>
      </c>
      <c r="J366" s="4">
        <v>16</v>
      </c>
      <c r="K366" s="3">
        <v>3</v>
      </c>
      <c r="L366" s="1">
        <f t="shared" si="15"/>
        <v>78.111599999999996</v>
      </c>
      <c r="M366" t="str" cm="1">
        <f t="array" ref="M366">_xlfn.IFS(B366&lt;18,"Under 18",B366 &lt;=25,"18-25",B366&lt;=35,"26-35",B366&lt;=45,"36-45",B366&lt;=60,"46-60",TRUE,"60+")</f>
        <v>26-35</v>
      </c>
      <c r="N366" t="str">
        <f t="shared" si="16"/>
        <v>Discounted</v>
      </c>
      <c r="O366" t="str">
        <f t="shared" si="17"/>
        <v>Returning</v>
      </c>
    </row>
    <row r="367" spans="1:15" x14ac:dyDescent="0.25">
      <c r="A367">
        <v>366</v>
      </c>
      <c r="B367">
        <v>30</v>
      </c>
      <c r="C367" t="s">
        <v>11</v>
      </c>
      <c r="D367" t="s">
        <v>41</v>
      </c>
      <c r="E367" t="s">
        <v>44</v>
      </c>
      <c r="F367" s="1">
        <v>152.47</v>
      </c>
      <c r="G367" t="s">
        <v>14</v>
      </c>
      <c r="H367" t="s">
        <v>15</v>
      </c>
      <c r="I367" s="2">
        <v>4</v>
      </c>
      <c r="J367" s="4">
        <v>24</v>
      </c>
      <c r="K367" s="3">
        <v>7</v>
      </c>
      <c r="L367" s="1">
        <f t="shared" si="15"/>
        <v>115.8772</v>
      </c>
      <c r="M367" t="str" cm="1">
        <f t="array" ref="M367">_xlfn.IFS(B367&lt;18,"Under 18",B367 &lt;=25,"18-25",B367&lt;=35,"26-35",B367&lt;=45,"36-45",B367&lt;=60,"46-60",TRUE,"60+")</f>
        <v>26-35</v>
      </c>
      <c r="N367" t="str">
        <f t="shared" si="16"/>
        <v>Discounted</v>
      </c>
      <c r="O367" t="str">
        <f t="shared" si="17"/>
        <v>Returning</v>
      </c>
    </row>
    <row r="368" spans="1:15" x14ac:dyDescent="0.25">
      <c r="A368">
        <v>367</v>
      </c>
      <c r="B368">
        <v>50</v>
      </c>
      <c r="C368" t="s">
        <v>16</v>
      </c>
      <c r="D368" t="s">
        <v>20</v>
      </c>
      <c r="E368" t="s">
        <v>39</v>
      </c>
      <c r="F368" s="1">
        <v>162.69999999999999</v>
      </c>
      <c r="G368" t="s">
        <v>31</v>
      </c>
      <c r="H368" t="s">
        <v>15</v>
      </c>
      <c r="I368" s="2">
        <v>2.8</v>
      </c>
      <c r="J368" s="4">
        <v>11</v>
      </c>
      <c r="K368" s="3">
        <v>3</v>
      </c>
      <c r="L368" s="1">
        <f t="shared" si="15"/>
        <v>144.803</v>
      </c>
      <c r="M368" t="str" cm="1">
        <f t="array" ref="M368">_xlfn.IFS(B368&lt;18,"Under 18",B368 &lt;=25,"18-25",B368&lt;=35,"26-35",B368&lt;=45,"36-45",B368&lt;=60,"46-60",TRUE,"60+")</f>
        <v>46-60</v>
      </c>
      <c r="N368" t="str">
        <f t="shared" si="16"/>
        <v>Discounted</v>
      </c>
      <c r="O368" t="str">
        <f t="shared" si="17"/>
        <v>Returning</v>
      </c>
    </row>
    <row r="369" spans="1:15" x14ac:dyDescent="0.25">
      <c r="A369">
        <v>368</v>
      </c>
      <c r="B369">
        <v>66</v>
      </c>
      <c r="C369" t="s">
        <v>16</v>
      </c>
      <c r="D369" t="s">
        <v>20</v>
      </c>
      <c r="E369" t="s">
        <v>21</v>
      </c>
      <c r="F369" s="1">
        <v>56.33</v>
      </c>
      <c r="G369" t="s">
        <v>19</v>
      </c>
      <c r="H369" t="s">
        <v>37</v>
      </c>
      <c r="I369" s="2">
        <v>4.0999999999999996</v>
      </c>
      <c r="J369" s="4">
        <v>2</v>
      </c>
      <c r="K369" s="3">
        <v>1</v>
      </c>
      <c r="L369" s="1">
        <f t="shared" si="15"/>
        <v>55.203399999999995</v>
      </c>
      <c r="M369" t="str" cm="1">
        <f t="array" ref="M369">_xlfn.IFS(B369&lt;18,"Under 18",B369 &lt;=25,"18-25",B369&lt;=35,"26-35",B369&lt;=45,"36-45",B369&lt;=60,"46-60",TRUE,"60+")</f>
        <v>60+</v>
      </c>
      <c r="N369" t="str">
        <f t="shared" si="16"/>
        <v>Discounted</v>
      </c>
      <c r="O369" t="str">
        <f t="shared" si="17"/>
        <v>Returning</v>
      </c>
    </row>
    <row r="370" spans="1:15" x14ac:dyDescent="0.25">
      <c r="A370">
        <v>369</v>
      </c>
      <c r="B370">
        <v>34</v>
      </c>
      <c r="C370" t="s">
        <v>11</v>
      </c>
      <c r="D370" t="s">
        <v>29</v>
      </c>
      <c r="E370" t="s">
        <v>51</v>
      </c>
      <c r="F370" s="1">
        <v>41.77</v>
      </c>
      <c r="G370" t="s">
        <v>24</v>
      </c>
      <c r="H370" t="s">
        <v>37</v>
      </c>
      <c r="I370" s="2">
        <v>3.5</v>
      </c>
      <c r="J370" s="4">
        <v>4</v>
      </c>
      <c r="K370" s="3">
        <v>2</v>
      </c>
      <c r="L370" s="1">
        <f t="shared" si="15"/>
        <v>40.099200000000003</v>
      </c>
      <c r="M370" t="str" cm="1">
        <f t="array" ref="M370">_xlfn.IFS(B370&lt;18,"Under 18",B370 &lt;=25,"18-25",B370&lt;=35,"26-35",B370&lt;=45,"36-45",B370&lt;=60,"46-60",TRUE,"60+")</f>
        <v>26-35</v>
      </c>
      <c r="N370" t="str">
        <f t="shared" si="16"/>
        <v>Discounted</v>
      </c>
      <c r="O370" t="str">
        <f t="shared" si="17"/>
        <v>Returning</v>
      </c>
    </row>
    <row r="371" spans="1:15" x14ac:dyDescent="0.25">
      <c r="A371">
        <v>370</v>
      </c>
      <c r="B371">
        <v>49</v>
      </c>
      <c r="C371" t="s">
        <v>16</v>
      </c>
      <c r="D371" t="s">
        <v>27</v>
      </c>
      <c r="E371" t="s">
        <v>49</v>
      </c>
      <c r="F371" s="1">
        <v>2544.06</v>
      </c>
      <c r="G371" t="s">
        <v>31</v>
      </c>
      <c r="H371" t="s">
        <v>15</v>
      </c>
      <c r="I371" s="2">
        <v>3.6</v>
      </c>
      <c r="J371" s="4">
        <v>10</v>
      </c>
      <c r="K371" s="3">
        <v>5</v>
      </c>
      <c r="L371" s="1">
        <f t="shared" si="15"/>
        <v>2289.654</v>
      </c>
      <c r="M371" t="str" cm="1">
        <f t="array" ref="M371">_xlfn.IFS(B371&lt;18,"Under 18",B371 &lt;=25,"18-25",B371&lt;=35,"26-35",B371&lt;=45,"36-45",B371&lt;=60,"46-60",TRUE,"60+")</f>
        <v>46-60</v>
      </c>
      <c r="N371" t="str">
        <f t="shared" si="16"/>
        <v>Discounted</v>
      </c>
      <c r="O371" t="str">
        <f t="shared" si="17"/>
        <v>Returning</v>
      </c>
    </row>
    <row r="372" spans="1:15" x14ac:dyDescent="0.25">
      <c r="A372">
        <v>371</v>
      </c>
      <c r="B372">
        <v>53</v>
      </c>
      <c r="C372" t="s">
        <v>11</v>
      </c>
      <c r="D372" t="s">
        <v>12</v>
      </c>
      <c r="E372" t="s">
        <v>13</v>
      </c>
      <c r="F372" s="1">
        <v>89.64</v>
      </c>
      <c r="G372" t="s">
        <v>19</v>
      </c>
      <c r="H372" t="s">
        <v>37</v>
      </c>
      <c r="I372" s="2">
        <v>4.0999999999999996</v>
      </c>
      <c r="J372" s="4">
        <v>6</v>
      </c>
      <c r="K372" s="3">
        <v>3</v>
      </c>
      <c r="L372" s="1">
        <f t="shared" si="15"/>
        <v>84.261600000000001</v>
      </c>
      <c r="M372" t="str" cm="1">
        <f t="array" ref="M372">_xlfn.IFS(B372&lt;18,"Under 18",B372 &lt;=25,"18-25",B372&lt;=35,"26-35",B372&lt;=45,"36-45",B372&lt;=60,"46-60",TRUE,"60+")</f>
        <v>46-60</v>
      </c>
      <c r="N372" t="str">
        <f t="shared" si="16"/>
        <v>Discounted</v>
      </c>
      <c r="O372" t="str">
        <f t="shared" si="17"/>
        <v>Returning</v>
      </c>
    </row>
    <row r="373" spans="1:15" x14ac:dyDescent="0.25">
      <c r="A373">
        <v>372</v>
      </c>
      <c r="B373">
        <v>53</v>
      </c>
      <c r="C373" t="s">
        <v>16</v>
      </c>
      <c r="D373" t="s">
        <v>33</v>
      </c>
      <c r="E373" t="s">
        <v>34</v>
      </c>
      <c r="F373" s="1">
        <v>224</v>
      </c>
      <c r="G373" t="s">
        <v>14</v>
      </c>
      <c r="H373" t="s">
        <v>15</v>
      </c>
      <c r="I373" s="2">
        <v>5</v>
      </c>
      <c r="J373" s="4">
        <v>20</v>
      </c>
      <c r="K373" s="3">
        <v>5</v>
      </c>
      <c r="L373" s="1">
        <f t="shared" si="15"/>
        <v>179.20000000000002</v>
      </c>
      <c r="M373" t="str" cm="1">
        <f t="array" ref="M373">_xlfn.IFS(B373&lt;18,"Under 18",B373 &lt;=25,"18-25",B373&lt;=35,"26-35",B373&lt;=45,"36-45",B373&lt;=60,"46-60",TRUE,"60+")</f>
        <v>46-60</v>
      </c>
      <c r="N373" t="str">
        <f t="shared" si="16"/>
        <v>Discounted</v>
      </c>
      <c r="O373" t="str">
        <f t="shared" si="17"/>
        <v>Returning</v>
      </c>
    </row>
    <row r="374" spans="1:15" x14ac:dyDescent="0.25">
      <c r="A374">
        <v>373</v>
      </c>
      <c r="B374">
        <v>52</v>
      </c>
      <c r="C374" t="s">
        <v>11</v>
      </c>
      <c r="D374" t="s">
        <v>12</v>
      </c>
      <c r="E374" t="s">
        <v>56</v>
      </c>
      <c r="F374" s="1">
        <v>37.28</v>
      </c>
      <c r="G374" t="s">
        <v>24</v>
      </c>
      <c r="H374" t="s">
        <v>15</v>
      </c>
      <c r="I374" s="2">
        <v>3.3</v>
      </c>
      <c r="J374" s="4">
        <v>13</v>
      </c>
      <c r="K374" s="3">
        <v>4</v>
      </c>
      <c r="L374" s="1">
        <f t="shared" si="15"/>
        <v>32.433599999999998</v>
      </c>
      <c r="M374" t="str" cm="1">
        <f t="array" ref="M374">_xlfn.IFS(B374&lt;18,"Under 18",B374 &lt;=25,"18-25",B374&lt;=35,"26-35",B374&lt;=45,"36-45",B374&lt;=60,"46-60",TRUE,"60+")</f>
        <v>46-60</v>
      </c>
      <c r="N374" t="str">
        <f t="shared" si="16"/>
        <v>Discounted</v>
      </c>
      <c r="O374" t="str">
        <f t="shared" si="17"/>
        <v>Returning</v>
      </c>
    </row>
    <row r="375" spans="1:15" x14ac:dyDescent="0.25">
      <c r="A375">
        <v>374</v>
      </c>
      <c r="B375">
        <v>61</v>
      </c>
      <c r="C375" t="s">
        <v>16</v>
      </c>
      <c r="D375" t="s">
        <v>33</v>
      </c>
      <c r="E375" t="s">
        <v>34</v>
      </c>
      <c r="F375" s="1">
        <v>42.08</v>
      </c>
      <c r="G375" t="s">
        <v>19</v>
      </c>
      <c r="H375" t="s">
        <v>37</v>
      </c>
      <c r="I375" s="2">
        <v>2.5</v>
      </c>
      <c r="J375" s="4">
        <v>20</v>
      </c>
      <c r="K375" s="3">
        <v>10</v>
      </c>
      <c r="L375" s="1">
        <f t="shared" si="15"/>
        <v>33.664000000000001</v>
      </c>
      <c r="M375" t="str" cm="1">
        <f t="array" ref="M375">_xlfn.IFS(B375&lt;18,"Under 18",B375 &lt;=25,"18-25",B375&lt;=35,"26-35",B375&lt;=45,"36-45",B375&lt;=60,"46-60",TRUE,"60+")</f>
        <v>60+</v>
      </c>
      <c r="N375" t="str">
        <f t="shared" si="16"/>
        <v>Discounted</v>
      </c>
      <c r="O375" t="str">
        <f t="shared" si="17"/>
        <v>Returning</v>
      </c>
    </row>
    <row r="376" spans="1:15" x14ac:dyDescent="0.25">
      <c r="A376">
        <v>375</v>
      </c>
      <c r="B376">
        <v>28</v>
      </c>
      <c r="C376" t="s">
        <v>16</v>
      </c>
      <c r="D376" t="s">
        <v>17</v>
      </c>
      <c r="E376" t="s">
        <v>48</v>
      </c>
      <c r="F376" s="1">
        <v>50.72</v>
      </c>
      <c r="G376" t="s">
        <v>31</v>
      </c>
      <c r="H376" t="s">
        <v>37</v>
      </c>
      <c r="I376" s="2">
        <v>2.6</v>
      </c>
      <c r="J376" s="4">
        <v>4</v>
      </c>
      <c r="K376" s="3">
        <v>2</v>
      </c>
      <c r="L376" s="1">
        <f t="shared" si="15"/>
        <v>48.691199999999995</v>
      </c>
      <c r="M376" t="str" cm="1">
        <f t="array" ref="M376">_xlfn.IFS(B376&lt;18,"Under 18",B376 &lt;=25,"18-25",B376&lt;=35,"26-35",B376&lt;=45,"36-45",B376&lt;=60,"46-60",TRUE,"60+")</f>
        <v>26-35</v>
      </c>
      <c r="N376" t="str">
        <f t="shared" si="16"/>
        <v>Discounted</v>
      </c>
      <c r="O376" t="str">
        <f t="shared" si="17"/>
        <v>Returning</v>
      </c>
    </row>
    <row r="377" spans="1:15" x14ac:dyDescent="0.25">
      <c r="A377">
        <v>376</v>
      </c>
      <c r="B377">
        <v>54</v>
      </c>
      <c r="C377" t="s">
        <v>11</v>
      </c>
      <c r="D377" t="s">
        <v>41</v>
      </c>
      <c r="E377" t="s">
        <v>44</v>
      </c>
      <c r="F377" s="1">
        <v>183.9</v>
      </c>
      <c r="G377" t="s">
        <v>19</v>
      </c>
      <c r="H377" t="s">
        <v>15</v>
      </c>
      <c r="I377" s="2">
        <v>4</v>
      </c>
      <c r="J377" s="4">
        <v>18</v>
      </c>
      <c r="K377" s="3">
        <v>4</v>
      </c>
      <c r="L377" s="1">
        <f t="shared" si="15"/>
        <v>150.79800000000003</v>
      </c>
      <c r="M377" t="str" cm="1">
        <f t="array" ref="M377">_xlfn.IFS(B377&lt;18,"Under 18",B377 &lt;=25,"18-25",B377&lt;=35,"26-35",B377&lt;=45,"36-45",B377&lt;=60,"46-60",TRUE,"60+")</f>
        <v>46-60</v>
      </c>
      <c r="N377" t="str">
        <f t="shared" si="16"/>
        <v>Discounted</v>
      </c>
      <c r="O377" t="str">
        <f t="shared" si="17"/>
        <v>Returning</v>
      </c>
    </row>
    <row r="378" spans="1:15" x14ac:dyDescent="0.25">
      <c r="A378">
        <v>377</v>
      </c>
      <c r="B378">
        <v>36</v>
      </c>
      <c r="C378" t="s">
        <v>11</v>
      </c>
      <c r="D378" t="s">
        <v>29</v>
      </c>
      <c r="E378" t="s">
        <v>30</v>
      </c>
      <c r="F378" s="1">
        <v>121.81</v>
      </c>
      <c r="G378" t="s">
        <v>24</v>
      </c>
      <c r="H378" t="s">
        <v>15</v>
      </c>
      <c r="I378" s="2">
        <v>3.8</v>
      </c>
      <c r="J378" s="4">
        <v>16</v>
      </c>
      <c r="K378" s="3">
        <v>3</v>
      </c>
      <c r="L378" s="1">
        <f t="shared" si="15"/>
        <v>102.32039999999999</v>
      </c>
      <c r="M378" t="str" cm="1">
        <f t="array" ref="M378">_xlfn.IFS(B378&lt;18,"Under 18",B378 &lt;=25,"18-25",B378&lt;=35,"26-35",B378&lt;=45,"36-45",B378&lt;=60,"46-60",TRUE,"60+")</f>
        <v>36-45</v>
      </c>
      <c r="N378" t="str">
        <f t="shared" si="16"/>
        <v>Discounted</v>
      </c>
      <c r="O378" t="str">
        <f t="shared" si="17"/>
        <v>Returning</v>
      </c>
    </row>
    <row r="379" spans="1:15" x14ac:dyDescent="0.25">
      <c r="A379">
        <v>378</v>
      </c>
      <c r="B379">
        <v>35</v>
      </c>
      <c r="C379" t="s">
        <v>11</v>
      </c>
      <c r="D379" t="s">
        <v>41</v>
      </c>
      <c r="E379" t="s">
        <v>42</v>
      </c>
      <c r="F379" s="1">
        <v>66.09</v>
      </c>
      <c r="G379" t="s">
        <v>31</v>
      </c>
      <c r="H379" t="s">
        <v>15</v>
      </c>
      <c r="I379" s="2">
        <v>2.9</v>
      </c>
      <c r="J379" s="4">
        <v>16</v>
      </c>
      <c r="K379" s="3">
        <v>3</v>
      </c>
      <c r="L379" s="1">
        <f t="shared" si="15"/>
        <v>55.515599999999999</v>
      </c>
      <c r="M379" t="str" cm="1">
        <f t="array" ref="M379">_xlfn.IFS(B379&lt;18,"Under 18",B379 &lt;=25,"18-25",B379&lt;=35,"26-35",B379&lt;=45,"36-45",B379&lt;=60,"46-60",TRUE,"60+")</f>
        <v>26-35</v>
      </c>
      <c r="N379" t="str">
        <f t="shared" si="16"/>
        <v>Discounted</v>
      </c>
      <c r="O379" t="str">
        <f t="shared" si="17"/>
        <v>Returning</v>
      </c>
    </row>
    <row r="380" spans="1:15" x14ac:dyDescent="0.25">
      <c r="A380">
        <v>379</v>
      </c>
      <c r="B380">
        <v>63</v>
      </c>
      <c r="C380" t="s">
        <v>16</v>
      </c>
      <c r="D380" t="s">
        <v>33</v>
      </c>
      <c r="E380" t="s">
        <v>34</v>
      </c>
      <c r="F380" s="1">
        <v>119.18</v>
      </c>
      <c r="G380" t="s">
        <v>19</v>
      </c>
      <c r="H380" t="s">
        <v>15</v>
      </c>
      <c r="I380" s="2">
        <v>4.5</v>
      </c>
      <c r="J380" s="4">
        <v>8</v>
      </c>
      <c r="K380" s="3">
        <v>4</v>
      </c>
      <c r="L380" s="1">
        <f t="shared" si="15"/>
        <v>109.64560000000002</v>
      </c>
      <c r="M380" t="str" cm="1">
        <f t="array" ref="M380">_xlfn.IFS(B380&lt;18,"Under 18",B380 &lt;=25,"18-25",B380&lt;=35,"26-35",B380&lt;=45,"36-45",B380&lt;=60,"46-60",TRUE,"60+")</f>
        <v>60+</v>
      </c>
      <c r="N380" t="str">
        <f t="shared" si="16"/>
        <v>Discounted</v>
      </c>
      <c r="O380" t="str">
        <f t="shared" si="17"/>
        <v>Returning</v>
      </c>
    </row>
    <row r="381" spans="1:15" x14ac:dyDescent="0.25">
      <c r="A381">
        <v>380</v>
      </c>
      <c r="B381">
        <v>51</v>
      </c>
      <c r="C381" t="s">
        <v>16</v>
      </c>
      <c r="D381" t="s">
        <v>17</v>
      </c>
      <c r="E381" t="s">
        <v>48</v>
      </c>
      <c r="F381" s="1">
        <v>123</v>
      </c>
      <c r="G381" t="s">
        <v>24</v>
      </c>
      <c r="H381" t="s">
        <v>15</v>
      </c>
      <c r="I381" s="2">
        <v>3.6</v>
      </c>
      <c r="J381" s="4">
        <v>11</v>
      </c>
      <c r="K381" s="3">
        <v>3</v>
      </c>
      <c r="L381" s="1">
        <f t="shared" si="15"/>
        <v>109.47</v>
      </c>
      <c r="M381" t="str" cm="1">
        <f t="array" ref="M381">_xlfn.IFS(B381&lt;18,"Under 18",B381 &lt;=25,"18-25",B381&lt;=35,"26-35",B381&lt;=45,"36-45",B381&lt;=60,"46-60",TRUE,"60+")</f>
        <v>46-60</v>
      </c>
      <c r="N381" t="str">
        <f t="shared" si="16"/>
        <v>Discounted</v>
      </c>
      <c r="O381" t="str">
        <f t="shared" si="17"/>
        <v>Returning</v>
      </c>
    </row>
    <row r="382" spans="1:15" x14ac:dyDescent="0.25">
      <c r="A382">
        <v>381</v>
      </c>
      <c r="B382">
        <v>26</v>
      </c>
      <c r="C382" t="s">
        <v>16</v>
      </c>
      <c r="D382" t="s">
        <v>17</v>
      </c>
      <c r="E382" t="s">
        <v>18</v>
      </c>
      <c r="F382" s="1">
        <v>37.33</v>
      </c>
      <c r="G382" t="s">
        <v>19</v>
      </c>
      <c r="H382" t="s">
        <v>15</v>
      </c>
      <c r="I382" s="2">
        <v>3.6</v>
      </c>
      <c r="J382" s="4">
        <v>20</v>
      </c>
      <c r="K382" s="3">
        <v>5</v>
      </c>
      <c r="L382" s="1">
        <f t="shared" si="15"/>
        <v>29.864000000000001</v>
      </c>
      <c r="M382" t="str" cm="1">
        <f t="array" ref="M382">_xlfn.IFS(B382&lt;18,"Under 18",B382 &lt;=25,"18-25",B382&lt;=35,"26-35",B382&lt;=45,"36-45",B382&lt;=60,"46-60",TRUE,"60+")</f>
        <v>26-35</v>
      </c>
      <c r="N382" t="str">
        <f t="shared" si="16"/>
        <v>Discounted</v>
      </c>
      <c r="O382" t="str">
        <f t="shared" si="17"/>
        <v>Returning</v>
      </c>
    </row>
    <row r="383" spans="1:15" x14ac:dyDescent="0.25">
      <c r="A383">
        <v>382</v>
      </c>
      <c r="B383">
        <v>54</v>
      </c>
      <c r="C383" t="s">
        <v>16</v>
      </c>
      <c r="D383" t="s">
        <v>27</v>
      </c>
      <c r="E383" t="s">
        <v>28</v>
      </c>
      <c r="F383" s="1">
        <v>1625.71</v>
      </c>
      <c r="G383" t="s">
        <v>19</v>
      </c>
      <c r="H383" t="s">
        <v>15</v>
      </c>
      <c r="I383" s="2">
        <v>5</v>
      </c>
      <c r="J383" s="4">
        <v>26</v>
      </c>
      <c r="K383" s="3">
        <v>13</v>
      </c>
      <c r="L383" s="1">
        <f t="shared" si="15"/>
        <v>1203.0254</v>
      </c>
      <c r="M383" t="str" cm="1">
        <f t="array" ref="M383">_xlfn.IFS(B383&lt;18,"Under 18",B383 &lt;=25,"18-25",B383&lt;=35,"26-35",B383&lt;=45,"36-45",B383&lt;=60,"46-60",TRUE,"60+")</f>
        <v>46-60</v>
      </c>
      <c r="N383" t="str">
        <f t="shared" si="16"/>
        <v>Discounted</v>
      </c>
      <c r="O383" t="str">
        <f t="shared" si="17"/>
        <v>Returning</v>
      </c>
    </row>
    <row r="384" spans="1:15" x14ac:dyDescent="0.25">
      <c r="A384">
        <v>383</v>
      </c>
      <c r="B384">
        <v>70</v>
      </c>
      <c r="C384" t="s">
        <v>16</v>
      </c>
      <c r="D384" t="s">
        <v>33</v>
      </c>
      <c r="E384" t="s">
        <v>40</v>
      </c>
      <c r="F384" s="1">
        <v>150.47999999999999</v>
      </c>
      <c r="G384" t="s">
        <v>19</v>
      </c>
      <c r="H384" t="s">
        <v>15</v>
      </c>
      <c r="I384" s="2">
        <v>4.5999999999999996</v>
      </c>
      <c r="J384" s="4">
        <v>12</v>
      </c>
      <c r="K384" s="3">
        <v>6</v>
      </c>
      <c r="L384" s="1">
        <f t="shared" si="15"/>
        <v>132.42239999999998</v>
      </c>
      <c r="M384" t="str" cm="1">
        <f t="array" ref="M384">_xlfn.IFS(B384&lt;18,"Under 18",B384 &lt;=25,"18-25",B384&lt;=35,"26-35",B384&lt;=45,"36-45",B384&lt;=60,"46-60",TRUE,"60+")</f>
        <v>60+</v>
      </c>
      <c r="N384" t="str">
        <f t="shared" si="16"/>
        <v>Discounted</v>
      </c>
      <c r="O384" t="str">
        <f t="shared" si="17"/>
        <v>Returning</v>
      </c>
    </row>
    <row r="385" spans="1:15" x14ac:dyDescent="0.25">
      <c r="A385">
        <v>384</v>
      </c>
      <c r="B385">
        <v>45</v>
      </c>
      <c r="C385" t="s">
        <v>16</v>
      </c>
      <c r="D385" t="s">
        <v>27</v>
      </c>
      <c r="E385" t="s">
        <v>49</v>
      </c>
      <c r="F385" s="1">
        <v>1400.99</v>
      </c>
      <c r="G385" t="s">
        <v>24</v>
      </c>
      <c r="H385" t="s">
        <v>15</v>
      </c>
      <c r="I385" s="2">
        <v>2.8</v>
      </c>
      <c r="J385" s="4">
        <v>6</v>
      </c>
      <c r="K385" s="3">
        <v>3</v>
      </c>
      <c r="L385" s="1">
        <f t="shared" si="15"/>
        <v>1316.9305999999999</v>
      </c>
      <c r="M385" t="str" cm="1">
        <f t="array" ref="M385">_xlfn.IFS(B385&lt;18,"Under 18",B385 &lt;=25,"18-25",B385&lt;=35,"26-35",B385&lt;=45,"36-45",B385&lt;=60,"46-60",TRUE,"60+")</f>
        <v>36-45</v>
      </c>
      <c r="N385" t="str">
        <f t="shared" si="16"/>
        <v>Discounted</v>
      </c>
      <c r="O385" t="str">
        <f t="shared" si="17"/>
        <v>Returning</v>
      </c>
    </row>
    <row r="386" spans="1:15" x14ac:dyDescent="0.25">
      <c r="A386">
        <v>385</v>
      </c>
      <c r="B386">
        <v>43</v>
      </c>
      <c r="C386" t="s">
        <v>16</v>
      </c>
      <c r="D386" t="s">
        <v>20</v>
      </c>
      <c r="E386" t="s">
        <v>21</v>
      </c>
      <c r="F386" s="1">
        <v>80.25</v>
      </c>
      <c r="G386" t="s">
        <v>24</v>
      </c>
      <c r="H386" t="s">
        <v>15</v>
      </c>
      <c r="I386" s="2">
        <v>3.9</v>
      </c>
      <c r="J386" s="4">
        <v>17</v>
      </c>
      <c r="K386" s="3">
        <v>6</v>
      </c>
      <c r="L386" s="1">
        <f t="shared" si="15"/>
        <v>66.607500000000002</v>
      </c>
      <c r="M386" t="str" cm="1">
        <f t="array" ref="M386">_xlfn.IFS(B386&lt;18,"Under 18",B386 &lt;=25,"18-25",B386&lt;=35,"26-35",B386&lt;=45,"36-45",B386&lt;=60,"46-60",TRUE,"60+")</f>
        <v>36-45</v>
      </c>
      <c r="N386" t="str">
        <f t="shared" si="16"/>
        <v>Discounted</v>
      </c>
      <c r="O386" t="str">
        <f t="shared" si="17"/>
        <v>Returning</v>
      </c>
    </row>
    <row r="387" spans="1:15" x14ac:dyDescent="0.25">
      <c r="A387">
        <v>386</v>
      </c>
      <c r="B387">
        <v>37</v>
      </c>
      <c r="C387" t="s">
        <v>11</v>
      </c>
      <c r="D387" t="s">
        <v>25</v>
      </c>
      <c r="E387" t="s">
        <v>47</v>
      </c>
      <c r="F387" s="1">
        <v>29.59</v>
      </c>
      <c r="G387" t="s">
        <v>31</v>
      </c>
      <c r="H387" t="s">
        <v>15</v>
      </c>
      <c r="I387" s="2">
        <v>4.7</v>
      </c>
      <c r="J387" s="4">
        <v>24</v>
      </c>
      <c r="K387" s="3">
        <v>7</v>
      </c>
      <c r="L387" s="1">
        <f t="shared" ref="L387:L450" si="18">F387 * (1 - J387 / 100)</f>
        <v>22.488399999999999</v>
      </c>
      <c r="M387" t="str" cm="1">
        <f t="array" ref="M387">_xlfn.IFS(B387&lt;18,"Under 18",B387 &lt;=25,"18-25",B387&lt;=35,"26-35",B387&lt;=45,"36-45",B387&lt;=60,"46-60",TRUE,"60+")</f>
        <v>36-45</v>
      </c>
      <c r="N387" t="str">
        <f t="shared" ref="N387:N450" si="19">IF(J387&gt;0,"Discounted","No Discount")</f>
        <v>Discounted</v>
      </c>
      <c r="O387" t="str">
        <f t="shared" ref="O387:O450" si="20">IF(K387&gt;0,"Returning","New")</f>
        <v>Returning</v>
      </c>
    </row>
    <row r="388" spans="1:15" x14ac:dyDescent="0.25">
      <c r="A388">
        <v>387</v>
      </c>
      <c r="B388">
        <v>47</v>
      </c>
      <c r="C388" t="s">
        <v>16</v>
      </c>
      <c r="D388" t="s">
        <v>17</v>
      </c>
      <c r="E388" t="s">
        <v>35</v>
      </c>
      <c r="F388" s="1">
        <v>112.86</v>
      </c>
      <c r="G388" t="s">
        <v>24</v>
      </c>
      <c r="H388" t="s">
        <v>15</v>
      </c>
      <c r="I388" s="2">
        <v>4.5999999999999996</v>
      </c>
      <c r="J388" s="4">
        <v>14</v>
      </c>
      <c r="K388" s="3">
        <v>7</v>
      </c>
      <c r="L388" s="1">
        <f t="shared" si="18"/>
        <v>97.059600000000003</v>
      </c>
      <c r="M388" t="str" cm="1">
        <f t="array" ref="M388">_xlfn.IFS(B388&lt;18,"Under 18",B388 &lt;=25,"18-25",B388&lt;=35,"26-35",B388&lt;=45,"36-45",B388&lt;=60,"46-60",TRUE,"60+")</f>
        <v>46-60</v>
      </c>
      <c r="N388" t="str">
        <f t="shared" si="19"/>
        <v>Discounted</v>
      </c>
      <c r="O388" t="str">
        <f t="shared" si="20"/>
        <v>Returning</v>
      </c>
    </row>
    <row r="389" spans="1:15" x14ac:dyDescent="0.25">
      <c r="A389">
        <v>388</v>
      </c>
      <c r="B389">
        <v>45</v>
      </c>
      <c r="C389" t="s">
        <v>16</v>
      </c>
      <c r="D389" t="s">
        <v>20</v>
      </c>
      <c r="E389" t="s">
        <v>21</v>
      </c>
      <c r="F389" s="1">
        <v>160.31</v>
      </c>
      <c r="G389" t="s">
        <v>24</v>
      </c>
      <c r="H389" t="s">
        <v>15</v>
      </c>
      <c r="I389" s="2">
        <v>3</v>
      </c>
      <c r="J389" s="4">
        <v>6</v>
      </c>
      <c r="K389" s="3">
        <v>3</v>
      </c>
      <c r="L389" s="1">
        <f t="shared" si="18"/>
        <v>150.69139999999999</v>
      </c>
      <c r="M389" t="str" cm="1">
        <f t="array" ref="M389">_xlfn.IFS(B389&lt;18,"Under 18",B389 &lt;=25,"18-25",B389&lt;=35,"26-35",B389&lt;=45,"36-45",B389&lt;=60,"46-60",TRUE,"60+")</f>
        <v>36-45</v>
      </c>
      <c r="N389" t="str">
        <f t="shared" si="19"/>
        <v>Discounted</v>
      </c>
      <c r="O389" t="str">
        <f t="shared" si="20"/>
        <v>Returning</v>
      </c>
    </row>
    <row r="390" spans="1:15" x14ac:dyDescent="0.25">
      <c r="A390">
        <v>389</v>
      </c>
      <c r="B390">
        <v>44</v>
      </c>
      <c r="C390" t="s">
        <v>11</v>
      </c>
      <c r="D390" t="s">
        <v>22</v>
      </c>
      <c r="E390" t="s">
        <v>43</v>
      </c>
      <c r="F390" s="1">
        <v>155.34</v>
      </c>
      <c r="G390" t="s">
        <v>24</v>
      </c>
      <c r="H390" t="s">
        <v>15</v>
      </c>
      <c r="I390" s="2">
        <v>4.5</v>
      </c>
      <c r="J390" s="4">
        <v>13</v>
      </c>
      <c r="K390" s="3">
        <v>4</v>
      </c>
      <c r="L390" s="1">
        <f t="shared" si="18"/>
        <v>135.14580000000001</v>
      </c>
      <c r="M390" t="str" cm="1">
        <f t="array" ref="M390">_xlfn.IFS(B390&lt;18,"Under 18",B390 &lt;=25,"18-25",B390&lt;=35,"26-35",B390&lt;=45,"36-45",B390&lt;=60,"46-60",TRUE,"60+")</f>
        <v>36-45</v>
      </c>
      <c r="N390" t="str">
        <f t="shared" si="19"/>
        <v>Discounted</v>
      </c>
      <c r="O390" t="str">
        <f t="shared" si="20"/>
        <v>Returning</v>
      </c>
    </row>
    <row r="391" spans="1:15" x14ac:dyDescent="0.25">
      <c r="A391">
        <v>390</v>
      </c>
      <c r="B391">
        <v>39</v>
      </c>
      <c r="C391" t="s">
        <v>16</v>
      </c>
      <c r="D391" t="s">
        <v>25</v>
      </c>
      <c r="E391" t="s">
        <v>54</v>
      </c>
      <c r="F391" s="1">
        <v>76.790000000000006</v>
      </c>
      <c r="G391" t="s">
        <v>24</v>
      </c>
      <c r="H391" t="s">
        <v>37</v>
      </c>
      <c r="I391" s="2">
        <v>3.3</v>
      </c>
      <c r="J391" s="4">
        <v>19</v>
      </c>
      <c r="K391" s="3">
        <v>7</v>
      </c>
      <c r="L391" s="1">
        <f t="shared" si="18"/>
        <v>62.199900000000007</v>
      </c>
      <c r="M391" t="str" cm="1">
        <f t="array" ref="M391">_xlfn.IFS(B391&lt;18,"Under 18",B391 &lt;=25,"18-25",B391&lt;=35,"26-35",B391&lt;=45,"36-45",B391&lt;=60,"46-60",TRUE,"60+")</f>
        <v>36-45</v>
      </c>
      <c r="N391" t="str">
        <f t="shared" si="19"/>
        <v>Discounted</v>
      </c>
      <c r="O391" t="str">
        <f t="shared" si="20"/>
        <v>Returning</v>
      </c>
    </row>
    <row r="392" spans="1:15" x14ac:dyDescent="0.25">
      <c r="A392">
        <v>391</v>
      </c>
      <c r="B392">
        <v>42</v>
      </c>
      <c r="C392" t="s">
        <v>16</v>
      </c>
      <c r="D392" t="s">
        <v>27</v>
      </c>
      <c r="E392" t="s">
        <v>28</v>
      </c>
      <c r="F392" s="1">
        <v>845.92</v>
      </c>
      <c r="G392" t="s">
        <v>14</v>
      </c>
      <c r="H392" t="s">
        <v>15</v>
      </c>
      <c r="I392" s="2">
        <v>2.9</v>
      </c>
      <c r="J392" s="4">
        <v>25</v>
      </c>
      <c r="K392" s="3">
        <v>10</v>
      </c>
      <c r="L392" s="1">
        <f t="shared" si="18"/>
        <v>634.43999999999994</v>
      </c>
      <c r="M392" t="str" cm="1">
        <f t="array" ref="M392">_xlfn.IFS(B392&lt;18,"Under 18",B392 &lt;=25,"18-25",B392&lt;=35,"26-35",B392&lt;=45,"36-45",B392&lt;=60,"46-60",TRUE,"60+")</f>
        <v>36-45</v>
      </c>
      <c r="N392" t="str">
        <f t="shared" si="19"/>
        <v>Discounted</v>
      </c>
      <c r="O392" t="str">
        <f t="shared" si="20"/>
        <v>Returning</v>
      </c>
    </row>
    <row r="393" spans="1:15" x14ac:dyDescent="0.25">
      <c r="A393">
        <v>392</v>
      </c>
      <c r="B393">
        <v>26</v>
      </c>
      <c r="C393" t="s">
        <v>11</v>
      </c>
      <c r="D393" t="s">
        <v>41</v>
      </c>
      <c r="E393" t="s">
        <v>42</v>
      </c>
      <c r="F393" s="1">
        <v>177.84</v>
      </c>
      <c r="G393" t="s">
        <v>24</v>
      </c>
      <c r="H393" t="s">
        <v>15</v>
      </c>
      <c r="I393" s="2">
        <v>4.5</v>
      </c>
      <c r="J393" s="4">
        <v>13</v>
      </c>
      <c r="K393" s="3">
        <v>4</v>
      </c>
      <c r="L393" s="1">
        <f t="shared" si="18"/>
        <v>154.7208</v>
      </c>
      <c r="M393" t="str" cm="1">
        <f t="array" ref="M393">_xlfn.IFS(B393&lt;18,"Under 18",B393 &lt;=25,"18-25",B393&lt;=35,"26-35",B393&lt;=45,"36-45",B393&lt;=60,"46-60",TRUE,"60+")</f>
        <v>26-35</v>
      </c>
      <c r="N393" t="str">
        <f t="shared" si="19"/>
        <v>Discounted</v>
      </c>
      <c r="O393" t="str">
        <f t="shared" si="20"/>
        <v>Returning</v>
      </c>
    </row>
    <row r="394" spans="1:15" x14ac:dyDescent="0.25">
      <c r="A394">
        <v>393</v>
      </c>
      <c r="B394">
        <v>42</v>
      </c>
      <c r="C394" t="s">
        <v>16</v>
      </c>
      <c r="D394" t="s">
        <v>33</v>
      </c>
      <c r="E394" t="s">
        <v>38</v>
      </c>
      <c r="F394" s="1">
        <v>81.260000000000005</v>
      </c>
      <c r="G394" t="s">
        <v>31</v>
      </c>
      <c r="H394" t="s">
        <v>15</v>
      </c>
      <c r="I394" s="2">
        <v>4.0999999999999996</v>
      </c>
      <c r="J394" s="4">
        <v>14</v>
      </c>
      <c r="K394" s="3">
        <v>2</v>
      </c>
      <c r="L394" s="1">
        <f t="shared" si="18"/>
        <v>69.883600000000001</v>
      </c>
      <c r="M394" t="str" cm="1">
        <f t="array" ref="M394">_xlfn.IFS(B394&lt;18,"Under 18",B394 &lt;=25,"18-25",B394&lt;=35,"26-35",B394&lt;=45,"36-45",B394&lt;=60,"46-60",TRUE,"60+")</f>
        <v>36-45</v>
      </c>
      <c r="N394" t="str">
        <f t="shared" si="19"/>
        <v>Discounted</v>
      </c>
      <c r="O394" t="str">
        <f t="shared" si="20"/>
        <v>Returning</v>
      </c>
    </row>
    <row r="395" spans="1:15" x14ac:dyDescent="0.25">
      <c r="A395">
        <v>394</v>
      </c>
      <c r="B395">
        <v>33</v>
      </c>
      <c r="C395" t="s">
        <v>16</v>
      </c>
      <c r="D395" t="s">
        <v>20</v>
      </c>
      <c r="E395" t="s">
        <v>36</v>
      </c>
      <c r="F395" s="1">
        <v>143.71</v>
      </c>
      <c r="G395" t="s">
        <v>31</v>
      </c>
      <c r="H395" t="s">
        <v>15</v>
      </c>
      <c r="I395" s="2">
        <v>3.9</v>
      </c>
      <c r="J395" s="4">
        <v>11</v>
      </c>
      <c r="K395" s="3">
        <v>3</v>
      </c>
      <c r="L395" s="1">
        <f t="shared" si="18"/>
        <v>127.90190000000001</v>
      </c>
      <c r="M395" t="str" cm="1">
        <f t="array" ref="M395">_xlfn.IFS(B395&lt;18,"Under 18",B395 &lt;=25,"18-25",B395&lt;=35,"26-35",B395&lt;=45,"36-45",B395&lt;=60,"46-60",TRUE,"60+")</f>
        <v>26-35</v>
      </c>
      <c r="N395" t="str">
        <f t="shared" si="19"/>
        <v>Discounted</v>
      </c>
      <c r="O395" t="str">
        <f t="shared" si="20"/>
        <v>Returning</v>
      </c>
    </row>
    <row r="396" spans="1:15" x14ac:dyDescent="0.25">
      <c r="A396">
        <v>395</v>
      </c>
      <c r="B396">
        <v>70</v>
      </c>
      <c r="C396" t="s">
        <v>16</v>
      </c>
      <c r="D396" t="s">
        <v>20</v>
      </c>
      <c r="E396" t="s">
        <v>36</v>
      </c>
      <c r="F396" s="1">
        <v>62.41</v>
      </c>
      <c r="G396" t="s">
        <v>31</v>
      </c>
      <c r="H396" t="s">
        <v>37</v>
      </c>
      <c r="I396" s="2">
        <v>3.7</v>
      </c>
      <c r="J396" s="4">
        <v>28</v>
      </c>
      <c r="K396" s="3">
        <v>9</v>
      </c>
      <c r="L396" s="1">
        <f t="shared" si="18"/>
        <v>44.935199999999995</v>
      </c>
      <c r="M396" t="str" cm="1">
        <f t="array" ref="M396">_xlfn.IFS(B396&lt;18,"Under 18",B396 &lt;=25,"18-25",B396&lt;=35,"26-35",B396&lt;=45,"36-45",B396&lt;=60,"46-60",TRUE,"60+")</f>
        <v>60+</v>
      </c>
      <c r="N396" t="str">
        <f t="shared" si="19"/>
        <v>Discounted</v>
      </c>
      <c r="O396" t="str">
        <f t="shared" si="20"/>
        <v>Returning</v>
      </c>
    </row>
    <row r="397" spans="1:15" x14ac:dyDescent="0.25">
      <c r="A397">
        <v>396</v>
      </c>
      <c r="B397">
        <v>55</v>
      </c>
      <c r="C397" t="s">
        <v>11</v>
      </c>
      <c r="D397" t="s">
        <v>33</v>
      </c>
      <c r="E397" t="s">
        <v>40</v>
      </c>
      <c r="F397" s="1">
        <v>120.97</v>
      </c>
      <c r="G397" t="s">
        <v>31</v>
      </c>
      <c r="H397" t="s">
        <v>15</v>
      </c>
      <c r="I397" s="2">
        <v>2.9</v>
      </c>
      <c r="J397" s="4">
        <v>20</v>
      </c>
      <c r="K397" s="3">
        <v>5</v>
      </c>
      <c r="L397" s="1">
        <f t="shared" si="18"/>
        <v>96.77600000000001</v>
      </c>
      <c r="M397" t="str" cm="1">
        <f t="array" ref="M397">_xlfn.IFS(B397&lt;18,"Under 18",B397 &lt;=25,"18-25",B397&lt;=35,"26-35",B397&lt;=45,"36-45",B397&lt;=60,"46-60",TRUE,"60+")</f>
        <v>46-60</v>
      </c>
      <c r="N397" t="str">
        <f t="shared" si="19"/>
        <v>Discounted</v>
      </c>
      <c r="O397" t="str">
        <f t="shared" si="20"/>
        <v>Returning</v>
      </c>
    </row>
    <row r="398" spans="1:15" x14ac:dyDescent="0.25">
      <c r="A398">
        <v>397</v>
      </c>
      <c r="B398">
        <v>28</v>
      </c>
      <c r="C398" t="s">
        <v>16</v>
      </c>
      <c r="D398" t="s">
        <v>17</v>
      </c>
      <c r="E398" t="s">
        <v>42</v>
      </c>
      <c r="F398" s="1">
        <v>176.62</v>
      </c>
      <c r="G398" t="s">
        <v>19</v>
      </c>
      <c r="H398" t="s">
        <v>15</v>
      </c>
      <c r="I398" s="2">
        <v>3.7</v>
      </c>
      <c r="J398" s="4">
        <v>16</v>
      </c>
      <c r="K398" s="3">
        <v>3</v>
      </c>
      <c r="L398" s="1">
        <f t="shared" si="18"/>
        <v>148.36080000000001</v>
      </c>
      <c r="M398" t="str" cm="1">
        <f t="array" ref="M398">_xlfn.IFS(B398&lt;18,"Under 18",B398 &lt;=25,"18-25",B398&lt;=35,"26-35",B398&lt;=45,"36-45",B398&lt;=60,"46-60",TRUE,"60+")</f>
        <v>26-35</v>
      </c>
      <c r="N398" t="str">
        <f t="shared" si="19"/>
        <v>Discounted</v>
      </c>
      <c r="O398" t="str">
        <f t="shared" si="20"/>
        <v>Returning</v>
      </c>
    </row>
    <row r="399" spans="1:15" x14ac:dyDescent="0.25">
      <c r="A399">
        <v>398</v>
      </c>
      <c r="B399">
        <v>27</v>
      </c>
      <c r="C399" t="s">
        <v>16</v>
      </c>
      <c r="D399" t="s">
        <v>27</v>
      </c>
      <c r="E399" t="s">
        <v>49</v>
      </c>
      <c r="F399" s="1">
        <v>1091.52</v>
      </c>
      <c r="G399" t="s">
        <v>31</v>
      </c>
      <c r="H399" t="s">
        <v>15</v>
      </c>
      <c r="I399" s="2">
        <v>4.9000000000000004</v>
      </c>
      <c r="J399" s="4">
        <v>11</v>
      </c>
      <c r="K399" s="3">
        <v>3</v>
      </c>
      <c r="L399" s="1">
        <f t="shared" si="18"/>
        <v>971.45280000000002</v>
      </c>
      <c r="M399" t="str" cm="1">
        <f t="array" ref="M399">_xlfn.IFS(B399&lt;18,"Under 18",B399 &lt;=25,"18-25",B399&lt;=35,"26-35",B399&lt;=45,"36-45",B399&lt;=60,"46-60",TRUE,"60+")</f>
        <v>26-35</v>
      </c>
      <c r="N399" t="str">
        <f t="shared" si="19"/>
        <v>Discounted</v>
      </c>
      <c r="O399" t="str">
        <f t="shared" si="20"/>
        <v>Returning</v>
      </c>
    </row>
    <row r="400" spans="1:15" x14ac:dyDescent="0.25">
      <c r="A400">
        <v>399</v>
      </c>
      <c r="B400">
        <v>29</v>
      </c>
      <c r="C400" t="s">
        <v>11</v>
      </c>
      <c r="D400" t="s">
        <v>41</v>
      </c>
      <c r="E400" t="s">
        <v>42</v>
      </c>
      <c r="F400" s="1">
        <v>196.8</v>
      </c>
      <c r="G400" t="s">
        <v>31</v>
      </c>
      <c r="H400" t="s">
        <v>15</v>
      </c>
      <c r="I400" s="2">
        <v>3.7</v>
      </c>
      <c r="J400" s="4">
        <v>26</v>
      </c>
      <c r="K400" s="3">
        <v>8</v>
      </c>
      <c r="L400" s="1">
        <f t="shared" si="18"/>
        <v>145.63200000000001</v>
      </c>
      <c r="M400" t="str" cm="1">
        <f t="array" ref="M400">_xlfn.IFS(B400&lt;18,"Under 18",B400 &lt;=25,"18-25",B400&lt;=35,"26-35",B400&lt;=45,"36-45",B400&lt;=60,"46-60",TRUE,"60+")</f>
        <v>26-35</v>
      </c>
      <c r="N400" t="str">
        <f t="shared" si="19"/>
        <v>Discounted</v>
      </c>
      <c r="O400" t="str">
        <f t="shared" si="20"/>
        <v>Returning</v>
      </c>
    </row>
    <row r="401" spans="1:15" x14ac:dyDescent="0.25">
      <c r="A401">
        <v>400</v>
      </c>
      <c r="B401">
        <v>70</v>
      </c>
      <c r="C401" t="s">
        <v>11</v>
      </c>
      <c r="D401" t="s">
        <v>41</v>
      </c>
      <c r="E401" t="s">
        <v>45</v>
      </c>
      <c r="F401" s="1">
        <v>89.53</v>
      </c>
      <c r="G401" t="s">
        <v>19</v>
      </c>
      <c r="H401" t="s">
        <v>37</v>
      </c>
      <c r="I401" s="2">
        <v>3.8</v>
      </c>
      <c r="J401" s="4">
        <v>16</v>
      </c>
      <c r="K401" s="3">
        <v>8</v>
      </c>
      <c r="L401" s="1">
        <f t="shared" si="18"/>
        <v>75.205200000000005</v>
      </c>
      <c r="M401" t="str" cm="1">
        <f t="array" ref="M401">_xlfn.IFS(B401&lt;18,"Under 18",B401 &lt;=25,"18-25",B401&lt;=35,"26-35",B401&lt;=45,"36-45",B401&lt;=60,"46-60",TRUE,"60+")</f>
        <v>60+</v>
      </c>
      <c r="N401" t="str">
        <f t="shared" si="19"/>
        <v>Discounted</v>
      </c>
      <c r="O401" t="str">
        <f t="shared" si="20"/>
        <v>Returning</v>
      </c>
    </row>
    <row r="402" spans="1:15" x14ac:dyDescent="0.25">
      <c r="A402">
        <v>401</v>
      </c>
      <c r="B402">
        <v>38</v>
      </c>
      <c r="C402" t="s">
        <v>11</v>
      </c>
      <c r="D402" t="s">
        <v>12</v>
      </c>
      <c r="E402" t="s">
        <v>56</v>
      </c>
      <c r="F402" s="1">
        <v>141.24</v>
      </c>
      <c r="G402" t="s">
        <v>19</v>
      </c>
      <c r="H402" t="s">
        <v>15</v>
      </c>
      <c r="I402" s="2">
        <v>3.9</v>
      </c>
      <c r="J402" s="4">
        <v>11</v>
      </c>
      <c r="K402" s="3">
        <v>3</v>
      </c>
      <c r="L402" s="1">
        <f t="shared" si="18"/>
        <v>125.70360000000001</v>
      </c>
      <c r="M402" t="str" cm="1">
        <f t="array" ref="M402">_xlfn.IFS(B402&lt;18,"Under 18",B402 &lt;=25,"18-25",B402&lt;=35,"26-35",B402&lt;=45,"36-45",B402&lt;=60,"46-60",TRUE,"60+")</f>
        <v>36-45</v>
      </c>
      <c r="N402" t="str">
        <f t="shared" si="19"/>
        <v>Discounted</v>
      </c>
      <c r="O402" t="str">
        <f t="shared" si="20"/>
        <v>Returning</v>
      </c>
    </row>
    <row r="403" spans="1:15" x14ac:dyDescent="0.25">
      <c r="A403">
        <v>402</v>
      </c>
      <c r="B403">
        <v>32</v>
      </c>
      <c r="C403" t="s">
        <v>16</v>
      </c>
      <c r="D403" t="s">
        <v>17</v>
      </c>
      <c r="E403" t="s">
        <v>35</v>
      </c>
      <c r="F403" s="1">
        <v>125.07</v>
      </c>
      <c r="G403" t="s">
        <v>24</v>
      </c>
      <c r="H403" t="s">
        <v>15</v>
      </c>
      <c r="I403" s="2">
        <v>4.2</v>
      </c>
      <c r="J403" s="4">
        <v>9</v>
      </c>
      <c r="K403" s="3">
        <v>2</v>
      </c>
      <c r="L403" s="1">
        <f t="shared" si="18"/>
        <v>113.8137</v>
      </c>
      <c r="M403" t="str" cm="1">
        <f t="array" ref="M403">_xlfn.IFS(B403&lt;18,"Under 18",B403 &lt;=25,"18-25",B403&lt;=35,"26-35",B403&lt;=45,"36-45",B403&lt;=60,"46-60",TRUE,"60+")</f>
        <v>26-35</v>
      </c>
      <c r="N403" t="str">
        <f t="shared" si="19"/>
        <v>Discounted</v>
      </c>
      <c r="O403" t="str">
        <f t="shared" si="20"/>
        <v>Returning</v>
      </c>
    </row>
    <row r="404" spans="1:15" x14ac:dyDescent="0.25">
      <c r="A404">
        <v>403</v>
      </c>
      <c r="B404">
        <v>56</v>
      </c>
      <c r="C404" t="s">
        <v>11</v>
      </c>
      <c r="D404" t="s">
        <v>12</v>
      </c>
      <c r="E404" t="s">
        <v>13</v>
      </c>
      <c r="F404" s="1">
        <v>83.05</v>
      </c>
      <c r="G404" t="s">
        <v>14</v>
      </c>
      <c r="H404" t="s">
        <v>37</v>
      </c>
      <c r="I404" s="2">
        <v>4.0999999999999996</v>
      </c>
      <c r="J404" s="4">
        <v>18</v>
      </c>
      <c r="K404" s="3">
        <v>4</v>
      </c>
      <c r="L404" s="1">
        <f t="shared" si="18"/>
        <v>68.100999999999999</v>
      </c>
      <c r="M404" t="str" cm="1">
        <f t="array" ref="M404">_xlfn.IFS(B404&lt;18,"Under 18",B404 &lt;=25,"18-25",B404&lt;=35,"26-35",B404&lt;=45,"36-45",B404&lt;=60,"46-60",TRUE,"60+")</f>
        <v>46-60</v>
      </c>
      <c r="N404" t="str">
        <f t="shared" si="19"/>
        <v>Discounted</v>
      </c>
      <c r="O404" t="str">
        <f t="shared" si="20"/>
        <v>Returning</v>
      </c>
    </row>
    <row r="405" spans="1:15" x14ac:dyDescent="0.25">
      <c r="A405">
        <v>404</v>
      </c>
      <c r="B405">
        <v>32</v>
      </c>
      <c r="C405" t="s">
        <v>16</v>
      </c>
      <c r="D405" t="s">
        <v>22</v>
      </c>
      <c r="E405" t="s">
        <v>52</v>
      </c>
      <c r="F405" s="1">
        <v>84.48</v>
      </c>
      <c r="G405" t="s">
        <v>24</v>
      </c>
      <c r="H405" t="s">
        <v>15</v>
      </c>
      <c r="I405" s="2">
        <v>4.5</v>
      </c>
      <c r="J405" s="4">
        <v>19</v>
      </c>
      <c r="K405" s="3">
        <v>7</v>
      </c>
      <c r="L405" s="1">
        <f t="shared" si="18"/>
        <v>68.42880000000001</v>
      </c>
      <c r="M405" t="str" cm="1">
        <f t="array" ref="M405">_xlfn.IFS(B405&lt;18,"Under 18",B405 &lt;=25,"18-25",B405&lt;=35,"26-35",B405&lt;=45,"36-45",B405&lt;=60,"46-60",TRUE,"60+")</f>
        <v>26-35</v>
      </c>
      <c r="N405" t="str">
        <f t="shared" si="19"/>
        <v>Discounted</v>
      </c>
      <c r="O405" t="str">
        <f t="shared" si="20"/>
        <v>Returning</v>
      </c>
    </row>
    <row r="406" spans="1:15" x14ac:dyDescent="0.25">
      <c r="A406">
        <v>405</v>
      </c>
      <c r="B406">
        <v>42</v>
      </c>
      <c r="C406" t="s">
        <v>16</v>
      </c>
      <c r="D406" t="s">
        <v>27</v>
      </c>
      <c r="E406" t="s">
        <v>49</v>
      </c>
      <c r="F406" s="1">
        <v>1607.07</v>
      </c>
      <c r="G406" t="s">
        <v>14</v>
      </c>
      <c r="H406" t="s">
        <v>15</v>
      </c>
      <c r="I406" s="2">
        <v>4</v>
      </c>
      <c r="J406" s="4">
        <v>21</v>
      </c>
      <c r="K406" s="3">
        <v>8</v>
      </c>
      <c r="L406" s="1">
        <f t="shared" si="18"/>
        <v>1269.5853</v>
      </c>
      <c r="M406" t="str" cm="1">
        <f t="array" ref="M406">_xlfn.IFS(B406&lt;18,"Under 18",B406 &lt;=25,"18-25",B406&lt;=35,"26-35",B406&lt;=45,"36-45",B406&lt;=60,"46-60",TRUE,"60+")</f>
        <v>36-45</v>
      </c>
      <c r="N406" t="str">
        <f t="shared" si="19"/>
        <v>Discounted</v>
      </c>
      <c r="O406" t="str">
        <f t="shared" si="20"/>
        <v>Returning</v>
      </c>
    </row>
    <row r="407" spans="1:15" x14ac:dyDescent="0.25">
      <c r="A407">
        <v>406</v>
      </c>
      <c r="B407">
        <v>28</v>
      </c>
      <c r="C407" t="s">
        <v>11</v>
      </c>
      <c r="D407" t="s">
        <v>33</v>
      </c>
      <c r="E407" t="s">
        <v>34</v>
      </c>
      <c r="F407" s="1">
        <v>170.45</v>
      </c>
      <c r="G407" t="s">
        <v>19</v>
      </c>
      <c r="H407" t="s">
        <v>15</v>
      </c>
      <c r="I407" s="2">
        <v>3.8</v>
      </c>
      <c r="J407" s="4">
        <v>13</v>
      </c>
      <c r="K407" s="3">
        <v>4</v>
      </c>
      <c r="L407" s="1">
        <f t="shared" si="18"/>
        <v>148.29149999999998</v>
      </c>
      <c r="M407" t="str" cm="1">
        <f t="array" ref="M407">_xlfn.IFS(B407&lt;18,"Under 18",B407 &lt;=25,"18-25",B407&lt;=35,"26-35",B407&lt;=45,"36-45",B407&lt;=60,"46-60",TRUE,"60+")</f>
        <v>26-35</v>
      </c>
      <c r="N407" t="str">
        <f t="shared" si="19"/>
        <v>Discounted</v>
      </c>
      <c r="O407" t="str">
        <f t="shared" si="20"/>
        <v>Returning</v>
      </c>
    </row>
    <row r="408" spans="1:15" x14ac:dyDescent="0.25">
      <c r="A408">
        <v>407</v>
      </c>
      <c r="B408">
        <v>30</v>
      </c>
      <c r="C408" t="s">
        <v>11</v>
      </c>
      <c r="D408" t="s">
        <v>29</v>
      </c>
      <c r="E408" t="s">
        <v>55</v>
      </c>
      <c r="F408" s="1">
        <v>47.97</v>
      </c>
      <c r="G408" t="s">
        <v>19</v>
      </c>
      <c r="H408" t="s">
        <v>15</v>
      </c>
      <c r="I408" s="2">
        <v>3.7</v>
      </c>
      <c r="J408" s="4">
        <v>18</v>
      </c>
      <c r="K408" s="3">
        <v>4</v>
      </c>
      <c r="L408" s="1">
        <f t="shared" si="18"/>
        <v>39.3354</v>
      </c>
      <c r="M408" t="str" cm="1">
        <f t="array" ref="M408">_xlfn.IFS(B408&lt;18,"Under 18",B408 &lt;=25,"18-25",B408&lt;=35,"26-35",B408&lt;=45,"36-45",B408&lt;=60,"46-60",TRUE,"60+")</f>
        <v>26-35</v>
      </c>
      <c r="N408" t="str">
        <f t="shared" si="19"/>
        <v>Discounted</v>
      </c>
      <c r="O408" t="str">
        <f t="shared" si="20"/>
        <v>Returning</v>
      </c>
    </row>
    <row r="409" spans="1:15" x14ac:dyDescent="0.25">
      <c r="A409">
        <v>408</v>
      </c>
      <c r="B409">
        <v>31</v>
      </c>
      <c r="C409" t="s">
        <v>11</v>
      </c>
      <c r="D409" t="s">
        <v>41</v>
      </c>
      <c r="E409" t="s">
        <v>42</v>
      </c>
      <c r="F409" s="1">
        <v>152</v>
      </c>
      <c r="G409" t="s">
        <v>19</v>
      </c>
      <c r="H409" t="s">
        <v>15</v>
      </c>
      <c r="I409" s="2">
        <v>3.5</v>
      </c>
      <c r="J409" s="4">
        <v>24</v>
      </c>
      <c r="K409" s="3">
        <v>7</v>
      </c>
      <c r="L409" s="1">
        <f t="shared" si="18"/>
        <v>115.52</v>
      </c>
      <c r="M409" t="str" cm="1">
        <f t="array" ref="M409">_xlfn.IFS(B409&lt;18,"Under 18",B409 &lt;=25,"18-25",B409&lt;=35,"26-35",B409&lt;=45,"36-45",B409&lt;=60,"46-60",TRUE,"60+")</f>
        <v>26-35</v>
      </c>
      <c r="N409" t="str">
        <f t="shared" si="19"/>
        <v>Discounted</v>
      </c>
      <c r="O409" t="str">
        <f t="shared" si="20"/>
        <v>Returning</v>
      </c>
    </row>
    <row r="410" spans="1:15" x14ac:dyDescent="0.25">
      <c r="A410">
        <v>409</v>
      </c>
      <c r="B410">
        <v>60</v>
      </c>
      <c r="C410" t="s">
        <v>11</v>
      </c>
      <c r="D410" t="s">
        <v>29</v>
      </c>
      <c r="E410" t="s">
        <v>30</v>
      </c>
      <c r="F410" s="1">
        <v>77.790000000000006</v>
      </c>
      <c r="G410" t="s">
        <v>14</v>
      </c>
      <c r="H410" t="s">
        <v>15</v>
      </c>
      <c r="I410" s="2">
        <v>4.7</v>
      </c>
      <c r="J410" s="4">
        <v>11</v>
      </c>
      <c r="K410" s="3">
        <v>3</v>
      </c>
      <c r="L410" s="1">
        <f t="shared" si="18"/>
        <v>69.233100000000007</v>
      </c>
      <c r="M410" t="str" cm="1">
        <f t="array" ref="M410">_xlfn.IFS(B410&lt;18,"Under 18",B410 &lt;=25,"18-25",B410&lt;=35,"26-35",B410&lt;=45,"36-45",B410&lt;=60,"46-60",TRUE,"60+")</f>
        <v>46-60</v>
      </c>
      <c r="N410" t="str">
        <f t="shared" si="19"/>
        <v>Discounted</v>
      </c>
      <c r="O410" t="str">
        <f t="shared" si="20"/>
        <v>Returning</v>
      </c>
    </row>
    <row r="411" spans="1:15" x14ac:dyDescent="0.25">
      <c r="A411">
        <v>410</v>
      </c>
      <c r="B411">
        <v>46</v>
      </c>
      <c r="C411" t="s">
        <v>11</v>
      </c>
      <c r="D411" t="s">
        <v>41</v>
      </c>
      <c r="E411" t="s">
        <v>45</v>
      </c>
      <c r="F411" s="1">
        <v>55.8</v>
      </c>
      <c r="G411" t="s">
        <v>31</v>
      </c>
      <c r="H411" t="s">
        <v>37</v>
      </c>
      <c r="I411" s="2">
        <v>3.1</v>
      </c>
      <c r="J411" s="4">
        <v>22</v>
      </c>
      <c r="K411" s="3">
        <v>6</v>
      </c>
      <c r="L411" s="1">
        <f t="shared" si="18"/>
        <v>43.524000000000001</v>
      </c>
      <c r="M411" t="str" cm="1">
        <f t="array" ref="M411">_xlfn.IFS(B411&lt;18,"Under 18",B411 &lt;=25,"18-25",B411&lt;=35,"26-35",B411&lt;=45,"36-45",B411&lt;=60,"46-60",TRUE,"60+")</f>
        <v>46-60</v>
      </c>
      <c r="N411" t="str">
        <f t="shared" si="19"/>
        <v>Discounted</v>
      </c>
      <c r="O411" t="str">
        <f t="shared" si="20"/>
        <v>Returning</v>
      </c>
    </row>
    <row r="412" spans="1:15" x14ac:dyDescent="0.25">
      <c r="A412">
        <v>411</v>
      </c>
      <c r="B412">
        <v>66</v>
      </c>
      <c r="C412" t="s">
        <v>16</v>
      </c>
      <c r="D412" t="s">
        <v>20</v>
      </c>
      <c r="E412" t="s">
        <v>39</v>
      </c>
      <c r="F412" s="1">
        <v>140.76</v>
      </c>
      <c r="G412" t="s">
        <v>24</v>
      </c>
      <c r="H412" t="s">
        <v>15</v>
      </c>
      <c r="I412" s="2">
        <v>3.7</v>
      </c>
      <c r="J412" s="4">
        <v>26</v>
      </c>
      <c r="K412" s="3">
        <v>8</v>
      </c>
      <c r="L412" s="1">
        <f t="shared" si="18"/>
        <v>104.16239999999999</v>
      </c>
      <c r="M412" t="str" cm="1">
        <f t="array" ref="M412">_xlfn.IFS(B412&lt;18,"Under 18",B412 &lt;=25,"18-25",B412&lt;=35,"26-35",B412&lt;=45,"36-45",B412&lt;=60,"46-60",TRUE,"60+")</f>
        <v>60+</v>
      </c>
      <c r="N412" t="str">
        <f t="shared" si="19"/>
        <v>Discounted</v>
      </c>
      <c r="O412" t="str">
        <f t="shared" si="20"/>
        <v>Returning</v>
      </c>
    </row>
    <row r="413" spans="1:15" x14ac:dyDescent="0.25">
      <c r="A413">
        <v>412</v>
      </c>
      <c r="B413">
        <v>69</v>
      </c>
      <c r="C413" t="s">
        <v>16</v>
      </c>
      <c r="D413" t="s">
        <v>20</v>
      </c>
      <c r="E413" t="s">
        <v>39</v>
      </c>
      <c r="F413" s="1">
        <v>31.84</v>
      </c>
      <c r="G413" t="s">
        <v>14</v>
      </c>
      <c r="H413" t="s">
        <v>37</v>
      </c>
      <c r="I413" s="2">
        <v>4</v>
      </c>
      <c r="J413" s="4">
        <v>18</v>
      </c>
      <c r="K413" s="3">
        <v>4</v>
      </c>
      <c r="L413" s="1">
        <f t="shared" si="18"/>
        <v>26.108800000000002</v>
      </c>
      <c r="M413" t="str" cm="1">
        <f t="array" ref="M413">_xlfn.IFS(B413&lt;18,"Under 18",B413 &lt;=25,"18-25",B413&lt;=35,"26-35",B413&lt;=45,"36-45",B413&lt;=60,"46-60",TRUE,"60+")</f>
        <v>60+</v>
      </c>
      <c r="N413" t="str">
        <f t="shared" si="19"/>
        <v>Discounted</v>
      </c>
      <c r="O413" t="str">
        <f t="shared" si="20"/>
        <v>Returning</v>
      </c>
    </row>
    <row r="414" spans="1:15" x14ac:dyDescent="0.25">
      <c r="A414">
        <v>413</v>
      </c>
      <c r="B414">
        <v>56</v>
      </c>
      <c r="C414" t="s">
        <v>16</v>
      </c>
      <c r="D414" t="s">
        <v>17</v>
      </c>
      <c r="E414" t="s">
        <v>18</v>
      </c>
      <c r="F414" s="1">
        <v>175.84</v>
      </c>
      <c r="G414" t="s">
        <v>14</v>
      </c>
      <c r="H414" t="s">
        <v>15</v>
      </c>
      <c r="I414" s="2">
        <v>2.7</v>
      </c>
      <c r="J414" s="4">
        <v>16</v>
      </c>
      <c r="K414" s="3">
        <v>3</v>
      </c>
      <c r="L414" s="1">
        <f t="shared" si="18"/>
        <v>147.7056</v>
      </c>
      <c r="M414" t="str" cm="1">
        <f t="array" ref="M414">_xlfn.IFS(B414&lt;18,"Under 18",B414 &lt;=25,"18-25",B414&lt;=35,"26-35",B414&lt;=45,"36-45",B414&lt;=60,"46-60",TRUE,"60+")</f>
        <v>46-60</v>
      </c>
      <c r="N414" t="str">
        <f t="shared" si="19"/>
        <v>Discounted</v>
      </c>
      <c r="O414" t="str">
        <f t="shared" si="20"/>
        <v>Returning</v>
      </c>
    </row>
    <row r="415" spans="1:15" x14ac:dyDescent="0.25">
      <c r="A415">
        <v>414</v>
      </c>
      <c r="B415">
        <v>23</v>
      </c>
      <c r="C415" t="s">
        <v>16</v>
      </c>
      <c r="D415" t="s">
        <v>27</v>
      </c>
      <c r="E415" t="s">
        <v>53</v>
      </c>
      <c r="F415" s="1">
        <v>2970.31</v>
      </c>
      <c r="G415" t="s">
        <v>14</v>
      </c>
      <c r="H415" t="s">
        <v>15</v>
      </c>
      <c r="I415" s="2">
        <v>3.6</v>
      </c>
      <c r="J415" s="4">
        <v>12</v>
      </c>
      <c r="K415" s="3">
        <v>6</v>
      </c>
      <c r="L415" s="1">
        <f t="shared" si="18"/>
        <v>2613.8728000000001</v>
      </c>
      <c r="M415" t="str" cm="1">
        <f t="array" ref="M415">_xlfn.IFS(B415&lt;18,"Under 18",B415 &lt;=25,"18-25",B415&lt;=35,"26-35",B415&lt;=45,"36-45",B415&lt;=60,"46-60",TRUE,"60+")</f>
        <v>18-25</v>
      </c>
      <c r="N415" t="str">
        <f t="shared" si="19"/>
        <v>Discounted</v>
      </c>
      <c r="O415" t="str">
        <f t="shared" si="20"/>
        <v>Returning</v>
      </c>
    </row>
    <row r="416" spans="1:15" x14ac:dyDescent="0.25">
      <c r="A416">
        <v>415</v>
      </c>
      <c r="B416">
        <v>68</v>
      </c>
      <c r="C416" t="s">
        <v>16</v>
      </c>
      <c r="D416" t="s">
        <v>17</v>
      </c>
      <c r="E416" t="s">
        <v>18</v>
      </c>
      <c r="F416" s="1">
        <v>43.47</v>
      </c>
      <c r="G416" t="s">
        <v>31</v>
      </c>
      <c r="H416" t="s">
        <v>37</v>
      </c>
      <c r="I416" s="2">
        <v>5</v>
      </c>
      <c r="J416" s="4">
        <v>7</v>
      </c>
      <c r="K416" s="3">
        <v>1</v>
      </c>
      <c r="L416" s="1">
        <f t="shared" si="18"/>
        <v>40.427099999999996</v>
      </c>
      <c r="M416" t="str" cm="1">
        <f t="array" ref="M416">_xlfn.IFS(B416&lt;18,"Under 18",B416 &lt;=25,"18-25",B416&lt;=35,"26-35",B416&lt;=45,"36-45",B416&lt;=60,"46-60",TRUE,"60+")</f>
        <v>60+</v>
      </c>
      <c r="N416" t="str">
        <f t="shared" si="19"/>
        <v>Discounted</v>
      </c>
      <c r="O416" t="str">
        <f t="shared" si="20"/>
        <v>Returning</v>
      </c>
    </row>
    <row r="417" spans="1:15" x14ac:dyDescent="0.25">
      <c r="A417">
        <v>416</v>
      </c>
      <c r="B417">
        <v>38</v>
      </c>
      <c r="C417" t="s">
        <v>11</v>
      </c>
      <c r="D417" t="s">
        <v>29</v>
      </c>
      <c r="E417" t="s">
        <v>51</v>
      </c>
      <c r="F417" s="1">
        <v>99.24</v>
      </c>
      <c r="G417" t="s">
        <v>14</v>
      </c>
      <c r="H417" t="s">
        <v>15</v>
      </c>
      <c r="I417" s="2">
        <v>3.5</v>
      </c>
      <c r="J417" s="4">
        <v>23</v>
      </c>
      <c r="K417" s="3">
        <v>9</v>
      </c>
      <c r="L417" s="1">
        <f t="shared" si="18"/>
        <v>76.4148</v>
      </c>
      <c r="M417" t="str" cm="1">
        <f t="array" ref="M417">_xlfn.IFS(B417&lt;18,"Under 18",B417 &lt;=25,"18-25",B417&lt;=35,"26-35",B417&lt;=45,"36-45",B417&lt;=60,"46-60",TRUE,"60+")</f>
        <v>36-45</v>
      </c>
      <c r="N417" t="str">
        <f t="shared" si="19"/>
        <v>Discounted</v>
      </c>
      <c r="O417" t="str">
        <f t="shared" si="20"/>
        <v>Returning</v>
      </c>
    </row>
    <row r="418" spans="1:15" x14ac:dyDescent="0.25">
      <c r="A418">
        <v>417</v>
      </c>
      <c r="B418">
        <v>39</v>
      </c>
      <c r="C418" t="s">
        <v>11</v>
      </c>
      <c r="D418" t="s">
        <v>33</v>
      </c>
      <c r="E418" t="s">
        <v>40</v>
      </c>
      <c r="F418" s="1">
        <v>69.989999999999995</v>
      </c>
      <c r="G418" t="s">
        <v>31</v>
      </c>
      <c r="H418" t="s">
        <v>15</v>
      </c>
      <c r="I418" s="2">
        <v>3</v>
      </c>
      <c r="J418" s="4">
        <v>10</v>
      </c>
      <c r="K418" s="3">
        <v>5</v>
      </c>
      <c r="L418" s="1">
        <f t="shared" si="18"/>
        <v>62.991</v>
      </c>
      <c r="M418" t="str" cm="1">
        <f t="array" ref="M418">_xlfn.IFS(B418&lt;18,"Under 18",B418 &lt;=25,"18-25",B418&lt;=35,"26-35",B418&lt;=45,"36-45",B418&lt;=60,"46-60",TRUE,"60+")</f>
        <v>36-45</v>
      </c>
      <c r="N418" t="str">
        <f t="shared" si="19"/>
        <v>Discounted</v>
      </c>
      <c r="O418" t="str">
        <f t="shared" si="20"/>
        <v>Returning</v>
      </c>
    </row>
    <row r="419" spans="1:15" x14ac:dyDescent="0.25">
      <c r="A419">
        <v>418</v>
      </c>
      <c r="B419">
        <v>64</v>
      </c>
      <c r="C419" t="s">
        <v>11</v>
      </c>
      <c r="D419" t="s">
        <v>25</v>
      </c>
      <c r="E419" t="s">
        <v>54</v>
      </c>
      <c r="F419" s="1">
        <v>27.74</v>
      </c>
      <c r="G419" t="s">
        <v>31</v>
      </c>
      <c r="H419" t="s">
        <v>15</v>
      </c>
      <c r="I419" s="2">
        <v>2.2999999999999998</v>
      </c>
      <c r="J419" s="4">
        <v>15</v>
      </c>
      <c r="K419" s="3">
        <v>5</v>
      </c>
      <c r="L419" s="1">
        <f t="shared" si="18"/>
        <v>23.578999999999997</v>
      </c>
      <c r="M419" t="str" cm="1">
        <f t="array" ref="M419">_xlfn.IFS(B419&lt;18,"Under 18",B419 &lt;=25,"18-25",B419&lt;=35,"26-35",B419&lt;=45,"36-45",B419&lt;=60,"46-60",TRUE,"60+")</f>
        <v>60+</v>
      </c>
      <c r="N419" t="str">
        <f t="shared" si="19"/>
        <v>Discounted</v>
      </c>
      <c r="O419" t="str">
        <f t="shared" si="20"/>
        <v>Returning</v>
      </c>
    </row>
    <row r="420" spans="1:15" x14ac:dyDescent="0.25">
      <c r="A420">
        <v>419</v>
      </c>
      <c r="B420">
        <v>26</v>
      </c>
      <c r="C420" t="s">
        <v>11</v>
      </c>
      <c r="D420" t="s">
        <v>22</v>
      </c>
      <c r="E420" t="s">
        <v>52</v>
      </c>
      <c r="F420" s="1">
        <v>175.14</v>
      </c>
      <c r="G420" t="s">
        <v>24</v>
      </c>
      <c r="H420" t="s">
        <v>15</v>
      </c>
      <c r="I420" s="2">
        <v>4.5</v>
      </c>
      <c r="J420" s="4">
        <v>12</v>
      </c>
      <c r="K420" s="3">
        <v>1</v>
      </c>
      <c r="L420" s="1">
        <f t="shared" si="18"/>
        <v>154.1232</v>
      </c>
      <c r="M420" t="str" cm="1">
        <f t="array" ref="M420">_xlfn.IFS(B420&lt;18,"Under 18",B420 &lt;=25,"18-25",B420&lt;=35,"26-35",B420&lt;=45,"36-45",B420&lt;=60,"46-60",TRUE,"60+")</f>
        <v>26-35</v>
      </c>
      <c r="N420" t="str">
        <f t="shared" si="19"/>
        <v>Discounted</v>
      </c>
      <c r="O420" t="str">
        <f t="shared" si="20"/>
        <v>Returning</v>
      </c>
    </row>
    <row r="421" spans="1:15" x14ac:dyDescent="0.25">
      <c r="A421">
        <v>420</v>
      </c>
      <c r="B421">
        <v>58</v>
      </c>
      <c r="C421" t="s">
        <v>11</v>
      </c>
      <c r="D421" t="s">
        <v>12</v>
      </c>
      <c r="E421" t="s">
        <v>50</v>
      </c>
      <c r="F421" s="1">
        <v>105.33</v>
      </c>
      <c r="G421" t="s">
        <v>14</v>
      </c>
      <c r="H421" t="s">
        <v>15</v>
      </c>
      <c r="I421" s="2">
        <v>4.5</v>
      </c>
      <c r="J421" s="4">
        <v>22</v>
      </c>
      <c r="K421" s="3">
        <v>6</v>
      </c>
      <c r="L421" s="1">
        <f t="shared" si="18"/>
        <v>82.157399999999996</v>
      </c>
      <c r="M421" t="str" cm="1">
        <f t="array" ref="M421">_xlfn.IFS(B421&lt;18,"Under 18",B421 &lt;=25,"18-25",B421&lt;=35,"26-35",B421&lt;=45,"36-45",B421&lt;=60,"46-60",TRUE,"60+")</f>
        <v>46-60</v>
      </c>
      <c r="N421" t="str">
        <f t="shared" si="19"/>
        <v>Discounted</v>
      </c>
      <c r="O421" t="str">
        <f t="shared" si="20"/>
        <v>Returning</v>
      </c>
    </row>
    <row r="422" spans="1:15" x14ac:dyDescent="0.25">
      <c r="A422">
        <v>421</v>
      </c>
      <c r="B422">
        <v>33</v>
      </c>
      <c r="C422" t="s">
        <v>16</v>
      </c>
      <c r="D422" t="s">
        <v>27</v>
      </c>
      <c r="E422" t="s">
        <v>53</v>
      </c>
      <c r="F422" s="1">
        <v>2028.35</v>
      </c>
      <c r="G422" t="s">
        <v>24</v>
      </c>
      <c r="H422" t="s">
        <v>15</v>
      </c>
      <c r="I422" s="2">
        <v>3.6</v>
      </c>
      <c r="J422" s="4">
        <v>8</v>
      </c>
      <c r="K422" s="3">
        <v>4</v>
      </c>
      <c r="L422" s="1">
        <f t="shared" si="18"/>
        <v>1866.0820000000001</v>
      </c>
      <c r="M422" t="str" cm="1">
        <f t="array" ref="M422">_xlfn.IFS(B422&lt;18,"Under 18",B422 &lt;=25,"18-25",B422&lt;=35,"26-35",B422&lt;=45,"36-45",B422&lt;=60,"46-60",TRUE,"60+")</f>
        <v>26-35</v>
      </c>
      <c r="N422" t="str">
        <f t="shared" si="19"/>
        <v>Discounted</v>
      </c>
      <c r="O422" t="str">
        <f t="shared" si="20"/>
        <v>Returning</v>
      </c>
    </row>
    <row r="423" spans="1:15" x14ac:dyDescent="0.25">
      <c r="A423">
        <v>422</v>
      </c>
      <c r="B423">
        <v>54</v>
      </c>
      <c r="C423" t="s">
        <v>11</v>
      </c>
      <c r="D423" t="s">
        <v>29</v>
      </c>
      <c r="E423" t="s">
        <v>55</v>
      </c>
      <c r="F423" s="1">
        <v>44.38</v>
      </c>
      <c r="G423" t="s">
        <v>19</v>
      </c>
      <c r="H423" t="s">
        <v>37</v>
      </c>
      <c r="I423" s="2">
        <v>4.9000000000000004</v>
      </c>
      <c r="J423" s="4">
        <v>16</v>
      </c>
      <c r="K423" s="3">
        <v>3</v>
      </c>
      <c r="L423" s="1">
        <f t="shared" si="18"/>
        <v>37.279200000000003</v>
      </c>
      <c r="M423" t="str" cm="1">
        <f t="array" ref="M423">_xlfn.IFS(B423&lt;18,"Under 18",B423 &lt;=25,"18-25",B423&lt;=35,"26-35",B423&lt;=45,"36-45",B423&lt;=60,"46-60",TRUE,"60+")</f>
        <v>46-60</v>
      </c>
      <c r="N423" t="str">
        <f t="shared" si="19"/>
        <v>Discounted</v>
      </c>
      <c r="O423" t="str">
        <f t="shared" si="20"/>
        <v>Returning</v>
      </c>
    </row>
    <row r="424" spans="1:15" x14ac:dyDescent="0.25">
      <c r="A424">
        <v>423</v>
      </c>
      <c r="B424">
        <v>37</v>
      </c>
      <c r="C424" t="s">
        <v>11</v>
      </c>
      <c r="D424" t="s">
        <v>12</v>
      </c>
      <c r="E424" t="s">
        <v>56</v>
      </c>
      <c r="F424" s="1">
        <v>124.7</v>
      </c>
      <c r="G424" t="s">
        <v>19</v>
      </c>
      <c r="H424" t="s">
        <v>15</v>
      </c>
      <c r="I424" s="2">
        <v>4.5999999999999996</v>
      </c>
      <c r="J424" s="4">
        <v>22</v>
      </c>
      <c r="K424" s="3">
        <v>6</v>
      </c>
      <c r="L424" s="1">
        <f t="shared" si="18"/>
        <v>97.266000000000005</v>
      </c>
      <c r="M424" t="str" cm="1">
        <f t="array" ref="M424">_xlfn.IFS(B424&lt;18,"Under 18",B424 &lt;=25,"18-25",B424&lt;=35,"26-35",B424&lt;=45,"36-45",B424&lt;=60,"46-60",TRUE,"60+")</f>
        <v>36-45</v>
      </c>
      <c r="N424" t="str">
        <f t="shared" si="19"/>
        <v>Discounted</v>
      </c>
      <c r="O424" t="str">
        <f t="shared" si="20"/>
        <v>Returning</v>
      </c>
    </row>
    <row r="425" spans="1:15" x14ac:dyDescent="0.25">
      <c r="A425">
        <v>424</v>
      </c>
      <c r="B425">
        <v>27</v>
      </c>
      <c r="C425" t="s">
        <v>16</v>
      </c>
      <c r="D425" t="s">
        <v>17</v>
      </c>
      <c r="E425" t="s">
        <v>18</v>
      </c>
      <c r="F425" s="1">
        <v>117.37</v>
      </c>
      <c r="G425" t="s">
        <v>31</v>
      </c>
      <c r="H425" t="s">
        <v>15</v>
      </c>
      <c r="I425" s="2">
        <v>3.7</v>
      </c>
      <c r="J425" s="4">
        <v>20</v>
      </c>
      <c r="K425" s="3">
        <v>5</v>
      </c>
      <c r="L425" s="1">
        <f t="shared" si="18"/>
        <v>93.896000000000015</v>
      </c>
      <c r="M425" t="str" cm="1">
        <f t="array" ref="M425">_xlfn.IFS(B425&lt;18,"Under 18",B425 &lt;=25,"18-25",B425&lt;=35,"26-35",B425&lt;=45,"36-45",B425&lt;=60,"46-60",TRUE,"60+")</f>
        <v>26-35</v>
      </c>
      <c r="N425" t="str">
        <f t="shared" si="19"/>
        <v>Discounted</v>
      </c>
      <c r="O425" t="str">
        <f t="shared" si="20"/>
        <v>Returning</v>
      </c>
    </row>
    <row r="426" spans="1:15" x14ac:dyDescent="0.25">
      <c r="A426">
        <v>425</v>
      </c>
      <c r="B426">
        <v>67</v>
      </c>
      <c r="C426" t="s">
        <v>11</v>
      </c>
      <c r="D426" t="s">
        <v>12</v>
      </c>
      <c r="E426" t="s">
        <v>50</v>
      </c>
      <c r="F426" s="1">
        <v>81.81</v>
      </c>
      <c r="G426" t="s">
        <v>19</v>
      </c>
      <c r="H426" t="s">
        <v>37</v>
      </c>
      <c r="I426" s="2">
        <v>3.8</v>
      </c>
      <c r="J426" s="4">
        <v>13</v>
      </c>
      <c r="K426" s="3">
        <v>4</v>
      </c>
      <c r="L426" s="1">
        <f t="shared" si="18"/>
        <v>71.174700000000001</v>
      </c>
      <c r="M426" t="str" cm="1">
        <f t="array" ref="M426">_xlfn.IFS(B426&lt;18,"Under 18",B426 &lt;=25,"18-25",B426&lt;=35,"26-35",B426&lt;=45,"36-45",B426&lt;=60,"46-60",TRUE,"60+")</f>
        <v>60+</v>
      </c>
      <c r="N426" t="str">
        <f t="shared" si="19"/>
        <v>Discounted</v>
      </c>
      <c r="O426" t="str">
        <f t="shared" si="20"/>
        <v>Returning</v>
      </c>
    </row>
    <row r="427" spans="1:15" x14ac:dyDescent="0.25">
      <c r="A427">
        <v>426</v>
      </c>
      <c r="B427">
        <v>34</v>
      </c>
      <c r="C427" t="s">
        <v>11</v>
      </c>
      <c r="D427" t="s">
        <v>29</v>
      </c>
      <c r="E427" t="s">
        <v>30</v>
      </c>
      <c r="F427" s="1">
        <v>108.57</v>
      </c>
      <c r="G427" t="s">
        <v>24</v>
      </c>
      <c r="H427" t="s">
        <v>15</v>
      </c>
      <c r="I427" s="2">
        <v>4.9000000000000004</v>
      </c>
      <c r="J427" s="4">
        <v>13</v>
      </c>
      <c r="K427" s="3">
        <v>4</v>
      </c>
      <c r="L427" s="1">
        <f t="shared" si="18"/>
        <v>94.4559</v>
      </c>
      <c r="M427" t="str" cm="1">
        <f t="array" ref="M427">_xlfn.IFS(B427&lt;18,"Under 18",B427 &lt;=25,"18-25",B427&lt;=35,"26-35",B427&lt;=45,"36-45",B427&lt;=60,"46-60",TRUE,"60+")</f>
        <v>26-35</v>
      </c>
      <c r="N427" t="str">
        <f t="shared" si="19"/>
        <v>Discounted</v>
      </c>
      <c r="O427" t="str">
        <f t="shared" si="20"/>
        <v>Returning</v>
      </c>
    </row>
    <row r="428" spans="1:15" x14ac:dyDescent="0.25">
      <c r="A428">
        <v>427</v>
      </c>
      <c r="B428">
        <v>70</v>
      </c>
      <c r="C428" t="s">
        <v>11</v>
      </c>
      <c r="D428" t="s">
        <v>12</v>
      </c>
      <c r="E428" t="s">
        <v>56</v>
      </c>
      <c r="F428" s="1">
        <v>150.37</v>
      </c>
      <c r="G428" t="s">
        <v>14</v>
      </c>
      <c r="H428" t="s">
        <v>15</v>
      </c>
      <c r="I428" s="2">
        <v>4.5</v>
      </c>
      <c r="J428" s="4">
        <v>10</v>
      </c>
      <c r="K428" s="3">
        <v>5</v>
      </c>
      <c r="L428" s="1">
        <f t="shared" si="18"/>
        <v>135.333</v>
      </c>
      <c r="M428" t="str" cm="1">
        <f t="array" ref="M428">_xlfn.IFS(B428&lt;18,"Under 18",B428 &lt;=25,"18-25",B428&lt;=35,"26-35",B428&lt;=45,"36-45",B428&lt;=60,"46-60",TRUE,"60+")</f>
        <v>60+</v>
      </c>
      <c r="N428" t="str">
        <f t="shared" si="19"/>
        <v>Discounted</v>
      </c>
      <c r="O428" t="str">
        <f t="shared" si="20"/>
        <v>Returning</v>
      </c>
    </row>
    <row r="429" spans="1:15" x14ac:dyDescent="0.25">
      <c r="A429">
        <v>428</v>
      </c>
      <c r="B429">
        <v>21</v>
      </c>
      <c r="C429" t="s">
        <v>11</v>
      </c>
      <c r="D429" t="s">
        <v>25</v>
      </c>
      <c r="E429" t="s">
        <v>57</v>
      </c>
      <c r="F429" s="1">
        <v>21.02</v>
      </c>
      <c r="G429" t="s">
        <v>14</v>
      </c>
      <c r="H429" t="s">
        <v>15</v>
      </c>
      <c r="I429" s="2">
        <v>2.7</v>
      </c>
      <c r="J429" s="4">
        <v>14</v>
      </c>
      <c r="K429" s="3">
        <v>7</v>
      </c>
      <c r="L429" s="1">
        <f t="shared" si="18"/>
        <v>18.077199999999998</v>
      </c>
      <c r="M429" t="str" cm="1">
        <f t="array" ref="M429">_xlfn.IFS(B429&lt;18,"Under 18",B429 &lt;=25,"18-25",B429&lt;=35,"26-35",B429&lt;=45,"36-45",B429&lt;=60,"46-60",TRUE,"60+")</f>
        <v>18-25</v>
      </c>
      <c r="N429" t="str">
        <f t="shared" si="19"/>
        <v>Discounted</v>
      </c>
      <c r="O429" t="str">
        <f t="shared" si="20"/>
        <v>Returning</v>
      </c>
    </row>
    <row r="430" spans="1:15" x14ac:dyDescent="0.25">
      <c r="A430">
        <v>429</v>
      </c>
      <c r="B430">
        <v>67</v>
      </c>
      <c r="C430" t="s">
        <v>11</v>
      </c>
      <c r="D430" t="s">
        <v>33</v>
      </c>
      <c r="E430" t="s">
        <v>40</v>
      </c>
      <c r="F430" s="1">
        <v>203.32</v>
      </c>
      <c r="G430" t="s">
        <v>31</v>
      </c>
      <c r="H430" t="s">
        <v>15</v>
      </c>
      <c r="I430" s="2">
        <v>3.3</v>
      </c>
      <c r="J430" s="4">
        <v>10</v>
      </c>
      <c r="K430" s="3">
        <v>5</v>
      </c>
      <c r="L430" s="1">
        <f t="shared" si="18"/>
        <v>182.988</v>
      </c>
      <c r="M430" t="str" cm="1">
        <f t="array" ref="M430">_xlfn.IFS(B430&lt;18,"Under 18",B430 &lt;=25,"18-25",B430&lt;=35,"26-35",B430&lt;=45,"36-45",B430&lt;=60,"46-60",TRUE,"60+")</f>
        <v>60+</v>
      </c>
      <c r="N430" t="str">
        <f t="shared" si="19"/>
        <v>Discounted</v>
      </c>
      <c r="O430" t="str">
        <f t="shared" si="20"/>
        <v>Returning</v>
      </c>
    </row>
    <row r="431" spans="1:15" x14ac:dyDescent="0.25">
      <c r="A431">
        <v>430</v>
      </c>
      <c r="B431">
        <v>45</v>
      </c>
      <c r="C431" t="s">
        <v>11</v>
      </c>
      <c r="D431" t="s">
        <v>12</v>
      </c>
      <c r="E431" t="s">
        <v>50</v>
      </c>
      <c r="F431" s="1">
        <v>67.03</v>
      </c>
      <c r="G431" t="s">
        <v>14</v>
      </c>
      <c r="H431" t="s">
        <v>37</v>
      </c>
      <c r="I431" s="2">
        <v>3.6</v>
      </c>
      <c r="J431" s="4">
        <v>21</v>
      </c>
      <c r="K431" s="3">
        <v>8</v>
      </c>
      <c r="L431" s="1">
        <f t="shared" si="18"/>
        <v>52.953700000000005</v>
      </c>
      <c r="M431" t="str" cm="1">
        <f t="array" ref="M431">_xlfn.IFS(B431&lt;18,"Under 18",B431 &lt;=25,"18-25",B431&lt;=35,"26-35",B431&lt;=45,"36-45",B431&lt;=60,"46-60",TRUE,"60+")</f>
        <v>36-45</v>
      </c>
      <c r="N431" t="str">
        <f t="shared" si="19"/>
        <v>Discounted</v>
      </c>
      <c r="O431" t="str">
        <f t="shared" si="20"/>
        <v>Returning</v>
      </c>
    </row>
    <row r="432" spans="1:15" x14ac:dyDescent="0.25">
      <c r="A432">
        <v>431</v>
      </c>
      <c r="B432">
        <v>64</v>
      </c>
      <c r="C432" t="s">
        <v>16</v>
      </c>
      <c r="D432" t="s">
        <v>27</v>
      </c>
      <c r="E432" t="s">
        <v>28</v>
      </c>
      <c r="F432" s="1">
        <v>1948.28</v>
      </c>
      <c r="G432" t="s">
        <v>31</v>
      </c>
      <c r="H432" t="s">
        <v>15</v>
      </c>
      <c r="I432" s="2">
        <v>4.2</v>
      </c>
      <c r="J432" s="4">
        <v>20</v>
      </c>
      <c r="K432" s="3">
        <v>5</v>
      </c>
      <c r="L432" s="1">
        <f t="shared" si="18"/>
        <v>1558.624</v>
      </c>
      <c r="M432" t="str" cm="1">
        <f t="array" ref="M432">_xlfn.IFS(B432&lt;18,"Under 18",B432 &lt;=25,"18-25",B432&lt;=35,"26-35",B432&lt;=45,"36-45",B432&lt;=60,"46-60",TRUE,"60+")</f>
        <v>60+</v>
      </c>
      <c r="N432" t="str">
        <f t="shared" si="19"/>
        <v>Discounted</v>
      </c>
      <c r="O432" t="str">
        <f t="shared" si="20"/>
        <v>Returning</v>
      </c>
    </row>
    <row r="433" spans="1:15" x14ac:dyDescent="0.25">
      <c r="A433">
        <v>432</v>
      </c>
      <c r="B433">
        <v>51</v>
      </c>
      <c r="C433" t="s">
        <v>11</v>
      </c>
      <c r="D433" t="s">
        <v>41</v>
      </c>
      <c r="E433" t="s">
        <v>42</v>
      </c>
      <c r="F433" s="1">
        <v>108.88</v>
      </c>
      <c r="G433" t="s">
        <v>14</v>
      </c>
      <c r="H433" t="s">
        <v>15</v>
      </c>
      <c r="I433" s="2">
        <v>3.7</v>
      </c>
      <c r="J433" s="4">
        <v>15</v>
      </c>
      <c r="K433" s="3">
        <v>5</v>
      </c>
      <c r="L433" s="1">
        <f t="shared" si="18"/>
        <v>92.547999999999988</v>
      </c>
      <c r="M433" t="str" cm="1">
        <f t="array" ref="M433">_xlfn.IFS(B433&lt;18,"Under 18",B433 &lt;=25,"18-25",B433&lt;=35,"26-35",B433&lt;=45,"36-45",B433&lt;=60,"46-60",TRUE,"60+")</f>
        <v>46-60</v>
      </c>
      <c r="N433" t="str">
        <f t="shared" si="19"/>
        <v>Discounted</v>
      </c>
      <c r="O433" t="str">
        <f t="shared" si="20"/>
        <v>Returning</v>
      </c>
    </row>
    <row r="434" spans="1:15" x14ac:dyDescent="0.25">
      <c r="A434">
        <v>433</v>
      </c>
      <c r="B434">
        <v>41</v>
      </c>
      <c r="C434" t="s">
        <v>11</v>
      </c>
      <c r="D434" t="s">
        <v>25</v>
      </c>
      <c r="E434" t="s">
        <v>47</v>
      </c>
      <c r="F434" s="1">
        <v>42.47</v>
      </c>
      <c r="G434" t="s">
        <v>31</v>
      </c>
      <c r="H434" t="s">
        <v>37</v>
      </c>
      <c r="I434" s="2">
        <v>2.5</v>
      </c>
      <c r="J434" s="4">
        <v>10</v>
      </c>
      <c r="K434" s="3">
        <v>5</v>
      </c>
      <c r="L434" s="1">
        <f t="shared" si="18"/>
        <v>38.222999999999999</v>
      </c>
      <c r="M434" t="str" cm="1">
        <f t="array" ref="M434">_xlfn.IFS(B434&lt;18,"Under 18",B434 &lt;=25,"18-25",B434&lt;=35,"26-35",B434&lt;=45,"36-45",B434&lt;=60,"46-60",TRUE,"60+")</f>
        <v>36-45</v>
      </c>
      <c r="N434" t="str">
        <f t="shared" si="19"/>
        <v>Discounted</v>
      </c>
      <c r="O434" t="str">
        <f t="shared" si="20"/>
        <v>Returning</v>
      </c>
    </row>
    <row r="435" spans="1:15" x14ac:dyDescent="0.25">
      <c r="A435">
        <v>434</v>
      </c>
      <c r="B435">
        <v>61</v>
      </c>
      <c r="C435" t="s">
        <v>16</v>
      </c>
      <c r="D435" t="s">
        <v>17</v>
      </c>
      <c r="E435" t="s">
        <v>48</v>
      </c>
      <c r="F435" s="1">
        <v>57.77</v>
      </c>
      <c r="G435" t="s">
        <v>31</v>
      </c>
      <c r="H435" t="s">
        <v>15</v>
      </c>
      <c r="I435" s="2">
        <v>3.5</v>
      </c>
      <c r="J435" s="4">
        <v>18</v>
      </c>
      <c r="K435" s="3">
        <v>4</v>
      </c>
      <c r="L435" s="1">
        <f t="shared" si="18"/>
        <v>47.371400000000008</v>
      </c>
      <c r="M435" t="str" cm="1">
        <f t="array" ref="M435">_xlfn.IFS(B435&lt;18,"Under 18",B435 &lt;=25,"18-25",B435&lt;=35,"26-35",B435&lt;=45,"36-45",B435&lt;=60,"46-60",TRUE,"60+")</f>
        <v>60+</v>
      </c>
      <c r="N435" t="str">
        <f t="shared" si="19"/>
        <v>Discounted</v>
      </c>
      <c r="O435" t="str">
        <f t="shared" si="20"/>
        <v>Returning</v>
      </c>
    </row>
    <row r="436" spans="1:15" x14ac:dyDescent="0.25">
      <c r="A436">
        <v>435</v>
      </c>
      <c r="B436">
        <v>47</v>
      </c>
      <c r="C436" t="s">
        <v>16</v>
      </c>
      <c r="D436" t="s">
        <v>25</v>
      </c>
      <c r="E436" t="s">
        <v>26</v>
      </c>
      <c r="F436" s="1">
        <v>28.68</v>
      </c>
      <c r="G436" t="s">
        <v>31</v>
      </c>
      <c r="H436" t="s">
        <v>37</v>
      </c>
      <c r="I436" s="2">
        <v>3.8</v>
      </c>
      <c r="J436" s="4">
        <v>15</v>
      </c>
      <c r="K436" s="3">
        <v>5</v>
      </c>
      <c r="L436" s="1">
        <f t="shared" si="18"/>
        <v>24.378</v>
      </c>
      <c r="M436" t="str" cm="1">
        <f t="array" ref="M436">_xlfn.IFS(B436&lt;18,"Under 18",B436 &lt;=25,"18-25",B436&lt;=35,"26-35",B436&lt;=45,"36-45",B436&lt;=60,"46-60",TRUE,"60+")</f>
        <v>46-60</v>
      </c>
      <c r="N436" t="str">
        <f t="shared" si="19"/>
        <v>Discounted</v>
      </c>
      <c r="O436" t="str">
        <f t="shared" si="20"/>
        <v>Returning</v>
      </c>
    </row>
    <row r="437" spans="1:15" x14ac:dyDescent="0.25">
      <c r="A437">
        <v>436</v>
      </c>
      <c r="B437">
        <v>38</v>
      </c>
      <c r="C437" t="s">
        <v>16</v>
      </c>
      <c r="D437" t="s">
        <v>17</v>
      </c>
      <c r="E437" t="s">
        <v>18</v>
      </c>
      <c r="F437" s="1">
        <v>59</v>
      </c>
      <c r="G437" t="s">
        <v>31</v>
      </c>
      <c r="H437" t="s">
        <v>15</v>
      </c>
      <c r="I437" s="2">
        <v>4.0999999999999996</v>
      </c>
      <c r="J437" s="4">
        <v>12</v>
      </c>
      <c r="K437" s="3">
        <v>6</v>
      </c>
      <c r="L437" s="1">
        <f t="shared" si="18"/>
        <v>51.92</v>
      </c>
      <c r="M437" t="str" cm="1">
        <f t="array" ref="M437">_xlfn.IFS(B437&lt;18,"Under 18",B437 &lt;=25,"18-25",B437&lt;=35,"26-35",B437&lt;=45,"36-45",B437&lt;=60,"46-60",TRUE,"60+")</f>
        <v>36-45</v>
      </c>
      <c r="N437" t="str">
        <f t="shared" si="19"/>
        <v>Discounted</v>
      </c>
      <c r="O437" t="str">
        <f t="shared" si="20"/>
        <v>Returning</v>
      </c>
    </row>
    <row r="438" spans="1:15" x14ac:dyDescent="0.25">
      <c r="A438">
        <v>437</v>
      </c>
      <c r="B438">
        <v>50</v>
      </c>
      <c r="C438" t="s">
        <v>11</v>
      </c>
      <c r="D438" t="s">
        <v>12</v>
      </c>
      <c r="E438" t="s">
        <v>50</v>
      </c>
      <c r="F438" s="1">
        <v>128.94999999999999</v>
      </c>
      <c r="G438" t="s">
        <v>14</v>
      </c>
      <c r="H438" t="s">
        <v>15</v>
      </c>
      <c r="I438" s="2">
        <v>4.3</v>
      </c>
      <c r="J438" s="4">
        <v>19</v>
      </c>
      <c r="K438" s="3">
        <v>7</v>
      </c>
      <c r="L438" s="1">
        <f t="shared" si="18"/>
        <v>104.4495</v>
      </c>
      <c r="M438" t="str" cm="1">
        <f t="array" ref="M438">_xlfn.IFS(B438&lt;18,"Under 18",B438 &lt;=25,"18-25",B438&lt;=35,"26-35",B438&lt;=45,"36-45",B438&lt;=60,"46-60",TRUE,"60+")</f>
        <v>46-60</v>
      </c>
      <c r="N438" t="str">
        <f t="shared" si="19"/>
        <v>Discounted</v>
      </c>
      <c r="O438" t="str">
        <f t="shared" si="20"/>
        <v>Returning</v>
      </c>
    </row>
    <row r="439" spans="1:15" x14ac:dyDescent="0.25">
      <c r="A439">
        <v>438</v>
      </c>
      <c r="B439">
        <v>29</v>
      </c>
      <c r="C439" t="s">
        <v>16</v>
      </c>
      <c r="D439" t="s">
        <v>17</v>
      </c>
      <c r="E439" t="s">
        <v>35</v>
      </c>
      <c r="F439" s="1">
        <v>163.33000000000001</v>
      </c>
      <c r="G439" t="s">
        <v>14</v>
      </c>
      <c r="H439" t="s">
        <v>15</v>
      </c>
      <c r="I439" s="2">
        <v>4.7</v>
      </c>
      <c r="J439" s="4">
        <v>27</v>
      </c>
      <c r="K439" s="3">
        <v>11</v>
      </c>
      <c r="L439" s="1">
        <f t="shared" si="18"/>
        <v>119.23090000000001</v>
      </c>
      <c r="M439" t="str" cm="1">
        <f t="array" ref="M439">_xlfn.IFS(B439&lt;18,"Under 18",B439 &lt;=25,"18-25",B439&lt;=35,"26-35",B439&lt;=45,"36-45",B439&lt;=60,"46-60",TRUE,"60+")</f>
        <v>26-35</v>
      </c>
      <c r="N439" t="str">
        <f t="shared" si="19"/>
        <v>Discounted</v>
      </c>
      <c r="O439" t="str">
        <f t="shared" si="20"/>
        <v>Returning</v>
      </c>
    </row>
    <row r="440" spans="1:15" x14ac:dyDescent="0.25">
      <c r="A440">
        <v>439</v>
      </c>
      <c r="B440">
        <v>24</v>
      </c>
      <c r="C440" t="s">
        <v>11</v>
      </c>
      <c r="D440" t="s">
        <v>33</v>
      </c>
      <c r="E440" t="s">
        <v>40</v>
      </c>
      <c r="F440" s="1">
        <v>42.5</v>
      </c>
      <c r="G440" t="s">
        <v>31</v>
      </c>
      <c r="H440" t="s">
        <v>15</v>
      </c>
      <c r="I440" s="2">
        <v>3.6</v>
      </c>
      <c r="J440" s="4">
        <v>18</v>
      </c>
      <c r="K440" s="3">
        <v>9</v>
      </c>
      <c r="L440" s="1">
        <f t="shared" si="18"/>
        <v>34.85</v>
      </c>
      <c r="M440" t="str" cm="1">
        <f t="array" ref="M440">_xlfn.IFS(B440&lt;18,"Under 18",B440 &lt;=25,"18-25",B440&lt;=35,"26-35",B440&lt;=45,"36-45",B440&lt;=60,"46-60",TRUE,"60+")</f>
        <v>18-25</v>
      </c>
      <c r="N440" t="str">
        <f t="shared" si="19"/>
        <v>Discounted</v>
      </c>
      <c r="O440" t="str">
        <f t="shared" si="20"/>
        <v>Returning</v>
      </c>
    </row>
    <row r="441" spans="1:15" x14ac:dyDescent="0.25">
      <c r="A441">
        <v>440</v>
      </c>
      <c r="B441">
        <v>57</v>
      </c>
      <c r="C441" t="s">
        <v>16</v>
      </c>
      <c r="D441" t="s">
        <v>17</v>
      </c>
      <c r="E441" t="s">
        <v>48</v>
      </c>
      <c r="F441" s="1">
        <v>34.25</v>
      </c>
      <c r="G441" t="s">
        <v>31</v>
      </c>
      <c r="H441" t="s">
        <v>37</v>
      </c>
      <c r="I441" s="2">
        <v>4.3</v>
      </c>
      <c r="J441" s="4">
        <v>20</v>
      </c>
      <c r="K441" s="3">
        <v>10</v>
      </c>
      <c r="L441" s="1">
        <f t="shared" si="18"/>
        <v>27.400000000000002</v>
      </c>
      <c r="M441" t="str" cm="1">
        <f t="array" ref="M441">_xlfn.IFS(B441&lt;18,"Under 18",B441 &lt;=25,"18-25",B441&lt;=35,"26-35",B441&lt;=45,"36-45",B441&lt;=60,"46-60",TRUE,"60+")</f>
        <v>46-60</v>
      </c>
      <c r="N441" t="str">
        <f t="shared" si="19"/>
        <v>Discounted</v>
      </c>
      <c r="O441" t="str">
        <f t="shared" si="20"/>
        <v>Returning</v>
      </c>
    </row>
    <row r="442" spans="1:15" x14ac:dyDescent="0.25">
      <c r="A442">
        <v>441</v>
      </c>
      <c r="B442">
        <v>42</v>
      </c>
      <c r="C442" t="s">
        <v>16</v>
      </c>
      <c r="D442" t="s">
        <v>20</v>
      </c>
      <c r="E442" t="s">
        <v>36</v>
      </c>
      <c r="F442" s="1">
        <v>36.03</v>
      </c>
      <c r="G442" t="s">
        <v>31</v>
      </c>
      <c r="H442" t="s">
        <v>37</v>
      </c>
      <c r="I442" s="2">
        <v>4.4000000000000004</v>
      </c>
      <c r="J442" s="4">
        <v>22</v>
      </c>
      <c r="K442" s="3">
        <v>6</v>
      </c>
      <c r="L442" s="1">
        <f t="shared" si="18"/>
        <v>28.103400000000001</v>
      </c>
      <c r="M442" t="str" cm="1">
        <f t="array" ref="M442">_xlfn.IFS(B442&lt;18,"Under 18",B442 &lt;=25,"18-25",B442&lt;=35,"26-35",B442&lt;=45,"36-45",B442&lt;=60,"46-60",TRUE,"60+")</f>
        <v>36-45</v>
      </c>
      <c r="N442" t="str">
        <f t="shared" si="19"/>
        <v>Discounted</v>
      </c>
      <c r="O442" t="str">
        <f t="shared" si="20"/>
        <v>Returning</v>
      </c>
    </row>
    <row r="443" spans="1:15" x14ac:dyDescent="0.25">
      <c r="A443">
        <v>442</v>
      </c>
      <c r="B443">
        <v>48</v>
      </c>
      <c r="C443" t="s">
        <v>16</v>
      </c>
      <c r="D443" t="s">
        <v>17</v>
      </c>
      <c r="E443" t="s">
        <v>35</v>
      </c>
      <c r="F443" s="1">
        <v>78.25</v>
      </c>
      <c r="G443" t="s">
        <v>24</v>
      </c>
      <c r="H443" t="s">
        <v>37</v>
      </c>
      <c r="I443" s="2">
        <v>3.3</v>
      </c>
      <c r="J443" s="4">
        <v>10</v>
      </c>
      <c r="K443" s="3">
        <v>5</v>
      </c>
      <c r="L443" s="1">
        <f t="shared" si="18"/>
        <v>70.424999999999997</v>
      </c>
      <c r="M443" t="str" cm="1">
        <f t="array" ref="M443">_xlfn.IFS(B443&lt;18,"Under 18",B443 &lt;=25,"18-25",B443&lt;=35,"26-35",B443&lt;=45,"36-45",B443&lt;=60,"46-60",TRUE,"60+")</f>
        <v>46-60</v>
      </c>
      <c r="N443" t="str">
        <f t="shared" si="19"/>
        <v>Discounted</v>
      </c>
      <c r="O443" t="str">
        <f t="shared" si="20"/>
        <v>Returning</v>
      </c>
    </row>
    <row r="444" spans="1:15" x14ac:dyDescent="0.25">
      <c r="A444">
        <v>443</v>
      </c>
      <c r="B444">
        <v>22</v>
      </c>
      <c r="C444" t="s">
        <v>11</v>
      </c>
      <c r="D444" t="s">
        <v>41</v>
      </c>
      <c r="E444" t="s">
        <v>46</v>
      </c>
      <c r="F444" s="1">
        <v>162.85</v>
      </c>
      <c r="G444" t="s">
        <v>24</v>
      </c>
      <c r="H444" t="s">
        <v>15</v>
      </c>
      <c r="I444" s="2">
        <v>3.7</v>
      </c>
      <c r="J444" s="4">
        <v>10</v>
      </c>
      <c r="K444" s="3">
        <v>5</v>
      </c>
      <c r="L444" s="1">
        <f t="shared" si="18"/>
        <v>146.565</v>
      </c>
      <c r="M444" t="str" cm="1">
        <f t="array" ref="M444">_xlfn.IFS(B444&lt;18,"Under 18",B444 &lt;=25,"18-25",B444&lt;=35,"26-35",B444&lt;=45,"36-45",B444&lt;=60,"46-60",TRUE,"60+")</f>
        <v>18-25</v>
      </c>
      <c r="N444" t="str">
        <f t="shared" si="19"/>
        <v>Discounted</v>
      </c>
      <c r="O444" t="str">
        <f t="shared" si="20"/>
        <v>Returning</v>
      </c>
    </row>
    <row r="445" spans="1:15" x14ac:dyDescent="0.25">
      <c r="A445">
        <v>444</v>
      </c>
      <c r="B445">
        <v>64</v>
      </c>
      <c r="C445" t="s">
        <v>11</v>
      </c>
      <c r="D445" t="s">
        <v>12</v>
      </c>
      <c r="E445" t="s">
        <v>56</v>
      </c>
      <c r="F445" s="1">
        <v>143.93</v>
      </c>
      <c r="G445" t="s">
        <v>24</v>
      </c>
      <c r="H445" t="s">
        <v>15</v>
      </c>
      <c r="I445" s="2">
        <v>3.3</v>
      </c>
      <c r="J445" s="4">
        <v>4</v>
      </c>
      <c r="K445" s="3">
        <v>2</v>
      </c>
      <c r="L445" s="1">
        <f t="shared" si="18"/>
        <v>138.1728</v>
      </c>
      <c r="M445" t="str" cm="1">
        <f t="array" ref="M445">_xlfn.IFS(B445&lt;18,"Under 18",B445 &lt;=25,"18-25",B445&lt;=35,"26-35",B445&lt;=45,"36-45",B445&lt;=60,"46-60",TRUE,"60+")</f>
        <v>60+</v>
      </c>
      <c r="N445" t="str">
        <f t="shared" si="19"/>
        <v>Discounted</v>
      </c>
      <c r="O445" t="str">
        <f t="shared" si="20"/>
        <v>Returning</v>
      </c>
    </row>
    <row r="446" spans="1:15" x14ac:dyDescent="0.25">
      <c r="A446">
        <v>445</v>
      </c>
      <c r="B446">
        <v>43</v>
      </c>
      <c r="C446" t="s">
        <v>16</v>
      </c>
      <c r="D446" t="s">
        <v>20</v>
      </c>
      <c r="E446" t="s">
        <v>39</v>
      </c>
      <c r="F446" s="1">
        <v>170.33</v>
      </c>
      <c r="G446" t="s">
        <v>14</v>
      </c>
      <c r="H446" t="s">
        <v>15</v>
      </c>
      <c r="I446" s="2">
        <v>3.8</v>
      </c>
      <c r="J446" s="4">
        <v>20</v>
      </c>
      <c r="K446" s="3">
        <v>5</v>
      </c>
      <c r="L446" s="1">
        <f t="shared" si="18"/>
        <v>136.26400000000001</v>
      </c>
      <c r="M446" t="str" cm="1">
        <f t="array" ref="M446">_xlfn.IFS(B446&lt;18,"Under 18",B446 &lt;=25,"18-25",B446&lt;=35,"26-35",B446&lt;=45,"36-45",B446&lt;=60,"46-60",TRUE,"60+")</f>
        <v>36-45</v>
      </c>
      <c r="N446" t="str">
        <f t="shared" si="19"/>
        <v>Discounted</v>
      </c>
      <c r="O446" t="str">
        <f t="shared" si="20"/>
        <v>Returning</v>
      </c>
    </row>
    <row r="447" spans="1:15" x14ac:dyDescent="0.25">
      <c r="A447">
        <v>446</v>
      </c>
      <c r="B447">
        <v>26</v>
      </c>
      <c r="C447" t="s">
        <v>16</v>
      </c>
      <c r="D447" t="s">
        <v>27</v>
      </c>
      <c r="E447" t="s">
        <v>32</v>
      </c>
      <c r="F447" s="1">
        <v>2141.41</v>
      </c>
      <c r="G447" t="s">
        <v>19</v>
      </c>
      <c r="H447" t="s">
        <v>15</v>
      </c>
      <c r="I447" s="2">
        <v>4.8</v>
      </c>
      <c r="J447" s="4">
        <v>19</v>
      </c>
      <c r="K447" s="3">
        <v>7</v>
      </c>
      <c r="L447" s="1">
        <f t="shared" si="18"/>
        <v>1734.5420999999999</v>
      </c>
      <c r="M447" t="str" cm="1">
        <f t="array" ref="M447">_xlfn.IFS(B447&lt;18,"Under 18",B447 &lt;=25,"18-25",B447&lt;=35,"26-35",B447&lt;=45,"36-45",B447&lt;=60,"46-60",TRUE,"60+")</f>
        <v>26-35</v>
      </c>
      <c r="N447" t="str">
        <f t="shared" si="19"/>
        <v>Discounted</v>
      </c>
      <c r="O447" t="str">
        <f t="shared" si="20"/>
        <v>Returning</v>
      </c>
    </row>
    <row r="448" spans="1:15" x14ac:dyDescent="0.25">
      <c r="A448">
        <v>447</v>
      </c>
      <c r="B448">
        <v>55</v>
      </c>
      <c r="C448" t="s">
        <v>16</v>
      </c>
      <c r="D448" t="s">
        <v>20</v>
      </c>
      <c r="E448" t="s">
        <v>36</v>
      </c>
      <c r="F448" s="1">
        <v>140.47999999999999</v>
      </c>
      <c r="G448" t="s">
        <v>14</v>
      </c>
      <c r="H448" t="s">
        <v>15</v>
      </c>
      <c r="I448" s="2">
        <v>2.8</v>
      </c>
      <c r="J448" s="4">
        <v>12</v>
      </c>
      <c r="K448" s="3">
        <v>6</v>
      </c>
      <c r="L448" s="1">
        <f t="shared" si="18"/>
        <v>123.62239999999998</v>
      </c>
      <c r="M448" t="str" cm="1">
        <f t="array" ref="M448">_xlfn.IFS(B448&lt;18,"Under 18",B448 &lt;=25,"18-25",B448&lt;=35,"26-35",B448&lt;=45,"36-45",B448&lt;=60,"46-60",TRUE,"60+")</f>
        <v>46-60</v>
      </c>
      <c r="N448" t="str">
        <f t="shared" si="19"/>
        <v>Discounted</v>
      </c>
      <c r="O448" t="str">
        <f t="shared" si="20"/>
        <v>Returning</v>
      </c>
    </row>
    <row r="449" spans="1:15" x14ac:dyDescent="0.25">
      <c r="A449">
        <v>448</v>
      </c>
      <c r="B449">
        <v>63</v>
      </c>
      <c r="C449" t="s">
        <v>16</v>
      </c>
      <c r="D449" t="s">
        <v>25</v>
      </c>
      <c r="E449" t="s">
        <v>54</v>
      </c>
      <c r="F449" s="1">
        <v>17.91</v>
      </c>
      <c r="G449" t="s">
        <v>14</v>
      </c>
      <c r="H449" t="s">
        <v>37</v>
      </c>
      <c r="I449" s="2">
        <v>3.3</v>
      </c>
      <c r="J449" s="4">
        <v>13</v>
      </c>
      <c r="K449" s="3">
        <v>4</v>
      </c>
      <c r="L449" s="1">
        <f t="shared" si="18"/>
        <v>15.5817</v>
      </c>
      <c r="M449" t="str" cm="1">
        <f t="array" ref="M449">_xlfn.IFS(B449&lt;18,"Under 18",B449 &lt;=25,"18-25",B449&lt;=35,"26-35",B449&lt;=45,"36-45",B449&lt;=60,"46-60",TRUE,"60+")</f>
        <v>60+</v>
      </c>
      <c r="N449" t="str">
        <f t="shared" si="19"/>
        <v>Discounted</v>
      </c>
      <c r="O449" t="str">
        <f t="shared" si="20"/>
        <v>Returning</v>
      </c>
    </row>
    <row r="450" spans="1:15" x14ac:dyDescent="0.25">
      <c r="A450">
        <v>449</v>
      </c>
      <c r="B450">
        <v>65</v>
      </c>
      <c r="C450" t="s">
        <v>11</v>
      </c>
      <c r="D450" t="s">
        <v>12</v>
      </c>
      <c r="E450" t="s">
        <v>56</v>
      </c>
      <c r="F450" s="1">
        <v>129.87</v>
      </c>
      <c r="G450" t="s">
        <v>31</v>
      </c>
      <c r="H450" t="s">
        <v>15</v>
      </c>
      <c r="I450" s="2">
        <v>2.5</v>
      </c>
      <c r="J450" s="4">
        <v>10</v>
      </c>
      <c r="K450" s="3">
        <v>5</v>
      </c>
      <c r="L450" s="1">
        <f t="shared" si="18"/>
        <v>116.88300000000001</v>
      </c>
      <c r="M450" t="str" cm="1">
        <f t="array" ref="M450">_xlfn.IFS(B450&lt;18,"Under 18",B450 &lt;=25,"18-25",B450&lt;=35,"26-35",B450&lt;=45,"36-45",B450&lt;=60,"46-60",TRUE,"60+")</f>
        <v>60+</v>
      </c>
      <c r="N450" t="str">
        <f t="shared" si="19"/>
        <v>Discounted</v>
      </c>
      <c r="O450" t="str">
        <f t="shared" si="20"/>
        <v>Returning</v>
      </c>
    </row>
    <row r="451" spans="1:15" x14ac:dyDescent="0.25">
      <c r="A451">
        <v>450</v>
      </c>
      <c r="B451">
        <v>24</v>
      </c>
      <c r="C451" t="s">
        <v>16</v>
      </c>
      <c r="D451" t="s">
        <v>22</v>
      </c>
      <c r="E451" t="s">
        <v>52</v>
      </c>
      <c r="F451" s="1">
        <v>77.19</v>
      </c>
      <c r="G451" t="s">
        <v>24</v>
      </c>
      <c r="H451" t="s">
        <v>15</v>
      </c>
      <c r="I451" s="2">
        <v>2.2999999999999998</v>
      </c>
      <c r="J451" s="4">
        <v>8</v>
      </c>
      <c r="K451" s="3">
        <v>4</v>
      </c>
      <c r="L451" s="1">
        <f t="shared" ref="L451:L514" si="21">F451 * (1 - J451 / 100)</f>
        <v>71.014799999999994</v>
      </c>
      <c r="M451" t="str" cm="1">
        <f t="array" ref="M451">_xlfn.IFS(B451&lt;18,"Under 18",B451 &lt;=25,"18-25",B451&lt;=35,"26-35",B451&lt;=45,"36-45",B451&lt;=60,"46-60",TRUE,"60+")</f>
        <v>18-25</v>
      </c>
      <c r="N451" t="str">
        <f t="shared" ref="N451:N514" si="22">IF(J451&gt;0,"Discounted","No Discount")</f>
        <v>Discounted</v>
      </c>
      <c r="O451" t="str">
        <f t="shared" ref="O451:O514" si="23">IF(K451&gt;0,"Returning","New")</f>
        <v>Returning</v>
      </c>
    </row>
    <row r="452" spans="1:15" x14ac:dyDescent="0.25">
      <c r="A452">
        <v>451</v>
      </c>
      <c r="B452">
        <v>69</v>
      </c>
      <c r="C452" t="s">
        <v>11</v>
      </c>
      <c r="D452" t="s">
        <v>41</v>
      </c>
      <c r="E452" t="s">
        <v>42</v>
      </c>
      <c r="F452" s="1">
        <v>164.53</v>
      </c>
      <c r="G452" t="s">
        <v>19</v>
      </c>
      <c r="H452" t="s">
        <v>15</v>
      </c>
      <c r="I452" s="2">
        <v>3.7</v>
      </c>
      <c r="J452" s="4">
        <v>19</v>
      </c>
      <c r="K452" s="3">
        <v>7</v>
      </c>
      <c r="L452" s="1">
        <f t="shared" si="21"/>
        <v>133.26930000000002</v>
      </c>
      <c r="M452" t="str" cm="1">
        <f t="array" ref="M452">_xlfn.IFS(B452&lt;18,"Under 18",B452 &lt;=25,"18-25",B452&lt;=35,"26-35",B452&lt;=45,"36-45",B452&lt;=60,"46-60",TRUE,"60+")</f>
        <v>60+</v>
      </c>
      <c r="N452" t="str">
        <f t="shared" si="22"/>
        <v>Discounted</v>
      </c>
      <c r="O452" t="str">
        <f t="shared" si="23"/>
        <v>Returning</v>
      </c>
    </row>
    <row r="453" spans="1:15" x14ac:dyDescent="0.25">
      <c r="A453">
        <v>452</v>
      </c>
      <c r="B453">
        <v>67</v>
      </c>
      <c r="C453" t="s">
        <v>16</v>
      </c>
      <c r="D453" t="s">
        <v>27</v>
      </c>
      <c r="E453" t="s">
        <v>32</v>
      </c>
      <c r="F453" s="1">
        <v>1534.27</v>
      </c>
      <c r="G453" t="s">
        <v>31</v>
      </c>
      <c r="H453" t="s">
        <v>15</v>
      </c>
      <c r="I453" s="2">
        <v>4</v>
      </c>
      <c r="J453" s="4">
        <v>8</v>
      </c>
      <c r="K453" s="3">
        <v>4</v>
      </c>
      <c r="L453" s="1">
        <f t="shared" si="21"/>
        <v>1411.5284000000001</v>
      </c>
      <c r="M453" t="str" cm="1">
        <f t="array" ref="M453">_xlfn.IFS(B453&lt;18,"Under 18",B453 &lt;=25,"18-25",B453&lt;=35,"26-35",B453&lt;=45,"36-45",B453&lt;=60,"46-60",TRUE,"60+")</f>
        <v>60+</v>
      </c>
      <c r="N453" t="str">
        <f t="shared" si="22"/>
        <v>Discounted</v>
      </c>
      <c r="O453" t="str">
        <f t="shared" si="23"/>
        <v>Returning</v>
      </c>
    </row>
    <row r="454" spans="1:15" x14ac:dyDescent="0.25">
      <c r="A454">
        <v>453</v>
      </c>
      <c r="B454">
        <v>64</v>
      </c>
      <c r="C454" t="s">
        <v>16</v>
      </c>
      <c r="D454" t="s">
        <v>25</v>
      </c>
      <c r="E454" t="s">
        <v>54</v>
      </c>
      <c r="F454" s="1">
        <v>44.13</v>
      </c>
      <c r="G454" t="s">
        <v>31</v>
      </c>
      <c r="H454" t="s">
        <v>15</v>
      </c>
      <c r="I454" s="2">
        <v>3.8</v>
      </c>
      <c r="J454" s="4">
        <v>13</v>
      </c>
      <c r="K454" s="3">
        <v>4</v>
      </c>
      <c r="L454" s="1">
        <f t="shared" si="21"/>
        <v>38.393100000000004</v>
      </c>
      <c r="M454" t="str" cm="1">
        <f t="array" ref="M454">_xlfn.IFS(B454&lt;18,"Under 18",B454 &lt;=25,"18-25",B454&lt;=35,"26-35",B454&lt;=45,"36-45",B454&lt;=60,"46-60",TRUE,"60+")</f>
        <v>60+</v>
      </c>
      <c r="N454" t="str">
        <f t="shared" si="22"/>
        <v>Discounted</v>
      </c>
      <c r="O454" t="str">
        <f t="shared" si="23"/>
        <v>Returning</v>
      </c>
    </row>
    <row r="455" spans="1:15" x14ac:dyDescent="0.25">
      <c r="A455">
        <v>454</v>
      </c>
      <c r="B455">
        <v>32</v>
      </c>
      <c r="C455" t="s">
        <v>16</v>
      </c>
      <c r="D455" t="s">
        <v>33</v>
      </c>
      <c r="E455" t="s">
        <v>38</v>
      </c>
      <c r="F455" s="1">
        <v>99.11</v>
      </c>
      <c r="G455" t="s">
        <v>31</v>
      </c>
      <c r="H455" t="s">
        <v>37</v>
      </c>
      <c r="I455" s="2">
        <v>3.8</v>
      </c>
      <c r="J455" s="4">
        <v>12</v>
      </c>
      <c r="K455" s="3">
        <v>1</v>
      </c>
      <c r="L455" s="1">
        <f t="shared" si="21"/>
        <v>87.216800000000006</v>
      </c>
      <c r="M455" t="str" cm="1">
        <f t="array" ref="M455">_xlfn.IFS(B455&lt;18,"Under 18",B455 &lt;=25,"18-25",B455&lt;=35,"26-35",B455&lt;=45,"36-45",B455&lt;=60,"46-60",TRUE,"60+")</f>
        <v>26-35</v>
      </c>
      <c r="N455" t="str">
        <f t="shared" si="22"/>
        <v>Discounted</v>
      </c>
      <c r="O455" t="str">
        <f t="shared" si="23"/>
        <v>Returning</v>
      </c>
    </row>
    <row r="456" spans="1:15" x14ac:dyDescent="0.25">
      <c r="A456">
        <v>455</v>
      </c>
      <c r="B456">
        <v>21</v>
      </c>
      <c r="C456" t="s">
        <v>11</v>
      </c>
      <c r="D456" t="s">
        <v>41</v>
      </c>
      <c r="E456" t="s">
        <v>46</v>
      </c>
      <c r="F456" s="1">
        <v>105.8</v>
      </c>
      <c r="G456" t="s">
        <v>31</v>
      </c>
      <c r="H456" t="s">
        <v>15</v>
      </c>
      <c r="I456" s="2">
        <v>2.6</v>
      </c>
      <c r="J456" s="4">
        <v>15</v>
      </c>
      <c r="K456" s="3">
        <v>5</v>
      </c>
      <c r="L456" s="1">
        <f t="shared" si="21"/>
        <v>89.929999999999993</v>
      </c>
      <c r="M456" t="str" cm="1">
        <f t="array" ref="M456">_xlfn.IFS(B456&lt;18,"Under 18",B456 &lt;=25,"18-25",B456&lt;=35,"26-35",B456&lt;=45,"36-45",B456&lt;=60,"46-60",TRUE,"60+")</f>
        <v>18-25</v>
      </c>
      <c r="N456" t="str">
        <f t="shared" si="22"/>
        <v>Discounted</v>
      </c>
      <c r="O456" t="str">
        <f t="shared" si="23"/>
        <v>Returning</v>
      </c>
    </row>
    <row r="457" spans="1:15" x14ac:dyDescent="0.25">
      <c r="A457">
        <v>456</v>
      </c>
      <c r="B457">
        <v>45</v>
      </c>
      <c r="C457" t="s">
        <v>16</v>
      </c>
      <c r="D457" t="s">
        <v>27</v>
      </c>
      <c r="E457" t="s">
        <v>28</v>
      </c>
      <c r="F457" s="1">
        <v>2490.98</v>
      </c>
      <c r="G457" t="s">
        <v>14</v>
      </c>
      <c r="H457" t="s">
        <v>15</v>
      </c>
      <c r="I457" s="2">
        <v>4.3</v>
      </c>
      <c r="J457" s="4">
        <v>17</v>
      </c>
      <c r="K457" s="3">
        <v>6</v>
      </c>
      <c r="L457" s="1">
        <f t="shared" si="21"/>
        <v>2067.5133999999998</v>
      </c>
      <c r="M457" t="str" cm="1">
        <f t="array" ref="M457">_xlfn.IFS(B457&lt;18,"Under 18",B457 &lt;=25,"18-25",B457&lt;=35,"26-35",B457&lt;=45,"36-45",B457&lt;=60,"46-60",TRUE,"60+")</f>
        <v>36-45</v>
      </c>
      <c r="N457" t="str">
        <f t="shared" si="22"/>
        <v>Discounted</v>
      </c>
      <c r="O457" t="str">
        <f t="shared" si="23"/>
        <v>Returning</v>
      </c>
    </row>
    <row r="458" spans="1:15" x14ac:dyDescent="0.25">
      <c r="A458">
        <v>457</v>
      </c>
      <c r="B458">
        <v>41</v>
      </c>
      <c r="C458" t="s">
        <v>16</v>
      </c>
      <c r="D458" t="s">
        <v>17</v>
      </c>
      <c r="E458" t="s">
        <v>48</v>
      </c>
      <c r="F458" s="1">
        <v>155.13</v>
      </c>
      <c r="G458" t="s">
        <v>14</v>
      </c>
      <c r="H458" t="s">
        <v>15</v>
      </c>
      <c r="I458" s="2">
        <v>3.2</v>
      </c>
      <c r="J458" s="4">
        <v>24</v>
      </c>
      <c r="K458" s="3">
        <v>7</v>
      </c>
      <c r="L458" s="1">
        <f t="shared" si="21"/>
        <v>117.89879999999999</v>
      </c>
      <c r="M458" t="str" cm="1">
        <f t="array" ref="M458">_xlfn.IFS(B458&lt;18,"Under 18",B458 &lt;=25,"18-25",B458&lt;=35,"26-35",B458&lt;=45,"36-45",B458&lt;=60,"46-60",TRUE,"60+")</f>
        <v>36-45</v>
      </c>
      <c r="N458" t="str">
        <f t="shared" si="22"/>
        <v>Discounted</v>
      </c>
      <c r="O458" t="str">
        <f t="shared" si="23"/>
        <v>Returning</v>
      </c>
    </row>
    <row r="459" spans="1:15" x14ac:dyDescent="0.25">
      <c r="A459">
        <v>458</v>
      </c>
      <c r="B459">
        <v>69</v>
      </c>
      <c r="C459" t="s">
        <v>11</v>
      </c>
      <c r="D459" t="s">
        <v>33</v>
      </c>
      <c r="E459" t="s">
        <v>40</v>
      </c>
      <c r="F459" s="1">
        <v>70.56</v>
      </c>
      <c r="G459" t="s">
        <v>24</v>
      </c>
      <c r="H459" t="s">
        <v>37</v>
      </c>
      <c r="I459" s="2">
        <v>5</v>
      </c>
      <c r="J459" s="4">
        <v>15</v>
      </c>
      <c r="K459" s="3">
        <v>5</v>
      </c>
      <c r="L459" s="1">
        <f t="shared" si="21"/>
        <v>59.975999999999999</v>
      </c>
      <c r="M459" t="str" cm="1">
        <f t="array" ref="M459">_xlfn.IFS(B459&lt;18,"Under 18",B459 &lt;=25,"18-25",B459&lt;=35,"26-35",B459&lt;=45,"36-45",B459&lt;=60,"46-60",TRUE,"60+")</f>
        <v>60+</v>
      </c>
      <c r="N459" t="str">
        <f t="shared" si="22"/>
        <v>Discounted</v>
      </c>
      <c r="O459" t="str">
        <f t="shared" si="23"/>
        <v>Returning</v>
      </c>
    </row>
    <row r="460" spans="1:15" x14ac:dyDescent="0.25">
      <c r="A460">
        <v>459</v>
      </c>
      <c r="B460">
        <v>24</v>
      </c>
      <c r="C460" t="s">
        <v>16</v>
      </c>
      <c r="D460" t="s">
        <v>17</v>
      </c>
      <c r="E460" t="s">
        <v>48</v>
      </c>
      <c r="F460" s="1">
        <v>177.39</v>
      </c>
      <c r="G460" t="s">
        <v>24</v>
      </c>
      <c r="H460" t="s">
        <v>15</v>
      </c>
      <c r="I460" s="2">
        <v>1.9</v>
      </c>
      <c r="J460" s="4">
        <v>20</v>
      </c>
      <c r="K460" s="3">
        <v>5</v>
      </c>
      <c r="L460" s="1">
        <f t="shared" si="21"/>
        <v>141.91200000000001</v>
      </c>
      <c r="M460" t="str" cm="1">
        <f t="array" ref="M460">_xlfn.IFS(B460&lt;18,"Under 18",B460 &lt;=25,"18-25",B460&lt;=35,"26-35",B460&lt;=45,"36-45",B460&lt;=60,"46-60",TRUE,"60+")</f>
        <v>18-25</v>
      </c>
      <c r="N460" t="str">
        <f t="shared" si="22"/>
        <v>Discounted</v>
      </c>
      <c r="O460" t="str">
        <f t="shared" si="23"/>
        <v>Returning</v>
      </c>
    </row>
    <row r="461" spans="1:15" x14ac:dyDescent="0.25">
      <c r="A461">
        <v>460</v>
      </c>
      <c r="B461">
        <v>57</v>
      </c>
      <c r="C461" t="s">
        <v>11</v>
      </c>
      <c r="D461" t="s">
        <v>41</v>
      </c>
      <c r="E461" t="s">
        <v>45</v>
      </c>
      <c r="F461" s="1">
        <v>106.69</v>
      </c>
      <c r="G461" t="s">
        <v>19</v>
      </c>
      <c r="H461" t="s">
        <v>15</v>
      </c>
      <c r="I461" s="2">
        <v>4.0999999999999996</v>
      </c>
      <c r="J461" s="4">
        <v>15</v>
      </c>
      <c r="K461" s="3">
        <v>5</v>
      </c>
      <c r="L461" s="1">
        <f t="shared" si="21"/>
        <v>90.686499999999995</v>
      </c>
      <c r="M461" t="str" cm="1">
        <f t="array" ref="M461">_xlfn.IFS(B461&lt;18,"Under 18",B461 &lt;=25,"18-25",B461&lt;=35,"26-35",B461&lt;=45,"36-45",B461&lt;=60,"46-60",TRUE,"60+")</f>
        <v>46-60</v>
      </c>
      <c r="N461" t="str">
        <f t="shared" si="22"/>
        <v>Discounted</v>
      </c>
      <c r="O461" t="str">
        <f t="shared" si="23"/>
        <v>Returning</v>
      </c>
    </row>
    <row r="462" spans="1:15" x14ac:dyDescent="0.25">
      <c r="A462">
        <v>461</v>
      </c>
      <c r="B462">
        <v>41</v>
      </c>
      <c r="C462" t="s">
        <v>11</v>
      </c>
      <c r="D462" t="s">
        <v>12</v>
      </c>
      <c r="E462" t="s">
        <v>50</v>
      </c>
      <c r="F462" s="1">
        <v>121.93</v>
      </c>
      <c r="G462" t="s">
        <v>19</v>
      </c>
      <c r="H462" t="s">
        <v>15</v>
      </c>
      <c r="I462" s="2">
        <v>3.5</v>
      </c>
      <c r="J462" s="4">
        <v>20</v>
      </c>
      <c r="K462" s="3">
        <v>5</v>
      </c>
      <c r="L462" s="1">
        <f t="shared" si="21"/>
        <v>97.544000000000011</v>
      </c>
      <c r="M462" t="str" cm="1">
        <f t="array" ref="M462">_xlfn.IFS(B462&lt;18,"Under 18",B462 &lt;=25,"18-25",B462&lt;=35,"26-35",B462&lt;=45,"36-45",B462&lt;=60,"46-60",TRUE,"60+")</f>
        <v>36-45</v>
      </c>
      <c r="N462" t="str">
        <f t="shared" si="22"/>
        <v>Discounted</v>
      </c>
      <c r="O462" t="str">
        <f t="shared" si="23"/>
        <v>Returning</v>
      </c>
    </row>
    <row r="463" spans="1:15" x14ac:dyDescent="0.25">
      <c r="A463">
        <v>462</v>
      </c>
      <c r="B463">
        <v>44</v>
      </c>
      <c r="C463" t="s">
        <v>16</v>
      </c>
      <c r="D463" t="s">
        <v>17</v>
      </c>
      <c r="E463" t="s">
        <v>42</v>
      </c>
      <c r="F463" s="1">
        <v>51.29</v>
      </c>
      <c r="G463" t="s">
        <v>31</v>
      </c>
      <c r="H463" t="s">
        <v>15</v>
      </c>
      <c r="I463" s="2">
        <v>3.3</v>
      </c>
      <c r="J463" s="4">
        <v>6</v>
      </c>
      <c r="K463" s="3">
        <v>3</v>
      </c>
      <c r="L463" s="1">
        <f t="shared" si="21"/>
        <v>48.212599999999995</v>
      </c>
      <c r="M463" t="str" cm="1">
        <f t="array" ref="M463">_xlfn.IFS(B463&lt;18,"Under 18",B463 &lt;=25,"18-25",B463&lt;=35,"26-35",B463&lt;=45,"36-45",B463&lt;=60,"46-60",TRUE,"60+")</f>
        <v>36-45</v>
      </c>
      <c r="N463" t="str">
        <f t="shared" si="22"/>
        <v>Discounted</v>
      </c>
      <c r="O463" t="str">
        <f t="shared" si="23"/>
        <v>Returning</v>
      </c>
    </row>
    <row r="464" spans="1:15" x14ac:dyDescent="0.25">
      <c r="A464">
        <v>463</v>
      </c>
      <c r="B464">
        <v>37</v>
      </c>
      <c r="C464" t="s">
        <v>16</v>
      </c>
      <c r="D464" t="s">
        <v>20</v>
      </c>
      <c r="E464" t="s">
        <v>21</v>
      </c>
      <c r="F464" s="1">
        <v>242.01</v>
      </c>
      <c r="G464" t="s">
        <v>14</v>
      </c>
      <c r="H464" t="s">
        <v>15</v>
      </c>
      <c r="I464" s="2">
        <v>2.8</v>
      </c>
      <c r="J464" s="4">
        <v>6</v>
      </c>
      <c r="K464" s="3">
        <v>3</v>
      </c>
      <c r="L464" s="1">
        <f t="shared" si="21"/>
        <v>227.48939999999999</v>
      </c>
      <c r="M464" t="str" cm="1">
        <f t="array" ref="M464">_xlfn.IFS(B464&lt;18,"Under 18",B464 &lt;=25,"18-25",B464&lt;=35,"26-35",B464&lt;=45,"36-45",B464&lt;=60,"46-60",TRUE,"60+")</f>
        <v>36-45</v>
      </c>
      <c r="N464" t="str">
        <f t="shared" si="22"/>
        <v>Discounted</v>
      </c>
      <c r="O464" t="str">
        <f t="shared" si="23"/>
        <v>Returning</v>
      </c>
    </row>
    <row r="465" spans="1:15" x14ac:dyDescent="0.25">
      <c r="A465">
        <v>464</v>
      </c>
      <c r="B465">
        <v>43</v>
      </c>
      <c r="C465" t="s">
        <v>16</v>
      </c>
      <c r="D465" t="s">
        <v>33</v>
      </c>
      <c r="E465" t="s">
        <v>38</v>
      </c>
      <c r="F465" s="1">
        <v>208.11</v>
      </c>
      <c r="G465" t="s">
        <v>31</v>
      </c>
      <c r="H465" t="s">
        <v>15</v>
      </c>
      <c r="I465" s="2">
        <v>3.1</v>
      </c>
      <c r="J465" s="4">
        <v>6</v>
      </c>
      <c r="K465" s="3">
        <v>3</v>
      </c>
      <c r="L465" s="1">
        <f t="shared" si="21"/>
        <v>195.6234</v>
      </c>
      <c r="M465" t="str" cm="1">
        <f t="array" ref="M465">_xlfn.IFS(B465&lt;18,"Under 18",B465 &lt;=25,"18-25",B465&lt;=35,"26-35",B465&lt;=45,"36-45",B465&lt;=60,"46-60",TRUE,"60+")</f>
        <v>36-45</v>
      </c>
      <c r="N465" t="str">
        <f t="shared" si="22"/>
        <v>Discounted</v>
      </c>
      <c r="O465" t="str">
        <f t="shared" si="23"/>
        <v>Returning</v>
      </c>
    </row>
    <row r="466" spans="1:15" x14ac:dyDescent="0.25">
      <c r="A466">
        <v>465</v>
      </c>
      <c r="B466">
        <v>35</v>
      </c>
      <c r="C466" t="s">
        <v>11</v>
      </c>
      <c r="D466" t="s">
        <v>20</v>
      </c>
      <c r="E466" t="s">
        <v>36</v>
      </c>
      <c r="F466" s="1">
        <v>85.49</v>
      </c>
      <c r="G466" t="s">
        <v>19</v>
      </c>
      <c r="H466" t="s">
        <v>15</v>
      </c>
      <c r="I466" s="2">
        <v>2.7</v>
      </c>
      <c r="J466" s="4">
        <v>12</v>
      </c>
      <c r="K466" s="3">
        <v>6</v>
      </c>
      <c r="L466" s="1">
        <f t="shared" si="21"/>
        <v>75.231200000000001</v>
      </c>
      <c r="M466" t="str" cm="1">
        <f t="array" ref="M466">_xlfn.IFS(B466&lt;18,"Under 18",B466 &lt;=25,"18-25",B466&lt;=35,"26-35",B466&lt;=45,"36-45",B466&lt;=60,"46-60",TRUE,"60+")</f>
        <v>26-35</v>
      </c>
      <c r="N466" t="str">
        <f t="shared" si="22"/>
        <v>Discounted</v>
      </c>
      <c r="O466" t="str">
        <f t="shared" si="23"/>
        <v>Returning</v>
      </c>
    </row>
    <row r="467" spans="1:15" x14ac:dyDescent="0.25">
      <c r="A467">
        <v>466</v>
      </c>
      <c r="B467">
        <v>42</v>
      </c>
      <c r="C467" t="s">
        <v>16</v>
      </c>
      <c r="D467" t="s">
        <v>27</v>
      </c>
      <c r="E467" t="s">
        <v>53</v>
      </c>
      <c r="F467" s="1">
        <v>2867.88</v>
      </c>
      <c r="G467" t="s">
        <v>19</v>
      </c>
      <c r="H467" t="s">
        <v>15</v>
      </c>
      <c r="I467" s="2">
        <v>4.5999999999999996</v>
      </c>
      <c r="J467" s="4">
        <v>21</v>
      </c>
      <c r="K467" s="3">
        <v>8</v>
      </c>
      <c r="L467" s="1">
        <f t="shared" si="21"/>
        <v>2265.6252000000004</v>
      </c>
      <c r="M467" t="str" cm="1">
        <f t="array" ref="M467">_xlfn.IFS(B467&lt;18,"Under 18",B467 &lt;=25,"18-25",B467&lt;=35,"26-35",B467&lt;=45,"36-45",B467&lt;=60,"46-60",TRUE,"60+")</f>
        <v>36-45</v>
      </c>
      <c r="N467" t="str">
        <f t="shared" si="22"/>
        <v>Discounted</v>
      </c>
      <c r="O467" t="str">
        <f t="shared" si="23"/>
        <v>Returning</v>
      </c>
    </row>
    <row r="468" spans="1:15" x14ac:dyDescent="0.25">
      <c r="A468">
        <v>467</v>
      </c>
      <c r="B468">
        <v>42</v>
      </c>
      <c r="C468" t="s">
        <v>11</v>
      </c>
      <c r="D468" t="s">
        <v>25</v>
      </c>
      <c r="E468" t="s">
        <v>26</v>
      </c>
      <c r="F468" s="1">
        <v>18.72</v>
      </c>
      <c r="G468" t="s">
        <v>19</v>
      </c>
      <c r="H468" t="s">
        <v>15</v>
      </c>
      <c r="I468" s="2">
        <v>3.8</v>
      </c>
      <c r="J468" s="4">
        <v>14</v>
      </c>
      <c r="K468" s="3">
        <v>7</v>
      </c>
      <c r="L468" s="1">
        <f t="shared" si="21"/>
        <v>16.0992</v>
      </c>
      <c r="M468" t="str" cm="1">
        <f t="array" ref="M468">_xlfn.IFS(B468&lt;18,"Under 18",B468 &lt;=25,"18-25",B468&lt;=35,"26-35",B468&lt;=45,"36-45",B468&lt;=60,"46-60",TRUE,"60+")</f>
        <v>36-45</v>
      </c>
      <c r="N468" t="str">
        <f t="shared" si="22"/>
        <v>Discounted</v>
      </c>
      <c r="O468" t="str">
        <f t="shared" si="23"/>
        <v>Returning</v>
      </c>
    </row>
    <row r="469" spans="1:15" x14ac:dyDescent="0.25">
      <c r="A469">
        <v>468</v>
      </c>
      <c r="B469">
        <v>58</v>
      </c>
      <c r="C469" t="s">
        <v>16</v>
      </c>
      <c r="D469" t="s">
        <v>27</v>
      </c>
      <c r="E469" t="s">
        <v>32</v>
      </c>
      <c r="F469" s="1">
        <v>1855.04</v>
      </c>
      <c r="G469" t="s">
        <v>19</v>
      </c>
      <c r="H469" t="s">
        <v>15</v>
      </c>
      <c r="I469" s="2">
        <v>3.6</v>
      </c>
      <c r="J469" s="4">
        <v>13</v>
      </c>
      <c r="K469" s="3">
        <v>4</v>
      </c>
      <c r="L469" s="1">
        <f t="shared" si="21"/>
        <v>1613.8848</v>
      </c>
      <c r="M469" t="str" cm="1">
        <f t="array" ref="M469">_xlfn.IFS(B469&lt;18,"Under 18",B469 &lt;=25,"18-25",B469&lt;=35,"26-35",B469&lt;=45,"36-45",B469&lt;=60,"46-60",TRUE,"60+")</f>
        <v>46-60</v>
      </c>
      <c r="N469" t="str">
        <f t="shared" si="22"/>
        <v>Discounted</v>
      </c>
      <c r="O469" t="str">
        <f t="shared" si="23"/>
        <v>Returning</v>
      </c>
    </row>
    <row r="470" spans="1:15" x14ac:dyDescent="0.25">
      <c r="A470">
        <v>469</v>
      </c>
      <c r="B470">
        <v>60</v>
      </c>
      <c r="C470" t="s">
        <v>16</v>
      </c>
      <c r="D470" t="s">
        <v>27</v>
      </c>
      <c r="E470" t="s">
        <v>53</v>
      </c>
      <c r="F470" s="1">
        <v>2649.85</v>
      </c>
      <c r="G470" t="s">
        <v>31</v>
      </c>
      <c r="H470" t="s">
        <v>15</v>
      </c>
      <c r="I470" s="2">
        <v>2.8</v>
      </c>
      <c r="J470" s="4">
        <v>13</v>
      </c>
      <c r="K470" s="3">
        <v>4</v>
      </c>
      <c r="L470" s="1">
        <f t="shared" si="21"/>
        <v>2305.3694999999998</v>
      </c>
      <c r="M470" t="str" cm="1">
        <f t="array" ref="M470">_xlfn.IFS(B470&lt;18,"Under 18",B470 &lt;=25,"18-25",B470&lt;=35,"26-35",B470&lt;=45,"36-45",B470&lt;=60,"46-60",TRUE,"60+")</f>
        <v>46-60</v>
      </c>
      <c r="N470" t="str">
        <f t="shared" si="22"/>
        <v>Discounted</v>
      </c>
      <c r="O470" t="str">
        <f t="shared" si="23"/>
        <v>Returning</v>
      </c>
    </row>
    <row r="471" spans="1:15" x14ac:dyDescent="0.25">
      <c r="A471">
        <v>470</v>
      </c>
      <c r="B471">
        <v>22</v>
      </c>
      <c r="C471" t="s">
        <v>11</v>
      </c>
      <c r="D471" t="s">
        <v>12</v>
      </c>
      <c r="E471" t="s">
        <v>13</v>
      </c>
      <c r="F471" s="1">
        <v>92.79</v>
      </c>
      <c r="G471" t="s">
        <v>19</v>
      </c>
      <c r="H471" t="s">
        <v>15</v>
      </c>
      <c r="I471" s="2">
        <v>4.2</v>
      </c>
      <c r="J471" s="4">
        <v>8</v>
      </c>
      <c r="K471" s="3">
        <v>4</v>
      </c>
      <c r="L471" s="1">
        <f t="shared" si="21"/>
        <v>85.366800000000012</v>
      </c>
      <c r="M471" t="str" cm="1">
        <f t="array" ref="M471">_xlfn.IFS(B471&lt;18,"Under 18",B471 &lt;=25,"18-25",B471&lt;=35,"26-35",B471&lt;=45,"36-45",B471&lt;=60,"46-60",TRUE,"60+")</f>
        <v>18-25</v>
      </c>
      <c r="N471" t="str">
        <f t="shared" si="22"/>
        <v>Discounted</v>
      </c>
      <c r="O471" t="str">
        <f t="shared" si="23"/>
        <v>Returning</v>
      </c>
    </row>
    <row r="472" spans="1:15" x14ac:dyDescent="0.25">
      <c r="A472">
        <v>471</v>
      </c>
      <c r="B472">
        <v>58</v>
      </c>
      <c r="C472" t="s">
        <v>16</v>
      </c>
      <c r="D472" t="s">
        <v>22</v>
      </c>
      <c r="E472" t="s">
        <v>52</v>
      </c>
      <c r="F472" s="1">
        <v>150.83000000000001</v>
      </c>
      <c r="G472" t="s">
        <v>19</v>
      </c>
      <c r="H472" t="s">
        <v>15</v>
      </c>
      <c r="I472" s="2">
        <v>2.6</v>
      </c>
      <c r="J472" s="4">
        <v>7</v>
      </c>
      <c r="K472" s="3">
        <v>1</v>
      </c>
      <c r="L472" s="1">
        <f t="shared" si="21"/>
        <v>140.27190000000002</v>
      </c>
      <c r="M472" t="str" cm="1">
        <f t="array" ref="M472">_xlfn.IFS(B472&lt;18,"Under 18",B472 &lt;=25,"18-25",B472&lt;=35,"26-35",B472&lt;=45,"36-45",B472&lt;=60,"46-60",TRUE,"60+")</f>
        <v>46-60</v>
      </c>
      <c r="N472" t="str">
        <f t="shared" si="22"/>
        <v>Discounted</v>
      </c>
      <c r="O472" t="str">
        <f t="shared" si="23"/>
        <v>Returning</v>
      </c>
    </row>
    <row r="473" spans="1:15" x14ac:dyDescent="0.25">
      <c r="A473">
        <v>472</v>
      </c>
      <c r="B473">
        <v>34</v>
      </c>
      <c r="C473" t="s">
        <v>11</v>
      </c>
      <c r="D473" t="s">
        <v>25</v>
      </c>
      <c r="E473" t="s">
        <v>54</v>
      </c>
      <c r="F473" s="1">
        <v>29</v>
      </c>
      <c r="G473" t="s">
        <v>31</v>
      </c>
      <c r="H473" t="s">
        <v>37</v>
      </c>
      <c r="I473" s="2">
        <v>4.8</v>
      </c>
      <c r="J473" s="4">
        <v>18</v>
      </c>
      <c r="K473" s="3">
        <v>4</v>
      </c>
      <c r="L473" s="1">
        <f t="shared" si="21"/>
        <v>23.78</v>
      </c>
      <c r="M473" t="str" cm="1">
        <f t="array" ref="M473">_xlfn.IFS(B473&lt;18,"Under 18",B473 &lt;=25,"18-25",B473&lt;=35,"26-35",B473&lt;=45,"36-45",B473&lt;=60,"46-60",TRUE,"60+")</f>
        <v>26-35</v>
      </c>
      <c r="N473" t="str">
        <f t="shared" si="22"/>
        <v>Discounted</v>
      </c>
      <c r="O473" t="str">
        <f t="shared" si="23"/>
        <v>Returning</v>
      </c>
    </row>
    <row r="474" spans="1:15" x14ac:dyDescent="0.25">
      <c r="A474">
        <v>473</v>
      </c>
      <c r="B474">
        <v>45</v>
      </c>
      <c r="C474" t="s">
        <v>11</v>
      </c>
      <c r="D474" t="s">
        <v>29</v>
      </c>
      <c r="E474" t="s">
        <v>51</v>
      </c>
      <c r="F474" s="1">
        <v>95.57</v>
      </c>
      <c r="G474" t="s">
        <v>24</v>
      </c>
      <c r="H474" t="s">
        <v>15</v>
      </c>
      <c r="I474" s="2">
        <v>2.1</v>
      </c>
      <c r="J474" s="4">
        <v>11</v>
      </c>
      <c r="K474" s="3">
        <v>3</v>
      </c>
      <c r="L474" s="1">
        <f t="shared" si="21"/>
        <v>85.057299999999998</v>
      </c>
      <c r="M474" t="str" cm="1">
        <f t="array" ref="M474">_xlfn.IFS(B474&lt;18,"Under 18",B474 &lt;=25,"18-25",B474&lt;=35,"26-35",B474&lt;=45,"36-45",B474&lt;=60,"46-60",TRUE,"60+")</f>
        <v>36-45</v>
      </c>
      <c r="N474" t="str">
        <f t="shared" si="22"/>
        <v>Discounted</v>
      </c>
      <c r="O474" t="str">
        <f t="shared" si="23"/>
        <v>Returning</v>
      </c>
    </row>
    <row r="475" spans="1:15" x14ac:dyDescent="0.25">
      <c r="A475">
        <v>474</v>
      </c>
      <c r="B475">
        <v>58</v>
      </c>
      <c r="C475" t="s">
        <v>11</v>
      </c>
      <c r="D475" t="s">
        <v>12</v>
      </c>
      <c r="E475" t="s">
        <v>56</v>
      </c>
      <c r="F475" s="1">
        <v>155.49</v>
      </c>
      <c r="G475" t="s">
        <v>19</v>
      </c>
      <c r="H475" t="s">
        <v>15</v>
      </c>
      <c r="I475" s="2">
        <v>4.3</v>
      </c>
      <c r="J475" s="4">
        <v>12</v>
      </c>
      <c r="K475" s="3">
        <v>6</v>
      </c>
      <c r="L475" s="1">
        <f t="shared" si="21"/>
        <v>136.8312</v>
      </c>
      <c r="M475" t="str" cm="1">
        <f t="array" ref="M475">_xlfn.IFS(B475&lt;18,"Under 18",B475 &lt;=25,"18-25",B475&lt;=35,"26-35",B475&lt;=45,"36-45",B475&lt;=60,"46-60",TRUE,"60+")</f>
        <v>46-60</v>
      </c>
      <c r="N475" t="str">
        <f t="shared" si="22"/>
        <v>Discounted</v>
      </c>
      <c r="O475" t="str">
        <f t="shared" si="23"/>
        <v>Returning</v>
      </c>
    </row>
    <row r="476" spans="1:15" x14ac:dyDescent="0.25">
      <c r="A476">
        <v>475</v>
      </c>
      <c r="B476">
        <v>39</v>
      </c>
      <c r="C476" t="s">
        <v>16</v>
      </c>
      <c r="D476" t="s">
        <v>22</v>
      </c>
      <c r="E476" t="s">
        <v>43</v>
      </c>
      <c r="F476" s="1">
        <v>58.69</v>
      </c>
      <c r="G476" t="s">
        <v>31</v>
      </c>
      <c r="H476" t="s">
        <v>37</v>
      </c>
      <c r="I476" s="2">
        <v>3.3</v>
      </c>
      <c r="J476" s="4">
        <v>17</v>
      </c>
      <c r="K476" s="3">
        <v>6</v>
      </c>
      <c r="L476" s="1">
        <f t="shared" si="21"/>
        <v>48.712699999999998</v>
      </c>
      <c r="M476" t="str" cm="1">
        <f t="array" ref="M476">_xlfn.IFS(B476&lt;18,"Under 18",B476 &lt;=25,"18-25",B476&lt;=35,"26-35",B476&lt;=45,"36-45",B476&lt;=60,"46-60",TRUE,"60+")</f>
        <v>36-45</v>
      </c>
      <c r="N476" t="str">
        <f t="shared" si="22"/>
        <v>Discounted</v>
      </c>
      <c r="O476" t="str">
        <f t="shared" si="23"/>
        <v>Returning</v>
      </c>
    </row>
    <row r="477" spans="1:15" x14ac:dyDescent="0.25">
      <c r="A477">
        <v>476</v>
      </c>
      <c r="B477">
        <v>55</v>
      </c>
      <c r="C477" t="s">
        <v>11</v>
      </c>
      <c r="D477" t="s">
        <v>29</v>
      </c>
      <c r="E477" t="s">
        <v>51</v>
      </c>
      <c r="F477" s="1">
        <v>79.510000000000005</v>
      </c>
      <c r="G477" t="s">
        <v>19</v>
      </c>
      <c r="H477" t="s">
        <v>37</v>
      </c>
      <c r="I477" s="2">
        <v>2.4</v>
      </c>
      <c r="J477" s="4">
        <v>16</v>
      </c>
      <c r="K477" s="3">
        <v>3</v>
      </c>
      <c r="L477" s="1">
        <f t="shared" si="21"/>
        <v>66.788399999999996</v>
      </c>
      <c r="M477" t="str" cm="1">
        <f t="array" ref="M477">_xlfn.IFS(B477&lt;18,"Under 18",B477 &lt;=25,"18-25",B477&lt;=35,"26-35",B477&lt;=45,"36-45",B477&lt;=60,"46-60",TRUE,"60+")</f>
        <v>46-60</v>
      </c>
      <c r="N477" t="str">
        <f t="shared" si="22"/>
        <v>Discounted</v>
      </c>
      <c r="O477" t="str">
        <f t="shared" si="23"/>
        <v>Returning</v>
      </c>
    </row>
    <row r="478" spans="1:15" x14ac:dyDescent="0.25">
      <c r="A478">
        <v>477</v>
      </c>
      <c r="B478">
        <v>58</v>
      </c>
      <c r="C478" t="s">
        <v>16</v>
      </c>
      <c r="D478" t="s">
        <v>27</v>
      </c>
      <c r="E478" t="s">
        <v>28</v>
      </c>
      <c r="F478" s="1">
        <v>2792.69</v>
      </c>
      <c r="G478" t="s">
        <v>14</v>
      </c>
      <c r="H478" t="s">
        <v>15</v>
      </c>
      <c r="I478" s="2">
        <v>3.7</v>
      </c>
      <c r="J478" s="4">
        <v>14</v>
      </c>
      <c r="K478" s="3">
        <v>7</v>
      </c>
      <c r="L478" s="1">
        <f t="shared" si="21"/>
        <v>2401.7134000000001</v>
      </c>
      <c r="M478" t="str" cm="1">
        <f t="array" ref="M478">_xlfn.IFS(B478&lt;18,"Under 18",B478 &lt;=25,"18-25",B478&lt;=35,"26-35",B478&lt;=45,"36-45",B478&lt;=60,"46-60",TRUE,"60+")</f>
        <v>46-60</v>
      </c>
      <c r="N478" t="str">
        <f t="shared" si="22"/>
        <v>Discounted</v>
      </c>
      <c r="O478" t="str">
        <f t="shared" si="23"/>
        <v>Returning</v>
      </c>
    </row>
    <row r="479" spans="1:15" x14ac:dyDescent="0.25">
      <c r="A479">
        <v>478</v>
      </c>
      <c r="B479">
        <v>55</v>
      </c>
      <c r="C479" t="s">
        <v>11</v>
      </c>
      <c r="D479" t="s">
        <v>25</v>
      </c>
      <c r="E479" t="s">
        <v>26</v>
      </c>
      <c r="F479" s="1">
        <v>78.239999999999995</v>
      </c>
      <c r="G479" t="s">
        <v>31</v>
      </c>
      <c r="H479" t="s">
        <v>37</v>
      </c>
      <c r="I479" s="2">
        <v>3.8</v>
      </c>
      <c r="J479" s="4">
        <v>19</v>
      </c>
      <c r="K479" s="3">
        <v>7</v>
      </c>
      <c r="L479" s="1">
        <f t="shared" si="21"/>
        <v>63.374400000000001</v>
      </c>
      <c r="M479" t="str" cm="1">
        <f t="array" ref="M479">_xlfn.IFS(B479&lt;18,"Under 18",B479 &lt;=25,"18-25",B479&lt;=35,"26-35",B479&lt;=45,"36-45",B479&lt;=60,"46-60",TRUE,"60+")</f>
        <v>46-60</v>
      </c>
      <c r="N479" t="str">
        <f t="shared" si="22"/>
        <v>Discounted</v>
      </c>
      <c r="O479" t="str">
        <f t="shared" si="23"/>
        <v>Returning</v>
      </c>
    </row>
    <row r="480" spans="1:15" x14ac:dyDescent="0.25">
      <c r="A480">
        <v>479</v>
      </c>
      <c r="B480">
        <v>49</v>
      </c>
      <c r="C480" t="s">
        <v>16</v>
      </c>
      <c r="D480" t="s">
        <v>20</v>
      </c>
      <c r="E480" t="s">
        <v>39</v>
      </c>
      <c r="F480" s="1">
        <v>213.36</v>
      </c>
      <c r="G480" t="s">
        <v>19</v>
      </c>
      <c r="H480" t="s">
        <v>15</v>
      </c>
      <c r="I480" s="2">
        <v>3.2</v>
      </c>
      <c r="J480" s="4">
        <v>12</v>
      </c>
      <c r="K480" s="3">
        <v>6</v>
      </c>
      <c r="L480" s="1">
        <f t="shared" si="21"/>
        <v>187.75680000000003</v>
      </c>
      <c r="M480" t="str" cm="1">
        <f t="array" ref="M480">_xlfn.IFS(B480&lt;18,"Under 18",B480 &lt;=25,"18-25",B480&lt;=35,"26-35",B480&lt;=45,"36-45",B480&lt;=60,"46-60",TRUE,"60+")</f>
        <v>46-60</v>
      </c>
      <c r="N480" t="str">
        <f t="shared" si="22"/>
        <v>Discounted</v>
      </c>
      <c r="O480" t="str">
        <f t="shared" si="23"/>
        <v>Returning</v>
      </c>
    </row>
    <row r="481" spans="1:15" x14ac:dyDescent="0.25">
      <c r="A481">
        <v>480</v>
      </c>
      <c r="B481">
        <v>39</v>
      </c>
      <c r="C481" t="s">
        <v>16</v>
      </c>
      <c r="D481" t="s">
        <v>17</v>
      </c>
      <c r="E481" t="s">
        <v>42</v>
      </c>
      <c r="F481" s="1">
        <v>49.04</v>
      </c>
      <c r="G481" t="s">
        <v>19</v>
      </c>
      <c r="H481" t="s">
        <v>37</v>
      </c>
      <c r="I481" s="2">
        <v>3.9</v>
      </c>
      <c r="J481" s="4">
        <v>19</v>
      </c>
      <c r="K481" s="3">
        <v>7</v>
      </c>
      <c r="L481" s="1">
        <f t="shared" si="21"/>
        <v>39.7224</v>
      </c>
      <c r="M481" t="str" cm="1">
        <f t="array" ref="M481">_xlfn.IFS(B481&lt;18,"Under 18",B481 &lt;=25,"18-25",B481&lt;=35,"26-35",B481&lt;=45,"36-45",B481&lt;=60,"46-60",TRUE,"60+")</f>
        <v>36-45</v>
      </c>
      <c r="N481" t="str">
        <f t="shared" si="22"/>
        <v>Discounted</v>
      </c>
      <c r="O481" t="str">
        <f t="shared" si="23"/>
        <v>Returning</v>
      </c>
    </row>
    <row r="482" spans="1:15" x14ac:dyDescent="0.25">
      <c r="A482">
        <v>481</v>
      </c>
      <c r="B482">
        <v>54</v>
      </c>
      <c r="C482" t="s">
        <v>16</v>
      </c>
      <c r="D482" t="s">
        <v>33</v>
      </c>
      <c r="E482" t="s">
        <v>38</v>
      </c>
      <c r="F482" s="1">
        <v>50.57</v>
      </c>
      <c r="G482" t="s">
        <v>14</v>
      </c>
      <c r="H482" t="s">
        <v>37</v>
      </c>
      <c r="I482" s="2">
        <v>3.5</v>
      </c>
      <c r="J482" s="4">
        <v>4</v>
      </c>
      <c r="K482" s="3">
        <v>2</v>
      </c>
      <c r="L482" s="1">
        <f t="shared" si="21"/>
        <v>48.547199999999997</v>
      </c>
      <c r="M482" t="str" cm="1">
        <f t="array" ref="M482">_xlfn.IFS(B482&lt;18,"Under 18",B482 &lt;=25,"18-25",B482&lt;=35,"26-35",B482&lt;=45,"36-45",B482&lt;=60,"46-60",TRUE,"60+")</f>
        <v>46-60</v>
      </c>
      <c r="N482" t="str">
        <f t="shared" si="22"/>
        <v>Discounted</v>
      </c>
      <c r="O482" t="str">
        <f t="shared" si="23"/>
        <v>Returning</v>
      </c>
    </row>
    <row r="483" spans="1:15" x14ac:dyDescent="0.25">
      <c r="A483">
        <v>482</v>
      </c>
      <c r="B483">
        <v>51</v>
      </c>
      <c r="C483" t="s">
        <v>11</v>
      </c>
      <c r="D483" t="s">
        <v>29</v>
      </c>
      <c r="E483" t="s">
        <v>51</v>
      </c>
      <c r="F483" s="1">
        <v>78.510000000000005</v>
      </c>
      <c r="G483" t="s">
        <v>31</v>
      </c>
      <c r="H483" t="s">
        <v>15</v>
      </c>
      <c r="I483" s="2">
        <v>5</v>
      </c>
      <c r="J483" s="4">
        <v>10</v>
      </c>
      <c r="K483" s="3">
        <v>5</v>
      </c>
      <c r="L483" s="1">
        <f t="shared" si="21"/>
        <v>70.659000000000006</v>
      </c>
      <c r="M483" t="str" cm="1">
        <f t="array" ref="M483">_xlfn.IFS(B483&lt;18,"Under 18",B483 &lt;=25,"18-25",B483&lt;=35,"26-35",B483&lt;=45,"36-45",B483&lt;=60,"46-60",TRUE,"60+")</f>
        <v>46-60</v>
      </c>
      <c r="N483" t="str">
        <f t="shared" si="22"/>
        <v>Discounted</v>
      </c>
      <c r="O483" t="str">
        <f t="shared" si="23"/>
        <v>Returning</v>
      </c>
    </row>
    <row r="484" spans="1:15" x14ac:dyDescent="0.25">
      <c r="A484">
        <v>483</v>
      </c>
      <c r="B484">
        <v>53</v>
      </c>
      <c r="C484" t="s">
        <v>11</v>
      </c>
      <c r="D484" t="s">
        <v>12</v>
      </c>
      <c r="E484" t="s">
        <v>13</v>
      </c>
      <c r="F484" s="1">
        <v>73.069999999999993</v>
      </c>
      <c r="G484" t="s">
        <v>19</v>
      </c>
      <c r="H484" t="s">
        <v>15</v>
      </c>
      <c r="I484" s="2">
        <v>3.3</v>
      </c>
      <c r="J484" s="4">
        <v>15</v>
      </c>
      <c r="K484" s="3">
        <v>5</v>
      </c>
      <c r="L484" s="1">
        <f t="shared" si="21"/>
        <v>62.10949999999999</v>
      </c>
      <c r="M484" t="str" cm="1">
        <f t="array" ref="M484">_xlfn.IFS(B484&lt;18,"Under 18",B484 &lt;=25,"18-25",B484&lt;=35,"26-35",B484&lt;=45,"36-45",B484&lt;=60,"46-60",TRUE,"60+")</f>
        <v>46-60</v>
      </c>
      <c r="N484" t="str">
        <f t="shared" si="22"/>
        <v>Discounted</v>
      </c>
      <c r="O484" t="str">
        <f t="shared" si="23"/>
        <v>Returning</v>
      </c>
    </row>
    <row r="485" spans="1:15" x14ac:dyDescent="0.25">
      <c r="A485">
        <v>484</v>
      </c>
      <c r="B485">
        <v>43</v>
      </c>
      <c r="C485" t="s">
        <v>16</v>
      </c>
      <c r="D485" t="s">
        <v>22</v>
      </c>
      <c r="E485" t="s">
        <v>23</v>
      </c>
      <c r="F485" s="1">
        <v>299.95999999999998</v>
      </c>
      <c r="G485" t="s">
        <v>19</v>
      </c>
      <c r="H485" t="s">
        <v>15</v>
      </c>
      <c r="I485" s="2">
        <v>3.4</v>
      </c>
      <c r="J485" s="4">
        <v>5</v>
      </c>
      <c r="K485" s="3">
        <v>0</v>
      </c>
      <c r="L485" s="1">
        <f t="shared" si="21"/>
        <v>284.96199999999999</v>
      </c>
      <c r="M485" t="str" cm="1">
        <f t="array" ref="M485">_xlfn.IFS(B485&lt;18,"Under 18",B485 &lt;=25,"18-25",B485&lt;=35,"26-35",B485&lt;=45,"36-45",B485&lt;=60,"46-60",TRUE,"60+")</f>
        <v>36-45</v>
      </c>
      <c r="N485" t="str">
        <f t="shared" si="22"/>
        <v>Discounted</v>
      </c>
      <c r="O485" t="str">
        <f t="shared" si="23"/>
        <v>New</v>
      </c>
    </row>
    <row r="486" spans="1:15" x14ac:dyDescent="0.25">
      <c r="A486">
        <v>485</v>
      </c>
      <c r="B486">
        <v>43</v>
      </c>
      <c r="C486" t="s">
        <v>16</v>
      </c>
      <c r="D486" t="s">
        <v>20</v>
      </c>
      <c r="E486" t="s">
        <v>21</v>
      </c>
      <c r="F486" s="1">
        <v>239.89</v>
      </c>
      <c r="G486" t="s">
        <v>31</v>
      </c>
      <c r="H486" t="s">
        <v>15</v>
      </c>
      <c r="I486" s="2">
        <v>3.7</v>
      </c>
      <c r="J486" s="4">
        <v>2</v>
      </c>
      <c r="K486" s="3">
        <v>1</v>
      </c>
      <c r="L486" s="1">
        <f t="shared" si="21"/>
        <v>235.09219999999999</v>
      </c>
      <c r="M486" t="str" cm="1">
        <f t="array" ref="M486">_xlfn.IFS(B486&lt;18,"Under 18",B486 &lt;=25,"18-25",B486&lt;=35,"26-35",B486&lt;=45,"36-45",B486&lt;=60,"46-60",TRUE,"60+")</f>
        <v>36-45</v>
      </c>
      <c r="N486" t="str">
        <f t="shared" si="22"/>
        <v>Discounted</v>
      </c>
      <c r="O486" t="str">
        <f t="shared" si="23"/>
        <v>Returning</v>
      </c>
    </row>
    <row r="487" spans="1:15" x14ac:dyDescent="0.25">
      <c r="A487">
        <v>486</v>
      </c>
      <c r="B487">
        <v>48</v>
      </c>
      <c r="C487" t="s">
        <v>11</v>
      </c>
      <c r="D487" t="s">
        <v>41</v>
      </c>
      <c r="E487" t="s">
        <v>45</v>
      </c>
      <c r="F487" s="1">
        <v>98.38</v>
      </c>
      <c r="G487" t="s">
        <v>24</v>
      </c>
      <c r="H487" t="s">
        <v>37</v>
      </c>
      <c r="I487" s="2">
        <v>4.2</v>
      </c>
      <c r="J487" s="4">
        <v>14</v>
      </c>
      <c r="K487" s="3">
        <v>2</v>
      </c>
      <c r="L487" s="1">
        <f t="shared" si="21"/>
        <v>84.606799999999993</v>
      </c>
      <c r="M487" t="str" cm="1">
        <f t="array" ref="M487">_xlfn.IFS(B487&lt;18,"Under 18",B487 &lt;=25,"18-25",B487&lt;=35,"26-35",B487&lt;=45,"36-45",B487&lt;=60,"46-60",TRUE,"60+")</f>
        <v>46-60</v>
      </c>
      <c r="N487" t="str">
        <f t="shared" si="22"/>
        <v>Discounted</v>
      </c>
      <c r="O487" t="str">
        <f t="shared" si="23"/>
        <v>Returning</v>
      </c>
    </row>
    <row r="488" spans="1:15" x14ac:dyDescent="0.25">
      <c r="A488">
        <v>487</v>
      </c>
      <c r="B488">
        <v>52</v>
      </c>
      <c r="C488" t="s">
        <v>16</v>
      </c>
      <c r="D488" t="s">
        <v>20</v>
      </c>
      <c r="E488" t="s">
        <v>39</v>
      </c>
      <c r="F488" s="1">
        <v>152.29</v>
      </c>
      <c r="G488" t="s">
        <v>19</v>
      </c>
      <c r="H488" t="s">
        <v>15</v>
      </c>
      <c r="I488" s="2">
        <v>3.2</v>
      </c>
      <c r="J488" s="4">
        <v>14</v>
      </c>
      <c r="K488" s="3">
        <v>2</v>
      </c>
      <c r="L488" s="1">
        <f t="shared" si="21"/>
        <v>130.96939999999998</v>
      </c>
      <c r="M488" t="str" cm="1">
        <f t="array" ref="M488">_xlfn.IFS(B488&lt;18,"Under 18",B488 &lt;=25,"18-25",B488&lt;=35,"26-35",B488&lt;=45,"36-45",B488&lt;=60,"46-60",TRUE,"60+")</f>
        <v>46-60</v>
      </c>
      <c r="N488" t="str">
        <f t="shared" si="22"/>
        <v>Discounted</v>
      </c>
      <c r="O488" t="str">
        <f t="shared" si="23"/>
        <v>Returning</v>
      </c>
    </row>
    <row r="489" spans="1:15" x14ac:dyDescent="0.25">
      <c r="A489">
        <v>488</v>
      </c>
      <c r="B489">
        <v>69</v>
      </c>
      <c r="C489" t="s">
        <v>11</v>
      </c>
      <c r="D489" t="s">
        <v>41</v>
      </c>
      <c r="E489" t="s">
        <v>42</v>
      </c>
      <c r="F489" s="1">
        <v>96.34</v>
      </c>
      <c r="G489" t="s">
        <v>24</v>
      </c>
      <c r="H489" t="s">
        <v>15</v>
      </c>
      <c r="I489" s="2">
        <v>3.8</v>
      </c>
      <c r="J489" s="4">
        <v>26</v>
      </c>
      <c r="K489" s="3">
        <v>8</v>
      </c>
      <c r="L489" s="1">
        <f t="shared" si="21"/>
        <v>71.291600000000003</v>
      </c>
      <c r="M489" t="str" cm="1">
        <f t="array" ref="M489">_xlfn.IFS(B489&lt;18,"Under 18",B489 &lt;=25,"18-25",B489&lt;=35,"26-35",B489&lt;=45,"36-45",B489&lt;=60,"46-60",TRUE,"60+")</f>
        <v>60+</v>
      </c>
      <c r="N489" t="str">
        <f t="shared" si="22"/>
        <v>Discounted</v>
      </c>
      <c r="O489" t="str">
        <f t="shared" si="23"/>
        <v>Returning</v>
      </c>
    </row>
    <row r="490" spans="1:15" x14ac:dyDescent="0.25">
      <c r="A490">
        <v>489</v>
      </c>
      <c r="B490">
        <v>26</v>
      </c>
      <c r="C490" t="s">
        <v>11</v>
      </c>
      <c r="D490" t="s">
        <v>12</v>
      </c>
      <c r="E490" t="s">
        <v>56</v>
      </c>
      <c r="F490" s="1">
        <v>100.05</v>
      </c>
      <c r="G490" t="s">
        <v>31</v>
      </c>
      <c r="H490" t="s">
        <v>15</v>
      </c>
      <c r="I490" s="2">
        <v>3.7</v>
      </c>
      <c r="J490" s="4">
        <v>11</v>
      </c>
      <c r="K490" s="3">
        <v>3</v>
      </c>
      <c r="L490" s="1">
        <f t="shared" si="21"/>
        <v>89.044499999999999</v>
      </c>
      <c r="M490" t="str" cm="1">
        <f t="array" ref="M490">_xlfn.IFS(B490&lt;18,"Under 18",B490 &lt;=25,"18-25",B490&lt;=35,"26-35",B490&lt;=45,"36-45",B490&lt;=60,"46-60",TRUE,"60+")</f>
        <v>26-35</v>
      </c>
      <c r="N490" t="str">
        <f t="shared" si="22"/>
        <v>Discounted</v>
      </c>
      <c r="O490" t="str">
        <f t="shared" si="23"/>
        <v>Returning</v>
      </c>
    </row>
    <row r="491" spans="1:15" x14ac:dyDescent="0.25">
      <c r="A491">
        <v>490</v>
      </c>
      <c r="B491">
        <v>34</v>
      </c>
      <c r="C491" t="s">
        <v>11</v>
      </c>
      <c r="D491" t="s">
        <v>41</v>
      </c>
      <c r="E491" t="s">
        <v>44</v>
      </c>
      <c r="F491" s="1">
        <v>96.07</v>
      </c>
      <c r="G491" t="s">
        <v>19</v>
      </c>
      <c r="H491" t="s">
        <v>15</v>
      </c>
      <c r="I491" s="2">
        <v>3.1</v>
      </c>
      <c r="J491" s="4">
        <v>12</v>
      </c>
      <c r="K491" s="3">
        <v>6</v>
      </c>
      <c r="L491" s="1">
        <f t="shared" si="21"/>
        <v>84.541599999999988</v>
      </c>
      <c r="M491" t="str" cm="1">
        <f t="array" ref="M491">_xlfn.IFS(B491&lt;18,"Under 18",B491 &lt;=25,"18-25",B491&lt;=35,"26-35",B491&lt;=45,"36-45",B491&lt;=60,"46-60",TRUE,"60+")</f>
        <v>26-35</v>
      </c>
      <c r="N491" t="str">
        <f t="shared" si="22"/>
        <v>Discounted</v>
      </c>
      <c r="O491" t="str">
        <f t="shared" si="23"/>
        <v>Returning</v>
      </c>
    </row>
    <row r="492" spans="1:15" x14ac:dyDescent="0.25">
      <c r="A492">
        <v>491</v>
      </c>
      <c r="B492">
        <v>30</v>
      </c>
      <c r="C492" t="s">
        <v>11</v>
      </c>
      <c r="D492" t="s">
        <v>41</v>
      </c>
      <c r="E492" t="s">
        <v>45</v>
      </c>
      <c r="F492" s="1">
        <v>46.55</v>
      </c>
      <c r="G492" t="s">
        <v>31</v>
      </c>
      <c r="H492" t="s">
        <v>15</v>
      </c>
      <c r="I492" s="2">
        <v>4.0999999999999996</v>
      </c>
      <c r="J492" s="4">
        <v>8</v>
      </c>
      <c r="K492" s="3">
        <v>4</v>
      </c>
      <c r="L492" s="1">
        <f t="shared" si="21"/>
        <v>42.826000000000001</v>
      </c>
      <c r="M492" t="str" cm="1">
        <f t="array" ref="M492">_xlfn.IFS(B492&lt;18,"Under 18",B492 &lt;=25,"18-25",B492&lt;=35,"26-35",B492&lt;=45,"36-45",B492&lt;=60,"46-60",TRUE,"60+")</f>
        <v>26-35</v>
      </c>
      <c r="N492" t="str">
        <f t="shared" si="22"/>
        <v>Discounted</v>
      </c>
      <c r="O492" t="str">
        <f t="shared" si="23"/>
        <v>Returning</v>
      </c>
    </row>
    <row r="493" spans="1:15" x14ac:dyDescent="0.25">
      <c r="A493">
        <v>492</v>
      </c>
      <c r="B493">
        <v>25</v>
      </c>
      <c r="C493" t="s">
        <v>11</v>
      </c>
      <c r="D493" t="s">
        <v>29</v>
      </c>
      <c r="E493" t="s">
        <v>30</v>
      </c>
      <c r="F493" s="1">
        <v>86.16</v>
      </c>
      <c r="G493" t="s">
        <v>14</v>
      </c>
      <c r="H493" t="s">
        <v>37</v>
      </c>
      <c r="I493" s="2">
        <v>4.5</v>
      </c>
      <c r="J493" s="4">
        <v>6</v>
      </c>
      <c r="K493" s="3">
        <v>3</v>
      </c>
      <c r="L493" s="1">
        <f t="shared" si="21"/>
        <v>80.990399999999994</v>
      </c>
      <c r="M493" t="str" cm="1">
        <f t="array" ref="M493">_xlfn.IFS(B493&lt;18,"Under 18",B493 &lt;=25,"18-25",B493&lt;=35,"26-35",B493&lt;=45,"36-45",B493&lt;=60,"46-60",TRUE,"60+")</f>
        <v>18-25</v>
      </c>
      <c r="N493" t="str">
        <f t="shared" si="22"/>
        <v>Discounted</v>
      </c>
      <c r="O493" t="str">
        <f t="shared" si="23"/>
        <v>Returning</v>
      </c>
    </row>
    <row r="494" spans="1:15" x14ac:dyDescent="0.25">
      <c r="A494">
        <v>493</v>
      </c>
      <c r="B494">
        <v>61</v>
      </c>
      <c r="C494" t="s">
        <v>11</v>
      </c>
      <c r="D494" t="s">
        <v>12</v>
      </c>
      <c r="E494" t="s">
        <v>50</v>
      </c>
      <c r="F494" s="1">
        <v>174.31</v>
      </c>
      <c r="G494" t="s">
        <v>19</v>
      </c>
      <c r="H494" t="s">
        <v>15</v>
      </c>
      <c r="I494" s="2">
        <v>5</v>
      </c>
      <c r="J494" s="4">
        <v>24</v>
      </c>
      <c r="K494" s="3">
        <v>7</v>
      </c>
      <c r="L494" s="1">
        <f t="shared" si="21"/>
        <v>132.47560000000001</v>
      </c>
      <c r="M494" t="str" cm="1">
        <f t="array" ref="M494">_xlfn.IFS(B494&lt;18,"Under 18",B494 &lt;=25,"18-25",B494&lt;=35,"26-35",B494&lt;=45,"36-45",B494&lt;=60,"46-60",TRUE,"60+")</f>
        <v>60+</v>
      </c>
      <c r="N494" t="str">
        <f t="shared" si="22"/>
        <v>Discounted</v>
      </c>
      <c r="O494" t="str">
        <f t="shared" si="23"/>
        <v>Returning</v>
      </c>
    </row>
    <row r="495" spans="1:15" x14ac:dyDescent="0.25">
      <c r="A495">
        <v>494</v>
      </c>
      <c r="B495">
        <v>27</v>
      </c>
      <c r="C495" t="s">
        <v>11</v>
      </c>
      <c r="D495" t="s">
        <v>33</v>
      </c>
      <c r="E495" t="s">
        <v>34</v>
      </c>
      <c r="F495" s="1">
        <v>150.44999999999999</v>
      </c>
      <c r="G495" t="s">
        <v>19</v>
      </c>
      <c r="H495" t="s">
        <v>15</v>
      </c>
      <c r="I495" s="2">
        <v>3.7</v>
      </c>
      <c r="J495" s="4">
        <v>14</v>
      </c>
      <c r="K495" s="3">
        <v>7</v>
      </c>
      <c r="L495" s="1">
        <f t="shared" si="21"/>
        <v>129.387</v>
      </c>
      <c r="M495" t="str" cm="1">
        <f t="array" ref="M495">_xlfn.IFS(B495&lt;18,"Under 18",B495 &lt;=25,"18-25",B495&lt;=35,"26-35",B495&lt;=45,"36-45",B495&lt;=60,"46-60",TRUE,"60+")</f>
        <v>26-35</v>
      </c>
      <c r="N495" t="str">
        <f t="shared" si="22"/>
        <v>Discounted</v>
      </c>
      <c r="O495" t="str">
        <f t="shared" si="23"/>
        <v>Returning</v>
      </c>
    </row>
    <row r="496" spans="1:15" x14ac:dyDescent="0.25">
      <c r="A496">
        <v>495</v>
      </c>
      <c r="B496">
        <v>40</v>
      </c>
      <c r="C496" t="s">
        <v>16</v>
      </c>
      <c r="D496" t="s">
        <v>20</v>
      </c>
      <c r="E496" t="s">
        <v>21</v>
      </c>
      <c r="F496" s="1">
        <v>106</v>
      </c>
      <c r="G496" t="s">
        <v>24</v>
      </c>
      <c r="H496" t="s">
        <v>15</v>
      </c>
      <c r="I496" s="2">
        <v>3.4</v>
      </c>
      <c r="J496" s="4">
        <v>18</v>
      </c>
      <c r="K496" s="3">
        <v>4</v>
      </c>
      <c r="L496" s="1">
        <f t="shared" si="21"/>
        <v>86.92</v>
      </c>
      <c r="M496" t="str" cm="1">
        <f t="array" ref="M496">_xlfn.IFS(B496&lt;18,"Under 18",B496 &lt;=25,"18-25",B496&lt;=35,"26-35",B496&lt;=45,"36-45",B496&lt;=60,"46-60",TRUE,"60+")</f>
        <v>36-45</v>
      </c>
      <c r="N496" t="str">
        <f t="shared" si="22"/>
        <v>Discounted</v>
      </c>
      <c r="O496" t="str">
        <f t="shared" si="23"/>
        <v>Returning</v>
      </c>
    </row>
    <row r="497" spans="1:15" x14ac:dyDescent="0.25">
      <c r="A497">
        <v>496</v>
      </c>
      <c r="B497">
        <v>44</v>
      </c>
      <c r="C497" t="s">
        <v>16</v>
      </c>
      <c r="D497" t="s">
        <v>20</v>
      </c>
      <c r="E497" t="s">
        <v>39</v>
      </c>
      <c r="F497" s="1">
        <v>119.84</v>
      </c>
      <c r="G497" t="s">
        <v>14</v>
      </c>
      <c r="H497" t="s">
        <v>15</v>
      </c>
      <c r="I497" s="2">
        <v>3.6</v>
      </c>
      <c r="J497" s="4">
        <v>9</v>
      </c>
      <c r="K497" s="3">
        <v>2</v>
      </c>
      <c r="L497" s="1">
        <f t="shared" si="21"/>
        <v>109.0544</v>
      </c>
      <c r="M497" t="str" cm="1">
        <f t="array" ref="M497">_xlfn.IFS(B497&lt;18,"Under 18",B497 &lt;=25,"18-25",B497&lt;=35,"26-35",B497&lt;=45,"36-45",B497&lt;=60,"46-60",TRUE,"60+")</f>
        <v>36-45</v>
      </c>
      <c r="N497" t="str">
        <f t="shared" si="22"/>
        <v>Discounted</v>
      </c>
      <c r="O497" t="str">
        <f t="shared" si="23"/>
        <v>Returning</v>
      </c>
    </row>
    <row r="498" spans="1:15" x14ac:dyDescent="0.25">
      <c r="A498">
        <v>497</v>
      </c>
      <c r="B498">
        <v>49</v>
      </c>
      <c r="C498" t="s">
        <v>11</v>
      </c>
      <c r="D498" t="s">
        <v>29</v>
      </c>
      <c r="E498" t="s">
        <v>30</v>
      </c>
      <c r="F498" s="1">
        <v>102.61</v>
      </c>
      <c r="G498" t="s">
        <v>14</v>
      </c>
      <c r="H498" t="s">
        <v>15</v>
      </c>
      <c r="I498" s="2">
        <v>4.5999999999999996</v>
      </c>
      <c r="J498" s="4">
        <v>26</v>
      </c>
      <c r="K498" s="3">
        <v>8</v>
      </c>
      <c r="L498" s="1">
        <f t="shared" si="21"/>
        <v>75.931399999999996</v>
      </c>
      <c r="M498" t="str" cm="1">
        <f t="array" ref="M498">_xlfn.IFS(B498&lt;18,"Under 18",B498 &lt;=25,"18-25",B498&lt;=35,"26-35",B498&lt;=45,"36-45",B498&lt;=60,"46-60",TRUE,"60+")</f>
        <v>46-60</v>
      </c>
      <c r="N498" t="str">
        <f t="shared" si="22"/>
        <v>Discounted</v>
      </c>
      <c r="O498" t="str">
        <f t="shared" si="23"/>
        <v>Returning</v>
      </c>
    </row>
    <row r="499" spans="1:15" x14ac:dyDescent="0.25">
      <c r="A499">
        <v>498</v>
      </c>
      <c r="B499">
        <v>45</v>
      </c>
      <c r="C499" t="s">
        <v>11</v>
      </c>
      <c r="D499" t="s">
        <v>41</v>
      </c>
      <c r="E499" t="s">
        <v>46</v>
      </c>
      <c r="F499" s="1">
        <v>82.9</v>
      </c>
      <c r="G499" t="s">
        <v>19</v>
      </c>
      <c r="H499" t="s">
        <v>37</v>
      </c>
      <c r="I499" s="2">
        <v>3.9</v>
      </c>
      <c r="J499" s="4">
        <v>16</v>
      </c>
      <c r="K499" s="3">
        <v>8</v>
      </c>
      <c r="L499" s="1">
        <f t="shared" si="21"/>
        <v>69.635999999999996</v>
      </c>
      <c r="M499" t="str" cm="1">
        <f t="array" ref="M499">_xlfn.IFS(B499&lt;18,"Under 18",B499 &lt;=25,"18-25",B499&lt;=35,"26-35",B499&lt;=45,"36-45",B499&lt;=60,"46-60",TRUE,"60+")</f>
        <v>36-45</v>
      </c>
      <c r="N499" t="str">
        <f t="shared" si="22"/>
        <v>Discounted</v>
      </c>
      <c r="O499" t="str">
        <f t="shared" si="23"/>
        <v>Returning</v>
      </c>
    </row>
    <row r="500" spans="1:15" x14ac:dyDescent="0.25">
      <c r="A500">
        <v>499</v>
      </c>
      <c r="B500">
        <v>31</v>
      </c>
      <c r="C500" t="s">
        <v>16</v>
      </c>
      <c r="D500" t="s">
        <v>20</v>
      </c>
      <c r="E500" t="s">
        <v>36</v>
      </c>
      <c r="F500" s="1">
        <v>72.099999999999994</v>
      </c>
      <c r="G500" t="s">
        <v>19</v>
      </c>
      <c r="H500" t="s">
        <v>15</v>
      </c>
      <c r="I500" s="2">
        <v>4.3</v>
      </c>
      <c r="J500" s="4">
        <v>12</v>
      </c>
      <c r="K500" s="3">
        <v>6</v>
      </c>
      <c r="L500" s="1">
        <f t="shared" si="21"/>
        <v>63.447999999999993</v>
      </c>
      <c r="M500" t="str" cm="1">
        <f t="array" ref="M500">_xlfn.IFS(B500&lt;18,"Under 18",B500 &lt;=25,"18-25",B500&lt;=35,"26-35",B500&lt;=45,"36-45",B500&lt;=60,"46-60",TRUE,"60+")</f>
        <v>26-35</v>
      </c>
      <c r="N500" t="str">
        <f t="shared" si="22"/>
        <v>Discounted</v>
      </c>
      <c r="O500" t="str">
        <f t="shared" si="23"/>
        <v>Returning</v>
      </c>
    </row>
    <row r="501" spans="1:15" x14ac:dyDescent="0.25">
      <c r="A501">
        <v>500</v>
      </c>
      <c r="B501">
        <v>51</v>
      </c>
      <c r="C501" t="s">
        <v>16</v>
      </c>
      <c r="D501" t="s">
        <v>33</v>
      </c>
      <c r="E501" t="s">
        <v>40</v>
      </c>
      <c r="F501" s="1">
        <v>214.97</v>
      </c>
      <c r="G501" t="s">
        <v>14</v>
      </c>
      <c r="H501" t="s">
        <v>15</v>
      </c>
      <c r="I501" s="2">
        <v>4.0999999999999996</v>
      </c>
      <c r="J501" s="4">
        <v>22</v>
      </c>
      <c r="K501" s="3">
        <v>6</v>
      </c>
      <c r="L501" s="1">
        <f t="shared" si="21"/>
        <v>167.67660000000001</v>
      </c>
      <c r="M501" t="str" cm="1">
        <f t="array" ref="M501">_xlfn.IFS(B501&lt;18,"Under 18",B501 &lt;=25,"18-25",B501&lt;=35,"26-35",B501&lt;=45,"36-45",B501&lt;=60,"46-60",TRUE,"60+")</f>
        <v>46-60</v>
      </c>
      <c r="N501" t="str">
        <f t="shared" si="22"/>
        <v>Discounted</v>
      </c>
      <c r="O501" t="str">
        <f t="shared" si="23"/>
        <v>Returning</v>
      </c>
    </row>
    <row r="502" spans="1:15" x14ac:dyDescent="0.25">
      <c r="A502">
        <v>501</v>
      </c>
      <c r="B502">
        <v>27</v>
      </c>
      <c r="C502" t="s">
        <v>16</v>
      </c>
      <c r="D502" t="s">
        <v>27</v>
      </c>
      <c r="E502" t="s">
        <v>49</v>
      </c>
      <c r="F502" s="1">
        <v>1871.95</v>
      </c>
      <c r="G502" t="s">
        <v>19</v>
      </c>
      <c r="H502" t="s">
        <v>15</v>
      </c>
      <c r="I502" s="2">
        <v>4.3</v>
      </c>
      <c r="J502" s="4">
        <v>15</v>
      </c>
      <c r="K502" s="3">
        <v>5</v>
      </c>
      <c r="L502" s="1">
        <f t="shared" si="21"/>
        <v>1591.1575</v>
      </c>
      <c r="M502" t="str" cm="1">
        <f t="array" ref="M502">_xlfn.IFS(B502&lt;18,"Under 18",B502 &lt;=25,"18-25",B502&lt;=35,"26-35",B502&lt;=45,"36-45",B502&lt;=60,"46-60",TRUE,"60+")</f>
        <v>26-35</v>
      </c>
      <c r="N502" t="str">
        <f t="shared" si="22"/>
        <v>Discounted</v>
      </c>
      <c r="O502" t="str">
        <f t="shared" si="23"/>
        <v>Returning</v>
      </c>
    </row>
    <row r="503" spans="1:15" x14ac:dyDescent="0.25">
      <c r="A503">
        <v>502</v>
      </c>
      <c r="B503">
        <v>50</v>
      </c>
      <c r="C503" t="s">
        <v>11</v>
      </c>
      <c r="D503" t="s">
        <v>12</v>
      </c>
      <c r="E503" t="s">
        <v>13</v>
      </c>
      <c r="F503" s="1">
        <v>40.1</v>
      </c>
      <c r="G503" t="s">
        <v>14</v>
      </c>
      <c r="H503" t="s">
        <v>37</v>
      </c>
      <c r="I503" s="2">
        <v>3.9</v>
      </c>
      <c r="J503" s="4">
        <v>19</v>
      </c>
      <c r="K503" s="3">
        <v>7</v>
      </c>
      <c r="L503" s="1">
        <f t="shared" si="21"/>
        <v>32.481000000000002</v>
      </c>
      <c r="M503" t="str" cm="1">
        <f t="array" ref="M503">_xlfn.IFS(B503&lt;18,"Under 18",B503 &lt;=25,"18-25",B503&lt;=35,"26-35",B503&lt;=45,"36-45",B503&lt;=60,"46-60",TRUE,"60+")</f>
        <v>46-60</v>
      </c>
      <c r="N503" t="str">
        <f t="shared" si="22"/>
        <v>Discounted</v>
      </c>
      <c r="O503" t="str">
        <f t="shared" si="23"/>
        <v>Returning</v>
      </c>
    </row>
    <row r="504" spans="1:15" x14ac:dyDescent="0.25">
      <c r="A504">
        <v>503</v>
      </c>
      <c r="B504">
        <v>24</v>
      </c>
      <c r="C504" t="s">
        <v>11</v>
      </c>
      <c r="D504" t="s">
        <v>29</v>
      </c>
      <c r="E504" t="s">
        <v>51</v>
      </c>
      <c r="F504" s="1">
        <v>96.8</v>
      </c>
      <c r="G504" t="s">
        <v>19</v>
      </c>
      <c r="H504" t="s">
        <v>15</v>
      </c>
      <c r="I504" s="2">
        <v>4.5999999999999996</v>
      </c>
      <c r="J504" s="4">
        <v>21</v>
      </c>
      <c r="K504" s="3">
        <v>8</v>
      </c>
      <c r="L504" s="1">
        <f t="shared" si="21"/>
        <v>76.471999999999994</v>
      </c>
      <c r="M504" t="str" cm="1">
        <f t="array" ref="M504">_xlfn.IFS(B504&lt;18,"Under 18",B504 &lt;=25,"18-25",B504&lt;=35,"26-35",B504&lt;=45,"36-45",B504&lt;=60,"46-60",TRUE,"60+")</f>
        <v>18-25</v>
      </c>
      <c r="N504" t="str">
        <f t="shared" si="22"/>
        <v>Discounted</v>
      </c>
      <c r="O504" t="str">
        <f t="shared" si="23"/>
        <v>Returning</v>
      </c>
    </row>
    <row r="505" spans="1:15" x14ac:dyDescent="0.25">
      <c r="A505">
        <v>504</v>
      </c>
      <c r="B505">
        <v>59</v>
      </c>
      <c r="C505" t="s">
        <v>16</v>
      </c>
      <c r="D505" t="s">
        <v>22</v>
      </c>
      <c r="E505" t="s">
        <v>23</v>
      </c>
      <c r="F505" s="1">
        <v>43.39</v>
      </c>
      <c r="G505" t="s">
        <v>14</v>
      </c>
      <c r="H505" t="s">
        <v>37</v>
      </c>
      <c r="I505" s="2">
        <v>5</v>
      </c>
      <c r="J505" s="4">
        <v>12</v>
      </c>
      <c r="K505" s="3">
        <v>1</v>
      </c>
      <c r="L505" s="1">
        <f t="shared" si="21"/>
        <v>38.183199999999999</v>
      </c>
      <c r="M505" t="str" cm="1">
        <f t="array" ref="M505">_xlfn.IFS(B505&lt;18,"Under 18",B505 &lt;=25,"18-25",B505&lt;=35,"26-35",B505&lt;=45,"36-45",B505&lt;=60,"46-60",TRUE,"60+")</f>
        <v>46-60</v>
      </c>
      <c r="N505" t="str">
        <f t="shared" si="22"/>
        <v>Discounted</v>
      </c>
      <c r="O505" t="str">
        <f t="shared" si="23"/>
        <v>Returning</v>
      </c>
    </row>
    <row r="506" spans="1:15" x14ac:dyDescent="0.25">
      <c r="A506">
        <v>505</v>
      </c>
      <c r="B506">
        <v>26</v>
      </c>
      <c r="C506" t="s">
        <v>11</v>
      </c>
      <c r="D506" t="s">
        <v>12</v>
      </c>
      <c r="E506" t="s">
        <v>50</v>
      </c>
      <c r="F506" s="1">
        <v>26.57</v>
      </c>
      <c r="G506" t="s">
        <v>31</v>
      </c>
      <c r="H506" t="s">
        <v>37</v>
      </c>
      <c r="I506" s="2">
        <v>4.4000000000000004</v>
      </c>
      <c r="J506" s="4">
        <v>22</v>
      </c>
      <c r="K506" s="3">
        <v>6</v>
      </c>
      <c r="L506" s="1">
        <f t="shared" si="21"/>
        <v>20.724600000000002</v>
      </c>
      <c r="M506" t="str" cm="1">
        <f t="array" ref="M506">_xlfn.IFS(B506&lt;18,"Under 18",B506 &lt;=25,"18-25",B506&lt;=35,"26-35",B506&lt;=45,"36-45",B506&lt;=60,"46-60",TRUE,"60+")</f>
        <v>26-35</v>
      </c>
      <c r="N506" t="str">
        <f t="shared" si="22"/>
        <v>Discounted</v>
      </c>
      <c r="O506" t="str">
        <f t="shared" si="23"/>
        <v>Returning</v>
      </c>
    </row>
    <row r="507" spans="1:15" x14ac:dyDescent="0.25">
      <c r="A507">
        <v>506</v>
      </c>
      <c r="B507">
        <v>57</v>
      </c>
      <c r="C507" t="s">
        <v>11</v>
      </c>
      <c r="D507" t="s">
        <v>41</v>
      </c>
      <c r="E507" t="s">
        <v>44</v>
      </c>
      <c r="F507" s="1">
        <v>187.19</v>
      </c>
      <c r="G507" t="s">
        <v>31</v>
      </c>
      <c r="H507" t="s">
        <v>15</v>
      </c>
      <c r="I507" s="2">
        <v>4.7</v>
      </c>
      <c r="J507" s="4">
        <v>16</v>
      </c>
      <c r="K507" s="3">
        <v>3</v>
      </c>
      <c r="L507" s="1">
        <f t="shared" si="21"/>
        <v>157.2396</v>
      </c>
      <c r="M507" t="str" cm="1">
        <f t="array" ref="M507">_xlfn.IFS(B507&lt;18,"Under 18",B507 &lt;=25,"18-25",B507&lt;=35,"26-35",B507&lt;=45,"36-45",B507&lt;=60,"46-60",TRUE,"60+")</f>
        <v>46-60</v>
      </c>
      <c r="N507" t="str">
        <f t="shared" si="22"/>
        <v>Discounted</v>
      </c>
      <c r="O507" t="str">
        <f t="shared" si="23"/>
        <v>Returning</v>
      </c>
    </row>
    <row r="508" spans="1:15" x14ac:dyDescent="0.25">
      <c r="A508">
        <v>507</v>
      </c>
      <c r="B508">
        <v>37</v>
      </c>
      <c r="C508" t="s">
        <v>16</v>
      </c>
      <c r="D508" t="s">
        <v>33</v>
      </c>
      <c r="E508" t="s">
        <v>38</v>
      </c>
      <c r="F508" s="1">
        <v>80.92</v>
      </c>
      <c r="G508" t="s">
        <v>14</v>
      </c>
      <c r="H508" t="s">
        <v>37</v>
      </c>
      <c r="I508" s="2">
        <v>3</v>
      </c>
      <c r="J508" s="4">
        <v>14</v>
      </c>
      <c r="K508" s="3">
        <v>7</v>
      </c>
      <c r="L508" s="1">
        <f t="shared" si="21"/>
        <v>69.591200000000001</v>
      </c>
      <c r="M508" t="str" cm="1">
        <f t="array" ref="M508">_xlfn.IFS(B508&lt;18,"Under 18",B508 &lt;=25,"18-25",B508&lt;=35,"26-35",B508&lt;=45,"36-45",B508&lt;=60,"46-60",TRUE,"60+")</f>
        <v>36-45</v>
      </c>
      <c r="N508" t="str">
        <f t="shared" si="22"/>
        <v>Discounted</v>
      </c>
      <c r="O508" t="str">
        <f t="shared" si="23"/>
        <v>Returning</v>
      </c>
    </row>
    <row r="509" spans="1:15" x14ac:dyDescent="0.25">
      <c r="A509">
        <v>508</v>
      </c>
      <c r="B509">
        <v>44</v>
      </c>
      <c r="C509" t="s">
        <v>16</v>
      </c>
      <c r="D509" t="s">
        <v>27</v>
      </c>
      <c r="E509" t="s">
        <v>49</v>
      </c>
      <c r="F509" s="1">
        <v>1002.94</v>
      </c>
      <c r="G509" t="s">
        <v>31</v>
      </c>
      <c r="H509" t="s">
        <v>15</v>
      </c>
      <c r="I509" s="2">
        <v>2.2999999999999998</v>
      </c>
      <c r="J509" s="4">
        <v>14</v>
      </c>
      <c r="K509" s="3">
        <v>2</v>
      </c>
      <c r="L509" s="1">
        <f t="shared" si="21"/>
        <v>862.52840000000003</v>
      </c>
      <c r="M509" t="str" cm="1">
        <f t="array" ref="M509">_xlfn.IFS(B509&lt;18,"Under 18",B509 &lt;=25,"18-25",B509&lt;=35,"26-35",B509&lt;=45,"36-45",B509&lt;=60,"46-60",TRUE,"60+")</f>
        <v>36-45</v>
      </c>
      <c r="N509" t="str">
        <f t="shared" si="22"/>
        <v>Discounted</v>
      </c>
      <c r="O509" t="str">
        <f t="shared" si="23"/>
        <v>Returning</v>
      </c>
    </row>
    <row r="510" spans="1:15" x14ac:dyDescent="0.25">
      <c r="A510">
        <v>509</v>
      </c>
      <c r="B510">
        <v>23</v>
      </c>
      <c r="C510" t="s">
        <v>11</v>
      </c>
      <c r="D510" t="s">
        <v>29</v>
      </c>
      <c r="E510" t="s">
        <v>30</v>
      </c>
      <c r="F510" s="1">
        <v>65.349999999999994</v>
      </c>
      <c r="G510" t="s">
        <v>31</v>
      </c>
      <c r="H510" t="s">
        <v>15</v>
      </c>
      <c r="I510" s="2">
        <v>2.7</v>
      </c>
      <c r="J510" s="4">
        <v>16</v>
      </c>
      <c r="K510" s="3">
        <v>3</v>
      </c>
      <c r="L510" s="1">
        <f t="shared" si="21"/>
        <v>54.893999999999991</v>
      </c>
      <c r="M510" t="str" cm="1">
        <f t="array" ref="M510">_xlfn.IFS(B510&lt;18,"Under 18",B510 &lt;=25,"18-25",B510&lt;=35,"26-35",B510&lt;=45,"36-45",B510&lt;=60,"46-60",TRUE,"60+")</f>
        <v>18-25</v>
      </c>
      <c r="N510" t="str">
        <f t="shared" si="22"/>
        <v>Discounted</v>
      </c>
      <c r="O510" t="str">
        <f t="shared" si="23"/>
        <v>Returning</v>
      </c>
    </row>
    <row r="511" spans="1:15" x14ac:dyDescent="0.25">
      <c r="A511">
        <v>510</v>
      </c>
      <c r="B511">
        <v>21</v>
      </c>
      <c r="C511" t="s">
        <v>16</v>
      </c>
      <c r="D511" t="s">
        <v>33</v>
      </c>
      <c r="E511" t="s">
        <v>34</v>
      </c>
      <c r="F511" s="1">
        <v>87.39</v>
      </c>
      <c r="G511" t="s">
        <v>14</v>
      </c>
      <c r="H511" t="s">
        <v>15</v>
      </c>
      <c r="I511" s="2">
        <v>3.7</v>
      </c>
      <c r="J511" s="4">
        <v>6</v>
      </c>
      <c r="K511" s="3">
        <v>3</v>
      </c>
      <c r="L511" s="1">
        <f t="shared" si="21"/>
        <v>82.146599999999992</v>
      </c>
      <c r="M511" t="str" cm="1">
        <f t="array" ref="M511">_xlfn.IFS(B511&lt;18,"Under 18",B511 &lt;=25,"18-25",B511&lt;=35,"26-35",B511&lt;=45,"36-45",B511&lt;=60,"46-60",TRUE,"60+")</f>
        <v>18-25</v>
      </c>
      <c r="N511" t="str">
        <f t="shared" si="22"/>
        <v>Discounted</v>
      </c>
      <c r="O511" t="str">
        <f t="shared" si="23"/>
        <v>Returning</v>
      </c>
    </row>
    <row r="512" spans="1:15" x14ac:dyDescent="0.25">
      <c r="A512">
        <v>511</v>
      </c>
      <c r="B512">
        <v>38</v>
      </c>
      <c r="C512" t="s">
        <v>16</v>
      </c>
      <c r="D512" t="s">
        <v>27</v>
      </c>
      <c r="E512" t="s">
        <v>49</v>
      </c>
      <c r="F512" s="1">
        <v>1886.55</v>
      </c>
      <c r="G512" t="s">
        <v>31</v>
      </c>
      <c r="H512" t="s">
        <v>15</v>
      </c>
      <c r="I512" s="2">
        <v>3.8</v>
      </c>
      <c r="J512" s="4">
        <v>16</v>
      </c>
      <c r="K512" s="3">
        <v>3</v>
      </c>
      <c r="L512" s="1">
        <f t="shared" si="21"/>
        <v>1584.702</v>
      </c>
      <c r="M512" t="str" cm="1">
        <f t="array" ref="M512">_xlfn.IFS(B512&lt;18,"Under 18",B512 &lt;=25,"18-25",B512&lt;=35,"26-35",B512&lt;=45,"36-45",B512&lt;=60,"46-60",TRUE,"60+")</f>
        <v>36-45</v>
      </c>
      <c r="N512" t="str">
        <f t="shared" si="22"/>
        <v>Discounted</v>
      </c>
      <c r="O512" t="str">
        <f t="shared" si="23"/>
        <v>Returning</v>
      </c>
    </row>
    <row r="513" spans="1:15" x14ac:dyDescent="0.25">
      <c r="A513">
        <v>512</v>
      </c>
      <c r="B513">
        <v>58</v>
      </c>
      <c r="C513" t="s">
        <v>11</v>
      </c>
      <c r="D513" t="s">
        <v>41</v>
      </c>
      <c r="E513" t="s">
        <v>45</v>
      </c>
      <c r="F513" s="1">
        <v>166.84</v>
      </c>
      <c r="G513" t="s">
        <v>19</v>
      </c>
      <c r="H513" t="s">
        <v>15</v>
      </c>
      <c r="I513" s="2">
        <v>4.5999999999999996</v>
      </c>
      <c r="J513" s="4">
        <v>18</v>
      </c>
      <c r="K513" s="3">
        <v>4</v>
      </c>
      <c r="L513" s="1">
        <f t="shared" si="21"/>
        <v>136.80880000000002</v>
      </c>
      <c r="M513" t="str" cm="1">
        <f t="array" ref="M513">_xlfn.IFS(B513&lt;18,"Under 18",B513 &lt;=25,"18-25",B513&lt;=35,"26-35",B513&lt;=45,"36-45",B513&lt;=60,"46-60",TRUE,"60+")</f>
        <v>46-60</v>
      </c>
      <c r="N513" t="str">
        <f t="shared" si="22"/>
        <v>Discounted</v>
      </c>
      <c r="O513" t="str">
        <f t="shared" si="23"/>
        <v>Returning</v>
      </c>
    </row>
    <row r="514" spans="1:15" x14ac:dyDescent="0.25">
      <c r="A514">
        <v>513</v>
      </c>
      <c r="B514">
        <v>37</v>
      </c>
      <c r="C514" t="s">
        <v>11</v>
      </c>
      <c r="D514" t="s">
        <v>29</v>
      </c>
      <c r="E514" t="s">
        <v>55</v>
      </c>
      <c r="F514" s="1">
        <v>87.84</v>
      </c>
      <c r="G514" t="s">
        <v>19</v>
      </c>
      <c r="H514" t="s">
        <v>15</v>
      </c>
      <c r="I514" s="2">
        <v>4.0999999999999996</v>
      </c>
      <c r="J514" s="4">
        <v>7</v>
      </c>
      <c r="K514" s="3">
        <v>1</v>
      </c>
      <c r="L514" s="1">
        <f t="shared" si="21"/>
        <v>81.691199999999995</v>
      </c>
      <c r="M514" t="str" cm="1">
        <f t="array" ref="M514">_xlfn.IFS(B514&lt;18,"Under 18",B514 &lt;=25,"18-25",B514&lt;=35,"26-35",B514&lt;=45,"36-45",B514&lt;=60,"46-60",TRUE,"60+")</f>
        <v>36-45</v>
      </c>
      <c r="N514" t="str">
        <f t="shared" si="22"/>
        <v>Discounted</v>
      </c>
      <c r="O514" t="str">
        <f t="shared" si="23"/>
        <v>Returning</v>
      </c>
    </row>
    <row r="515" spans="1:15" x14ac:dyDescent="0.25">
      <c r="A515">
        <v>514</v>
      </c>
      <c r="B515">
        <v>44</v>
      </c>
      <c r="C515" t="s">
        <v>11</v>
      </c>
      <c r="D515" t="s">
        <v>29</v>
      </c>
      <c r="E515" t="s">
        <v>51</v>
      </c>
      <c r="F515" s="1">
        <v>110.61</v>
      </c>
      <c r="G515" t="s">
        <v>14</v>
      </c>
      <c r="H515" t="s">
        <v>15</v>
      </c>
      <c r="I515" s="2">
        <v>3.5</v>
      </c>
      <c r="J515" s="4">
        <v>13</v>
      </c>
      <c r="K515" s="3">
        <v>4</v>
      </c>
      <c r="L515" s="1">
        <f t="shared" ref="L515:L578" si="24">F515 * (1 - J515 / 100)</f>
        <v>96.230699999999999</v>
      </c>
      <c r="M515" t="str" cm="1">
        <f t="array" ref="M515">_xlfn.IFS(B515&lt;18,"Under 18",B515 &lt;=25,"18-25",B515&lt;=35,"26-35",B515&lt;=45,"36-45",B515&lt;=60,"46-60",TRUE,"60+")</f>
        <v>36-45</v>
      </c>
      <c r="N515" t="str">
        <f t="shared" ref="N515:N578" si="25">IF(J515&gt;0,"Discounted","No Discount")</f>
        <v>Discounted</v>
      </c>
      <c r="O515" t="str">
        <f t="shared" ref="O515:O578" si="26">IF(K515&gt;0,"Returning","New")</f>
        <v>Returning</v>
      </c>
    </row>
    <row r="516" spans="1:15" x14ac:dyDescent="0.25">
      <c r="A516">
        <v>515</v>
      </c>
      <c r="B516">
        <v>55</v>
      </c>
      <c r="C516" t="s">
        <v>16</v>
      </c>
      <c r="D516" t="s">
        <v>22</v>
      </c>
      <c r="E516" t="s">
        <v>43</v>
      </c>
      <c r="F516" s="1">
        <v>130.03</v>
      </c>
      <c r="G516" t="s">
        <v>24</v>
      </c>
      <c r="H516" t="s">
        <v>15</v>
      </c>
      <c r="I516" s="2">
        <v>3.1</v>
      </c>
      <c r="J516" s="4">
        <v>14</v>
      </c>
      <c r="K516" s="3">
        <v>7</v>
      </c>
      <c r="L516" s="1">
        <f t="shared" si="24"/>
        <v>111.8258</v>
      </c>
      <c r="M516" t="str" cm="1">
        <f t="array" ref="M516">_xlfn.IFS(B516&lt;18,"Under 18",B516 &lt;=25,"18-25",B516&lt;=35,"26-35",B516&lt;=45,"36-45",B516&lt;=60,"46-60",TRUE,"60+")</f>
        <v>46-60</v>
      </c>
      <c r="N516" t="str">
        <f t="shared" si="25"/>
        <v>Discounted</v>
      </c>
      <c r="O516" t="str">
        <f t="shared" si="26"/>
        <v>Returning</v>
      </c>
    </row>
    <row r="517" spans="1:15" x14ac:dyDescent="0.25">
      <c r="A517">
        <v>516</v>
      </c>
      <c r="B517">
        <v>33</v>
      </c>
      <c r="C517" t="s">
        <v>11</v>
      </c>
      <c r="D517" t="s">
        <v>12</v>
      </c>
      <c r="E517" t="s">
        <v>50</v>
      </c>
      <c r="F517" s="1">
        <v>97.26</v>
      </c>
      <c r="G517" t="s">
        <v>31</v>
      </c>
      <c r="H517" t="s">
        <v>15</v>
      </c>
      <c r="I517" s="2">
        <v>3.1</v>
      </c>
      <c r="J517" s="4">
        <v>10</v>
      </c>
      <c r="K517" s="3">
        <v>5</v>
      </c>
      <c r="L517" s="1">
        <f t="shared" si="24"/>
        <v>87.534000000000006</v>
      </c>
      <c r="M517" t="str" cm="1">
        <f t="array" ref="M517">_xlfn.IFS(B517&lt;18,"Under 18",B517 &lt;=25,"18-25",B517&lt;=35,"26-35",B517&lt;=45,"36-45",B517&lt;=60,"46-60",TRUE,"60+")</f>
        <v>26-35</v>
      </c>
      <c r="N517" t="str">
        <f t="shared" si="25"/>
        <v>Discounted</v>
      </c>
      <c r="O517" t="str">
        <f t="shared" si="26"/>
        <v>Returning</v>
      </c>
    </row>
    <row r="518" spans="1:15" x14ac:dyDescent="0.25">
      <c r="A518">
        <v>517</v>
      </c>
      <c r="B518">
        <v>39</v>
      </c>
      <c r="C518" t="s">
        <v>11</v>
      </c>
      <c r="D518" t="s">
        <v>29</v>
      </c>
      <c r="E518" t="s">
        <v>51</v>
      </c>
      <c r="F518" s="1">
        <v>35.18</v>
      </c>
      <c r="G518" t="s">
        <v>14</v>
      </c>
      <c r="H518" t="s">
        <v>15</v>
      </c>
      <c r="I518" s="2">
        <v>4.0999999999999996</v>
      </c>
      <c r="J518" s="4">
        <v>17</v>
      </c>
      <c r="K518" s="3">
        <v>6</v>
      </c>
      <c r="L518" s="1">
        <f t="shared" si="24"/>
        <v>29.199399999999997</v>
      </c>
      <c r="M518" t="str" cm="1">
        <f t="array" ref="M518">_xlfn.IFS(B518&lt;18,"Under 18",B518 &lt;=25,"18-25",B518&lt;=35,"26-35",B518&lt;=45,"36-45",B518&lt;=60,"46-60",TRUE,"60+")</f>
        <v>36-45</v>
      </c>
      <c r="N518" t="str">
        <f t="shared" si="25"/>
        <v>Discounted</v>
      </c>
      <c r="O518" t="str">
        <f t="shared" si="26"/>
        <v>Returning</v>
      </c>
    </row>
    <row r="519" spans="1:15" x14ac:dyDescent="0.25">
      <c r="A519">
        <v>518</v>
      </c>
      <c r="B519">
        <v>44</v>
      </c>
      <c r="C519" t="s">
        <v>16</v>
      </c>
      <c r="D519" t="s">
        <v>20</v>
      </c>
      <c r="E519" t="s">
        <v>39</v>
      </c>
      <c r="F519" s="1">
        <v>93.78</v>
      </c>
      <c r="G519" t="s">
        <v>31</v>
      </c>
      <c r="H519" t="s">
        <v>37</v>
      </c>
      <c r="I519" s="2">
        <v>5</v>
      </c>
      <c r="J519" s="4">
        <v>17</v>
      </c>
      <c r="K519" s="3">
        <v>6</v>
      </c>
      <c r="L519" s="1">
        <f t="shared" si="24"/>
        <v>77.837400000000002</v>
      </c>
      <c r="M519" t="str" cm="1">
        <f t="array" ref="M519">_xlfn.IFS(B519&lt;18,"Under 18",B519 &lt;=25,"18-25",B519&lt;=35,"26-35",B519&lt;=45,"36-45",B519&lt;=60,"46-60",TRUE,"60+")</f>
        <v>36-45</v>
      </c>
      <c r="N519" t="str">
        <f t="shared" si="25"/>
        <v>Discounted</v>
      </c>
      <c r="O519" t="str">
        <f t="shared" si="26"/>
        <v>Returning</v>
      </c>
    </row>
    <row r="520" spans="1:15" x14ac:dyDescent="0.25">
      <c r="A520">
        <v>519</v>
      </c>
      <c r="B520">
        <v>26</v>
      </c>
      <c r="C520" t="s">
        <v>16</v>
      </c>
      <c r="D520" t="s">
        <v>33</v>
      </c>
      <c r="E520" t="s">
        <v>40</v>
      </c>
      <c r="F520" s="1">
        <v>235.26</v>
      </c>
      <c r="G520" t="s">
        <v>31</v>
      </c>
      <c r="H520" t="s">
        <v>15</v>
      </c>
      <c r="I520" s="2">
        <v>4.9000000000000004</v>
      </c>
      <c r="J520" s="4">
        <v>13</v>
      </c>
      <c r="K520" s="3">
        <v>4</v>
      </c>
      <c r="L520" s="1">
        <f t="shared" si="24"/>
        <v>204.67619999999999</v>
      </c>
      <c r="M520" t="str" cm="1">
        <f t="array" ref="M520">_xlfn.IFS(B520&lt;18,"Under 18",B520 &lt;=25,"18-25",B520&lt;=35,"26-35",B520&lt;=45,"36-45",B520&lt;=60,"46-60",TRUE,"60+")</f>
        <v>26-35</v>
      </c>
      <c r="N520" t="str">
        <f t="shared" si="25"/>
        <v>Discounted</v>
      </c>
      <c r="O520" t="str">
        <f t="shared" si="26"/>
        <v>Returning</v>
      </c>
    </row>
    <row r="521" spans="1:15" x14ac:dyDescent="0.25">
      <c r="A521">
        <v>520</v>
      </c>
      <c r="B521">
        <v>62</v>
      </c>
      <c r="C521" t="s">
        <v>16</v>
      </c>
      <c r="D521" t="s">
        <v>20</v>
      </c>
      <c r="E521" t="s">
        <v>39</v>
      </c>
      <c r="F521" s="1">
        <v>136.94</v>
      </c>
      <c r="G521" t="s">
        <v>14</v>
      </c>
      <c r="H521" t="s">
        <v>15</v>
      </c>
      <c r="I521" s="2">
        <v>3.6</v>
      </c>
      <c r="J521" s="4">
        <v>15</v>
      </c>
      <c r="K521" s="3">
        <v>5</v>
      </c>
      <c r="L521" s="1">
        <f t="shared" si="24"/>
        <v>116.399</v>
      </c>
      <c r="M521" t="str" cm="1">
        <f t="array" ref="M521">_xlfn.IFS(B521&lt;18,"Under 18",B521 &lt;=25,"18-25",B521&lt;=35,"26-35",B521&lt;=45,"36-45",B521&lt;=60,"46-60",TRUE,"60+")</f>
        <v>60+</v>
      </c>
      <c r="N521" t="str">
        <f t="shared" si="25"/>
        <v>Discounted</v>
      </c>
      <c r="O521" t="str">
        <f t="shared" si="26"/>
        <v>Returning</v>
      </c>
    </row>
    <row r="522" spans="1:15" x14ac:dyDescent="0.25">
      <c r="A522">
        <v>521</v>
      </c>
      <c r="B522">
        <v>60</v>
      </c>
      <c r="C522" t="s">
        <v>11</v>
      </c>
      <c r="D522" t="s">
        <v>33</v>
      </c>
      <c r="E522" t="s">
        <v>34</v>
      </c>
      <c r="F522" s="1">
        <v>149.44999999999999</v>
      </c>
      <c r="G522" t="s">
        <v>24</v>
      </c>
      <c r="H522" t="s">
        <v>15</v>
      </c>
      <c r="I522" s="2">
        <v>3.3</v>
      </c>
      <c r="J522" s="4">
        <v>6</v>
      </c>
      <c r="K522" s="3">
        <v>3</v>
      </c>
      <c r="L522" s="1">
        <f t="shared" si="24"/>
        <v>140.48299999999998</v>
      </c>
      <c r="M522" t="str" cm="1">
        <f t="array" ref="M522">_xlfn.IFS(B522&lt;18,"Under 18",B522 &lt;=25,"18-25",B522&lt;=35,"26-35",B522&lt;=45,"36-45",B522&lt;=60,"46-60",TRUE,"60+")</f>
        <v>46-60</v>
      </c>
      <c r="N522" t="str">
        <f t="shared" si="25"/>
        <v>Discounted</v>
      </c>
      <c r="O522" t="str">
        <f t="shared" si="26"/>
        <v>Returning</v>
      </c>
    </row>
    <row r="523" spans="1:15" x14ac:dyDescent="0.25">
      <c r="A523">
        <v>522</v>
      </c>
      <c r="B523">
        <v>42</v>
      </c>
      <c r="C523" t="s">
        <v>16</v>
      </c>
      <c r="D523" t="s">
        <v>33</v>
      </c>
      <c r="E523" t="s">
        <v>34</v>
      </c>
      <c r="F523" s="1">
        <v>122.86</v>
      </c>
      <c r="G523" t="s">
        <v>31</v>
      </c>
      <c r="H523" t="s">
        <v>15</v>
      </c>
      <c r="I523" s="2">
        <v>4.7</v>
      </c>
      <c r="J523" s="4">
        <v>18</v>
      </c>
      <c r="K523" s="3">
        <v>4</v>
      </c>
      <c r="L523" s="1">
        <f t="shared" si="24"/>
        <v>100.74520000000001</v>
      </c>
      <c r="M523" t="str" cm="1">
        <f t="array" ref="M523">_xlfn.IFS(B523&lt;18,"Under 18",B523 &lt;=25,"18-25",B523&lt;=35,"26-35",B523&lt;=45,"36-45",B523&lt;=60,"46-60",TRUE,"60+")</f>
        <v>36-45</v>
      </c>
      <c r="N523" t="str">
        <f t="shared" si="25"/>
        <v>Discounted</v>
      </c>
      <c r="O523" t="str">
        <f t="shared" si="26"/>
        <v>Returning</v>
      </c>
    </row>
    <row r="524" spans="1:15" x14ac:dyDescent="0.25">
      <c r="A524">
        <v>523</v>
      </c>
      <c r="B524">
        <v>32</v>
      </c>
      <c r="C524" t="s">
        <v>11</v>
      </c>
      <c r="D524" t="s">
        <v>33</v>
      </c>
      <c r="E524" t="s">
        <v>34</v>
      </c>
      <c r="F524" s="1">
        <v>156.61000000000001</v>
      </c>
      <c r="G524" t="s">
        <v>31</v>
      </c>
      <c r="H524" t="s">
        <v>15</v>
      </c>
      <c r="I524" s="2">
        <v>4.7</v>
      </c>
      <c r="J524" s="4">
        <v>22</v>
      </c>
      <c r="K524" s="3">
        <v>6</v>
      </c>
      <c r="L524" s="1">
        <f t="shared" si="24"/>
        <v>122.15580000000001</v>
      </c>
      <c r="M524" t="str" cm="1">
        <f t="array" ref="M524">_xlfn.IFS(B524&lt;18,"Under 18",B524 &lt;=25,"18-25",B524&lt;=35,"26-35",B524&lt;=45,"36-45",B524&lt;=60,"46-60",TRUE,"60+")</f>
        <v>26-35</v>
      </c>
      <c r="N524" t="str">
        <f t="shared" si="25"/>
        <v>Discounted</v>
      </c>
      <c r="O524" t="str">
        <f t="shared" si="26"/>
        <v>Returning</v>
      </c>
    </row>
    <row r="525" spans="1:15" x14ac:dyDescent="0.25">
      <c r="A525">
        <v>524</v>
      </c>
      <c r="B525">
        <v>29</v>
      </c>
      <c r="C525" t="s">
        <v>16</v>
      </c>
      <c r="D525" t="s">
        <v>20</v>
      </c>
      <c r="E525" t="s">
        <v>39</v>
      </c>
      <c r="F525" s="1">
        <v>88.8</v>
      </c>
      <c r="G525" t="s">
        <v>14</v>
      </c>
      <c r="H525" t="s">
        <v>15</v>
      </c>
      <c r="I525" s="2">
        <v>3.1</v>
      </c>
      <c r="J525" s="4">
        <v>22</v>
      </c>
      <c r="K525" s="3">
        <v>6</v>
      </c>
      <c r="L525" s="1">
        <f t="shared" si="24"/>
        <v>69.263999999999996</v>
      </c>
      <c r="M525" t="str" cm="1">
        <f t="array" ref="M525">_xlfn.IFS(B525&lt;18,"Under 18",B525 &lt;=25,"18-25",B525&lt;=35,"26-35",B525&lt;=45,"36-45",B525&lt;=60,"46-60",TRUE,"60+")</f>
        <v>26-35</v>
      </c>
      <c r="N525" t="str">
        <f t="shared" si="25"/>
        <v>Discounted</v>
      </c>
      <c r="O525" t="str">
        <f t="shared" si="26"/>
        <v>Returning</v>
      </c>
    </row>
    <row r="526" spans="1:15" x14ac:dyDescent="0.25">
      <c r="A526">
        <v>525</v>
      </c>
      <c r="B526">
        <v>46</v>
      </c>
      <c r="C526" t="s">
        <v>16</v>
      </c>
      <c r="D526" t="s">
        <v>17</v>
      </c>
      <c r="E526" t="s">
        <v>18</v>
      </c>
      <c r="F526" s="1">
        <v>165.74</v>
      </c>
      <c r="G526" t="s">
        <v>14</v>
      </c>
      <c r="H526" t="s">
        <v>15</v>
      </c>
      <c r="I526" s="2">
        <v>4.2</v>
      </c>
      <c r="J526" s="4">
        <v>6</v>
      </c>
      <c r="K526" s="3">
        <v>3</v>
      </c>
      <c r="L526" s="1">
        <f t="shared" si="24"/>
        <v>155.79560000000001</v>
      </c>
      <c r="M526" t="str" cm="1">
        <f t="array" ref="M526">_xlfn.IFS(B526&lt;18,"Under 18",B526 &lt;=25,"18-25",B526&lt;=35,"26-35",B526&lt;=45,"36-45",B526&lt;=60,"46-60",TRUE,"60+")</f>
        <v>46-60</v>
      </c>
      <c r="N526" t="str">
        <f t="shared" si="25"/>
        <v>Discounted</v>
      </c>
      <c r="O526" t="str">
        <f t="shared" si="26"/>
        <v>Returning</v>
      </c>
    </row>
    <row r="527" spans="1:15" x14ac:dyDescent="0.25">
      <c r="A527">
        <v>526</v>
      </c>
      <c r="B527">
        <v>61</v>
      </c>
      <c r="C527" t="s">
        <v>16</v>
      </c>
      <c r="D527" t="s">
        <v>22</v>
      </c>
      <c r="E527" t="s">
        <v>52</v>
      </c>
      <c r="F527" s="1">
        <v>220.45</v>
      </c>
      <c r="G527" t="s">
        <v>19</v>
      </c>
      <c r="H527" t="s">
        <v>15</v>
      </c>
      <c r="I527" s="2">
        <v>3.2</v>
      </c>
      <c r="J527" s="4">
        <v>17</v>
      </c>
      <c r="K527" s="3">
        <v>6</v>
      </c>
      <c r="L527" s="1">
        <f t="shared" si="24"/>
        <v>182.97349999999997</v>
      </c>
      <c r="M527" t="str" cm="1">
        <f t="array" ref="M527">_xlfn.IFS(B527&lt;18,"Under 18",B527 &lt;=25,"18-25",B527&lt;=35,"26-35",B527&lt;=45,"36-45",B527&lt;=60,"46-60",TRUE,"60+")</f>
        <v>60+</v>
      </c>
      <c r="N527" t="str">
        <f t="shared" si="25"/>
        <v>Discounted</v>
      </c>
      <c r="O527" t="str">
        <f t="shared" si="26"/>
        <v>Returning</v>
      </c>
    </row>
    <row r="528" spans="1:15" x14ac:dyDescent="0.25">
      <c r="A528">
        <v>527</v>
      </c>
      <c r="B528">
        <v>27</v>
      </c>
      <c r="C528" t="s">
        <v>16</v>
      </c>
      <c r="D528" t="s">
        <v>17</v>
      </c>
      <c r="E528" t="s">
        <v>42</v>
      </c>
      <c r="F528" s="1">
        <v>110.6</v>
      </c>
      <c r="G528" t="s">
        <v>14</v>
      </c>
      <c r="H528" t="s">
        <v>15</v>
      </c>
      <c r="I528" s="2">
        <v>3.6</v>
      </c>
      <c r="J528" s="4">
        <v>10</v>
      </c>
      <c r="K528" s="3">
        <v>0</v>
      </c>
      <c r="L528" s="1">
        <f t="shared" si="24"/>
        <v>99.539999999999992</v>
      </c>
      <c r="M528" t="str" cm="1">
        <f t="array" ref="M528">_xlfn.IFS(B528&lt;18,"Under 18",B528 &lt;=25,"18-25",B528&lt;=35,"26-35",B528&lt;=45,"36-45",B528&lt;=60,"46-60",TRUE,"60+")</f>
        <v>26-35</v>
      </c>
      <c r="N528" t="str">
        <f t="shared" si="25"/>
        <v>Discounted</v>
      </c>
      <c r="O528" t="str">
        <f t="shared" si="26"/>
        <v>New</v>
      </c>
    </row>
    <row r="529" spans="1:15" x14ac:dyDescent="0.25">
      <c r="A529">
        <v>528</v>
      </c>
      <c r="B529">
        <v>56</v>
      </c>
      <c r="C529" t="s">
        <v>11</v>
      </c>
      <c r="D529" t="s">
        <v>29</v>
      </c>
      <c r="E529" t="s">
        <v>51</v>
      </c>
      <c r="F529" s="1">
        <v>135.51</v>
      </c>
      <c r="G529" t="s">
        <v>31</v>
      </c>
      <c r="H529" t="s">
        <v>15</v>
      </c>
      <c r="I529" s="2">
        <v>4.4000000000000004</v>
      </c>
      <c r="J529" s="4">
        <v>26</v>
      </c>
      <c r="K529" s="3">
        <v>8</v>
      </c>
      <c r="L529" s="1">
        <f t="shared" si="24"/>
        <v>100.27739999999999</v>
      </c>
      <c r="M529" t="str" cm="1">
        <f t="array" ref="M529">_xlfn.IFS(B529&lt;18,"Under 18",B529 &lt;=25,"18-25",B529&lt;=35,"26-35",B529&lt;=45,"36-45",B529&lt;=60,"46-60",TRUE,"60+")</f>
        <v>46-60</v>
      </c>
      <c r="N529" t="str">
        <f t="shared" si="25"/>
        <v>Discounted</v>
      </c>
      <c r="O529" t="str">
        <f t="shared" si="26"/>
        <v>Returning</v>
      </c>
    </row>
    <row r="530" spans="1:15" x14ac:dyDescent="0.25">
      <c r="A530">
        <v>529</v>
      </c>
      <c r="B530">
        <v>54</v>
      </c>
      <c r="C530" t="s">
        <v>16</v>
      </c>
      <c r="D530" t="s">
        <v>17</v>
      </c>
      <c r="E530" t="s">
        <v>42</v>
      </c>
      <c r="F530" s="1">
        <v>118.11</v>
      </c>
      <c r="G530" t="s">
        <v>19</v>
      </c>
      <c r="H530" t="s">
        <v>15</v>
      </c>
      <c r="I530" s="2">
        <v>3.2</v>
      </c>
      <c r="J530" s="4">
        <v>13</v>
      </c>
      <c r="K530" s="3">
        <v>4</v>
      </c>
      <c r="L530" s="1">
        <f t="shared" si="24"/>
        <v>102.7557</v>
      </c>
      <c r="M530" t="str" cm="1">
        <f t="array" ref="M530">_xlfn.IFS(B530&lt;18,"Under 18",B530 &lt;=25,"18-25",B530&lt;=35,"26-35",B530&lt;=45,"36-45",B530&lt;=60,"46-60",TRUE,"60+")</f>
        <v>46-60</v>
      </c>
      <c r="N530" t="str">
        <f t="shared" si="25"/>
        <v>Discounted</v>
      </c>
      <c r="O530" t="str">
        <f t="shared" si="26"/>
        <v>Returning</v>
      </c>
    </row>
    <row r="531" spans="1:15" x14ac:dyDescent="0.25">
      <c r="A531">
        <v>530</v>
      </c>
      <c r="B531">
        <v>56</v>
      </c>
      <c r="C531" t="s">
        <v>16</v>
      </c>
      <c r="D531" t="s">
        <v>17</v>
      </c>
      <c r="E531" t="s">
        <v>18</v>
      </c>
      <c r="F531" s="1">
        <v>125.17</v>
      </c>
      <c r="G531" t="s">
        <v>14</v>
      </c>
      <c r="H531" t="s">
        <v>15</v>
      </c>
      <c r="I531" s="2">
        <v>3.6</v>
      </c>
      <c r="J531" s="4">
        <v>22</v>
      </c>
      <c r="K531" s="3">
        <v>6</v>
      </c>
      <c r="L531" s="1">
        <f t="shared" si="24"/>
        <v>97.632600000000011</v>
      </c>
      <c r="M531" t="str" cm="1">
        <f t="array" ref="M531">_xlfn.IFS(B531&lt;18,"Under 18",B531 &lt;=25,"18-25",B531&lt;=35,"26-35",B531&lt;=45,"36-45",B531&lt;=60,"46-60",TRUE,"60+")</f>
        <v>46-60</v>
      </c>
      <c r="N531" t="str">
        <f t="shared" si="25"/>
        <v>Discounted</v>
      </c>
      <c r="O531" t="str">
        <f t="shared" si="26"/>
        <v>Returning</v>
      </c>
    </row>
    <row r="532" spans="1:15" x14ac:dyDescent="0.25">
      <c r="A532">
        <v>531</v>
      </c>
      <c r="B532">
        <v>57</v>
      </c>
      <c r="C532" t="s">
        <v>11</v>
      </c>
      <c r="D532" t="s">
        <v>20</v>
      </c>
      <c r="E532" t="s">
        <v>36</v>
      </c>
      <c r="F532" s="1">
        <v>157.33000000000001</v>
      </c>
      <c r="G532" t="s">
        <v>31</v>
      </c>
      <c r="H532" t="s">
        <v>15</v>
      </c>
      <c r="I532" s="2">
        <v>3.9</v>
      </c>
      <c r="J532" s="4">
        <v>13</v>
      </c>
      <c r="K532" s="3">
        <v>4</v>
      </c>
      <c r="L532" s="1">
        <f t="shared" si="24"/>
        <v>136.87710000000001</v>
      </c>
      <c r="M532" t="str" cm="1">
        <f t="array" ref="M532">_xlfn.IFS(B532&lt;18,"Under 18",B532 &lt;=25,"18-25",B532&lt;=35,"26-35",B532&lt;=45,"36-45",B532&lt;=60,"46-60",TRUE,"60+")</f>
        <v>46-60</v>
      </c>
      <c r="N532" t="str">
        <f t="shared" si="25"/>
        <v>Discounted</v>
      </c>
      <c r="O532" t="str">
        <f t="shared" si="26"/>
        <v>Returning</v>
      </c>
    </row>
    <row r="533" spans="1:15" x14ac:dyDescent="0.25">
      <c r="A533">
        <v>532</v>
      </c>
      <c r="B533">
        <v>29</v>
      </c>
      <c r="C533" t="s">
        <v>11</v>
      </c>
      <c r="D533" t="s">
        <v>25</v>
      </c>
      <c r="E533" t="s">
        <v>47</v>
      </c>
      <c r="F533" s="1">
        <v>56.63</v>
      </c>
      <c r="G533" t="s">
        <v>19</v>
      </c>
      <c r="H533" t="s">
        <v>15</v>
      </c>
      <c r="I533" s="2">
        <v>4.5</v>
      </c>
      <c r="J533" s="4">
        <v>13</v>
      </c>
      <c r="K533" s="3">
        <v>4</v>
      </c>
      <c r="L533" s="1">
        <f t="shared" si="24"/>
        <v>49.268100000000004</v>
      </c>
      <c r="M533" t="str" cm="1">
        <f t="array" ref="M533">_xlfn.IFS(B533&lt;18,"Under 18",B533 &lt;=25,"18-25",B533&lt;=35,"26-35",B533&lt;=45,"36-45",B533&lt;=60,"46-60",TRUE,"60+")</f>
        <v>26-35</v>
      </c>
      <c r="N533" t="str">
        <f t="shared" si="25"/>
        <v>Discounted</v>
      </c>
      <c r="O533" t="str">
        <f t="shared" si="26"/>
        <v>Returning</v>
      </c>
    </row>
    <row r="534" spans="1:15" x14ac:dyDescent="0.25">
      <c r="A534">
        <v>533</v>
      </c>
      <c r="B534">
        <v>30</v>
      </c>
      <c r="C534" t="s">
        <v>11</v>
      </c>
      <c r="D534" t="s">
        <v>12</v>
      </c>
      <c r="E534" t="s">
        <v>13</v>
      </c>
      <c r="F534" s="1">
        <v>89.32</v>
      </c>
      <c r="G534" t="s">
        <v>24</v>
      </c>
      <c r="H534" t="s">
        <v>37</v>
      </c>
      <c r="I534" s="2">
        <v>4.5</v>
      </c>
      <c r="J534" s="4">
        <v>12</v>
      </c>
      <c r="K534" s="3">
        <v>6</v>
      </c>
      <c r="L534" s="1">
        <f t="shared" si="24"/>
        <v>78.601599999999991</v>
      </c>
      <c r="M534" t="str" cm="1">
        <f t="array" ref="M534">_xlfn.IFS(B534&lt;18,"Under 18",B534 &lt;=25,"18-25",B534&lt;=35,"26-35",B534&lt;=45,"36-45",B534&lt;=60,"46-60",TRUE,"60+")</f>
        <v>26-35</v>
      </c>
      <c r="N534" t="str">
        <f t="shared" si="25"/>
        <v>Discounted</v>
      </c>
      <c r="O534" t="str">
        <f t="shared" si="26"/>
        <v>Returning</v>
      </c>
    </row>
    <row r="535" spans="1:15" x14ac:dyDescent="0.25">
      <c r="A535">
        <v>534</v>
      </c>
      <c r="B535">
        <v>20</v>
      </c>
      <c r="C535" t="s">
        <v>11</v>
      </c>
      <c r="D535" t="s">
        <v>41</v>
      </c>
      <c r="E535" t="s">
        <v>46</v>
      </c>
      <c r="F535" s="1">
        <v>131.59</v>
      </c>
      <c r="G535" t="s">
        <v>14</v>
      </c>
      <c r="H535" t="s">
        <v>15</v>
      </c>
      <c r="I535" s="2">
        <v>4.2</v>
      </c>
      <c r="J535" s="4">
        <v>17</v>
      </c>
      <c r="K535" s="3">
        <v>6</v>
      </c>
      <c r="L535" s="1">
        <f t="shared" si="24"/>
        <v>109.2197</v>
      </c>
      <c r="M535" t="str" cm="1">
        <f t="array" ref="M535">_xlfn.IFS(B535&lt;18,"Under 18",B535 &lt;=25,"18-25",B535&lt;=35,"26-35",B535&lt;=45,"36-45",B535&lt;=60,"46-60",TRUE,"60+")</f>
        <v>18-25</v>
      </c>
      <c r="N535" t="str">
        <f t="shared" si="25"/>
        <v>Discounted</v>
      </c>
      <c r="O535" t="str">
        <f t="shared" si="26"/>
        <v>Returning</v>
      </c>
    </row>
    <row r="536" spans="1:15" x14ac:dyDescent="0.25">
      <c r="A536">
        <v>535</v>
      </c>
      <c r="B536">
        <v>31</v>
      </c>
      <c r="C536" t="s">
        <v>16</v>
      </c>
      <c r="D536" t="s">
        <v>20</v>
      </c>
      <c r="E536" t="s">
        <v>36</v>
      </c>
      <c r="F536" s="1">
        <v>45.03</v>
      </c>
      <c r="G536" t="s">
        <v>19</v>
      </c>
      <c r="H536" t="s">
        <v>37</v>
      </c>
      <c r="I536" s="2">
        <v>4.9000000000000004</v>
      </c>
      <c r="J536" s="4">
        <v>12</v>
      </c>
      <c r="K536" s="3">
        <v>6</v>
      </c>
      <c r="L536" s="1">
        <f t="shared" si="24"/>
        <v>39.626400000000004</v>
      </c>
      <c r="M536" t="str" cm="1">
        <f t="array" ref="M536">_xlfn.IFS(B536&lt;18,"Under 18",B536 &lt;=25,"18-25",B536&lt;=35,"26-35",B536&lt;=45,"36-45",B536&lt;=60,"46-60",TRUE,"60+")</f>
        <v>26-35</v>
      </c>
      <c r="N536" t="str">
        <f t="shared" si="25"/>
        <v>Discounted</v>
      </c>
      <c r="O536" t="str">
        <f t="shared" si="26"/>
        <v>Returning</v>
      </c>
    </row>
    <row r="537" spans="1:15" x14ac:dyDescent="0.25">
      <c r="A537">
        <v>536</v>
      </c>
      <c r="B537">
        <v>49</v>
      </c>
      <c r="C537" t="s">
        <v>16</v>
      </c>
      <c r="D537" t="s">
        <v>33</v>
      </c>
      <c r="E537" t="s">
        <v>34</v>
      </c>
      <c r="F537" s="1">
        <v>105.07</v>
      </c>
      <c r="G537" t="s">
        <v>31</v>
      </c>
      <c r="H537" t="s">
        <v>15</v>
      </c>
      <c r="I537" s="2">
        <v>4.2</v>
      </c>
      <c r="J537" s="4">
        <v>14</v>
      </c>
      <c r="K537" s="3">
        <v>7</v>
      </c>
      <c r="L537" s="1">
        <f t="shared" si="24"/>
        <v>90.360199999999992</v>
      </c>
      <c r="M537" t="str" cm="1">
        <f t="array" ref="M537">_xlfn.IFS(B537&lt;18,"Under 18",B537 &lt;=25,"18-25",B537&lt;=35,"26-35",B537&lt;=45,"36-45",B537&lt;=60,"46-60",TRUE,"60+")</f>
        <v>46-60</v>
      </c>
      <c r="N537" t="str">
        <f t="shared" si="25"/>
        <v>Discounted</v>
      </c>
      <c r="O537" t="str">
        <f t="shared" si="26"/>
        <v>Returning</v>
      </c>
    </row>
    <row r="538" spans="1:15" x14ac:dyDescent="0.25">
      <c r="A538">
        <v>537</v>
      </c>
      <c r="B538">
        <v>35</v>
      </c>
      <c r="C538" t="s">
        <v>11</v>
      </c>
      <c r="D538" t="s">
        <v>12</v>
      </c>
      <c r="E538" t="s">
        <v>50</v>
      </c>
      <c r="F538" s="1">
        <v>31.51</v>
      </c>
      <c r="G538" t="s">
        <v>31</v>
      </c>
      <c r="H538" t="s">
        <v>15</v>
      </c>
      <c r="I538" s="2">
        <v>3.2</v>
      </c>
      <c r="J538" s="4">
        <v>15</v>
      </c>
      <c r="K538" s="3">
        <v>5</v>
      </c>
      <c r="L538" s="1">
        <f t="shared" si="24"/>
        <v>26.7835</v>
      </c>
      <c r="M538" t="str" cm="1">
        <f t="array" ref="M538">_xlfn.IFS(B538&lt;18,"Under 18",B538 &lt;=25,"18-25",B538&lt;=35,"26-35",B538&lt;=45,"36-45",B538&lt;=60,"46-60",TRUE,"60+")</f>
        <v>26-35</v>
      </c>
      <c r="N538" t="str">
        <f t="shared" si="25"/>
        <v>Discounted</v>
      </c>
      <c r="O538" t="str">
        <f t="shared" si="26"/>
        <v>Returning</v>
      </c>
    </row>
    <row r="539" spans="1:15" x14ac:dyDescent="0.25">
      <c r="A539">
        <v>538</v>
      </c>
      <c r="B539">
        <v>60</v>
      </c>
      <c r="C539" t="s">
        <v>16</v>
      </c>
      <c r="D539" t="s">
        <v>20</v>
      </c>
      <c r="E539" t="s">
        <v>36</v>
      </c>
      <c r="F539" s="1">
        <v>98.94</v>
      </c>
      <c r="G539" t="s">
        <v>19</v>
      </c>
      <c r="H539" t="s">
        <v>15</v>
      </c>
      <c r="I539" s="2">
        <v>3.4</v>
      </c>
      <c r="J539" s="4">
        <v>10</v>
      </c>
      <c r="K539" s="3">
        <v>5</v>
      </c>
      <c r="L539" s="1">
        <f t="shared" si="24"/>
        <v>89.046000000000006</v>
      </c>
      <c r="M539" t="str" cm="1">
        <f t="array" ref="M539">_xlfn.IFS(B539&lt;18,"Under 18",B539 &lt;=25,"18-25",B539&lt;=35,"26-35",B539&lt;=45,"36-45",B539&lt;=60,"46-60",TRUE,"60+")</f>
        <v>46-60</v>
      </c>
      <c r="N539" t="str">
        <f t="shared" si="25"/>
        <v>Discounted</v>
      </c>
      <c r="O539" t="str">
        <f t="shared" si="26"/>
        <v>Returning</v>
      </c>
    </row>
    <row r="540" spans="1:15" x14ac:dyDescent="0.25">
      <c r="A540">
        <v>539</v>
      </c>
      <c r="B540">
        <v>23</v>
      </c>
      <c r="C540" t="s">
        <v>16</v>
      </c>
      <c r="D540" t="s">
        <v>33</v>
      </c>
      <c r="E540" t="s">
        <v>38</v>
      </c>
      <c r="F540" s="1">
        <v>236.7</v>
      </c>
      <c r="G540" t="s">
        <v>19</v>
      </c>
      <c r="H540" t="s">
        <v>15</v>
      </c>
      <c r="I540" s="2">
        <v>4.5</v>
      </c>
      <c r="J540" s="4">
        <v>17</v>
      </c>
      <c r="K540" s="3">
        <v>6</v>
      </c>
      <c r="L540" s="1">
        <f t="shared" si="24"/>
        <v>196.46099999999998</v>
      </c>
      <c r="M540" t="str" cm="1">
        <f t="array" ref="M540">_xlfn.IFS(B540&lt;18,"Under 18",B540 &lt;=25,"18-25",B540&lt;=35,"26-35",B540&lt;=45,"36-45",B540&lt;=60,"46-60",TRUE,"60+")</f>
        <v>18-25</v>
      </c>
      <c r="N540" t="str">
        <f t="shared" si="25"/>
        <v>Discounted</v>
      </c>
      <c r="O540" t="str">
        <f t="shared" si="26"/>
        <v>Returning</v>
      </c>
    </row>
    <row r="541" spans="1:15" x14ac:dyDescent="0.25">
      <c r="A541">
        <v>540</v>
      </c>
      <c r="B541">
        <v>59</v>
      </c>
      <c r="C541" t="s">
        <v>11</v>
      </c>
      <c r="D541" t="s">
        <v>41</v>
      </c>
      <c r="E541" t="s">
        <v>45</v>
      </c>
      <c r="F541" s="1">
        <v>111.87</v>
      </c>
      <c r="G541" t="s">
        <v>24</v>
      </c>
      <c r="H541" t="s">
        <v>15</v>
      </c>
      <c r="I541" s="2">
        <v>3.9</v>
      </c>
      <c r="J541" s="4">
        <v>21</v>
      </c>
      <c r="K541" s="3">
        <v>8</v>
      </c>
      <c r="L541" s="1">
        <f t="shared" si="24"/>
        <v>88.377300000000005</v>
      </c>
      <c r="M541" t="str" cm="1">
        <f t="array" ref="M541">_xlfn.IFS(B541&lt;18,"Under 18",B541 &lt;=25,"18-25",B541&lt;=35,"26-35",B541&lt;=45,"36-45",B541&lt;=60,"46-60",TRUE,"60+")</f>
        <v>46-60</v>
      </c>
      <c r="N541" t="str">
        <f t="shared" si="25"/>
        <v>Discounted</v>
      </c>
      <c r="O541" t="str">
        <f t="shared" si="26"/>
        <v>Returning</v>
      </c>
    </row>
    <row r="542" spans="1:15" x14ac:dyDescent="0.25">
      <c r="A542">
        <v>541</v>
      </c>
      <c r="B542">
        <v>31</v>
      </c>
      <c r="C542" t="s">
        <v>16</v>
      </c>
      <c r="D542" t="s">
        <v>20</v>
      </c>
      <c r="E542" t="s">
        <v>21</v>
      </c>
      <c r="F542" s="1">
        <v>90.67</v>
      </c>
      <c r="G542" t="s">
        <v>14</v>
      </c>
      <c r="H542" t="s">
        <v>37</v>
      </c>
      <c r="I542" s="2">
        <v>5</v>
      </c>
      <c r="J542" s="4">
        <v>12</v>
      </c>
      <c r="K542" s="3">
        <v>6</v>
      </c>
      <c r="L542" s="1">
        <f t="shared" si="24"/>
        <v>79.789600000000007</v>
      </c>
      <c r="M542" t="str" cm="1">
        <f t="array" ref="M542">_xlfn.IFS(B542&lt;18,"Under 18",B542 &lt;=25,"18-25",B542&lt;=35,"26-35",B542&lt;=45,"36-45",B542&lt;=60,"46-60",TRUE,"60+")</f>
        <v>26-35</v>
      </c>
      <c r="N542" t="str">
        <f t="shared" si="25"/>
        <v>Discounted</v>
      </c>
      <c r="O542" t="str">
        <f t="shared" si="26"/>
        <v>Returning</v>
      </c>
    </row>
    <row r="543" spans="1:15" x14ac:dyDescent="0.25">
      <c r="A543">
        <v>542</v>
      </c>
      <c r="B543">
        <v>28</v>
      </c>
      <c r="C543" t="s">
        <v>16</v>
      </c>
      <c r="D543" t="s">
        <v>17</v>
      </c>
      <c r="E543" t="s">
        <v>42</v>
      </c>
      <c r="F543" s="1">
        <v>141.19</v>
      </c>
      <c r="G543" t="s">
        <v>24</v>
      </c>
      <c r="H543" t="s">
        <v>15</v>
      </c>
      <c r="I543" s="2">
        <v>4</v>
      </c>
      <c r="J543" s="4">
        <v>4</v>
      </c>
      <c r="K543" s="3">
        <v>2</v>
      </c>
      <c r="L543" s="1">
        <f t="shared" si="24"/>
        <v>135.54239999999999</v>
      </c>
      <c r="M543" t="str" cm="1">
        <f t="array" ref="M543">_xlfn.IFS(B543&lt;18,"Under 18",B543 &lt;=25,"18-25",B543&lt;=35,"26-35",B543&lt;=45,"36-45",B543&lt;=60,"46-60",TRUE,"60+")</f>
        <v>26-35</v>
      </c>
      <c r="N543" t="str">
        <f t="shared" si="25"/>
        <v>Discounted</v>
      </c>
      <c r="O543" t="str">
        <f t="shared" si="26"/>
        <v>Returning</v>
      </c>
    </row>
    <row r="544" spans="1:15" x14ac:dyDescent="0.25">
      <c r="A544">
        <v>543</v>
      </c>
      <c r="B544">
        <v>32</v>
      </c>
      <c r="C544" t="s">
        <v>11</v>
      </c>
      <c r="D544" t="s">
        <v>41</v>
      </c>
      <c r="E544" t="s">
        <v>45</v>
      </c>
      <c r="F544" s="1">
        <v>158.72</v>
      </c>
      <c r="G544" t="s">
        <v>19</v>
      </c>
      <c r="H544" t="s">
        <v>15</v>
      </c>
      <c r="I544" s="2">
        <v>4.9000000000000004</v>
      </c>
      <c r="J544" s="4">
        <v>16</v>
      </c>
      <c r="K544" s="3">
        <v>3</v>
      </c>
      <c r="L544" s="1">
        <f t="shared" si="24"/>
        <v>133.32479999999998</v>
      </c>
      <c r="M544" t="str" cm="1">
        <f t="array" ref="M544">_xlfn.IFS(B544&lt;18,"Under 18",B544 &lt;=25,"18-25",B544&lt;=35,"26-35",B544&lt;=45,"36-45",B544&lt;=60,"46-60",TRUE,"60+")</f>
        <v>26-35</v>
      </c>
      <c r="N544" t="str">
        <f t="shared" si="25"/>
        <v>Discounted</v>
      </c>
      <c r="O544" t="str">
        <f t="shared" si="26"/>
        <v>Returning</v>
      </c>
    </row>
    <row r="545" spans="1:15" x14ac:dyDescent="0.25">
      <c r="A545">
        <v>544</v>
      </c>
      <c r="B545">
        <v>32</v>
      </c>
      <c r="C545" t="s">
        <v>11</v>
      </c>
      <c r="D545" t="s">
        <v>33</v>
      </c>
      <c r="E545" t="s">
        <v>34</v>
      </c>
      <c r="F545" s="1">
        <v>91.02</v>
      </c>
      <c r="G545" t="s">
        <v>24</v>
      </c>
      <c r="H545" t="s">
        <v>15</v>
      </c>
      <c r="I545" s="2">
        <v>4.0999999999999996</v>
      </c>
      <c r="J545" s="4">
        <v>17</v>
      </c>
      <c r="K545" s="3">
        <v>6</v>
      </c>
      <c r="L545" s="1">
        <f t="shared" si="24"/>
        <v>75.546599999999998</v>
      </c>
      <c r="M545" t="str" cm="1">
        <f t="array" ref="M545">_xlfn.IFS(B545&lt;18,"Under 18",B545 &lt;=25,"18-25",B545&lt;=35,"26-35",B545&lt;=45,"36-45",B545&lt;=60,"46-60",TRUE,"60+")</f>
        <v>26-35</v>
      </c>
      <c r="N545" t="str">
        <f t="shared" si="25"/>
        <v>Discounted</v>
      </c>
      <c r="O545" t="str">
        <f t="shared" si="26"/>
        <v>Returning</v>
      </c>
    </row>
    <row r="546" spans="1:15" x14ac:dyDescent="0.25">
      <c r="A546">
        <v>545</v>
      </c>
      <c r="B546">
        <v>70</v>
      </c>
      <c r="C546" t="s">
        <v>11</v>
      </c>
      <c r="D546" t="s">
        <v>12</v>
      </c>
      <c r="E546" t="s">
        <v>50</v>
      </c>
      <c r="F546" s="1">
        <v>159.31</v>
      </c>
      <c r="G546" t="s">
        <v>14</v>
      </c>
      <c r="H546" t="s">
        <v>15</v>
      </c>
      <c r="I546" s="2">
        <v>4.5</v>
      </c>
      <c r="J546" s="4">
        <v>17</v>
      </c>
      <c r="K546" s="3">
        <v>6</v>
      </c>
      <c r="L546" s="1">
        <f t="shared" si="24"/>
        <v>132.22729999999999</v>
      </c>
      <c r="M546" t="str" cm="1">
        <f t="array" ref="M546">_xlfn.IFS(B546&lt;18,"Under 18",B546 &lt;=25,"18-25",B546&lt;=35,"26-35",B546&lt;=45,"36-45",B546&lt;=60,"46-60",TRUE,"60+")</f>
        <v>60+</v>
      </c>
      <c r="N546" t="str">
        <f t="shared" si="25"/>
        <v>Discounted</v>
      </c>
      <c r="O546" t="str">
        <f t="shared" si="26"/>
        <v>Returning</v>
      </c>
    </row>
    <row r="547" spans="1:15" x14ac:dyDescent="0.25">
      <c r="A547">
        <v>546</v>
      </c>
      <c r="B547">
        <v>30</v>
      </c>
      <c r="C547" t="s">
        <v>16</v>
      </c>
      <c r="D547" t="s">
        <v>27</v>
      </c>
      <c r="E547" t="s">
        <v>32</v>
      </c>
      <c r="F547" s="1">
        <v>2428.11</v>
      </c>
      <c r="G547" t="s">
        <v>19</v>
      </c>
      <c r="H547" t="s">
        <v>15</v>
      </c>
      <c r="I547" s="2">
        <v>3.9</v>
      </c>
      <c r="J547" s="4">
        <v>4</v>
      </c>
      <c r="K547" s="3">
        <v>2</v>
      </c>
      <c r="L547" s="1">
        <f t="shared" si="24"/>
        <v>2330.9856</v>
      </c>
      <c r="M547" t="str" cm="1">
        <f t="array" ref="M547">_xlfn.IFS(B547&lt;18,"Under 18",B547 &lt;=25,"18-25",B547&lt;=35,"26-35",B547&lt;=45,"36-45",B547&lt;=60,"46-60",TRUE,"60+")</f>
        <v>26-35</v>
      </c>
      <c r="N547" t="str">
        <f t="shared" si="25"/>
        <v>Discounted</v>
      </c>
      <c r="O547" t="str">
        <f t="shared" si="26"/>
        <v>Returning</v>
      </c>
    </row>
    <row r="548" spans="1:15" x14ac:dyDescent="0.25">
      <c r="A548">
        <v>547</v>
      </c>
      <c r="B548">
        <v>28</v>
      </c>
      <c r="C548" t="s">
        <v>11</v>
      </c>
      <c r="D548" t="s">
        <v>29</v>
      </c>
      <c r="E548" t="s">
        <v>30</v>
      </c>
      <c r="F548" s="1">
        <v>25.24</v>
      </c>
      <c r="G548" t="s">
        <v>24</v>
      </c>
      <c r="H548" t="s">
        <v>15</v>
      </c>
      <c r="I548" s="2">
        <v>3.7</v>
      </c>
      <c r="J548" s="4">
        <v>21</v>
      </c>
      <c r="K548" s="3">
        <v>8</v>
      </c>
      <c r="L548" s="1">
        <f t="shared" si="24"/>
        <v>19.939599999999999</v>
      </c>
      <c r="M548" t="str" cm="1">
        <f t="array" ref="M548">_xlfn.IFS(B548&lt;18,"Under 18",B548 &lt;=25,"18-25",B548&lt;=35,"26-35",B548&lt;=45,"36-45",B548&lt;=60,"46-60",TRUE,"60+")</f>
        <v>26-35</v>
      </c>
      <c r="N548" t="str">
        <f t="shared" si="25"/>
        <v>Discounted</v>
      </c>
      <c r="O548" t="str">
        <f t="shared" si="26"/>
        <v>Returning</v>
      </c>
    </row>
    <row r="549" spans="1:15" x14ac:dyDescent="0.25">
      <c r="A549">
        <v>548</v>
      </c>
      <c r="B549">
        <v>46</v>
      </c>
      <c r="C549" t="s">
        <v>16</v>
      </c>
      <c r="D549" t="s">
        <v>25</v>
      </c>
      <c r="E549" t="s">
        <v>47</v>
      </c>
      <c r="F549" s="1">
        <v>62.51</v>
      </c>
      <c r="G549" t="s">
        <v>24</v>
      </c>
      <c r="H549" t="s">
        <v>37</v>
      </c>
      <c r="I549" s="2">
        <v>4.2</v>
      </c>
      <c r="J549" s="4">
        <v>11</v>
      </c>
      <c r="K549" s="3">
        <v>3</v>
      </c>
      <c r="L549" s="1">
        <f t="shared" si="24"/>
        <v>55.633899999999997</v>
      </c>
      <c r="M549" t="str" cm="1">
        <f t="array" ref="M549">_xlfn.IFS(B549&lt;18,"Under 18",B549 &lt;=25,"18-25",B549&lt;=35,"26-35",B549&lt;=45,"36-45",B549&lt;=60,"46-60",TRUE,"60+")</f>
        <v>46-60</v>
      </c>
      <c r="N549" t="str">
        <f t="shared" si="25"/>
        <v>Discounted</v>
      </c>
      <c r="O549" t="str">
        <f t="shared" si="26"/>
        <v>Returning</v>
      </c>
    </row>
    <row r="550" spans="1:15" x14ac:dyDescent="0.25">
      <c r="A550">
        <v>549</v>
      </c>
      <c r="B550">
        <v>22</v>
      </c>
      <c r="C550" t="s">
        <v>16</v>
      </c>
      <c r="D550" t="s">
        <v>33</v>
      </c>
      <c r="E550" t="s">
        <v>34</v>
      </c>
      <c r="F550" s="1">
        <v>80.22</v>
      </c>
      <c r="G550" t="s">
        <v>31</v>
      </c>
      <c r="H550" t="s">
        <v>15</v>
      </c>
      <c r="I550" s="2">
        <v>4.5999999999999996</v>
      </c>
      <c r="J550" s="4">
        <v>8</v>
      </c>
      <c r="K550" s="3">
        <v>4</v>
      </c>
      <c r="L550" s="1">
        <f t="shared" si="24"/>
        <v>73.802400000000006</v>
      </c>
      <c r="M550" t="str" cm="1">
        <f t="array" ref="M550">_xlfn.IFS(B550&lt;18,"Under 18",B550 &lt;=25,"18-25",B550&lt;=35,"26-35",B550&lt;=45,"36-45",B550&lt;=60,"46-60",TRUE,"60+")</f>
        <v>18-25</v>
      </c>
      <c r="N550" t="str">
        <f t="shared" si="25"/>
        <v>Discounted</v>
      </c>
      <c r="O550" t="str">
        <f t="shared" si="26"/>
        <v>Returning</v>
      </c>
    </row>
    <row r="551" spans="1:15" x14ac:dyDescent="0.25">
      <c r="A551">
        <v>550</v>
      </c>
      <c r="B551">
        <v>28</v>
      </c>
      <c r="C551" t="s">
        <v>16</v>
      </c>
      <c r="D551" t="s">
        <v>27</v>
      </c>
      <c r="E551" t="s">
        <v>53</v>
      </c>
      <c r="F551" s="1">
        <v>600.16999999999996</v>
      </c>
      <c r="G551" t="s">
        <v>24</v>
      </c>
      <c r="H551" t="s">
        <v>15</v>
      </c>
      <c r="I551" s="2">
        <v>3.8</v>
      </c>
      <c r="J551" s="4">
        <v>10</v>
      </c>
      <c r="K551" s="3">
        <v>5</v>
      </c>
      <c r="L551" s="1">
        <f t="shared" si="24"/>
        <v>540.15300000000002</v>
      </c>
      <c r="M551" t="str" cm="1">
        <f t="array" ref="M551">_xlfn.IFS(B551&lt;18,"Under 18",B551 &lt;=25,"18-25",B551&lt;=35,"26-35",B551&lt;=45,"36-45",B551&lt;=60,"46-60",TRUE,"60+")</f>
        <v>26-35</v>
      </c>
      <c r="N551" t="str">
        <f t="shared" si="25"/>
        <v>Discounted</v>
      </c>
      <c r="O551" t="str">
        <f t="shared" si="26"/>
        <v>Returning</v>
      </c>
    </row>
    <row r="552" spans="1:15" x14ac:dyDescent="0.25">
      <c r="A552">
        <v>551</v>
      </c>
      <c r="B552">
        <v>63</v>
      </c>
      <c r="C552" t="s">
        <v>16</v>
      </c>
      <c r="D552" t="s">
        <v>17</v>
      </c>
      <c r="E552" t="s">
        <v>42</v>
      </c>
      <c r="F552" s="1">
        <v>106.27</v>
      </c>
      <c r="G552" t="s">
        <v>31</v>
      </c>
      <c r="H552" t="s">
        <v>15</v>
      </c>
      <c r="I552" s="2">
        <v>3.5</v>
      </c>
      <c r="J552" s="4">
        <v>14</v>
      </c>
      <c r="K552" s="3">
        <v>7</v>
      </c>
      <c r="L552" s="1">
        <f t="shared" si="24"/>
        <v>91.392199999999988</v>
      </c>
      <c r="M552" t="str" cm="1">
        <f t="array" ref="M552">_xlfn.IFS(B552&lt;18,"Under 18",B552 &lt;=25,"18-25",B552&lt;=35,"26-35",B552&lt;=45,"36-45",B552&lt;=60,"46-60",TRUE,"60+")</f>
        <v>60+</v>
      </c>
      <c r="N552" t="str">
        <f t="shared" si="25"/>
        <v>Discounted</v>
      </c>
      <c r="O552" t="str">
        <f t="shared" si="26"/>
        <v>Returning</v>
      </c>
    </row>
    <row r="553" spans="1:15" x14ac:dyDescent="0.25">
      <c r="A553">
        <v>552</v>
      </c>
      <c r="B553">
        <v>27</v>
      </c>
      <c r="C553" t="s">
        <v>16</v>
      </c>
      <c r="D553" t="s">
        <v>33</v>
      </c>
      <c r="E553" t="s">
        <v>38</v>
      </c>
      <c r="F553" s="1">
        <v>141.6</v>
      </c>
      <c r="G553" t="s">
        <v>24</v>
      </c>
      <c r="H553" t="s">
        <v>15</v>
      </c>
      <c r="I553" s="2">
        <v>4.0999999999999996</v>
      </c>
      <c r="J553" s="4">
        <v>19</v>
      </c>
      <c r="K553" s="3">
        <v>7</v>
      </c>
      <c r="L553" s="1">
        <f t="shared" si="24"/>
        <v>114.696</v>
      </c>
      <c r="M553" t="str" cm="1">
        <f t="array" ref="M553">_xlfn.IFS(B553&lt;18,"Under 18",B553 &lt;=25,"18-25",B553&lt;=35,"26-35",B553&lt;=45,"36-45",B553&lt;=60,"46-60",TRUE,"60+")</f>
        <v>26-35</v>
      </c>
      <c r="N553" t="str">
        <f t="shared" si="25"/>
        <v>Discounted</v>
      </c>
      <c r="O553" t="str">
        <f t="shared" si="26"/>
        <v>Returning</v>
      </c>
    </row>
    <row r="554" spans="1:15" x14ac:dyDescent="0.25">
      <c r="A554">
        <v>553</v>
      </c>
      <c r="B554">
        <v>43</v>
      </c>
      <c r="C554" t="s">
        <v>16</v>
      </c>
      <c r="D554" t="s">
        <v>33</v>
      </c>
      <c r="E554" t="s">
        <v>34</v>
      </c>
      <c r="F554" s="1">
        <v>90.88</v>
      </c>
      <c r="G554" t="s">
        <v>24</v>
      </c>
      <c r="H554" t="s">
        <v>37</v>
      </c>
      <c r="I554" s="2">
        <v>3.3</v>
      </c>
      <c r="J554" s="4">
        <v>14</v>
      </c>
      <c r="K554" s="3">
        <v>2</v>
      </c>
      <c r="L554" s="1">
        <f t="shared" si="24"/>
        <v>78.15679999999999</v>
      </c>
      <c r="M554" t="str" cm="1">
        <f t="array" ref="M554">_xlfn.IFS(B554&lt;18,"Under 18",B554 &lt;=25,"18-25",B554&lt;=35,"26-35",B554&lt;=45,"36-45",B554&lt;=60,"46-60",TRUE,"60+")</f>
        <v>36-45</v>
      </c>
      <c r="N554" t="str">
        <f t="shared" si="25"/>
        <v>Discounted</v>
      </c>
      <c r="O554" t="str">
        <f t="shared" si="26"/>
        <v>Returning</v>
      </c>
    </row>
    <row r="555" spans="1:15" x14ac:dyDescent="0.25">
      <c r="A555">
        <v>554</v>
      </c>
      <c r="B555">
        <v>20</v>
      </c>
      <c r="C555" t="s">
        <v>11</v>
      </c>
      <c r="D555" t="s">
        <v>33</v>
      </c>
      <c r="E555" t="s">
        <v>40</v>
      </c>
      <c r="F555" s="1">
        <v>156.91</v>
      </c>
      <c r="G555" t="s">
        <v>31</v>
      </c>
      <c r="H555" t="s">
        <v>15</v>
      </c>
      <c r="I555" s="2">
        <v>4.0999999999999996</v>
      </c>
      <c r="J555" s="4">
        <v>22</v>
      </c>
      <c r="K555" s="3">
        <v>6</v>
      </c>
      <c r="L555" s="1">
        <f t="shared" si="24"/>
        <v>122.38980000000001</v>
      </c>
      <c r="M555" t="str" cm="1">
        <f t="array" ref="M555">_xlfn.IFS(B555&lt;18,"Under 18",B555 &lt;=25,"18-25",B555&lt;=35,"26-35",B555&lt;=45,"36-45",B555&lt;=60,"46-60",TRUE,"60+")</f>
        <v>18-25</v>
      </c>
      <c r="N555" t="str">
        <f t="shared" si="25"/>
        <v>Discounted</v>
      </c>
      <c r="O555" t="str">
        <f t="shared" si="26"/>
        <v>Returning</v>
      </c>
    </row>
    <row r="556" spans="1:15" x14ac:dyDescent="0.25">
      <c r="A556">
        <v>555</v>
      </c>
      <c r="B556">
        <v>41</v>
      </c>
      <c r="C556" t="s">
        <v>16</v>
      </c>
      <c r="D556" t="s">
        <v>20</v>
      </c>
      <c r="E556" t="s">
        <v>21</v>
      </c>
      <c r="F556" s="1">
        <v>232.73</v>
      </c>
      <c r="G556" t="s">
        <v>24</v>
      </c>
      <c r="H556" t="s">
        <v>15</v>
      </c>
      <c r="I556" s="2">
        <v>3.7</v>
      </c>
      <c r="J556" s="4">
        <v>15</v>
      </c>
      <c r="K556" s="3">
        <v>5</v>
      </c>
      <c r="L556" s="1">
        <f t="shared" si="24"/>
        <v>197.82049999999998</v>
      </c>
      <c r="M556" t="str" cm="1">
        <f t="array" ref="M556">_xlfn.IFS(B556&lt;18,"Under 18",B556 &lt;=25,"18-25",B556&lt;=35,"26-35",B556&lt;=45,"36-45",B556&lt;=60,"46-60",TRUE,"60+")</f>
        <v>36-45</v>
      </c>
      <c r="N556" t="str">
        <f t="shared" si="25"/>
        <v>Discounted</v>
      </c>
      <c r="O556" t="str">
        <f t="shared" si="26"/>
        <v>Returning</v>
      </c>
    </row>
    <row r="557" spans="1:15" x14ac:dyDescent="0.25">
      <c r="A557">
        <v>556</v>
      </c>
      <c r="B557">
        <v>29</v>
      </c>
      <c r="C557" t="s">
        <v>11</v>
      </c>
      <c r="D557" t="s">
        <v>12</v>
      </c>
      <c r="E557" t="s">
        <v>56</v>
      </c>
      <c r="F557" s="1">
        <v>53.93</v>
      </c>
      <c r="G557" t="s">
        <v>31</v>
      </c>
      <c r="H557" t="s">
        <v>15</v>
      </c>
      <c r="I557" s="2">
        <v>2.5</v>
      </c>
      <c r="J557" s="4">
        <v>18</v>
      </c>
      <c r="K557" s="3">
        <v>4</v>
      </c>
      <c r="L557" s="1">
        <f t="shared" si="24"/>
        <v>44.2226</v>
      </c>
      <c r="M557" t="str" cm="1">
        <f t="array" ref="M557">_xlfn.IFS(B557&lt;18,"Under 18",B557 &lt;=25,"18-25",B557&lt;=35,"26-35",B557&lt;=45,"36-45",B557&lt;=60,"46-60",TRUE,"60+")</f>
        <v>26-35</v>
      </c>
      <c r="N557" t="str">
        <f t="shared" si="25"/>
        <v>Discounted</v>
      </c>
      <c r="O557" t="str">
        <f t="shared" si="26"/>
        <v>Returning</v>
      </c>
    </row>
    <row r="558" spans="1:15" x14ac:dyDescent="0.25">
      <c r="A558">
        <v>557</v>
      </c>
      <c r="B558">
        <v>61</v>
      </c>
      <c r="C558" t="s">
        <v>16</v>
      </c>
      <c r="D558" t="s">
        <v>33</v>
      </c>
      <c r="E558" t="s">
        <v>40</v>
      </c>
      <c r="F558" s="1">
        <v>65.72</v>
      </c>
      <c r="G558" t="s">
        <v>31</v>
      </c>
      <c r="H558" t="s">
        <v>37</v>
      </c>
      <c r="I558" s="2">
        <v>2.8</v>
      </c>
      <c r="J558" s="4">
        <v>8</v>
      </c>
      <c r="K558" s="3">
        <v>4</v>
      </c>
      <c r="L558" s="1">
        <f t="shared" si="24"/>
        <v>60.462400000000002</v>
      </c>
      <c r="M558" t="str" cm="1">
        <f t="array" ref="M558">_xlfn.IFS(B558&lt;18,"Under 18",B558 &lt;=25,"18-25",B558&lt;=35,"26-35",B558&lt;=45,"36-45",B558&lt;=60,"46-60",TRUE,"60+")</f>
        <v>60+</v>
      </c>
      <c r="N558" t="str">
        <f t="shared" si="25"/>
        <v>Discounted</v>
      </c>
      <c r="O558" t="str">
        <f t="shared" si="26"/>
        <v>Returning</v>
      </c>
    </row>
    <row r="559" spans="1:15" x14ac:dyDescent="0.25">
      <c r="A559">
        <v>558</v>
      </c>
      <c r="B559">
        <v>69</v>
      </c>
      <c r="C559" t="s">
        <v>11</v>
      </c>
      <c r="D559" t="s">
        <v>41</v>
      </c>
      <c r="E559" t="s">
        <v>44</v>
      </c>
      <c r="F559" s="1">
        <v>159.87</v>
      </c>
      <c r="G559" t="s">
        <v>24</v>
      </c>
      <c r="H559" t="s">
        <v>15</v>
      </c>
      <c r="I559" s="2">
        <v>3.6</v>
      </c>
      <c r="J559" s="4">
        <v>10</v>
      </c>
      <c r="K559" s="3">
        <v>0</v>
      </c>
      <c r="L559" s="1">
        <f t="shared" si="24"/>
        <v>143.88300000000001</v>
      </c>
      <c r="M559" t="str" cm="1">
        <f t="array" ref="M559">_xlfn.IFS(B559&lt;18,"Under 18",B559 &lt;=25,"18-25",B559&lt;=35,"26-35",B559&lt;=45,"36-45",B559&lt;=60,"46-60",TRUE,"60+")</f>
        <v>60+</v>
      </c>
      <c r="N559" t="str">
        <f t="shared" si="25"/>
        <v>Discounted</v>
      </c>
      <c r="O559" t="str">
        <f t="shared" si="26"/>
        <v>New</v>
      </c>
    </row>
    <row r="560" spans="1:15" x14ac:dyDescent="0.25">
      <c r="A560">
        <v>559</v>
      </c>
      <c r="B560">
        <v>64</v>
      </c>
      <c r="C560" t="s">
        <v>16</v>
      </c>
      <c r="D560" t="s">
        <v>27</v>
      </c>
      <c r="E560" t="s">
        <v>49</v>
      </c>
      <c r="F560" s="1">
        <v>2435.63</v>
      </c>
      <c r="G560" t="s">
        <v>24</v>
      </c>
      <c r="H560" t="s">
        <v>15</v>
      </c>
      <c r="I560" s="2">
        <v>3.3</v>
      </c>
      <c r="J560" s="4">
        <v>18</v>
      </c>
      <c r="K560" s="3">
        <v>4</v>
      </c>
      <c r="L560" s="1">
        <f t="shared" si="24"/>
        <v>1997.2166000000002</v>
      </c>
      <c r="M560" t="str" cm="1">
        <f t="array" ref="M560">_xlfn.IFS(B560&lt;18,"Under 18",B560 &lt;=25,"18-25",B560&lt;=35,"26-35",B560&lt;=45,"36-45",B560&lt;=60,"46-60",TRUE,"60+")</f>
        <v>60+</v>
      </c>
      <c r="N560" t="str">
        <f t="shared" si="25"/>
        <v>Discounted</v>
      </c>
      <c r="O560" t="str">
        <f t="shared" si="26"/>
        <v>Returning</v>
      </c>
    </row>
    <row r="561" spans="1:15" x14ac:dyDescent="0.25">
      <c r="A561">
        <v>560</v>
      </c>
      <c r="B561">
        <v>40</v>
      </c>
      <c r="C561" t="s">
        <v>16</v>
      </c>
      <c r="D561" t="s">
        <v>33</v>
      </c>
      <c r="E561" t="s">
        <v>40</v>
      </c>
      <c r="F561" s="1">
        <v>90.24</v>
      </c>
      <c r="G561" t="s">
        <v>19</v>
      </c>
      <c r="H561" t="s">
        <v>37</v>
      </c>
      <c r="I561" s="2">
        <v>4.3</v>
      </c>
      <c r="J561" s="4">
        <v>17</v>
      </c>
      <c r="K561" s="3">
        <v>6</v>
      </c>
      <c r="L561" s="1">
        <f t="shared" si="24"/>
        <v>74.899199999999993</v>
      </c>
      <c r="M561" t="str" cm="1">
        <f t="array" ref="M561">_xlfn.IFS(B561&lt;18,"Under 18",B561 &lt;=25,"18-25",B561&lt;=35,"26-35",B561&lt;=45,"36-45",B561&lt;=60,"46-60",TRUE,"60+")</f>
        <v>36-45</v>
      </c>
      <c r="N561" t="str">
        <f t="shared" si="25"/>
        <v>Discounted</v>
      </c>
      <c r="O561" t="str">
        <f t="shared" si="26"/>
        <v>Returning</v>
      </c>
    </row>
    <row r="562" spans="1:15" x14ac:dyDescent="0.25">
      <c r="A562">
        <v>561</v>
      </c>
      <c r="B562">
        <v>37</v>
      </c>
      <c r="C562" t="s">
        <v>11</v>
      </c>
      <c r="D562" t="s">
        <v>12</v>
      </c>
      <c r="E562" t="s">
        <v>13</v>
      </c>
      <c r="F562" s="1">
        <v>117.76</v>
      </c>
      <c r="G562" t="s">
        <v>19</v>
      </c>
      <c r="H562" t="s">
        <v>15</v>
      </c>
      <c r="I562" s="2">
        <v>3.5</v>
      </c>
      <c r="J562" s="4">
        <v>12</v>
      </c>
      <c r="K562" s="3">
        <v>6</v>
      </c>
      <c r="L562" s="1">
        <f t="shared" si="24"/>
        <v>103.6288</v>
      </c>
      <c r="M562" t="str" cm="1">
        <f t="array" ref="M562">_xlfn.IFS(B562&lt;18,"Under 18",B562 &lt;=25,"18-25",B562&lt;=35,"26-35",B562&lt;=45,"36-45",B562&lt;=60,"46-60",TRUE,"60+")</f>
        <v>36-45</v>
      </c>
      <c r="N562" t="str">
        <f t="shared" si="25"/>
        <v>Discounted</v>
      </c>
      <c r="O562" t="str">
        <f t="shared" si="26"/>
        <v>Returning</v>
      </c>
    </row>
    <row r="563" spans="1:15" x14ac:dyDescent="0.25">
      <c r="A563">
        <v>562</v>
      </c>
      <c r="B563">
        <v>64</v>
      </c>
      <c r="C563" t="s">
        <v>11</v>
      </c>
      <c r="D563" t="s">
        <v>41</v>
      </c>
      <c r="E563" t="s">
        <v>42</v>
      </c>
      <c r="F563" s="1">
        <v>97.62</v>
      </c>
      <c r="G563" t="s">
        <v>31</v>
      </c>
      <c r="H563" t="s">
        <v>15</v>
      </c>
      <c r="I563" s="2">
        <v>3.8</v>
      </c>
      <c r="J563" s="4">
        <v>8</v>
      </c>
      <c r="K563" s="3">
        <v>4</v>
      </c>
      <c r="L563" s="1">
        <f t="shared" si="24"/>
        <v>89.810400000000001</v>
      </c>
      <c r="M563" t="str" cm="1">
        <f t="array" ref="M563">_xlfn.IFS(B563&lt;18,"Under 18",B563 &lt;=25,"18-25",B563&lt;=35,"26-35",B563&lt;=45,"36-45",B563&lt;=60,"46-60",TRUE,"60+")</f>
        <v>60+</v>
      </c>
      <c r="N563" t="str">
        <f t="shared" si="25"/>
        <v>Discounted</v>
      </c>
      <c r="O563" t="str">
        <f t="shared" si="26"/>
        <v>Returning</v>
      </c>
    </row>
    <row r="564" spans="1:15" x14ac:dyDescent="0.25">
      <c r="A564">
        <v>563</v>
      </c>
      <c r="B564">
        <v>66</v>
      </c>
      <c r="C564" t="s">
        <v>11</v>
      </c>
      <c r="D564" t="s">
        <v>29</v>
      </c>
      <c r="E564" t="s">
        <v>51</v>
      </c>
      <c r="F564" s="1">
        <v>98.66</v>
      </c>
      <c r="G564" t="s">
        <v>14</v>
      </c>
      <c r="H564" t="s">
        <v>15</v>
      </c>
      <c r="I564" s="2">
        <v>2.7</v>
      </c>
      <c r="J564" s="4">
        <v>22</v>
      </c>
      <c r="K564" s="3">
        <v>6</v>
      </c>
      <c r="L564" s="1">
        <f t="shared" si="24"/>
        <v>76.954800000000006</v>
      </c>
      <c r="M564" t="str" cm="1">
        <f t="array" ref="M564">_xlfn.IFS(B564&lt;18,"Under 18",B564 &lt;=25,"18-25",B564&lt;=35,"26-35",B564&lt;=45,"36-45",B564&lt;=60,"46-60",TRUE,"60+")</f>
        <v>60+</v>
      </c>
      <c r="N564" t="str">
        <f t="shared" si="25"/>
        <v>Discounted</v>
      </c>
      <c r="O564" t="str">
        <f t="shared" si="26"/>
        <v>Returning</v>
      </c>
    </row>
    <row r="565" spans="1:15" x14ac:dyDescent="0.25">
      <c r="A565">
        <v>564</v>
      </c>
      <c r="B565">
        <v>66</v>
      </c>
      <c r="C565" t="s">
        <v>11</v>
      </c>
      <c r="D565" t="s">
        <v>41</v>
      </c>
      <c r="E565" t="s">
        <v>45</v>
      </c>
      <c r="F565" s="1">
        <v>185.56</v>
      </c>
      <c r="G565" t="s">
        <v>19</v>
      </c>
      <c r="H565" t="s">
        <v>15</v>
      </c>
      <c r="I565" s="2">
        <v>3.7</v>
      </c>
      <c r="J565" s="4">
        <v>21</v>
      </c>
      <c r="K565" s="3">
        <v>8</v>
      </c>
      <c r="L565" s="1">
        <f t="shared" si="24"/>
        <v>146.5924</v>
      </c>
      <c r="M565" t="str" cm="1">
        <f t="array" ref="M565">_xlfn.IFS(B565&lt;18,"Under 18",B565 &lt;=25,"18-25",B565&lt;=35,"26-35",B565&lt;=45,"36-45",B565&lt;=60,"46-60",TRUE,"60+")</f>
        <v>60+</v>
      </c>
      <c r="N565" t="str">
        <f t="shared" si="25"/>
        <v>Discounted</v>
      </c>
      <c r="O565" t="str">
        <f t="shared" si="26"/>
        <v>Returning</v>
      </c>
    </row>
    <row r="566" spans="1:15" x14ac:dyDescent="0.25">
      <c r="A566">
        <v>565</v>
      </c>
      <c r="B566">
        <v>60</v>
      </c>
      <c r="C566" t="s">
        <v>11</v>
      </c>
      <c r="D566" t="s">
        <v>25</v>
      </c>
      <c r="E566" t="s">
        <v>47</v>
      </c>
      <c r="F566" s="1">
        <v>12.59</v>
      </c>
      <c r="G566" t="s">
        <v>19</v>
      </c>
      <c r="H566" t="s">
        <v>15</v>
      </c>
      <c r="I566" s="2">
        <v>3.4</v>
      </c>
      <c r="J566" s="4">
        <v>12</v>
      </c>
      <c r="K566" s="3">
        <v>1</v>
      </c>
      <c r="L566" s="1">
        <f t="shared" si="24"/>
        <v>11.0792</v>
      </c>
      <c r="M566" t="str" cm="1">
        <f t="array" ref="M566">_xlfn.IFS(B566&lt;18,"Under 18",B566 &lt;=25,"18-25",B566&lt;=35,"26-35",B566&lt;=45,"36-45",B566&lt;=60,"46-60",TRUE,"60+")</f>
        <v>46-60</v>
      </c>
      <c r="N566" t="str">
        <f t="shared" si="25"/>
        <v>Discounted</v>
      </c>
      <c r="O566" t="str">
        <f t="shared" si="26"/>
        <v>Returning</v>
      </c>
    </row>
    <row r="567" spans="1:15" x14ac:dyDescent="0.25">
      <c r="A567">
        <v>566</v>
      </c>
      <c r="B567">
        <v>41</v>
      </c>
      <c r="C567" t="s">
        <v>11</v>
      </c>
      <c r="D567" t="s">
        <v>29</v>
      </c>
      <c r="E567" t="s">
        <v>51</v>
      </c>
      <c r="F567" s="1">
        <v>34.299999999999997</v>
      </c>
      <c r="G567" t="s">
        <v>14</v>
      </c>
      <c r="H567" t="s">
        <v>15</v>
      </c>
      <c r="I567" s="2">
        <v>3.3</v>
      </c>
      <c r="J567" s="4">
        <v>4</v>
      </c>
      <c r="K567" s="3">
        <v>2</v>
      </c>
      <c r="L567" s="1">
        <f t="shared" si="24"/>
        <v>32.927999999999997</v>
      </c>
      <c r="M567" t="str" cm="1">
        <f t="array" ref="M567">_xlfn.IFS(B567&lt;18,"Under 18",B567 &lt;=25,"18-25",B567&lt;=35,"26-35",B567&lt;=45,"36-45",B567&lt;=60,"46-60",TRUE,"60+")</f>
        <v>36-45</v>
      </c>
      <c r="N567" t="str">
        <f t="shared" si="25"/>
        <v>Discounted</v>
      </c>
      <c r="O567" t="str">
        <f t="shared" si="26"/>
        <v>Returning</v>
      </c>
    </row>
    <row r="568" spans="1:15" x14ac:dyDescent="0.25">
      <c r="A568">
        <v>567</v>
      </c>
      <c r="B568">
        <v>29</v>
      </c>
      <c r="C568" t="s">
        <v>16</v>
      </c>
      <c r="D568" t="s">
        <v>20</v>
      </c>
      <c r="E568" t="s">
        <v>21</v>
      </c>
      <c r="F568" s="1">
        <v>162.96</v>
      </c>
      <c r="G568" t="s">
        <v>31</v>
      </c>
      <c r="H568" t="s">
        <v>15</v>
      </c>
      <c r="I568" s="2">
        <v>3.9</v>
      </c>
      <c r="J568" s="4">
        <v>19</v>
      </c>
      <c r="K568" s="3">
        <v>7</v>
      </c>
      <c r="L568" s="1">
        <f t="shared" si="24"/>
        <v>131.99760000000001</v>
      </c>
      <c r="M568" t="str" cm="1">
        <f t="array" ref="M568">_xlfn.IFS(B568&lt;18,"Under 18",B568 &lt;=25,"18-25",B568&lt;=35,"26-35",B568&lt;=45,"36-45",B568&lt;=60,"46-60",TRUE,"60+")</f>
        <v>26-35</v>
      </c>
      <c r="N568" t="str">
        <f t="shared" si="25"/>
        <v>Discounted</v>
      </c>
      <c r="O568" t="str">
        <f t="shared" si="26"/>
        <v>Returning</v>
      </c>
    </row>
    <row r="569" spans="1:15" x14ac:dyDescent="0.25">
      <c r="A569">
        <v>568</v>
      </c>
      <c r="B569">
        <v>45</v>
      </c>
      <c r="C569" t="s">
        <v>16</v>
      </c>
      <c r="D569" t="s">
        <v>27</v>
      </c>
      <c r="E569" t="s">
        <v>49</v>
      </c>
      <c r="F569" s="1">
        <v>2785.85</v>
      </c>
      <c r="G569" t="s">
        <v>19</v>
      </c>
      <c r="H569" t="s">
        <v>15</v>
      </c>
      <c r="I569" s="2">
        <v>3.4</v>
      </c>
      <c r="J569" s="4">
        <v>18</v>
      </c>
      <c r="K569" s="3">
        <v>4</v>
      </c>
      <c r="L569" s="1">
        <f t="shared" si="24"/>
        <v>2284.3969999999999</v>
      </c>
      <c r="M569" t="str" cm="1">
        <f t="array" ref="M569">_xlfn.IFS(B569&lt;18,"Under 18",B569 &lt;=25,"18-25",B569&lt;=35,"26-35",B569&lt;=45,"36-45",B569&lt;=60,"46-60",TRUE,"60+")</f>
        <v>36-45</v>
      </c>
      <c r="N569" t="str">
        <f t="shared" si="25"/>
        <v>Discounted</v>
      </c>
      <c r="O569" t="str">
        <f t="shared" si="26"/>
        <v>Returning</v>
      </c>
    </row>
    <row r="570" spans="1:15" x14ac:dyDescent="0.25">
      <c r="A570">
        <v>569</v>
      </c>
      <c r="B570">
        <v>67</v>
      </c>
      <c r="C570" t="s">
        <v>16</v>
      </c>
      <c r="D570" t="s">
        <v>33</v>
      </c>
      <c r="E570" t="s">
        <v>38</v>
      </c>
      <c r="F570" s="1">
        <v>79.989999999999995</v>
      </c>
      <c r="G570" t="s">
        <v>19</v>
      </c>
      <c r="H570" t="s">
        <v>15</v>
      </c>
      <c r="I570" s="2">
        <v>3.5</v>
      </c>
      <c r="J570" s="4">
        <v>12</v>
      </c>
      <c r="K570" s="3">
        <v>1</v>
      </c>
      <c r="L570" s="1">
        <f t="shared" si="24"/>
        <v>70.391199999999998</v>
      </c>
      <c r="M570" t="str" cm="1">
        <f t="array" ref="M570">_xlfn.IFS(B570&lt;18,"Under 18",B570 &lt;=25,"18-25",B570&lt;=35,"26-35",B570&lt;=45,"36-45",B570&lt;=60,"46-60",TRUE,"60+")</f>
        <v>60+</v>
      </c>
      <c r="N570" t="str">
        <f t="shared" si="25"/>
        <v>Discounted</v>
      </c>
      <c r="O570" t="str">
        <f t="shared" si="26"/>
        <v>Returning</v>
      </c>
    </row>
    <row r="571" spans="1:15" x14ac:dyDescent="0.25">
      <c r="A571">
        <v>570</v>
      </c>
      <c r="B571">
        <v>24</v>
      </c>
      <c r="C571" t="s">
        <v>11</v>
      </c>
      <c r="D571" t="s">
        <v>41</v>
      </c>
      <c r="E571" t="s">
        <v>42</v>
      </c>
      <c r="F571" s="1">
        <v>33.979999999999997</v>
      </c>
      <c r="G571" t="s">
        <v>19</v>
      </c>
      <c r="H571" t="s">
        <v>15</v>
      </c>
      <c r="I571" s="2">
        <v>2.1</v>
      </c>
      <c r="J571" s="4">
        <v>15</v>
      </c>
      <c r="K571" s="3">
        <v>5</v>
      </c>
      <c r="L571" s="1">
        <f t="shared" si="24"/>
        <v>28.882999999999996</v>
      </c>
      <c r="M571" t="str" cm="1">
        <f t="array" ref="M571">_xlfn.IFS(B571&lt;18,"Under 18",B571 &lt;=25,"18-25",B571&lt;=35,"26-35",B571&lt;=45,"36-45",B571&lt;=60,"46-60",TRUE,"60+")</f>
        <v>18-25</v>
      </c>
      <c r="N571" t="str">
        <f t="shared" si="25"/>
        <v>Discounted</v>
      </c>
      <c r="O571" t="str">
        <f t="shared" si="26"/>
        <v>Returning</v>
      </c>
    </row>
    <row r="572" spans="1:15" x14ac:dyDescent="0.25">
      <c r="A572">
        <v>571</v>
      </c>
      <c r="B572">
        <v>32</v>
      </c>
      <c r="C572" t="s">
        <v>16</v>
      </c>
      <c r="D572" t="s">
        <v>27</v>
      </c>
      <c r="E572" t="s">
        <v>53</v>
      </c>
      <c r="F572" s="1">
        <v>2562.09</v>
      </c>
      <c r="G572" t="s">
        <v>24</v>
      </c>
      <c r="H572" t="s">
        <v>15</v>
      </c>
      <c r="I572" s="2">
        <v>3.7</v>
      </c>
      <c r="J572" s="4">
        <v>14</v>
      </c>
      <c r="K572" s="3">
        <v>7</v>
      </c>
      <c r="L572" s="1">
        <f t="shared" si="24"/>
        <v>2203.3974000000003</v>
      </c>
      <c r="M572" t="str" cm="1">
        <f t="array" ref="M572">_xlfn.IFS(B572&lt;18,"Under 18",B572 &lt;=25,"18-25",B572&lt;=35,"26-35",B572&lt;=45,"36-45",B572&lt;=60,"46-60",TRUE,"60+")</f>
        <v>26-35</v>
      </c>
      <c r="N572" t="str">
        <f t="shared" si="25"/>
        <v>Discounted</v>
      </c>
      <c r="O572" t="str">
        <f t="shared" si="26"/>
        <v>Returning</v>
      </c>
    </row>
    <row r="573" spans="1:15" x14ac:dyDescent="0.25">
      <c r="A573">
        <v>572</v>
      </c>
      <c r="B573">
        <v>69</v>
      </c>
      <c r="C573" t="s">
        <v>11</v>
      </c>
      <c r="D573" t="s">
        <v>29</v>
      </c>
      <c r="E573" t="s">
        <v>51</v>
      </c>
      <c r="F573" s="1">
        <v>55.71</v>
      </c>
      <c r="G573" t="s">
        <v>19</v>
      </c>
      <c r="H573" t="s">
        <v>15</v>
      </c>
      <c r="I573" s="2">
        <v>2.9</v>
      </c>
      <c r="J573" s="4">
        <v>15</v>
      </c>
      <c r="K573" s="3">
        <v>5</v>
      </c>
      <c r="L573" s="1">
        <f t="shared" si="24"/>
        <v>47.353499999999997</v>
      </c>
      <c r="M573" t="str" cm="1">
        <f t="array" ref="M573">_xlfn.IFS(B573&lt;18,"Under 18",B573 &lt;=25,"18-25",B573&lt;=35,"26-35",B573&lt;=45,"36-45",B573&lt;=60,"46-60",TRUE,"60+")</f>
        <v>60+</v>
      </c>
      <c r="N573" t="str">
        <f t="shared" si="25"/>
        <v>Discounted</v>
      </c>
      <c r="O573" t="str">
        <f t="shared" si="26"/>
        <v>Returning</v>
      </c>
    </row>
    <row r="574" spans="1:15" x14ac:dyDescent="0.25">
      <c r="A574">
        <v>573</v>
      </c>
      <c r="B574">
        <v>61</v>
      </c>
      <c r="C574" t="s">
        <v>16</v>
      </c>
      <c r="D574" t="s">
        <v>33</v>
      </c>
      <c r="E574" t="s">
        <v>38</v>
      </c>
      <c r="F574" s="1">
        <v>41.13</v>
      </c>
      <c r="G574" t="s">
        <v>31</v>
      </c>
      <c r="H574" t="s">
        <v>37</v>
      </c>
      <c r="I574" s="2">
        <v>5</v>
      </c>
      <c r="J574" s="4">
        <v>17</v>
      </c>
      <c r="K574" s="3">
        <v>6</v>
      </c>
      <c r="L574" s="1">
        <f t="shared" si="24"/>
        <v>34.137900000000002</v>
      </c>
      <c r="M574" t="str" cm="1">
        <f t="array" ref="M574">_xlfn.IFS(B574&lt;18,"Under 18",B574 &lt;=25,"18-25",B574&lt;=35,"26-35",B574&lt;=45,"36-45",B574&lt;=60,"46-60",TRUE,"60+")</f>
        <v>60+</v>
      </c>
      <c r="N574" t="str">
        <f t="shared" si="25"/>
        <v>Discounted</v>
      </c>
      <c r="O574" t="str">
        <f t="shared" si="26"/>
        <v>Returning</v>
      </c>
    </row>
    <row r="575" spans="1:15" x14ac:dyDescent="0.25">
      <c r="A575">
        <v>574</v>
      </c>
      <c r="B575">
        <v>46</v>
      </c>
      <c r="C575" t="s">
        <v>11</v>
      </c>
      <c r="D575" t="s">
        <v>41</v>
      </c>
      <c r="E575" t="s">
        <v>44</v>
      </c>
      <c r="F575" s="1">
        <v>62.15</v>
      </c>
      <c r="G575" t="s">
        <v>31</v>
      </c>
      <c r="H575" t="s">
        <v>37</v>
      </c>
      <c r="I575" s="2">
        <v>3.8</v>
      </c>
      <c r="J575" s="4">
        <v>22</v>
      </c>
      <c r="K575" s="3">
        <v>6</v>
      </c>
      <c r="L575" s="1">
        <f t="shared" si="24"/>
        <v>48.477000000000004</v>
      </c>
      <c r="M575" t="str" cm="1">
        <f t="array" ref="M575">_xlfn.IFS(B575&lt;18,"Under 18",B575 &lt;=25,"18-25",B575&lt;=35,"26-35",B575&lt;=45,"36-45",B575&lt;=60,"46-60",TRUE,"60+")</f>
        <v>46-60</v>
      </c>
      <c r="N575" t="str">
        <f t="shared" si="25"/>
        <v>Discounted</v>
      </c>
      <c r="O575" t="str">
        <f t="shared" si="26"/>
        <v>Returning</v>
      </c>
    </row>
    <row r="576" spans="1:15" x14ac:dyDescent="0.25">
      <c r="A576">
        <v>575</v>
      </c>
      <c r="B576">
        <v>44</v>
      </c>
      <c r="C576" t="s">
        <v>16</v>
      </c>
      <c r="D576" t="s">
        <v>22</v>
      </c>
      <c r="E576" t="s">
        <v>23</v>
      </c>
      <c r="F576" s="1">
        <v>124.45</v>
      </c>
      <c r="G576" t="s">
        <v>31</v>
      </c>
      <c r="H576" t="s">
        <v>15</v>
      </c>
      <c r="I576" s="2">
        <v>5</v>
      </c>
      <c r="J576" s="4">
        <v>9</v>
      </c>
      <c r="K576" s="3">
        <v>2</v>
      </c>
      <c r="L576" s="1">
        <f t="shared" si="24"/>
        <v>113.24950000000001</v>
      </c>
      <c r="M576" t="str" cm="1">
        <f t="array" ref="M576">_xlfn.IFS(B576&lt;18,"Under 18",B576 &lt;=25,"18-25",B576&lt;=35,"26-35",B576&lt;=45,"36-45",B576&lt;=60,"46-60",TRUE,"60+")</f>
        <v>36-45</v>
      </c>
      <c r="N576" t="str">
        <f t="shared" si="25"/>
        <v>Discounted</v>
      </c>
      <c r="O576" t="str">
        <f t="shared" si="26"/>
        <v>Returning</v>
      </c>
    </row>
    <row r="577" spans="1:15" x14ac:dyDescent="0.25">
      <c r="A577">
        <v>576</v>
      </c>
      <c r="B577">
        <v>46</v>
      </c>
      <c r="C577" t="s">
        <v>16</v>
      </c>
      <c r="D577" t="s">
        <v>33</v>
      </c>
      <c r="E577" t="s">
        <v>40</v>
      </c>
      <c r="F577" s="1">
        <v>75.37</v>
      </c>
      <c r="G577" t="s">
        <v>24</v>
      </c>
      <c r="H577" t="s">
        <v>15</v>
      </c>
      <c r="I577" s="2">
        <v>3.7</v>
      </c>
      <c r="J577" s="4">
        <v>20</v>
      </c>
      <c r="K577" s="3">
        <v>10</v>
      </c>
      <c r="L577" s="1">
        <f t="shared" si="24"/>
        <v>60.296000000000006</v>
      </c>
      <c r="M577" t="str" cm="1">
        <f t="array" ref="M577">_xlfn.IFS(B577&lt;18,"Under 18",B577 &lt;=25,"18-25",B577&lt;=35,"26-35",B577&lt;=45,"36-45",B577&lt;=60,"46-60",TRUE,"60+")</f>
        <v>46-60</v>
      </c>
      <c r="N577" t="str">
        <f t="shared" si="25"/>
        <v>Discounted</v>
      </c>
      <c r="O577" t="str">
        <f t="shared" si="26"/>
        <v>Returning</v>
      </c>
    </row>
    <row r="578" spans="1:15" x14ac:dyDescent="0.25">
      <c r="A578">
        <v>577</v>
      </c>
      <c r="B578">
        <v>30</v>
      </c>
      <c r="C578" t="s">
        <v>16</v>
      </c>
      <c r="D578" t="s">
        <v>20</v>
      </c>
      <c r="E578" t="s">
        <v>36</v>
      </c>
      <c r="F578" s="1">
        <v>141.81</v>
      </c>
      <c r="G578" t="s">
        <v>24</v>
      </c>
      <c r="H578" t="s">
        <v>15</v>
      </c>
      <c r="I578" s="2">
        <v>4.9000000000000004</v>
      </c>
      <c r="J578" s="4">
        <v>13</v>
      </c>
      <c r="K578" s="3">
        <v>4</v>
      </c>
      <c r="L578" s="1">
        <f t="shared" si="24"/>
        <v>123.3747</v>
      </c>
      <c r="M578" t="str" cm="1">
        <f t="array" ref="M578">_xlfn.IFS(B578&lt;18,"Under 18",B578 &lt;=25,"18-25",B578&lt;=35,"26-35",B578&lt;=45,"36-45",B578&lt;=60,"46-60",TRUE,"60+")</f>
        <v>26-35</v>
      </c>
      <c r="N578" t="str">
        <f t="shared" si="25"/>
        <v>Discounted</v>
      </c>
      <c r="O578" t="str">
        <f t="shared" si="26"/>
        <v>Returning</v>
      </c>
    </row>
    <row r="579" spans="1:15" x14ac:dyDescent="0.25">
      <c r="A579">
        <v>578</v>
      </c>
      <c r="B579">
        <v>38</v>
      </c>
      <c r="C579" t="s">
        <v>16</v>
      </c>
      <c r="D579" t="s">
        <v>17</v>
      </c>
      <c r="E579" t="s">
        <v>42</v>
      </c>
      <c r="F579" s="1">
        <v>173.03</v>
      </c>
      <c r="G579" t="s">
        <v>14</v>
      </c>
      <c r="H579" t="s">
        <v>15</v>
      </c>
      <c r="I579" s="2">
        <v>2.6</v>
      </c>
      <c r="J579" s="4">
        <v>13</v>
      </c>
      <c r="K579" s="3">
        <v>4</v>
      </c>
      <c r="L579" s="1">
        <f t="shared" ref="L579:L642" si="27">F579 * (1 - J579 / 100)</f>
        <v>150.5361</v>
      </c>
      <c r="M579" t="str" cm="1">
        <f t="array" ref="M579">_xlfn.IFS(B579&lt;18,"Under 18",B579 &lt;=25,"18-25",B579&lt;=35,"26-35",B579&lt;=45,"36-45",B579&lt;=60,"46-60",TRUE,"60+")</f>
        <v>36-45</v>
      </c>
      <c r="N579" t="str">
        <f t="shared" ref="N579:N642" si="28">IF(J579&gt;0,"Discounted","No Discount")</f>
        <v>Discounted</v>
      </c>
      <c r="O579" t="str">
        <f t="shared" ref="O579:O642" si="29">IF(K579&gt;0,"Returning","New")</f>
        <v>Returning</v>
      </c>
    </row>
    <row r="580" spans="1:15" x14ac:dyDescent="0.25">
      <c r="A580">
        <v>579</v>
      </c>
      <c r="B580">
        <v>26</v>
      </c>
      <c r="C580" t="s">
        <v>11</v>
      </c>
      <c r="D580" t="s">
        <v>22</v>
      </c>
      <c r="E580" t="s">
        <v>23</v>
      </c>
      <c r="F580" s="1">
        <v>174.88</v>
      </c>
      <c r="G580" t="s">
        <v>14</v>
      </c>
      <c r="H580" t="s">
        <v>15</v>
      </c>
      <c r="I580" s="2">
        <v>4.4000000000000004</v>
      </c>
      <c r="J580" s="4">
        <v>14</v>
      </c>
      <c r="K580" s="3">
        <v>2</v>
      </c>
      <c r="L580" s="1">
        <f t="shared" si="27"/>
        <v>150.39679999999998</v>
      </c>
      <c r="M580" t="str" cm="1">
        <f t="array" ref="M580">_xlfn.IFS(B580&lt;18,"Under 18",B580 &lt;=25,"18-25",B580&lt;=35,"26-35",B580&lt;=45,"36-45",B580&lt;=60,"46-60",TRUE,"60+")</f>
        <v>26-35</v>
      </c>
      <c r="N580" t="str">
        <f t="shared" si="28"/>
        <v>Discounted</v>
      </c>
      <c r="O580" t="str">
        <f t="shared" si="29"/>
        <v>Returning</v>
      </c>
    </row>
    <row r="581" spans="1:15" x14ac:dyDescent="0.25">
      <c r="A581">
        <v>580</v>
      </c>
      <c r="B581">
        <v>42</v>
      </c>
      <c r="C581" t="s">
        <v>11</v>
      </c>
      <c r="D581" t="s">
        <v>29</v>
      </c>
      <c r="E581" t="s">
        <v>30</v>
      </c>
      <c r="F581" s="1">
        <v>48.19</v>
      </c>
      <c r="G581" t="s">
        <v>24</v>
      </c>
      <c r="H581" t="s">
        <v>15</v>
      </c>
      <c r="I581" s="2">
        <v>2.7</v>
      </c>
      <c r="J581" s="4">
        <v>12</v>
      </c>
      <c r="K581" s="3">
        <v>6</v>
      </c>
      <c r="L581" s="1">
        <f t="shared" si="27"/>
        <v>42.407199999999996</v>
      </c>
      <c r="M581" t="str" cm="1">
        <f t="array" ref="M581">_xlfn.IFS(B581&lt;18,"Under 18",B581 &lt;=25,"18-25",B581&lt;=35,"26-35",B581&lt;=45,"36-45",B581&lt;=60,"46-60",TRUE,"60+")</f>
        <v>36-45</v>
      </c>
      <c r="N581" t="str">
        <f t="shared" si="28"/>
        <v>Discounted</v>
      </c>
      <c r="O581" t="str">
        <f t="shared" si="29"/>
        <v>Returning</v>
      </c>
    </row>
    <row r="582" spans="1:15" x14ac:dyDescent="0.25">
      <c r="A582">
        <v>581</v>
      </c>
      <c r="B582">
        <v>37</v>
      </c>
      <c r="C582" t="s">
        <v>16</v>
      </c>
      <c r="D582" t="s">
        <v>27</v>
      </c>
      <c r="E582" t="s">
        <v>49</v>
      </c>
      <c r="F582" s="1">
        <v>714.78</v>
      </c>
      <c r="G582" t="s">
        <v>24</v>
      </c>
      <c r="H582" t="s">
        <v>15</v>
      </c>
      <c r="I582" s="2">
        <v>4</v>
      </c>
      <c r="J582" s="4">
        <v>12</v>
      </c>
      <c r="K582" s="3">
        <v>6</v>
      </c>
      <c r="L582" s="1">
        <f t="shared" si="27"/>
        <v>629.00639999999999</v>
      </c>
      <c r="M582" t="str" cm="1">
        <f t="array" ref="M582">_xlfn.IFS(B582&lt;18,"Under 18",B582 &lt;=25,"18-25",B582&lt;=35,"26-35",B582&lt;=45,"36-45",B582&lt;=60,"46-60",TRUE,"60+")</f>
        <v>36-45</v>
      </c>
      <c r="N582" t="str">
        <f t="shared" si="28"/>
        <v>Discounted</v>
      </c>
      <c r="O582" t="str">
        <f t="shared" si="29"/>
        <v>Returning</v>
      </c>
    </row>
    <row r="583" spans="1:15" x14ac:dyDescent="0.25">
      <c r="A583">
        <v>582</v>
      </c>
      <c r="B583">
        <v>54</v>
      </c>
      <c r="C583" t="s">
        <v>11</v>
      </c>
      <c r="D583" t="s">
        <v>20</v>
      </c>
      <c r="E583" t="s">
        <v>39</v>
      </c>
      <c r="F583" s="1">
        <v>30.19</v>
      </c>
      <c r="G583" t="s">
        <v>14</v>
      </c>
      <c r="H583" t="s">
        <v>37</v>
      </c>
      <c r="I583" s="2">
        <v>4.2</v>
      </c>
      <c r="J583" s="4">
        <v>13</v>
      </c>
      <c r="K583" s="3">
        <v>4</v>
      </c>
      <c r="L583" s="1">
        <f t="shared" si="27"/>
        <v>26.2653</v>
      </c>
      <c r="M583" t="str" cm="1">
        <f t="array" ref="M583">_xlfn.IFS(B583&lt;18,"Under 18",B583 &lt;=25,"18-25",B583&lt;=35,"26-35",B583&lt;=45,"36-45",B583&lt;=60,"46-60",TRUE,"60+")</f>
        <v>46-60</v>
      </c>
      <c r="N583" t="str">
        <f t="shared" si="28"/>
        <v>Discounted</v>
      </c>
      <c r="O583" t="str">
        <f t="shared" si="29"/>
        <v>Returning</v>
      </c>
    </row>
    <row r="584" spans="1:15" x14ac:dyDescent="0.25">
      <c r="A584">
        <v>583</v>
      </c>
      <c r="B584">
        <v>68</v>
      </c>
      <c r="C584" t="s">
        <v>11</v>
      </c>
      <c r="D584" t="s">
        <v>29</v>
      </c>
      <c r="E584" t="s">
        <v>51</v>
      </c>
      <c r="F584" s="1">
        <v>120.37</v>
      </c>
      <c r="G584" t="s">
        <v>24</v>
      </c>
      <c r="H584" t="s">
        <v>15</v>
      </c>
      <c r="I584" s="2">
        <v>2.9</v>
      </c>
      <c r="J584" s="4">
        <v>24</v>
      </c>
      <c r="K584" s="3">
        <v>7</v>
      </c>
      <c r="L584" s="1">
        <f t="shared" si="27"/>
        <v>91.481200000000001</v>
      </c>
      <c r="M584" t="str" cm="1">
        <f t="array" ref="M584">_xlfn.IFS(B584&lt;18,"Under 18",B584 &lt;=25,"18-25",B584&lt;=35,"26-35",B584&lt;=45,"36-45",B584&lt;=60,"46-60",TRUE,"60+")</f>
        <v>60+</v>
      </c>
      <c r="N584" t="str">
        <f t="shared" si="28"/>
        <v>Discounted</v>
      </c>
      <c r="O584" t="str">
        <f t="shared" si="29"/>
        <v>Returning</v>
      </c>
    </row>
    <row r="585" spans="1:15" x14ac:dyDescent="0.25">
      <c r="A585">
        <v>584</v>
      </c>
      <c r="B585">
        <v>38</v>
      </c>
      <c r="C585" t="s">
        <v>11</v>
      </c>
      <c r="D585" t="s">
        <v>41</v>
      </c>
      <c r="E585" t="s">
        <v>46</v>
      </c>
      <c r="F585" s="1">
        <v>185.35</v>
      </c>
      <c r="G585" t="s">
        <v>24</v>
      </c>
      <c r="H585" t="s">
        <v>15</v>
      </c>
      <c r="I585" s="2">
        <v>4.9000000000000004</v>
      </c>
      <c r="J585" s="4">
        <v>12</v>
      </c>
      <c r="K585" s="3">
        <v>6</v>
      </c>
      <c r="L585" s="1">
        <f t="shared" si="27"/>
        <v>163.108</v>
      </c>
      <c r="M585" t="str" cm="1">
        <f t="array" ref="M585">_xlfn.IFS(B585&lt;18,"Under 18",B585 &lt;=25,"18-25",B585&lt;=35,"26-35",B585&lt;=45,"36-45",B585&lt;=60,"46-60",TRUE,"60+")</f>
        <v>36-45</v>
      </c>
      <c r="N585" t="str">
        <f t="shared" si="28"/>
        <v>Discounted</v>
      </c>
      <c r="O585" t="str">
        <f t="shared" si="29"/>
        <v>Returning</v>
      </c>
    </row>
    <row r="586" spans="1:15" x14ac:dyDescent="0.25">
      <c r="A586">
        <v>585</v>
      </c>
      <c r="B586">
        <v>25</v>
      </c>
      <c r="C586" t="s">
        <v>16</v>
      </c>
      <c r="D586" t="s">
        <v>27</v>
      </c>
      <c r="E586" t="s">
        <v>32</v>
      </c>
      <c r="F586" s="1">
        <v>1495.63</v>
      </c>
      <c r="G586" t="s">
        <v>31</v>
      </c>
      <c r="H586" t="s">
        <v>15</v>
      </c>
      <c r="I586" s="2">
        <v>3.8</v>
      </c>
      <c r="J586" s="4">
        <v>14</v>
      </c>
      <c r="K586" s="3">
        <v>2</v>
      </c>
      <c r="L586" s="1">
        <f t="shared" si="27"/>
        <v>1286.2418</v>
      </c>
      <c r="M586" t="str" cm="1">
        <f t="array" ref="M586">_xlfn.IFS(B586&lt;18,"Under 18",B586 &lt;=25,"18-25",B586&lt;=35,"26-35",B586&lt;=45,"36-45",B586&lt;=60,"46-60",TRUE,"60+")</f>
        <v>18-25</v>
      </c>
      <c r="N586" t="str">
        <f t="shared" si="28"/>
        <v>Discounted</v>
      </c>
      <c r="O586" t="str">
        <f t="shared" si="29"/>
        <v>Returning</v>
      </c>
    </row>
    <row r="587" spans="1:15" x14ac:dyDescent="0.25">
      <c r="A587">
        <v>586</v>
      </c>
      <c r="B587">
        <v>42</v>
      </c>
      <c r="C587" t="s">
        <v>16</v>
      </c>
      <c r="D587" t="s">
        <v>27</v>
      </c>
      <c r="E587" t="s">
        <v>28</v>
      </c>
      <c r="F587" s="1">
        <v>1552.24</v>
      </c>
      <c r="G587" t="s">
        <v>14</v>
      </c>
      <c r="H587" t="s">
        <v>15</v>
      </c>
      <c r="I587" s="2">
        <v>3.8</v>
      </c>
      <c r="J587" s="4">
        <v>17</v>
      </c>
      <c r="K587" s="3">
        <v>6</v>
      </c>
      <c r="L587" s="1">
        <f t="shared" si="27"/>
        <v>1288.3591999999999</v>
      </c>
      <c r="M587" t="str" cm="1">
        <f t="array" ref="M587">_xlfn.IFS(B587&lt;18,"Under 18",B587 &lt;=25,"18-25",B587&lt;=35,"26-35",B587&lt;=45,"36-45",B587&lt;=60,"46-60",TRUE,"60+")</f>
        <v>36-45</v>
      </c>
      <c r="N587" t="str">
        <f t="shared" si="28"/>
        <v>Discounted</v>
      </c>
      <c r="O587" t="str">
        <f t="shared" si="29"/>
        <v>Returning</v>
      </c>
    </row>
    <row r="588" spans="1:15" x14ac:dyDescent="0.25">
      <c r="A588">
        <v>587</v>
      </c>
      <c r="B588">
        <v>26</v>
      </c>
      <c r="C588" t="s">
        <v>16</v>
      </c>
      <c r="D588" t="s">
        <v>20</v>
      </c>
      <c r="E588" t="s">
        <v>21</v>
      </c>
      <c r="F588" s="1">
        <v>175.47</v>
      </c>
      <c r="G588" t="s">
        <v>14</v>
      </c>
      <c r="H588" t="s">
        <v>15</v>
      </c>
      <c r="I588" s="2">
        <v>3</v>
      </c>
      <c r="J588" s="4">
        <v>13</v>
      </c>
      <c r="K588" s="3">
        <v>4</v>
      </c>
      <c r="L588" s="1">
        <f t="shared" si="27"/>
        <v>152.65889999999999</v>
      </c>
      <c r="M588" t="str" cm="1">
        <f t="array" ref="M588">_xlfn.IFS(B588&lt;18,"Under 18",B588 &lt;=25,"18-25",B588&lt;=35,"26-35",B588&lt;=45,"36-45",B588&lt;=60,"46-60",TRUE,"60+")</f>
        <v>26-35</v>
      </c>
      <c r="N588" t="str">
        <f t="shared" si="28"/>
        <v>Discounted</v>
      </c>
      <c r="O588" t="str">
        <f t="shared" si="29"/>
        <v>Returning</v>
      </c>
    </row>
    <row r="589" spans="1:15" x14ac:dyDescent="0.25">
      <c r="A589">
        <v>588</v>
      </c>
      <c r="B589">
        <v>45</v>
      </c>
      <c r="C589" t="s">
        <v>16</v>
      </c>
      <c r="D589" t="s">
        <v>20</v>
      </c>
      <c r="E589" t="s">
        <v>21</v>
      </c>
      <c r="F589" s="1">
        <v>136.12</v>
      </c>
      <c r="G589" t="s">
        <v>19</v>
      </c>
      <c r="H589" t="s">
        <v>15</v>
      </c>
      <c r="I589" s="2">
        <v>4.5</v>
      </c>
      <c r="J589" s="4">
        <v>23</v>
      </c>
      <c r="K589" s="3">
        <v>9</v>
      </c>
      <c r="L589" s="1">
        <f t="shared" si="27"/>
        <v>104.81240000000001</v>
      </c>
      <c r="M589" t="str" cm="1">
        <f t="array" ref="M589">_xlfn.IFS(B589&lt;18,"Under 18",B589 &lt;=25,"18-25",B589&lt;=35,"26-35",B589&lt;=45,"36-45",B589&lt;=60,"46-60",TRUE,"60+")</f>
        <v>36-45</v>
      </c>
      <c r="N589" t="str">
        <f t="shared" si="28"/>
        <v>Discounted</v>
      </c>
      <c r="O589" t="str">
        <f t="shared" si="29"/>
        <v>Returning</v>
      </c>
    </row>
    <row r="590" spans="1:15" x14ac:dyDescent="0.25">
      <c r="A590">
        <v>589</v>
      </c>
      <c r="B590">
        <v>22</v>
      </c>
      <c r="C590" t="s">
        <v>11</v>
      </c>
      <c r="D590" t="s">
        <v>33</v>
      </c>
      <c r="E590" t="s">
        <v>40</v>
      </c>
      <c r="F590" s="1">
        <v>174.5</v>
      </c>
      <c r="G590" t="s">
        <v>14</v>
      </c>
      <c r="H590" t="s">
        <v>15</v>
      </c>
      <c r="I590" s="2">
        <v>3.7</v>
      </c>
      <c r="J590" s="4">
        <v>14</v>
      </c>
      <c r="K590" s="3">
        <v>2</v>
      </c>
      <c r="L590" s="1">
        <f t="shared" si="27"/>
        <v>150.07</v>
      </c>
      <c r="M590" t="str" cm="1">
        <f t="array" ref="M590">_xlfn.IFS(B590&lt;18,"Under 18",B590 &lt;=25,"18-25",B590&lt;=35,"26-35",B590&lt;=45,"36-45",B590&lt;=60,"46-60",TRUE,"60+")</f>
        <v>18-25</v>
      </c>
      <c r="N590" t="str">
        <f t="shared" si="28"/>
        <v>Discounted</v>
      </c>
      <c r="O590" t="str">
        <f t="shared" si="29"/>
        <v>Returning</v>
      </c>
    </row>
    <row r="591" spans="1:15" x14ac:dyDescent="0.25">
      <c r="A591">
        <v>590</v>
      </c>
      <c r="B591">
        <v>40</v>
      </c>
      <c r="C591" t="s">
        <v>16</v>
      </c>
      <c r="D591" t="s">
        <v>22</v>
      </c>
      <c r="E591" t="s">
        <v>43</v>
      </c>
      <c r="F591" s="1">
        <v>136.29</v>
      </c>
      <c r="G591" t="s">
        <v>24</v>
      </c>
      <c r="H591" t="s">
        <v>15</v>
      </c>
      <c r="I591" s="2">
        <v>2.9</v>
      </c>
      <c r="J591" s="4">
        <v>13</v>
      </c>
      <c r="K591" s="3">
        <v>4</v>
      </c>
      <c r="L591" s="1">
        <f t="shared" si="27"/>
        <v>118.5723</v>
      </c>
      <c r="M591" t="str" cm="1">
        <f t="array" ref="M591">_xlfn.IFS(B591&lt;18,"Under 18",B591 &lt;=25,"18-25",B591&lt;=35,"26-35",B591&lt;=45,"36-45",B591&lt;=60,"46-60",TRUE,"60+")</f>
        <v>36-45</v>
      </c>
      <c r="N591" t="str">
        <f t="shared" si="28"/>
        <v>Discounted</v>
      </c>
      <c r="O591" t="str">
        <f t="shared" si="29"/>
        <v>Returning</v>
      </c>
    </row>
    <row r="592" spans="1:15" x14ac:dyDescent="0.25">
      <c r="A592">
        <v>591</v>
      </c>
      <c r="B592">
        <v>44</v>
      </c>
      <c r="C592" t="s">
        <v>11</v>
      </c>
      <c r="D592" t="s">
        <v>33</v>
      </c>
      <c r="E592" t="s">
        <v>38</v>
      </c>
      <c r="F592" s="1">
        <v>62.11</v>
      </c>
      <c r="G592" t="s">
        <v>31</v>
      </c>
      <c r="H592" t="s">
        <v>15</v>
      </c>
      <c r="I592" s="2">
        <v>2.9</v>
      </c>
      <c r="J592" s="4">
        <v>19</v>
      </c>
      <c r="K592" s="3">
        <v>7</v>
      </c>
      <c r="L592" s="1">
        <f t="shared" si="27"/>
        <v>50.309100000000001</v>
      </c>
      <c r="M592" t="str" cm="1">
        <f t="array" ref="M592">_xlfn.IFS(B592&lt;18,"Under 18",B592 &lt;=25,"18-25",B592&lt;=35,"26-35",B592&lt;=45,"36-45",B592&lt;=60,"46-60",TRUE,"60+")</f>
        <v>36-45</v>
      </c>
      <c r="N592" t="str">
        <f t="shared" si="28"/>
        <v>Discounted</v>
      </c>
      <c r="O592" t="str">
        <f t="shared" si="29"/>
        <v>Returning</v>
      </c>
    </row>
    <row r="593" spans="1:15" x14ac:dyDescent="0.25">
      <c r="A593">
        <v>592</v>
      </c>
      <c r="B593">
        <v>31</v>
      </c>
      <c r="C593" t="s">
        <v>16</v>
      </c>
      <c r="D593" t="s">
        <v>20</v>
      </c>
      <c r="E593" t="s">
        <v>21</v>
      </c>
      <c r="F593" s="1">
        <v>209.64</v>
      </c>
      <c r="G593" t="s">
        <v>14</v>
      </c>
      <c r="H593" t="s">
        <v>15</v>
      </c>
      <c r="I593" s="2">
        <v>4.5999999999999996</v>
      </c>
      <c r="J593" s="4">
        <v>11</v>
      </c>
      <c r="K593" s="3">
        <v>3</v>
      </c>
      <c r="L593" s="1">
        <f t="shared" si="27"/>
        <v>186.5796</v>
      </c>
      <c r="M593" t="str" cm="1">
        <f t="array" ref="M593">_xlfn.IFS(B593&lt;18,"Under 18",B593 &lt;=25,"18-25",B593&lt;=35,"26-35",B593&lt;=45,"36-45",B593&lt;=60,"46-60",TRUE,"60+")</f>
        <v>26-35</v>
      </c>
      <c r="N593" t="str">
        <f t="shared" si="28"/>
        <v>Discounted</v>
      </c>
      <c r="O593" t="str">
        <f t="shared" si="29"/>
        <v>Returning</v>
      </c>
    </row>
    <row r="594" spans="1:15" x14ac:dyDescent="0.25">
      <c r="A594">
        <v>593</v>
      </c>
      <c r="B594">
        <v>23</v>
      </c>
      <c r="C594" t="s">
        <v>16</v>
      </c>
      <c r="D594" t="s">
        <v>33</v>
      </c>
      <c r="E594" t="s">
        <v>38</v>
      </c>
      <c r="F594" s="1">
        <v>188.15</v>
      </c>
      <c r="G594" t="s">
        <v>24</v>
      </c>
      <c r="H594" t="s">
        <v>15</v>
      </c>
      <c r="I594" s="2">
        <v>3.5</v>
      </c>
      <c r="J594" s="4">
        <v>4</v>
      </c>
      <c r="K594" s="3">
        <v>2</v>
      </c>
      <c r="L594" s="1">
        <f t="shared" si="27"/>
        <v>180.624</v>
      </c>
      <c r="M594" t="str" cm="1">
        <f t="array" ref="M594">_xlfn.IFS(B594&lt;18,"Under 18",B594 &lt;=25,"18-25",B594&lt;=35,"26-35",B594&lt;=45,"36-45",B594&lt;=60,"46-60",TRUE,"60+")</f>
        <v>18-25</v>
      </c>
      <c r="N594" t="str">
        <f t="shared" si="28"/>
        <v>Discounted</v>
      </c>
      <c r="O594" t="str">
        <f t="shared" si="29"/>
        <v>Returning</v>
      </c>
    </row>
    <row r="595" spans="1:15" x14ac:dyDescent="0.25">
      <c r="A595">
        <v>594</v>
      </c>
      <c r="B595">
        <v>27</v>
      </c>
      <c r="C595" t="s">
        <v>11</v>
      </c>
      <c r="D595" t="s">
        <v>12</v>
      </c>
      <c r="E595" t="s">
        <v>13</v>
      </c>
      <c r="F595" s="1">
        <v>31.87</v>
      </c>
      <c r="G595" t="s">
        <v>24</v>
      </c>
      <c r="H595" t="s">
        <v>37</v>
      </c>
      <c r="I595" s="2">
        <v>5</v>
      </c>
      <c r="J595" s="4">
        <v>22</v>
      </c>
      <c r="K595" s="3">
        <v>6</v>
      </c>
      <c r="L595" s="1">
        <f t="shared" si="27"/>
        <v>24.858600000000003</v>
      </c>
      <c r="M595" t="str" cm="1">
        <f t="array" ref="M595">_xlfn.IFS(B595&lt;18,"Under 18",B595 &lt;=25,"18-25",B595&lt;=35,"26-35",B595&lt;=45,"36-45",B595&lt;=60,"46-60",TRUE,"60+")</f>
        <v>26-35</v>
      </c>
      <c r="N595" t="str">
        <f t="shared" si="28"/>
        <v>Discounted</v>
      </c>
      <c r="O595" t="str">
        <f t="shared" si="29"/>
        <v>Returning</v>
      </c>
    </row>
    <row r="596" spans="1:15" x14ac:dyDescent="0.25">
      <c r="A596">
        <v>595</v>
      </c>
      <c r="B596">
        <v>24</v>
      </c>
      <c r="C596" t="s">
        <v>16</v>
      </c>
      <c r="D596" t="s">
        <v>17</v>
      </c>
      <c r="E596" t="s">
        <v>42</v>
      </c>
      <c r="F596" s="1">
        <v>128.63999999999999</v>
      </c>
      <c r="G596" t="s">
        <v>14</v>
      </c>
      <c r="H596" t="s">
        <v>15</v>
      </c>
      <c r="I596" s="2">
        <v>4.4000000000000004</v>
      </c>
      <c r="J596" s="4">
        <v>22</v>
      </c>
      <c r="K596" s="3">
        <v>6</v>
      </c>
      <c r="L596" s="1">
        <f t="shared" si="27"/>
        <v>100.33919999999999</v>
      </c>
      <c r="M596" t="str" cm="1">
        <f t="array" ref="M596">_xlfn.IFS(B596&lt;18,"Under 18",B596 &lt;=25,"18-25",B596&lt;=35,"26-35",B596&lt;=45,"36-45",B596&lt;=60,"46-60",TRUE,"60+")</f>
        <v>18-25</v>
      </c>
      <c r="N596" t="str">
        <f t="shared" si="28"/>
        <v>Discounted</v>
      </c>
      <c r="O596" t="str">
        <f t="shared" si="29"/>
        <v>Returning</v>
      </c>
    </row>
    <row r="597" spans="1:15" x14ac:dyDescent="0.25">
      <c r="A597">
        <v>596</v>
      </c>
      <c r="B597">
        <v>57</v>
      </c>
      <c r="C597" t="s">
        <v>11</v>
      </c>
      <c r="D597" t="s">
        <v>33</v>
      </c>
      <c r="E597" t="s">
        <v>40</v>
      </c>
      <c r="F597" s="1">
        <v>107.31</v>
      </c>
      <c r="G597" t="s">
        <v>24</v>
      </c>
      <c r="H597" t="s">
        <v>15</v>
      </c>
      <c r="I597" s="2">
        <v>3.6</v>
      </c>
      <c r="J597" s="4">
        <v>16</v>
      </c>
      <c r="K597" s="3">
        <v>8</v>
      </c>
      <c r="L597" s="1">
        <f t="shared" si="27"/>
        <v>90.1404</v>
      </c>
      <c r="M597" t="str" cm="1">
        <f t="array" ref="M597">_xlfn.IFS(B597&lt;18,"Under 18",B597 &lt;=25,"18-25",B597&lt;=35,"26-35",B597&lt;=45,"36-45",B597&lt;=60,"46-60",TRUE,"60+")</f>
        <v>46-60</v>
      </c>
      <c r="N597" t="str">
        <f t="shared" si="28"/>
        <v>Discounted</v>
      </c>
      <c r="O597" t="str">
        <f t="shared" si="29"/>
        <v>Returning</v>
      </c>
    </row>
    <row r="598" spans="1:15" x14ac:dyDescent="0.25">
      <c r="A598">
        <v>597</v>
      </c>
      <c r="B598">
        <v>37</v>
      </c>
      <c r="C598" t="s">
        <v>11</v>
      </c>
      <c r="D598" t="s">
        <v>20</v>
      </c>
      <c r="E598" t="s">
        <v>21</v>
      </c>
      <c r="F598" s="1">
        <v>160.72</v>
      </c>
      <c r="G598" t="s">
        <v>19</v>
      </c>
      <c r="H598" t="s">
        <v>15</v>
      </c>
      <c r="I598" s="2">
        <v>3.8</v>
      </c>
      <c r="J598" s="4">
        <v>8</v>
      </c>
      <c r="K598" s="3">
        <v>4</v>
      </c>
      <c r="L598" s="1">
        <f t="shared" si="27"/>
        <v>147.86240000000001</v>
      </c>
      <c r="M598" t="str" cm="1">
        <f t="array" ref="M598">_xlfn.IFS(B598&lt;18,"Under 18",B598 &lt;=25,"18-25",B598&lt;=35,"26-35",B598&lt;=45,"36-45",B598&lt;=60,"46-60",TRUE,"60+")</f>
        <v>36-45</v>
      </c>
      <c r="N598" t="str">
        <f t="shared" si="28"/>
        <v>Discounted</v>
      </c>
      <c r="O598" t="str">
        <f t="shared" si="29"/>
        <v>Returning</v>
      </c>
    </row>
    <row r="599" spans="1:15" x14ac:dyDescent="0.25">
      <c r="A599">
        <v>598</v>
      </c>
      <c r="B599">
        <v>44</v>
      </c>
      <c r="C599" t="s">
        <v>16</v>
      </c>
      <c r="D599" t="s">
        <v>17</v>
      </c>
      <c r="E599" t="s">
        <v>48</v>
      </c>
      <c r="F599" s="1">
        <v>74.66</v>
      </c>
      <c r="G599" t="s">
        <v>14</v>
      </c>
      <c r="H599" t="s">
        <v>37</v>
      </c>
      <c r="I599" s="2">
        <v>3</v>
      </c>
      <c r="J599" s="4">
        <v>13</v>
      </c>
      <c r="K599" s="3">
        <v>4</v>
      </c>
      <c r="L599" s="1">
        <f t="shared" si="27"/>
        <v>64.9542</v>
      </c>
      <c r="M599" t="str" cm="1">
        <f t="array" ref="M599">_xlfn.IFS(B599&lt;18,"Under 18",B599 &lt;=25,"18-25",B599&lt;=35,"26-35",B599&lt;=45,"36-45",B599&lt;=60,"46-60",TRUE,"60+")</f>
        <v>36-45</v>
      </c>
      <c r="N599" t="str">
        <f t="shared" si="28"/>
        <v>Discounted</v>
      </c>
      <c r="O599" t="str">
        <f t="shared" si="29"/>
        <v>Returning</v>
      </c>
    </row>
    <row r="600" spans="1:15" x14ac:dyDescent="0.25">
      <c r="A600">
        <v>599</v>
      </c>
      <c r="B600">
        <v>69</v>
      </c>
      <c r="C600" t="s">
        <v>16</v>
      </c>
      <c r="D600" t="s">
        <v>33</v>
      </c>
      <c r="E600" t="s">
        <v>40</v>
      </c>
      <c r="F600" s="1">
        <v>210.5</v>
      </c>
      <c r="G600" t="s">
        <v>24</v>
      </c>
      <c r="H600" t="s">
        <v>15</v>
      </c>
      <c r="I600" s="2">
        <v>3.8</v>
      </c>
      <c r="J600" s="4">
        <v>13</v>
      </c>
      <c r="K600" s="3">
        <v>4</v>
      </c>
      <c r="L600" s="1">
        <f t="shared" si="27"/>
        <v>183.13499999999999</v>
      </c>
      <c r="M600" t="str" cm="1">
        <f t="array" ref="M600">_xlfn.IFS(B600&lt;18,"Under 18",B600 &lt;=25,"18-25",B600&lt;=35,"26-35",B600&lt;=45,"36-45",B600&lt;=60,"46-60",TRUE,"60+")</f>
        <v>60+</v>
      </c>
      <c r="N600" t="str">
        <f t="shared" si="28"/>
        <v>Discounted</v>
      </c>
      <c r="O600" t="str">
        <f t="shared" si="29"/>
        <v>Returning</v>
      </c>
    </row>
    <row r="601" spans="1:15" x14ac:dyDescent="0.25">
      <c r="A601">
        <v>600</v>
      </c>
      <c r="B601">
        <v>24</v>
      </c>
      <c r="C601" t="s">
        <v>16</v>
      </c>
      <c r="D601" t="s">
        <v>17</v>
      </c>
      <c r="E601" t="s">
        <v>18</v>
      </c>
      <c r="F601" s="1">
        <v>35.35</v>
      </c>
      <c r="G601" t="s">
        <v>24</v>
      </c>
      <c r="H601" t="s">
        <v>15</v>
      </c>
      <c r="I601" s="2">
        <v>3.6</v>
      </c>
      <c r="J601" s="4">
        <v>21</v>
      </c>
      <c r="K601" s="3">
        <v>8</v>
      </c>
      <c r="L601" s="1">
        <f t="shared" si="27"/>
        <v>27.926500000000001</v>
      </c>
      <c r="M601" t="str" cm="1">
        <f t="array" ref="M601">_xlfn.IFS(B601&lt;18,"Under 18",B601 &lt;=25,"18-25",B601&lt;=35,"26-35",B601&lt;=45,"36-45",B601&lt;=60,"46-60",TRUE,"60+")</f>
        <v>18-25</v>
      </c>
      <c r="N601" t="str">
        <f t="shared" si="28"/>
        <v>Discounted</v>
      </c>
      <c r="O601" t="str">
        <f t="shared" si="29"/>
        <v>Returning</v>
      </c>
    </row>
    <row r="602" spans="1:15" x14ac:dyDescent="0.25">
      <c r="A602">
        <v>601</v>
      </c>
      <c r="B602">
        <v>48</v>
      </c>
      <c r="C602" t="s">
        <v>16</v>
      </c>
      <c r="D602" t="s">
        <v>20</v>
      </c>
      <c r="E602" t="s">
        <v>39</v>
      </c>
      <c r="F602" s="1">
        <v>63.8</v>
      </c>
      <c r="G602" t="s">
        <v>24</v>
      </c>
      <c r="H602" t="s">
        <v>37</v>
      </c>
      <c r="I602" s="2">
        <v>4.2</v>
      </c>
      <c r="J602" s="4">
        <v>15</v>
      </c>
      <c r="K602" s="3">
        <v>5</v>
      </c>
      <c r="L602" s="1">
        <f t="shared" si="27"/>
        <v>54.23</v>
      </c>
      <c r="M602" t="str" cm="1">
        <f t="array" ref="M602">_xlfn.IFS(B602&lt;18,"Under 18",B602 &lt;=25,"18-25",B602&lt;=35,"26-35",B602&lt;=45,"36-45",B602&lt;=60,"46-60",TRUE,"60+")</f>
        <v>46-60</v>
      </c>
      <c r="N602" t="str">
        <f t="shared" si="28"/>
        <v>Discounted</v>
      </c>
      <c r="O602" t="str">
        <f t="shared" si="29"/>
        <v>Returning</v>
      </c>
    </row>
    <row r="603" spans="1:15" x14ac:dyDescent="0.25">
      <c r="A603">
        <v>602</v>
      </c>
      <c r="B603">
        <v>50</v>
      </c>
      <c r="C603" t="s">
        <v>16</v>
      </c>
      <c r="D603" t="s">
        <v>33</v>
      </c>
      <c r="E603" t="s">
        <v>38</v>
      </c>
      <c r="F603" s="1">
        <v>66.64</v>
      </c>
      <c r="G603" t="s">
        <v>31</v>
      </c>
      <c r="H603" t="s">
        <v>15</v>
      </c>
      <c r="I603" s="2">
        <v>5</v>
      </c>
      <c r="J603" s="4">
        <v>15</v>
      </c>
      <c r="K603" s="3">
        <v>5</v>
      </c>
      <c r="L603" s="1">
        <f t="shared" si="27"/>
        <v>56.643999999999998</v>
      </c>
      <c r="M603" t="str" cm="1">
        <f t="array" ref="M603">_xlfn.IFS(B603&lt;18,"Under 18",B603 &lt;=25,"18-25",B603&lt;=35,"26-35",B603&lt;=45,"36-45",B603&lt;=60,"46-60",TRUE,"60+")</f>
        <v>46-60</v>
      </c>
      <c r="N603" t="str">
        <f t="shared" si="28"/>
        <v>Discounted</v>
      </c>
      <c r="O603" t="str">
        <f t="shared" si="29"/>
        <v>Returning</v>
      </c>
    </row>
    <row r="604" spans="1:15" x14ac:dyDescent="0.25">
      <c r="A604">
        <v>603</v>
      </c>
      <c r="B604">
        <v>33</v>
      </c>
      <c r="C604" t="s">
        <v>11</v>
      </c>
      <c r="D604" t="s">
        <v>20</v>
      </c>
      <c r="E604" t="s">
        <v>39</v>
      </c>
      <c r="F604" s="1">
        <v>26.47</v>
      </c>
      <c r="G604" t="s">
        <v>19</v>
      </c>
      <c r="H604" t="s">
        <v>37</v>
      </c>
      <c r="I604" s="2">
        <v>2.7</v>
      </c>
      <c r="J604" s="4">
        <v>4</v>
      </c>
      <c r="K604" s="3">
        <v>2</v>
      </c>
      <c r="L604" s="1">
        <f t="shared" si="27"/>
        <v>25.411199999999997</v>
      </c>
      <c r="M604" t="str" cm="1">
        <f t="array" ref="M604">_xlfn.IFS(B604&lt;18,"Under 18",B604 &lt;=25,"18-25",B604&lt;=35,"26-35",B604&lt;=45,"36-45",B604&lt;=60,"46-60",TRUE,"60+")</f>
        <v>26-35</v>
      </c>
      <c r="N604" t="str">
        <f t="shared" si="28"/>
        <v>Discounted</v>
      </c>
      <c r="O604" t="str">
        <f t="shared" si="29"/>
        <v>Returning</v>
      </c>
    </row>
    <row r="605" spans="1:15" x14ac:dyDescent="0.25">
      <c r="A605">
        <v>604</v>
      </c>
      <c r="B605">
        <v>67</v>
      </c>
      <c r="C605" t="s">
        <v>16</v>
      </c>
      <c r="D605" t="s">
        <v>33</v>
      </c>
      <c r="E605" t="s">
        <v>34</v>
      </c>
      <c r="F605" s="1">
        <v>233.68</v>
      </c>
      <c r="G605" t="s">
        <v>14</v>
      </c>
      <c r="H605" t="s">
        <v>15</v>
      </c>
      <c r="I605" s="2">
        <v>3.3</v>
      </c>
      <c r="J605" s="4">
        <v>13</v>
      </c>
      <c r="K605" s="3">
        <v>4</v>
      </c>
      <c r="L605" s="1">
        <f t="shared" si="27"/>
        <v>203.30160000000001</v>
      </c>
      <c r="M605" t="str" cm="1">
        <f t="array" ref="M605">_xlfn.IFS(B605&lt;18,"Under 18",B605 &lt;=25,"18-25",B605&lt;=35,"26-35",B605&lt;=45,"36-45",B605&lt;=60,"46-60",TRUE,"60+")</f>
        <v>60+</v>
      </c>
      <c r="N605" t="str">
        <f t="shared" si="28"/>
        <v>Discounted</v>
      </c>
      <c r="O605" t="str">
        <f t="shared" si="29"/>
        <v>Returning</v>
      </c>
    </row>
    <row r="606" spans="1:15" x14ac:dyDescent="0.25">
      <c r="A606">
        <v>605</v>
      </c>
      <c r="B606">
        <v>48</v>
      </c>
      <c r="C606" t="s">
        <v>11</v>
      </c>
      <c r="D606" t="s">
        <v>20</v>
      </c>
      <c r="E606" t="s">
        <v>39</v>
      </c>
      <c r="F606" s="1">
        <v>184.2</v>
      </c>
      <c r="G606" t="s">
        <v>19</v>
      </c>
      <c r="H606" t="s">
        <v>15</v>
      </c>
      <c r="I606" s="2">
        <v>4.3</v>
      </c>
      <c r="J606" s="4">
        <v>19</v>
      </c>
      <c r="K606" s="3">
        <v>7</v>
      </c>
      <c r="L606" s="1">
        <f t="shared" si="27"/>
        <v>149.202</v>
      </c>
      <c r="M606" t="str" cm="1">
        <f t="array" ref="M606">_xlfn.IFS(B606&lt;18,"Under 18",B606 &lt;=25,"18-25",B606&lt;=35,"26-35",B606&lt;=45,"36-45",B606&lt;=60,"46-60",TRUE,"60+")</f>
        <v>46-60</v>
      </c>
      <c r="N606" t="str">
        <f t="shared" si="28"/>
        <v>Discounted</v>
      </c>
      <c r="O606" t="str">
        <f t="shared" si="29"/>
        <v>Returning</v>
      </c>
    </row>
    <row r="607" spans="1:15" x14ac:dyDescent="0.25">
      <c r="A607">
        <v>606</v>
      </c>
      <c r="B607">
        <v>43</v>
      </c>
      <c r="C607" t="s">
        <v>11</v>
      </c>
      <c r="D607" t="s">
        <v>33</v>
      </c>
      <c r="E607" t="s">
        <v>34</v>
      </c>
      <c r="F607" s="1">
        <v>209.23</v>
      </c>
      <c r="G607" t="s">
        <v>24</v>
      </c>
      <c r="H607" t="s">
        <v>15</v>
      </c>
      <c r="I607" s="2">
        <v>3</v>
      </c>
      <c r="J607" s="4">
        <v>13</v>
      </c>
      <c r="K607" s="3">
        <v>4</v>
      </c>
      <c r="L607" s="1">
        <f t="shared" si="27"/>
        <v>182.03009999999998</v>
      </c>
      <c r="M607" t="str" cm="1">
        <f t="array" ref="M607">_xlfn.IFS(B607&lt;18,"Under 18",B607 &lt;=25,"18-25",B607&lt;=35,"26-35",B607&lt;=45,"36-45",B607&lt;=60,"46-60",TRUE,"60+")</f>
        <v>36-45</v>
      </c>
      <c r="N607" t="str">
        <f t="shared" si="28"/>
        <v>Discounted</v>
      </c>
      <c r="O607" t="str">
        <f t="shared" si="29"/>
        <v>Returning</v>
      </c>
    </row>
    <row r="608" spans="1:15" x14ac:dyDescent="0.25">
      <c r="A608">
        <v>607</v>
      </c>
      <c r="B608">
        <v>55</v>
      </c>
      <c r="C608" t="s">
        <v>16</v>
      </c>
      <c r="D608" t="s">
        <v>20</v>
      </c>
      <c r="E608" t="s">
        <v>21</v>
      </c>
      <c r="F608" s="1">
        <v>225.1</v>
      </c>
      <c r="G608" t="s">
        <v>24</v>
      </c>
      <c r="H608" t="s">
        <v>15</v>
      </c>
      <c r="I608" s="2">
        <v>4.8</v>
      </c>
      <c r="J608" s="4">
        <v>12</v>
      </c>
      <c r="K608" s="3">
        <v>6</v>
      </c>
      <c r="L608" s="1">
        <f t="shared" si="27"/>
        <v>198.08799999999999</v>
      </c>
      <c r="M608" t="str" cm="1">
        <f t="array" ref="M608">_xlfn.IFS(B608&lt;18,"Under 18",B608 &lt;=25,"18-25",B608&lt;=35,"26-35",B608&lt;=45,"36-45",B608&lt;=60,"46-60",TRUE,"60+")</f>
        <v>46-60</v>
      </c>
      <c r="N608" t="str">
        <f t="shared" si="28"/>
        <v>Discounted</v>
      </c>
      <c r="O608" t="str">
        <f t="shared" si="29"/>
        <v>Returning</v>
      </c>
    </row>
    <row r="609" spans="1:15" x14ac:dyDescent="0.25">
      <c r="A609">
        <v>608</v>
      </c>
      <c r="B609">
        <v>26</v>
      </c>
      <c r="C609" t="s">
        <v>16</v>
      </c>
      <c r="D609" t="s">
        <v>17</v>
      </c>
      <c r="E609" t="s">
        <v>48</v>
      </c>
      <c r="F609" s="1">
        <v>172.87</v>
      </c>
      <c r="G609" t="s">
        <v>31</v>
      </c>
      <c r="H609" t="s">
        <v>15</v>
      </c>
      <c r="I609" s="2">
        <v>3.3</v>
      </c>
      <c r="J609" s="4">
        <v>17</v>
      </c>
      <c r="K609" s="3">
        <v>6</v>
      </c>
      <c r="L609" s="1">
        <f t="shared" si="27"/>
        <v>143.4821</v>
      </c>
      <c r="M609" t="str" cm="1">
        <f t="array" ref="M609">_xlfn.IFS(B609&lt;18,"Under 18",B609 &lt;=25,"18-25",B609&lt;=35,"26-35",B609&lt;=45,"36-45",B609&lt;=60,"46-60",TRUE,"60+")</f>
        <v>26-35</v>
      </c>
      <c r="N609" t="str">
        <f t="shared" si="28"/>
        <v>Discounted</v>
      </c>
      <c r="O609" t="str">
        <f t="shared" si="29"/>
        <v>Returning</v>
      </c>
    </row>
    <row r="610" spans="1:15" x14ac:dyDescent="0.25">
      <c r="A610">
        <v>609</v>
      </c>
      <c r="B610">
        <v>56</v>
      </c>
      <c r="C610" t="s">
        <v>16</v>
      </c>
      <c r="D610" t="s">
        <v>27</v>
      </c>
      <c r="E610" t="s">
        <v>49</v>
      </c>
      <c r="F610" s="1">
        <v>2831.6</v>
      </c>
      <c r="G610" t="s">
        <v>14</v>
      </c>
      <c r="H610" t="s">
        <v>15</v>
      </c>
      <c r="I610" s="2">
        <v>4.7</v>
      </c>
      <c r="J610" s="4">
        <v>15</v>
      </c>
      <c r="K610" s="3">
        <v>5</v>
      </c>
      <c r="L610" s="1">
        <f t="shared" si="27"/>
        <v>2406.8599999999997</v>
      </c>
      <c r="M610" t="str" cm="1">
        <f t="array" ref="M610">_xlfn.IFS(B610&lt;18,"Under 18",B610 &lt;=25,"18-25",B610&lt;=35,"26-35",B610&lt;=45,"36-45",B610&lt;=60,"46-60",TRUE,"60+")</f>
        <v>46-60</v>
      </c>
      <c r="N610" t="str">
        <f t="shared" si="28"/>
        <v>Discounted</v>
      </c>
      <c r="O610" t="str">
        <f t="shared" si="29"/>
        <v>Returning</v>
      </c>
    </row>
    <row r="611" spans="1:15" x14ac:dyDescent="0.25">
      <c r="A611">
        <v>610</v>
      </c>
      <c r="B611">
        <v>52</v>
      </c>
      <c r="C611" t="s">
        <v>11</v>
      </c>
      <c r="D611" t="s">
        <v>12</v>
      </c>
      <c r="E611" t="s">
        <v>13</v>
      </c>
      <c r="F611" s="1">
        <v>20.11</v>
      </c>
      <c r="G611" t="s">
        <v>19</v>
      </c>
      <c r="H611" t="s">
        <v>15</v>
      </c>
      <c r="I611" s="2">
        <v>5</v>
      </c>
      <c r="J611" s="4">
        <v>8</v>
      </c>
      <c r="K611" s="3">
        <v>4</v>
      </c>
      <c r="L611" s="1">
        <f t="shared" si="27"/>
        <v>18.501200000000001</v>
      </c>
      <c r="M611" t="str" cm="1">
        <f t="array" ref="M611">_xlfn.IFS(B611&lt;18,"Under 18",B611 &lt;=25,"18-25",B611&lt;=35,"26-35",B611&lt;=45,"36-45",B611&lt;=60,"46-60",TRUE,"60+")</f>
        <v>46-60</v>
      </c>
      <c r="N611" t="str">
        <f t="shared" si="28"/>
        <v>Discounted</v>
      </c>
      <c r="O611" t="str">
        <f t="shared" si="29"/>
        <v>Returning</v>
      </c>
    </row>
    <row r="612" spans="1:15" x14ac:dyDescent="0.25">
      <c r="A612">
        <v>611</v>
      </c>
      <c r="B612">
        <v>32</v>
      </c>
      <c r="C612" t="s">
        <v>16</v>
      </c>
      <c r="D612" t="s">
        <v>25</v>
      </c>
      <c r="E612" t="s">
        <v>26</v>
      </c>
      <c r="F612" s="1">
        <v>58.96</v>
      </c>
      <c r="G612" t="s">
        <v>24</v>
      </c>
      <c r="H612" t="s">
        <v>37</v>
      </c>
      <c r="I612" s="2">
        <v>4.8</v>
      </c>
      <c r="J612" s="4">
        <v>4</v>
      </c>
      <c r="K612" s="3">
        <v>2</v>
      </c>
      <c r="L612" s="1">
        <f t="shared" si="27"/>
        <v>56.601599999999998</v>
      </c>
      <c r="M612" t="str" cm="1">
        <f t="array" ref="M612">_xlfn.IFS(B612&lt;18,"Under 18",B612 &lt;=25,"18-25",B612&lt;=35,"26-35",B612&lt;=45,"36-45",B612&lt;=60,"46-60",TRUE,"60+")</f>
        <v>26-35</v>
      </c>
      <c r="N612" t="str">
        <f t="shared" si="28"/>
        <v>Discounted</v>
      </c>
      <c r="O612" t="str">
        <f t="shared" si="29"/>
        <v>Returning</v>
      </c>
    </row>
    <row r="613" spans="1:15" x14ac:dyDescent="0.25">
      <c r="A613">
        <v>612</v>
      </c>
      <c r="B613">
        <v>44</v>
      </c>
      <c r="C613" t="s">
        <v>11</v>
      </c>
      <c r="D613" t="s">
        <v>12</v>
      </c>
      <c r="E613" t="s">
        <v>56</v>
      </c>
      <c r="F613" s="1">
        <v>170.49</v>
      </c>
      <c r="G613" t="s">
        <v>14</v>
      </c>
      <c r="H613" t="s">
        <v>15</v>
      </c>
      <c r="I613" s="2">
        <v>2.9</v>
      </c>
      <c r="J613" s="4">
        <v>18</v>
      </c>
      <c r="K613" s="3">
        <v>9</v>
      </c>
      <c r="L613" s="1">
        <f t="shared" si="27"/>
        <v>139.80180000000001</v>
      </c>
      <c r="M613" t="str" cm="1">
        <f t="array" ref="M613">_xlfn.IFS(B613&lt;18,"Under 18",B613 &lt;=25,"18-25",B613&lt;=35,"26-35",B613&lt;=45,"36-45",B613&lt;=60,"46-60",TRUE,"60+")</f>
        <v>36-45</v>
      </c>
      <c r="N613" t="str">
        <f t="shared" si="28"/>
        <v>Discounted</v>
      </c>
      <c r="O613" t="str">
        <f t="shared" si="29"/>
        <v>Returning</v>
      </c>
    </row>
    <row r="614" spans="1:15" x14ac:dyDescent="0.25">
      <c r="A614">
        <v>613</v>
      </c>
      <c r="B614">
        <v>44</v>
      </c>
      <c r="C614" t="s">
        <v>11</v>
      </c>
      <c r="D614" t="s">
        <v>41</v>
      </c>
      <c r="E614" t="s">
        <v>44</v>
      </c>
      <c r="F614" s="1">
        <v>65.05</v>
      </c>
      <c r="G614" t="s">
        <v>31</v>
      </c>
      <c r="H614" t="s">
        <v>37</v>
      </c>
      <c r="I614" s="2">
        <v>3.4</v>
      </c>
      <c r="J614" s="4">
        <v>19</v>
      </c>
      <c r="K614" s="3">
        <v>7</v>
      </c>
      <c r="L614" s="1">
        <f t="shared" si="27"/>
        <v>52.6905</v>
      </c>
      <c r="M614" t="str" cm="1">
        <f t="array" ref="M614">_xlfn.IFS(B614&lt;18,"Under 18",B614 &lt;=25,"18-25",B614&lt;=35,"26-35",B614&lt;=45,"36-45",B614&lt;=60,"46-60",TRUE,"60+")</f>
        <v>36-45</v>
      </c>
      <c r="N614" t="str">
        <f t="shared" si="28"/>
        <v>Discounted</v>
      </c>
      <c r="O614" t="str">
        <f t="shared" si="29"/>
        <v>Returning</v>
      </c>
    </row>
    <row r="615" spans="1:15" x14ac:dyDescent="0.25">
      <c r="A615">
        <v>614</v>
      </c>
      <c r="B615">
        <v>32</v>
      </c>
      <c r="C615" t="s">
        <v>11</v>
      </c>
      <c r="D615" t="s">
        <v>41</v>
      </c>
      <c r="E615" t="s">
        <v>42</v>
      </c>
      <c r="F615" s="1">
        <v>35.659999999999997</v>
      </c>
      <c r="G615" t="s">
        <v>31</v>
      </c>
      <c r="H615" t="s">
        <v>37</v>
      </c>
      <c r="I615" s="2">
        <v>4.0999999999999996</v>
      </c>
      <c r="J615" s="4">
        <v>17</v>
      </c>
      <c r="K615" s="3">
        <v>6</v>
      </c>
      <c r="L615" s="1">
        <f t="shared" si="27"/>
        <v>29.597799999999996</v>
      </c>
      <c r="M615" t="str" cm="1">
        <f t="array" ref="M615">_xlfn.IFS(B615&lt;18,"Under 18",B615 &lt;=25,"18-25",B615&lt;=35,"26-35",B615&lt;=45,"36-45",B615&lt;=60,"46-60",TRUE,"60+")</f>
        <v>26-35</v>
      </c>
      <c r="N615" t="str">
        <f t="shared" si="28"/>
        <v>Discounted</v>
      </c>
      <c r="O615" t="str">
        <f t="shared" si="29"/>
        <v>Returning</v>
      </c>
    </row>
    <row r="616" spans="1:15" x14ac:dyDescent="0.25">
      <c r="A616">
        <v>615</v>
      </c>
      <c r="B616">
        <v>32</v>
      </c>
      <c r="C616" t="s">
        <v>11</v>
      </c>
      <c r="D616" t="s">
        <v>20</v>
      </c>
      <c r="E616" t="s">
        <v>39</v>
      </c>
      <c r="F616" s="1">
        <v>37.450000000000003</v>
      </c>
      <c r="G616" t="s">
        <v>24</v>
      </c>
      <c r="H616" t="s">
        <v>15</v>
      </c>
      <c r="I616" s="2">
        <v>3.2</v>
      </c>
      <c r="J616" s="4">
        <v>2</v>
      </c>
      <c r="K616" s="3">
        <v>1</v>
      </c>
      <c r="L616" s="1">
        <f t="shared" si="27"/>
        <v>36.701000000000001</v>
      </c>
      <c r="M616" t="str" cm="1">
        <f t="array" ref="M616">_xlfn.IFS(B616&lt;18,"Under 18",B616 &lt;=25,"18-25",B616&lt;=35,"26-35",B616&lt;=45,"36-45",B616&lt;=60,"46-60",TRUE,"60+")</f>
        <v>26-35</v>
      </c>
      <c r="N616" t="str">
        <f t="shared" si="28"/>
        <v>Discounted</v>
      </c>
      <c r="O616" t="str">
        <f t="shared" si="29"/>
        <v>Returning</v>
      </c>
    </row>
    <row r="617" spans="1:15" x14ac:dyDescent="0.25">
      <c r="A617">
        <v>616</v>
      </c>
      <c r="B617">
        <v>26</v>
      </c>
      <c r="C617" t="s">
        <v>11</v>
      </c>
      <c r="D617" t="s">
        <v>12</v>
      </c>
      <c r="E617" t="s">
        <v>50</v>
      </c>
      <c r="F617" s="1">
        <v>170.43</v>
      </c>
      <c r="G617" t="s">
        <v>19</v>
      </c>
      <c r="H617" t="s">
        <v>15</v>
      </c>
      <c r="I617" s="2">
        <v>3.1</v>
      </c>
      <c r="J617" s="4">
        <v>17</v>
      </c>
      <c r="K617" s="3">
        <v>6</v>
      </c>
      <c r="L617" s="1">
        <f t="shared" si="27"/>
        <v>141.45689999999999</v>
      </c>
      <c r="M617" t="str" cm="1">
        <f t="array" ref="M617">_xlfn.IFS(B617&lt;18,"Under 18",B617 &lt;=25,"18-25",B617&lt;=35,"26-35",B617&lt;=45,"36-45",B617&lt;=60,"46-60",TRUE,"60+")</f>
        <v>26-35</v>
      </c>
      <c r="N617" t="str">
        <f t="shared" si="28"/>
        <v>Discounted</v>
      </c>
      <c r="O617" t="str">
        <f t="shared" si="29"/>
        <v>Returning</v>
      </c>
    </row>
    <row r="618" spans="1:15" x14ac:dyDescent="0.25">
      <c r="A618">
        <v>617</v>
      </c>
      <c r="B618">
        <v>30</v>
      </c>
      <c r="C618" t="s">
        <v>11</v>
      </c>
      <c r="D618" t="s">
        <v>33</v>
      </c>
      <c r="E618" t="s">
        <v>38</v>
      </c>
      <c r="F618" s="1">
        <v>61.98</v>
      </c>
      <c r="G618" t="s">
        <v>19</v>
      </c>
      <c r="H618" t="s">
        <v>15</v>
      </c>
      <c r="I618" s="2">
        <v>3.5</v>
      </c>
      <c r="J618" s="4">
        <v>10</v>
      </c>
      <c r="K618" s="3">
        <v>5</v>
      </c>
      <c r="L618" s="1">
        <f t="shared" si="27"/>
        <v>55.781999999999996</v>
      </c>
      <c r="M618" t="str" cm="1">
        <f t="array" ref="M618">_xlfn.IFS(B618&lt;18,"Under 18",B618 &lt;=25,"18-25",B618&lt;=35,"26-35",B618&lt;=45,"36-45",B618&lt;=60,"46-60",TRUE,"60+")</f>
        <v>26-35</v>
      </c>
      <c r="N618" t="str">
        <f t="shared" si="28"/>
        <v>Discounted</v>
      </c>
      <c r="O618" t="str">
        <f t="shared" si="29"/>
        <v>Returning</v>
      </c>
    </row>
    <row r="619" spans="1:15" x14ac:dyDescent="0.25">
      <c r="A619">
        <v>618</v>
      </c>
      <c r="B619">
        <v>54</v>
      </c>
      <c r="C619" t="s">
        <v>11</v>
      </c>
      <c r="D619" t="s">
        <v>41</v>
      </c>
      <c r="E619" t="s">
        <v>46</v>
      </c>
      <c r="F619" s="1">
        <v>97.85</v>
      </c>
      <c r="G619" t="s">
        <v>14</v>
      </c>
      <c r="H619" t="s">
        <v>37</v>
      </c>
      <c r="I619" s="2">
        <v>3.6</v>
      </c>
      <c r="J619" s="4">
        <v>12</v>
      </c>
      <c r="K619" s="3">
        <v>6</v>
      </c>
      <c r="L619" s="1">
        <f t="shared" si="27"/>
        <v>86.10799999999999</v>
      </c>
      <c r="M619" t="str" cm="1">
        <f t="array" ref="M619">_xlfn.IFS(B619&lt;18,"Under 18",B619 &lt;=25,"18-25",B619&lt;=35,"26-35",B619&lt;=45,"36-45",B619&lt;=60,"46-60",TRUE,"60+")</f>
        <v>46-60</v>
      </c>
      <c r="N619" t="str">
        <f t="shared" si="28"/>
        <v>Discounted</v>
      </c>
      <c r="O619" t="str">
        <f t="shared" si="29"/>
        <v>Returning</v>
      </c>
    </row>
    <row r="620" spans="1:15" x14ac:dyDescent="0.25">
      <c r="A620">
        <v>619</v>
      </c>
      <c r="B620">
        <v>44</v>
      </c>
      <c r="C620" t="s">
        <v>16</v>
      </c>
      <c r="D620" t="s">
        <v>33</v>
      </c>
      <c r="E620" t="s">
        <v>38</v>
      </c>
      <c r="F620" s="1">
        <v>180.53</v>
      </c>
      <c r="G620" t="s">
        <v>14</v>
      </c>
      <c r="H620" t="s">
        <v>15</v>
      </c>
      <c r="I620" s="2">
        <v>3.4</v>
      </c>
      <c r="J620" s="4">
        <v>26</v>
      </c>
      <c r="K620" s="3">
        <v>8</v>
      </c>
      <c r="L620" s="1">
        <f t="shared" si="27"/>
        <v>133.59219999999999</v>
      </c>
      <c r="M620" t="str" cm="1">
        <f t="array" ref="M620">_xlfn.IFS(B620&lt;18,"Under 18",B620 &lt;=25,"18-25",B620&lt;=35,"26-35",B620&lt;=45,"36-45",B620&lt;=60,"46-60",TRUE,"60+")</f>
        <v>36-45</v>
      </c>
      <c r="N620" t="str">
        <f t="shared" si="28"/>
        <v>Discounted</v>
      </c>
      <c r="O620" t="str">
        <f t="shared" si="29"/>
        <v>Returning</v>
      </c>
    </row>
    <row r="621" spans="1:15" x14ac:dyDescent="0.25">
      <c r="A621">
        <v>620</v>
      </c>
      <c r="B621">
        <v>70</v>
      </c>
      <c r="C621" t="s">
        <v>16</v>
      </c>
      <c r="D621" t="s">
        <v>27</v>
      </c>
      <c r="E621" t="s">
        <v>28</v>
      </c>
      <c r="F621" s="1">
        <v>2658.73</v>
      </c>
      <c r="G621" t="s">
        <v>31</v>
      </c>
      <c r="H621" t="s">
        <v>15</v>
      </c>
      <c r="I621" s="2">
        <v>4.3</v>
      </c>
      <c r="J621" s="4">
        <v>22</v>
      </c>
      <c r="K621" s="3">
        <v>6</v>
      </c>
      <c r="L621" s="1">
        <f t="shared" si="27"/>
        <v>2073.8094000000001</v>
      </c>
      <c r="M621" t="str" cm="1">
        <f t="array" ref="M621">_xlfn.IFS(B621&lt;18,"Under 18",B621 &lt;=25,"18-25",B621&lt;=35,"26-35",B621&lt;=45,"36-45",B621&lt;=60,"46-60",TRUE,"60+")</f>
        <v>60+</v>
      </c>
      <c r="N621" t="str">
        <f t="shared" si="28"/>
        <v>Discounted</v>
      </c>
      <c r="O621" t="str">
        <f t="shared" si="29"/>
        <v>Returning</v>
      </c>
    </row>
    <row r="622" spans="1:15" x14ac:dyDescent="0.25">
      <c r="A622">
        <v>621</v>
      </c>
      <c r="B622">
        <v>32</v>
      </c>
      <c r="C622" t="s">
        <v>16</v>
      </c>
      <c r="D622" t="s">
        <v>33</v>
      </c>
      <c r="E622" t="s">
        <v>38</v>
      </c>
      <c r="F622" s="1">
        <v>158.28</v>
      </c>
      <c r="G622" t="s">
        <v>14</v>
      </c>
      <c r="H622" t="s">
        <v>15</v>
      </c>
      <c r="I622" s="2">
        <v>4.0999999999999996</v>
      </c>
      <c r="J622" s="4">
        <v>26</v>
      </c>
      <c r="K622" s="3">
        <v>8</v>
      </c>
      <c r="L622" s="1">
        <f t="shared" si="27"/>
        <v>117.1272</v>
      </c>
      <c r="M622" t="str" cm="1">
        <f t="array" ref="M622">_xlfn.IFS(B622&lt;18,"Under 18",B622 &lt;=25,"18-25",B622&lt;=35,"26-35",B622&lt;=45,"36-45",B622&lt;=60,"46-60",TRUE,"60+")</f>
        <v>26-35</v>
      </c>
      <c r="N622" t="str">
        <f t="shared" si="28"/>
        <v>Discounted</v>
      </c>
      <c r="O622" t="str">
        <f t="shared" si="29"/>
        <v>Returning</v>
      </c>
    </row>
    <row r="623" spans="1:15" x14ac:dyDescent="0.25">
      <c r="A623">
        <v>622</v>
      </c>
      <c r="B623">
        <v>57</v>
      </c>
      <c r="C623" t="s">
        <v>16</v>
      </c>
      <c r="D623" t="s">
        <v>20</v>
      </c>
      <c r="E623" t="s">
        <v>36</v>
      </c>
      <c r="F623" s="1">
        <v>222.98</v>
      </c>
      <c r="G623" t="s">
        <v>24</v>
      </c>
      <c r="H623" t="s">
        <v>15</v>
      </c>
      <c r="I623" s="2">
        <v>3.5</v>
      </c>
      <c r="J623" s="4">
        <v>24</v>
      </c>
      <c r="K623" s="3">
        <v>7</v>
      </c>
      <c r="L623" s="1">
        <f t="shared" si="27"/>
        <v>169.4648</v>
      </c>
      <c r="M623" t="str" cm="1">
        <f t="array" ref="M623">_xlfn.IFS(B623&lt;18,"Under 18",B623 &lt;=25,"18-25",B623&lt;=35,"26-35",B623&lt;=45,"36-45",B623&lt;=60,"46-60",TRUE,"60+")</f>
        <v>46-60</v>
      </c>
      <c r="N623" t="str">
        <f t="shared" si="28"/>
        <v>Discounted</v>
      </c>
      <c r="O623" t="str">
        <f t="shared" si="29"/>
        <v>Returning</v>
      </c>
    </row>
    <row r="624" spans="1:15" x14ac:dyDescent="0.25">
      <c r="A624">
        <v>623</v>
      </c>
      <c r="B624">
        <v>49</v>
      </c>
      <c r="C624" t="s">
        <v>16</v>
      </c>
      <c r="D624" t="s">
        <v>17</v>
      </c>
      <c r="E624" t="s">
        <v>18</v>
      </c>
      <c r="F624" s="1">
        <v>197.05</v>
      </c>
      <c r="G624" t="s">
        <v>24</v>
      </c>
      <c r="H624" t="s">
        <v>15</v>
      </c>
      <c r="I624" s="2">
        <v>4.4000000000000004</v>
      </c>
      <c r="J624" s="4">
        <v>17</v>
      </c>
      <c r="K624" s="3">
        <v>6</v>
      </c>
      <c r="L624" s="1">
        <f t="shared" si="27"/>
        <v>163.5515</v>
      </c>
      <c r="M624" t="str" cm="1">
        <f t="array" ref="M624">_xlfn.IFS(B624&lt;18,"Under 18",B624 &lt;=25,"18-25",B624&lt;=35,"26-35",B624&lt;=45,"36-45",B624&lt;=60,"46-60",TRUE,"60+")</f>
        <v>46-60</v>
      </c>
      <c r="N624" t="str">
        <f t="shared" si="28"/>
        <v>Discounted</v>
      </c>
      <c r="O624" t="str">
        <f t="shared" si="29"/>
        <v>Returning</v>
      </c>
    </row>
    <row r="625" spans="1:15" x14ac:dyDescent="0.25">
      <c r="A625">
        <v>624</v>
      </c>
      <c r="B625">
        <v>48</v>
      </c>
      <c r="C625" t="s">
        <v>16</v>
      </c>
      <c r="D625" t="s">
        <v>20</v>
      </c>
      <c r="E625" t="s">
        <v>36</v>
      </c>
      <c r="F625" s="1">
        <v>97.69</v>
      </c>
      <c r="G625" t="s">
        <v>31</v>
      </c>
      <c r="H625" t="s">
        <v>37</v>
      </c>
      <c r="I625" s="2">
        <v>3.4</v>
      </c>
      <c r="J625" s="4">
        <v>19</v>
      </c>
      <c r="K625" s="3">
        <v>7</v>
      </c>
      <c r="L625" s="1">
        <f t="shared" si="27"/>
        <v>79.128900000000002</v>
      </c>
      <c r="M625" t="str" cm="1">
        <f t="array" ref="M625">_xlfn.IFS(B625&lt;18,"Under 18",B625 &lt;=25,"18-25",B625&lt;=35,"26-35",B625&lt;=45,"36-45",B625&lt;=60,"46-60",TRUE,"60+")</f>
        <v>46-60</v>
      </c>
      <c r="N625" t="str">
        <f t="shared" si="28"/>
        <v>Discounted</v>
      </c>
      <c r="O625" t="str">
        <f t="shared" si="29"/>
        <v>Returning</v>
      </c>
    </row>
    <row r="626" spans="1:15" x14ac:dyDescent="0.25">
      <c r="A626">
        <v>625</v>
      </c>
      <c r="B626">
        <v>35</v>
      </c>
      <c r="C626" t="s">
        <v>16</v>
      </c>
      <c r="D626" t="s">
        <v>27</v>
      </c>
      <c r="E626" t="s">
        <v>28</v>
      </c>
      <c r="F626" s="1">
        <v>761.2</v>
      </c>
      <c r="G626" t="s">
        <v>31</v>
      </c>
      <c r="H626" t="s">
        <v>15</v>
      </c>
      <c r="I626" s="2">
        <v>5</v>
      </c>
      <c r="J626" s="4">
        <v>24</v>
      </c>
      <c r="K626" s="3">
        <v>7</v>
      </c>
      <c r="L626" s="1">
        <f t="shared" si="27"/>
        <v>578.51200000000006</v>
      </c>
      <c r="M626" t="str" cm="1">
        <f t="array" ref="M626">_xlfn.IFS(B626&lt;18,"Under 18",B626 &lt;=25,"18-25",B626&lt;=35,"26-35",B626&lt;=45,"36-45",B626&lt;=60,"46-60",TRUE,"60+")</f>
        <v>26-35</v>
      </c>
      <c r="N626" t="str">
        <f t="shared" si="28"/>
        <v>Discounted</v>
      </c>
      <c r="O626" t="str">
        <f t="shared" si="29"/>
        <v>Returning</v>
      </c>
    </row>
    <row r="627" spans="1:15" x14ac:dyDescent="0.25">
      <c r="A627">
        <v>626</v>
      </c>
      <c r="B627">
        <v>63</v>
      </c>
      <c r="C627" t="s">
        <v>11</v>
      </c>
      <c r="D627" t="s">
        <v>33</v>
      </c>
      <c r="E627" t="s">
        <v>34</v>
      </c>
      <c r="F627" s="1">
        <v>208.69</v>
      </c>
      <c r="G627" t="s">
        <v>24</v>
      </c>
      <c r="H627" t="s">
        <v>15</v>
      </c>
      <c r="I627" s="2">
        <v>3.2</v>
      </c>
      <c r="J627" s="4">
        <v>13</v>
      </c>
      <c r="K627" s="3">
        <v>4</v>
      </c>
      <c r="L627" s="1">
        <f t="shared" si="27"/>
        <v>181.56029999999998</v>
      </c>
      <c r="M627" t="str" cm="1">
        <f t="array" ref="M627">_xlfn.IFS(B627&lt;18,"Under 18",B627 &lt;=25,"18-25",B627&lt;=35,"26-35",B627&lt;=45,"36-45",B627&lt;=60,"46-60",TRUE,"60+")</f>
        <v>60+</v>
      </c>
      <c r="N627" t="str">
        <f t="shared" si="28"/>
        <v>Discounted</v>
      </c>
      <c r="O627" t="str">
        <f t="shared" si="29"/>
        <v>Returning</v>
      </c>
    </row>
    <row r="628" spans="1:15" x14ac:dyDescent="0.25">
      <c r="A628">
        <v>627</v>
      </c>
      <c r="B628">
        <v>60</v>
      </c>
      <c r="C628" t="s">
        <v>11</v>
      </c>
      <c r="D628" t="s">
        <v>41</v>
      </c>
      <c r="E628" t="s">
        <v>46</v>
      </c>
      <c r="F628" s="1">
        <v>31.81</v>
      </c>
      <c r="G628" t="s">
        <v>19</v>
      </c>
      <c r="H628" t="s">
        <v>15</v>
      </c>
      <c r="I628" s="2">
        <v>3.5</v>
      </c>
      <c r="J628" s="4">
        <v>12</v>
      </c>
      <c r="K628" s="3">
        <v>6</v>
      </c>
      <c r="L628" s="1">
        <f t="shared" si="27"/>
        <v>27.992799999999999</v>
      </c>
      <c r="M628" t="str" cm="1">
        <f t="array" ref="M628">_xlfn.IFS(B628&lt;18,"Under 18",B628 &lt;=25,"18-25",B628&lt;=35,"26-35",B628&lt;=45,"36-45",B628&lt;=60,"46-60",TRUE,"60+")</f>
        <v>46-60</v>
      </c>
      <c r="N628" t="str">
        <f t="shared" si="28"/>
        <v>Discounted</v>
      </c>
      <c r="O628" t="str">
        <f t="shared" si="29"/>
        <v>Returning</v>
      </c>
    </row>
    <row r="629" spans="1:15" x14ac:dyDescent="0.25">
      <c r="A629">
        <v>628</v>
      </c>
      <c r="B629">
        <v>29</v>
      </c>
      <c r="C629" t="s">
        <v>16</v>
      </c>
      <c r="D629" t="s">
        <v>27</v>
      </c>
      <c r="E629" t="s">
        <v>49</v>
      </c>
      <c r="F629" s="1">
        <v>1170.69</v>
      </c>
      <c r="G629" t="s">
        <v>31</v>
      </c>
      <c r="H629" t="s">
        <v>15</v>
      </c>
      <c r="I629" s="2">
        <v>3.5</v>
      </c>
      <c r="J629" s="4">
        <v>16</v>
      </c>
      <c r="K629" s="3">
        <v>3</v>
      </c>
      <c r="L629" s="1">
        <f t="shared" si="27"/>
        <v>983.37959999999998</v>
      </c>
      <c r="M629" t="str" cm="1">
        <f t="array" ref="M629">_xlfn.IFS(B629&lt;18,"Under 18",B629 &lt;=25,"18-25",B629&lt;=35,"26-35",B629&lt;=45,"36-45",B629&lt;=60,"46-60",TRUE,"60+")</f>
        <v>26-35</v>
      </c>
      <c r="N629" t="str">
        <f t="shared" si="28"/>
        <v>Discounted</v>
      </c>
      <c r="O629" t="str">
        <f t="shared" si="29"/>
        <v>Returning</v>
      </c>
    </row>
    <row r="630" spans="1:15" x14ac:dyDescent="0.25">
      <c r="A630">
        <v>629</v>
      </c>
      <c r="B630">
        <v>54</v>
      </c>
      <c r="C630" t="s">
        <v>16</v>
      </c>
      <c r="D630" t="s">
        <v>33</v>
      </c>
      <c r="E630" t="s">
        <v>34</v>
      </c>
      <c r="F630" s="1">
        <v>66.739999999999995</v>
      </c>
      <c r="G630" t="s">
        <v>14</v>
      </c>
      <c r="H630" t="s">
        <v>37</v>
      </c>
      <c r="I630" s="2">
        <v>4.3</v>
      </c>
      <c r="J630" s="4">
        <v>12</v>
      </c>
      <c r="K630" s="3">
        <v>6</v>
      </c>
      <c r="L630" s="1">
        <f t="shared" si="27"/>
        <v>58.731199999999994</v>
      </c>
      <c r="M630" t="str" cm="1">
        <f t="array" ref="M630">_xlfn.IFS(B630&lt;18,"Under 18",B630 &lt;=25,"18-25",B630&lt;=35,"26-35",B630&lt;=45,"36-45",B630&lt;=60,"46-60",TRUE,"60+")</f>
        <v>46-60</v>
      </c>
      <c r="N630" t="str">
        <f t="shared" si="28"/>
        <v>Discounted</v>
      </c>
      <c r="O630" t="str">
        <f t="shared" si="29"/>
        <v>Returning</v>
      </c>
    </row>
    <row r="631" spans="1:15" x14ac:dyDescent="0.25">
      <c r="A631">
        <v>630</v>
      </c>
      <c r="B631">
        <v>23</v>
      </c>
      <c r="C631" t="s">
        <v>11</v>
      </c>
      <c r="D631" t="s">
        <v>29</v>
      </c>
      <c r="E631" t="s">
        <v>55</v>
      </c>
      <c r="F631" s="1">
        <v>39.909999999999997</v>
      </c>
      <c r="G631" t="s">
        <v>19</v>
      </c>
      <c r="H631" t="s">
        <v>37</v>
      </c>
      <c r="I631" s="2">
        <v>3.3</v>
      </c>
      <c r="J631" s="4">
        <v>2</v>
      </c>
      <c r="K631" s="3">
        <v>1</v>
      </c>
      <c r="L631" s="1">
        <f t="shared" si="27"/>
        <v>39.111799999999995</v>
      </c>
      <c r="M631" t="str" cm="1">
        <f t="array" ref="M631">_xlfn.IFS(B631&lt;18,"Under 18",B631 &lt;=25,"18-25",B631&lt;=35,"26-35",B631&lt;=45,"36-45",B631&lt;=60,"46-60",TRUE,"60+")</f>
        <v>18-25</v>
      </c>
      <c r="N631" t="str">
        <f t="shared" si="28"/>
        <v>Discounted</v>
      </c>
      <c r="O631" t="str">
        <f t="shared" si="29"/>
        <v>Returning</v>
      </c>
    </row>
    <row r="632" spans="1:15" x14ac:dyDescent="0.25">
      <c r="A632">
        <v>631</v>
      </c>
      <c r="B632">
        <v>42</v>
      </c>
      <c r="C632" t="s">
        <v>11</v>
      </c>
      <c r="D632" t="s">
        <v>25</v>
      </c>
      <c r="E632" t="s">
        <v>54</v>
      </c>
      <c r="F632" s="1">
        <v>10.19</v>
      </c>
      <c r="G632" t="s">
        <v>14</v>
      </c>
      <c r="H632" t="s">
        <v>37</v>
      </c>
      <c r="I632" s="2">
        <v>4.0999999999999996</v>
      </c>
      <c r="J632" s="4">
        <v>14</v>
      </c>
      <c r="K632" s="3">
        <v>7</v>
      </c>
      <c r="L632" s="1">
        <f t="shared" si="27"/>
        <v>8.763399999999999</v>
      </c>
      <c r="M632" t="str" cm="1">
        <f t="array" ref="M632">_xlfn.IFS(B632&lt;18,"Under 18",B632 &lt;=25,"18-25",B632&lt;=35,"26-35",B632&lt;=45,"36-45",B632&lt;=60,"46-60",TRUE,"60+")</f>
        <v>36-45</v>
      </c>
      <c r="N632" t="str">
        <f t="shared" si="28"/>
        <v>Discounted</v>
      </c>
      <c r="O632" t="str">
        <f t="shared" si="29"/>
        <v>Returning</v>
      </c>
    </row>
    <row r="633" spans="1:15" x14ac:dyDescent="0.25">
      <c r="A633">
        <v>632</v>
      </c>
      <c r="B633">
        <v>70</v>
      </c>
      <c r="C633" t="s">
        <v>16</v>
      </c>
      <c r="D633" t="s">
        <v>17</v>
      </c>
      <c r="E633" t="s">
        <v>42</v>
      </c>
      <c r="F633" s="1">
        <v>69.05</v>
      </c>
      <c r="G633" t="s">
        <v>14</v>
      </c>
      <c r="H633" t="s">
        <v>15</v>
      </c>
      <c r="I633" s="2">
        <v>3.9</v>
      </c>
      <c r="J633" s="4">
        <v>8</v>
      </c>
      <c r="K633" s="3">
        <v>4</v>
      </c>
      <c r="L633" s="1">
        <f t="shared" si="27"/>
        <v>63.526000000000003</v>
      </c>
      <c r="M633" t="str" cm="1">
        <f t="array" ref="M633">_xlfn.IFS(B633&lt;18,"Under 18",B633 &lt;=25,"18-25",B633&lt;=35,"26-35",B633&lt;=45,"36-45",B633&lt;=60,"46-60",TRUE,"60+")</f>
        <v>60+</v>
      </c>
      <c r="N633" t="str">
        <f t="shared" si="28"/>
        <v>Discounted</v>
      </c>
      <c r="O633" t="str">
        <f t="shared" si="29"/>
        <v>Returning</v>
      </c>
    </row>
    <row r="634" spans="1:15" x14ac:dyDescent="0.25">
      <c r="A634">
        <v>633</v>
      </c>
      <c r="B634">
        <v>29</v>
      </c>
      <c r="C634" t="s">
        <v>16</v>
      </c>
      <c r="D634" t="s">
        <v>33</v>
      </c>
      <c r="E634" t="s">
        <v>40</v>
      </c>
      <c r="F634" s="1">
        <v>91.99</v>
      </c>
      <c r="G634" t="s">
        <v>24</v>
      </c>
      <c r="H634" t="s">
        <v>15</v>
      </c>
      <c r="I634" s="2">
        <v>2.9</v>
      </c>
      <c r="J634" s="4">
        <v>25</v>
      </c>
      <c r="K634" s="3">
        <v>10</v>
      </c>
      <c r="L634" s="1">
        <f t="shared" si="27"/>
        <v>68.992499999999993</v>
      </c>
      <c r="M634" t="str" cm="1">
        <f t="array" ref="M634">_xlfn.IFS(B634&lt;18,"Under 18",B634 &lt;=25,"18-25",B634&lt;=35,"26-35",B634&lt;=45,"36-45",B634&lt;=60,"46-60",TRUE,"60+")</f>
        <v>26-35</v>
      </c>
      <c r="N634" t="str">
        <f t="shared" si="28"/>
        <v>Discounted</v>
      </c>
      <c r="O634" t="str">
        <f t="shared" si="29"/>
        <v>Returning</v>
      </c>
    </row>
    <row r="635" spans="1:15" x14ac:dyDescent="0.25">
      <c r="A635">
        <v>634</v>
      </c>
      <c r="B635">
        <v>38</v>
      </c>
      <c r="C635" t="s">
        <v>11</v>
      </c>
      <c r="D635" t="s">
        <v>33</v>
      </c>
      <c r="E635" t="s">
        <v>34</v>
      </c>
      <c r="F635" s="1">
        <v>247.76</v>
      </c>
      <c r="G635" t="s">
        <v>24</v>
      </c>
      <c r="H635" t="s">
        <v>15</v>
      </c>
      <c r="I635" s="2">
        <v>3.3</v>
      </c>
      <c r="J635" s="4">
        <v>11</v>
      </c>
      <c r="K635" s="3">
        <v>3</v>
      </c>
      <c r="L635" s="1">
        <f t="shared" si="27"/>
        <v>220.50639999999999</v>
      </c>
      <c r="M635" t="str" cm="1">
        <f t="array" ref="M635">_xlfn.IFS(B635&lt;18,"Under 18",B635 &lt;=25,"18-25",B635&lt;=35,"26-35",B635&lt;=45,"36-45",B635&lt;=60,"46-60",TRUE,"60+")</f>
        <v>36-45</v>
      </c>
      <c r="N635" t="str">
        <f t="shared" si="28"/>
        <v>Discounted</v>
      </c>
      <c r="O635" t="str">
        <f t="shared" si="29"/>
        <v>Returning</v>
      </c>
    </row>
    <row r="636" spans="1:15" x14ac:dyDescent="0.25">
      <c r="A636">
        <v>635</v>
      </c>
      <c r="B636">
        <v>45</v>
      </c>
      <c r="C636" t="s">
        <v>16</v>
      </c>
      <c r="D636" t="s">
        <v>33</v>
      </c>
      <c r="E636" t="s">
        <v>34</v>
      </c>
      <c r="F636" s="1">
        <v>203.46</v>
      </c>
      <c r="G636" t="s">
        <v>14</v>
      </c>
      <c r="H636" t="s">
        <v>15</v>
      </c>
      <c r="I636" s="2">
        <v>3.1</v>
      </c>
      <c r="J636" s="4">
        <v>10</v>
      </c>
      <c r="K636" s="3">
        <v>5</v>
      </c>
      <c r="L636" s="1">
        <f t="shared" si="27"/>
        <v>183.114</v>
      </c>
      <c r="M636" t="str" cm="1">
        <f t="array" ref="M636">_xlfn.IFS(B636&lt;18,"Under 18",B636 &lt;=25,"18-25",B636&lt;=35,"26-35",B636&lt;=45,"36-45",B636&lt;=60,"46-60",TRUE,"60+")</f>
        <v>36-45</v>
      </c>
      <c r="N636" t="str">
        <f t="shared" si="28"/>
        <v>Discounted</v>
      </c>
      <c r="O636" t="str">
        <f t="shared" si="29"/>
        <v>Returning</v>
      </c>
    </row>
    <row r="637" spans="1:15" x14ac:dyDescent="0.25">
      <c r="A637">
        <v>636</v>
      </c>
      <c r="B637">
        <v>61</v>
      </c>
      <c r="C637" t="s">
        <v>16</v>
      </c>
      <c r="D637" t="s">
        <v>33</v>
      </c>
      <c r="E637" t="s">
        <v>34</v>
      </c>
      <c r="F637" s="1">
        <v>118.53</v>
      </c>
      <c r="G637" t="s">
        <v>31</v>
      </c>
      <c r="H637" t="s">
        <v>15</v>
      </c>
      <c r="I637" s="2">
        <v>4.9000000000000004</v>
      </c>
      <c r="J637" s="4">
        <v>14</v>
      </c>
      <c r="K637" s="3">
        <v>2</v>
      </c>
      <c r="L637" s="1">
        <f t="shared" si="27"/>
        <v>101.9358</v>
      </c>
      <c r="M637" t="str" cm="1">
        <f t="array" ref="M637">_xlfn.IFS(B637&lt;18,"Under 18",B637 &lt;=25,"18-25",B637&lt;=35,"26-35",B637&lt;=45,"36-45",B637&lt;=60,"46-60",TRUE,"60+")</f>
        <v>60+</v>
      </c>
      <c r="N637" t="str">
        <f t="shared" si="28"/>
        <v>Discounted</v>
      </c>
      <c r="O637" t="str">
        <f t="shared" si="29"/>
        <v>Returning</v>
      </c>
    </row>
    <row r="638" spans="1:15" x14ac:dyDescent="0.25">
      <c r="A638">
        <v>637</v>
      </c>
      <c r="B638">
        <v>66</v>
      </c>
      <c r="C638" t="s">
        <v>16</v>
      </c>
      <c r="D638" t="s">
        <v>17</v>
      </c>
      <c r="E638" t="s">
        <v>18</v>
      </c>
      <c r="F638" s="1">
        <v>63.45</v>
      </c>
      <c r="G638" t="s">
        <v>24</v>
      </c>
      <c r="H638" t="s">
        <v>15</v>
      </c>
      <c r="I638" s="2">
        <v>3.6</v>
      </c>
      <c r="J638" s="4">
        <v>15</v>
      </c>
      <c r="K638" s="3">
        <v>5</v>
      </c>
      <c r="L638" s="1">
        <f t="shared" si="27"/>
        <v>53.932500000000005</v>
      </c>
      <c r="M638" t="str" cm="1">
        <f t="array" ref="M638">_xlfn.IFS(B638&lt;18,"Under 18",B638 &lt;=25,"18-25",B638&lt;=35,"26-35",B638&lt;=45,"36-45",B638&lt;=60,"46-60",TRUE,"60+")</f>
        <v>60+</v>
      </c>
      <c r="N638" t="str">
        <f t="shared" si="28"/>
        <v>Discounted</v>
      </c>
      <c r="O638" t="str">
        <f t="shared" si="29"/>
        <v>Returning</v>
      </c>
    </row>
    <row r="639" spans="1:15" x14ac:dyDescent="0.25">
      <c r="A639">
        <v>638</v>
      </c>
      <c r="B639">
        <v>66</v>
      </c>
      <c r="C639" t="s">
        <v>11</v>
      </c>
      <c r="D639" t="s">
        <v>12</v>
      </c>
      <c r="E639" t="s">
        <v>50</v>
      </c>
      <c r="F639" s="1">
        <v>129.69</v>
      </c>
      <c r="G639" t="s">
        <v>24</v>
      </c>
      <c r="H639" t="s">
        <v>15</v>
      </c>
      <c r="I639" s="2">
        <v>3.1</v>
      </c>
      <c r="J639" s="4">
        <v>17</v>
      </c>
      <c r="K639" s="3">
        <v>6</v>
      </c>
      <c r="L639" s="1">
        <f t="shared" si="27"/>
        <v>107.64269999999999</v>
      </c>
      <c r="M639" t="str" cm="1">
        <f t="array" ref="M639">_xlfn.IFS(B639&lt;18,"Under 18",B639 &lt;=25,"18-25",B639&lt;=35,"26-35",B639&lt;=45,"36-45",B639&lt;=60,"46-60",TRUE,"60+")</f>
        <v>60+</v>
      </c>
      <c r="N639" t="str">
        <f t="shared" si="28"/>
        <v>Discounted</v>
      </c>
      <c r="O639" t="str">
        <f t="shared" si="29"/>
        <v>Returning</v>
      </c>
    </row>
    <row r="640" spans="1:15" x14ac:dyDescent="0.25">
      <c r="A640">
        <v>639</v>
      </c>
      <c r="B640">
        <v>27</v>
      </c>
      <c r="C640" t="s">
        <v>16</v>
      </c>
      <c r="D640" t="s">
        <v>27</v>
      </c>
      <c r="E640" t="s">
        <v>32</v>
      </c>
      <c r="F640" s="1">
        <v>736.92</v>
      </c>
      <c r="G640" t="s">
        <v>14</v>
      </c>
      <c r="H640" t="s">
        <v>15</v>
      </c>
      <c r="I640" s="2">
        <v>3.3</v>
      </c>
      <c r="J640" s="4">
        <v>12</v>
      </c>
      <c r="K640" s="3">
        <v>1</v>
      </c>
      <c r="L640" s="1">
        <f t="shared" si="27"/>
        <v>648.4896</v>
      </c>
      <c r="M640" t="str" cm="1">
        <f t="array" ref="M640">_xlfn.IFS(B640&lt;18,"Under 18",B640 &lt;=25,"18-25",B640&lt;=35,"26-35",B640&lt;=45,"36-45",B640&lt;=60,"46-60",TRUE,"60+")</f>
        <v>26-35</v>
      </c>
      <c r="N640" t="str">
        <f t="shared" si="28"/>
        <v>Discounted</v>
      </c>
      <c r="O640" t="str">
        <f t="shared" si="29"/>
        <v>Returning</v>
      </c>
    </row>
    <row r="641" spans="1:15" x14ac:dyDescent="0.25">
      <c r="A641">
        <v>640</v>
      </c>
      <c r="B641">
        <v>52</v>
      </c>
      <c r="C641" t="s">
        <v>11</v>
      </c>
      <c r="D641" t="s">
        <v>29</v>
      </c>
      <c r="E641" t="s">
        <v>55</v>
      </c>
      <c r="F641" s="1">
        <v>87.62</v>
      </c>
      <c r="G641" t="s">
        <v>14</v>
      </c>
      <c r="H641" t="s">
        <v>15</v>
      </c>
      <c r="I641" s="2">
        <v>2.9</v>
      </c>
      <c r="J641" s="4">
        <v>10</v>
      </c>
      <c r="K641" s="3">
        <v>5</v>
      </c>
      <c r="L641" s="1">
        <f t="shared" si="27"/>
        <v>78.858000000000004</v>
      </c>
      <c r="M641" t="str" cm="1">
        <f t="array" ref="M641">_xlfn.IFS(B641&lt;18,"Under 18",B641 &lt;=25,"18-25",B641&lt;=35,"26-35",B641&lt;=45,"36-45",B641&lt;=60,"46-60",TRUE,"60+")</f>
        <v>46-60</v>
      </c>
      <c r="N641" t="str">
        <f t="shared" si="28"/>
        <v>Discounted</v>
      </c>
      <c r="O641" t="str">
        <f t="shared" si="29"/>
        <v>Returning</v>
      </c>
    </row>
    <row r="642" spans="1:15" x14ac:dyDescent="0.25">
      <c r="A642">
        <v>641</v>
      </c>
      <c r="B642">
        <v>43</v>
      </c>
      <c r="C642" t="s">
        <v>11</v>
      </c>
      <c r="D642" t="s">
        <v>22</v>
      </c>
      <c r="E642" t="s">
        <v>52</v>
      </c>
      <c r="F642" s="1">
        <v>140</v>
      </c>
      <c r="G642" t="s">
        <v>31</v>
      </c>
      <c r="H642" t="s">
        <v>15</v>
      </c>
      <c r="I642" s="2">
        <v>3.9</v>
      </c>
      <c r="J642" s="4">
        <v>15</v>
      </c>
      <c r="K642" s="3">
        <v>5</v>
      </c>
      <c r="L642" s="1">
        <f t="shared" si="27"/>
        <v>119</v>
      </c>
      <c r="M642" t="str" cm="1">
        <f t="array" ref="M642">_xlfn.IFS(B642&lt;18,"Under 18",B642 &lt;=25,"18-25",B642&lt;=35,"26-35",B642&lt;=45,"36-45",B642&lt;=60,"46-60",TRUE,"60+")</f>
        <v>36-45</v>
      </c>
      <c r="N642" t="str">
        <f t="shared" si="28"/>
        <v>Discounted</v>
      </c>
      <c r="O642" t="str">
        <f t="shared" si="29"/>
        <v>Returning</v>
      </c>
    </row>
    <row r="643" spans="1:15" x14ac:dyDescent="0.25">
      <c r="A643">
        <v>642</v>
      </c>
      <c r="B643">
        <v>35</v>
      </c>
      <c r="C643" t="s">
        <v>16</v>
      </c>
      <c r="D643" t="s">
        <v>20</v>
      </c>
      <c r="E643" t="s">
        <v>21</v>
      </c>
      <c r="F643" s="1">
        <v>107.57</v>
      </c>
      <c r="G643" t="s">
        <v>31</v>
      </c>
      <c r="H643" t="s">
        <v>15</v>
      </c>
      <c r="I643" s="2">
        <v>3.9</v>
      </c>
      <c r="J643" s="4">
        <v>12</v>
      </c>
      <c r="K643" s="3">
        <v>6</v>
      </c>
      <c r="L643" s="1">
        <f t="shared" ref="L643:L706" si="30">F643 * (1 - J643 / 100)</f>
        <v>94.661599999999993</v>
      </c>
      <c r="M643" t="str" cm="1">
        <f t="array" ref="M643">_xlfn.IFS(B643&lt;18,"Under 18",B643 &lt;=25,"18-25",B643&lt;=35,"26-35",B643&lt;=45,"36-45",B643&lt;=60,"46-60",TRUE,"60+")</f>
        <v>26-35</v>
      </c>
      <c r="N643" t="str">
        <f t="shared" ref="N643:N706" si="31">IF(J643&gt;0,"Discounted","No Discount")</f>
        <v>Discounted</v>
      </c>
      <c r="O643" t="str">
        <f t="shared" ref="O643:O706" si="32">IF(K643&gt;0,"Returning","New")</f>
        <v>Returning</v>
      </c>
    </row>
    <row r="644" spans="1:15" x14ac:dyDescent="0.25">
      <c r="A644">
        <v>643</v>
      </c>
      <c r="B644">
        <v>34</v>
      </c>
      <c r="C644" t="s">
        <v>16</v>
      </c>
      <c r="D644" t="s">
        <v>25</v>
      </c>
      <c r="E644" t="s">
        <v>54</v>
      </c>
      <c r="F644" s="1">
        <v>78.16</v>
      </c>
      <c r="G644" t="s">
        <v>19</v>
      </c>
      <c r="H644" t="s">
        <v>37</v>
      </c>
      <c r="I644" s="2">
        <v>2.2000000000000002</v>
      </c>
      <c r="J644" s="4">
        <v>4</v>
      </c>
      <c r="K644" s="3">
        <v>2</v>
      </c>
      <c r="L644" s="1">
        <f t="shared" si="30"/>
        <v>75.033599999999993</v>
      </c>
      <c r="M644" t="str" cm="1">
        <f t="array" ref="M644">_xlfn.IFS(B644&lt;18,"Under 18",B644 &lt;=25,"18-25",B644&lt;=35,"26-35",B644&lt;=45,"36-45",B644&lt;=60,"46-60",TRUE,"60+")</f>
        <v>26-35</v>
      </c>
      <c r="N644" t="str">
        <f t="shared" si="31"/>
        <v>Discounted</v>
      </c>
      <c r="O644" t="str">
        <f t="shared" si="32"/>
        <v>Returning</v>
      </c>
    </row>
    <row r="645" spans="1:15" x14ac:dyDescent="0.25">
      <c r="A645">
        <v>644</v>
      </c>
      <c r="B645">
        <v>51</v>
      </c>
      <c r="C645" t="s">
        <v>11</v>
      </c>
      <c r="D645" t="s">
        <v>41</v>
      </c>
      <c r="E645" t="s">
        <v>46</v>
      </c>
      <c r="F645" s="1">
        <v>47.3</v>
      </c>
      <c r="G645" t="s">
        <v>14</v>
      </c>
      <c r="H645" t="s">
        <v>37</v>
      </c>
      <c r="I645" s="2">
        <v>3.9</v>
      </c>
      <c r="J645" s="4">
        <v>7</v>
      </c>
      <c r="K645" s="3">
        <v>1</v>
      </c>
      <c r="L645" s="1">
        <f t="shared" si="30"/>
        <v>43.988999999999997</v>
      </c>
      <c r="M645" t="str" cm="1">
        <f t="array" ref="M645">_xlfn.IFS(B645&lt;18,"Under 18",B645 &lt;=25,"18-25",B645&lt;=35,"26-35",B645&lt;=45,"36-45",B645&lt;=60,"46-60",TRUE,"60+")</f>
        <v>46-60</v>
      </c>
      <c r="N645" t="str">
        <f t="shared" si="31"/>
        <v>Discounted</v>
      </c>
      <c r="O645" t="str">
        <f t="shared" si="32"/>
        <v>Returning</v>
      </c>
    </row>
    <row r="646" spans="1:15" x14ac:dyDescent="0.25">
      <c r="A646">
        <v>645</v>
      </c>
      <c r="B646">
        <v>43</v>
      </c>
      <c r="C646" t="s">
        <v>11</v>
      </c>
      <c r="D646" t="s">
        <v>41</v>
      </c>
      <c r="E646" t="s">
        <v>44</v>
      </c>
      <c r="F646" s="1">
        <v>143.80000000000001</v>
      </c>
      <c r="G646" t="s">
        <v>14</v>
      </c>
      <c r="H646" t="s">
        <v>15</v>
      </c>
      <c r="I646" s="2">
        <v>3.6</v>
      </c>
      <c r="J646" s="4">
        <v>12</v>
      </c>
      <c r="K646" s="3">
        <v>6</v>
      </c>
      <c r="L646" s="1">
        <f t="shared" si="30"/>
        <v>126.54400000000001</v>
      </c>
      <c r="M646" t="str" cm="1">
        <f t="array" ref="M646">_xlfn.IFS(B646&lt;18,"Under 18",B646 &lt;=25,"18-25",B646&lt;=35,"26-35",B646&lt;=45,"36-45",B646&lt;=60,"46-60",TRUE,"60+")</f>
        <v>36-45</v>
      </c>
      <c r="N646" t="str">
        <f t="shared" si="31"/>
        <v>Discounted</v>
      </c>
      <c r="O646" t="str">
        <f t="shared" si="32"/>
        <v>Returning</v>
      </c>
    </row>
    <row r="647" spans="1:15" x14ac:dyDescent="0.25">
      <c r="A647">
        <v>646</v>
      </c>
      <c r="B647">
        <v>50</v>
      </c>
      <c r="C647" t="s">
        <v>16</v>
      </c>
      <c r="D647" t="s">
        <v>20</v>
      </c>
      <c r="E647" t="s">
        <v>39</v>
      </c>
      <c r="F647" s="1">
        <v>208.8</v>
      </c>
      <c r="G647" t="s">
        <v>31</v>
      </c>
      <c r="H647" t="s">
        <v>15</v>
      </c>
      <c r="I647" s="2">
        <v>3.4</v>
      </c>
      <c r="J647" s="4">
        <v>4</v>
      </c>
      <c r="K647" s="3">
        <v>2</v>
      </c>
      <c r="L647" s="1">
        <f t="shared" si="30"/>
        <v>200.44800000000001</v>
      </c>
      <c r="M647" t="str" cm="1">
        <f t="array" ref="M647">_xlfn.IFS(B647&lt;18,"Under 18",B647 &lt;=25,"18-25",B647&lt;=35,"26-35",B647&lt;=45,"36-45",B647&lt;=60,"46-60",TRUE,"60+")</f>
        <v>46-60</v>
      </c>
      <c r="N647" t="str">
        <f t="shared" si="31"/>
        <v>Discounted</v>
      </c>
      <c r="O647" t="str">
        <f t="shared" si="32"/>
        <v>Returning</v>
      </c>
    </row>
    <row r="648" spans="1:15" x14ac:dyDescent="0.25">
      <c r="A648">
        <v>647</v>
      </c>
      <c r="B648">
        <v>33</v>
      </c>
      <c r="C648" t="s">
        <v>16</v>
      </c>
      <c r="D648" t="s">
        <v>22</v>
      </c>
      <c r="E648" t="s">
        <v>43</v>
      </c>
      <c r="F648" s="1">
        <v>170.58</v>
      </c>
      <c r="G648" t="s">
        <v>31</v>
      </c>
      <c r="H648" t="s">
        <v>15</v>
      </c>
      <c r="I648" s="2">
        <v>4.2</v>
      </c>
      <c r="J648" s="4">
        <v>8</v>
      </c>
      <c r="K648" s="3">
        <v>4</v>
      </c>
      <c r="L648" s="1">
        <f t="shared" si="30"/>
        <v>156.93360000000001</v>
      </c>
      <c r="M648" t="str" cm="1">
        <f t="array" ref="M648">_xlfn.IFS(B648&lt;18,"Under 18",B648 &lt;=25,"18-25",B648&lt;=35,"26-35",B648&lt;=45,"36-45",B648&lt;=60,"46-60",TRUE,"60+")</f>
        <v>26-35</v>
      </c>
      <c r="N648" t="str">
        <f t="shared" si="31"/>
        <v>Discounted</v>
      </c>
      <c r="O648" t="str">
        <f t="shared" si="32"/>
        <v>Returning</v>
      </c>
    </row>
    <row r="649" spans="1:15" x14ac:dyDescent="0.25">
      <c r="A649">
        <v>648</v>
      </c>
      <c r="B649">
        <v>30</v>
      </c>
      <c r="C649" t="s">
        <v>16</v>
      </c>
      <c r="D649" t="s">
        <v>17</v>
      </c>
      <c r="E649" t="s">
        <v>42</v>
      </c>
      <c r="F649" s="1">
        <v>42.67</v>
      </c>
      <c r="G649" t="s">
        <v>14</v>
      </c>
      <c r="H649" t="s">
        <v>37</v>
      </c>
      <c r="I649" s="2">
        <v>4.0999999999999996</v>
      </c>
      <c r="J649" s="4">
        <v>8</v>
      </c>
      <c r="K649" s="3">
        <v>4</v>
      </c>
      <c r="L649" s="1">
        <f t="shared" si="30"/>
        <v>39.256400000000006</v>
      </c>
      <c r="M649" t="str" cm="1">
        <f t="array" ref="M649">_xlfn.IFS(B649&lt;18,"Under 18",B649 &lt;=25,"18-25",B649&lt;=35,"26-35",B649&lt;=45,"36-45",B649&lt;=60,"46-60",TRUE,"60+")</f>
        <v>26-35</v>
      </c>
      <c r="N649" t="str">
        <f t="shared" si="31"/>
        <v>Discounted</v>
      </c>
      <c r="O649" t="str">
        <f t="shared" si="32"/>
        <v>Returning</v>
      </c>
    </row>
    <row r="650" spans="1:15" x14ac:dyDescent="0.25">
      <c r="A650">
        <v>649</v>
      </c>
      <c r="B650">
        <v>54</v>
      </c>
      <c r="C650" t="s">
        <v>16</v>
      </c>
      <c r="D650" t="s">
        <v>17</v>
      </c>
      <c r="E650" t="s">
        <v>42</v>
      </c>
      <c r="F650" s="1">
        <v>170.85</v>
      </c>
      <c r="G650" t="s">
        <v>31</v>
      </c>
      <c r="H650" t="s">
        <v>15</v>
      </c>
      <c r="I650" s="2">
        <v>3.4</v>
      </c>
      <c r="J650" s="4">
        <v>13</v>
      </c>
      <c r="K650" s="3">
        <v>4</v>
      </c>
      <c r="L650" s="1">
        <f t="shared" si="30"/>
        <v>148.6395</v>
      </c>
      <c r="M650" t="str" cm="1">
        <f t="array" ref="M650">_xlfn.IFS(B650&lt;18,"Under 18",B650 &lt;=25,"18-25",B650&lt;=35,"26-35",B650&lt;=45,"36-45",B650&lt;=60,"46-60",TRUE,"60+")</f>
        <v>46-60</v>
      </c>
      <c r="N650" t="str">
        <f t="shared" si="31"/>
        <v>Discounted</v>
      </c>
      <c r="O650" t="str">
        <f t="shared" si="32"/>
        <v>Returning</v>
      </c>
    </row>
    <row r="651" spans="1:15" x14ac:dyDescent="0.25">
      <c r="A651">
        <v>650</v>
      </c>
      <c r="B651">
        <v>70</v>
      </c>
      <c r="C651" t="s">
        <v>16</v>
      </c>
      <c r="D651" t="s">
        <v>33</v>
      </c>
      <c r="E651" t="s">
        <v>34</v>
      </c>
      <c r="F651" s="1">
        <v>174.39</v>
      </c>
      <c r="G651" t="s">
        <v>31</v>
      </c>
      <c r="H651" t="s">
        <v>15</v>
      </c>
      <c r="I651" s="2">
        <v>3.2</v>
      </c>
      <c r="J651" s="4">
        <v>20</v>
      </c>
      <c r="K651" s="3">
        <v>5</v>
      </c>
      <c r="L651" s="1">
        <f t="shared" si="30"/>
        <v>139.512</v>
      </c>
      <c r="M651" t="str" cm="1">
        <f t="array" ref="M651">_xlfn.IFS(B651&lt;18,"Under 18",B651 &lt;=25,"18-25",B651&lt;=35,"26-35",B651&lt;=45,"36-45",B651&lt;=60,"46-60",TRUE,"60+")</f>
        <v>60+</v>
      </c>
      <c r="N651" t="str">
        <f t="shared" si="31"/>
        <v>Discounted</v>
      </c>
      <c r="O651" t="str">
        <f t="shared" si="32"/>
        <v>Returning</v>
      </c>
    </row>
    <row r="652" spans="1:15" x14ac:dyDescent="0.25">
      <c r="A652">
        <v>651</v>
      </c>
      <c r="B652">
        <v>58</v>
      </c>
      <c r="C652" t="s">
        <v>16</v>
      </c>
      <c r="D652" t="s">
        <v>20</v>
      </c>
      <c r="E652" t="s">
        <v>21</v>
      </c>
      <c r="F652" s="1">
        <v>124.28</v>
      </c>
      <c r="G652" t="s">
        <v>19</v>
      </c>
      <c r="H652" t="s">
        <v>15</v>
      </c>
      <c r="I652" s="2">
        <v>3.1</v>
      </c>
      <c r="J652" s="4">
        <v>16</v>
      </c>
      <c r="K652" s="3">
        <v>3</v>
      </c>
      <c r="L652" s="1">
        <f t="shared" si="30"/>
        <v>104.3952</v>
      </c>
      <c r="M652" t="str" cm="1">
        <f t="array" ref="M652">_xlfn.IFS(B652&lt;18,"Under 18",B652 &lt;=25,"18-25",B652&lt;=35,"26-35",B652&lt;=45,"36-45",B652&lt;=60,"46-60",TRUE,"60+")</f>
        <v>46-60</v>
      </c>
      <c r="N652" t="str">
        <f t="shared" si="31"/>
        <v>Discounted</v>
      </c>
      <c r="O652" t="str">
        <f t="shared" si="32"/>
        <v>Returning</v>
      </c>
    </row>
    <row r="653" spans="1:15" x14ac:dyDescent="0.25">
      <c r="A653">
        <v>652</v>
      </c>
      <c r="B653">
        <v>69</v>
      </c>
      <c r="C653" t="s">
        <v>16</v>
      </c>
      <c r="D653" t="s">
        <v>20</v>
      </c>
      <c r="E653" t="s">
        <v>39</v>
      </c>
      <c r="F653" s="1">
        <v>100.45</v>
      </c>
      <c r="G653" t="s">
        <v>24</v>
      </c>
      <c r="H653" t="s">
        <v>15</v>
      </c>
      <c r="I653" s="2">
        <v>3.6</v>
      </c>
      <c r="J653" s="4">
        <v>13</v>
      </c>
      <c r="K653" s="3">
        <v>4</v>
      </c>
      <c r="L653" s="1">
        <f t="shared" si="30"/>
        <v>87.391500000000008</v>
      </c>
      <c r="M653" t="str" cm="1">
        <f t="array" ref="M653">_xlfn.IFS(B653&lt;18,"Under 18",B653 &lt;=25,"18-25",B653&lt;=35,"26-35",B653&lt;=45,"36-45",B653&lt;=60,"46-60",TRUE,"60+")</f>
        <v>60+</v>
      </c>
      <c r="N653" t="str">
        <f t="shared" si="31"/>
        <v>Discounted</v>
      </c>
      <c r="O653" t="str">
        <f t="shared" si="32"/>
        <v>Returning</v>
      </c>
    </row>
    <row r="654" spans="1:15" x14ac:dyDescent="0.25">
      <c r="A654">
        <v>653</v>
      </c>
      <c r="B654">
        <v>52</v>
      </c>
      <c r="C654" t="s">
        <v>16</v>
      </c>
      <c r="D654" t="s">
        <v>22</v>
      </c>
      <c r="E654" t="s">
        <v>52</v>
      </c>
      <c r="F654" s="1">
        <v>56.48</v>
      </c>
      <c r="G654" t="s">
        <v>19</v>
      </c>
      <c r="H654" t="s">
        <v>37</v>
      </c>
      <c r="I654" s="2">
        <v>5</v>
      </c>
      <c r="J654" s="4">
        <v>29</v>
      </c>
      <c r="K654" s="3">
        <v>12</v>
      </c>
      <c r="L654" s="1">
        <f t="shared" si="30"/>
        <v>40.100799999999992</v>
      </c>
      <c r="M654" t="str" cm="1">
        <f t="array" ref="M654">_xlfn.IFS(B654&lt;18,"Under 18",B654 &lt;=25,"18-25",B654&lt;=35,"26-35",B654&lt;=45,"36-45",B654&lt;=60,"46-60",TRUE,"60+")</f>
        <v>46-60</v>
      </c>
      <c r="N654" t="str">
        <f t="shared" si="31"/>
        <v>Discounted</v>
      </c>
      <c r="O654" t="str">
        <f t="shared" si="32"/>
        <v>Returning</v>
      </c>
    </row>
    <row r="655" spans="1:15" x14ac:dyDescent="0.25">
      <c r="A655">
        <v>654</v>
      </c>
      <c r="B655">
        <v>60</v>
      </c>
      <c r="C655" t="s">
        <v>11</v>
      </c>
      <c r="D655" t="s">
        <v>12</v>
      </c>
      <c r="E655" t="s">
        <v>56</v>
      </c>
      <c r="F655" s="1">
        <v>30.06</v>
      </c>
      <c r="G655" t="s">
        <v>14</v>
      </c>
      <c r="H655" t="s">
        <v>15</v>
      </c>
      <c r="I655" s="2">
        <v>4.5999999999999996</v>
      </c>
      <c r="J655" s="4">
        <v>22</v>
      </c>
      <c r="K655" s="3">
        <v>6</v>
      </c>
      <c r="L655" s="1">
        <f t="shared" si="30"/>
        <v>23.4468</v>
      </c>
      <c r="M655" t="str" cm="1">
        <f t="array" ref="M655">_xlfn.IFS(B655&lt;18,"Under 18",B655 &lt;=25,"18-25",B655&lt;=35,"26-35",B655&lt;=45,"36-45",B655&lt;=60,"46-60",TRUE,"60+")</f>
        <v>46-60</v>
      </c>
      <c r="N655" t="str">
        <f t="shared" si="31"/>
        <v>Discounted</v>
      </c>
      <c r="O655" t="str">
        <f t="shared" si="32"/>
        <v>Returning</v>
      </c>
    </row>
    <row r="656" spans="1:15" x14ac:dyDescent="0.25">
      <c r="A656">
        <v>655</v>
      </c>
      <c r="B656">
        <v>70</v>
      </c>
      <c r="C656" t="s">
        <v>11</v>
      </c>
      <c r="D656" t="s">
        <v>33</v>
      </c>
      <c r="E656" t="s">
        <v>38</v>
      </c>
      <c r="F656" s="1">
        <v>54</v>
      </c>
      <c r="G656" t="s">
        <v>14</v>
      </c>
      <c r="H656" t="s">
        <v>15</v>
      </c>
      <c r="I656" s="2">
        <v>2.8</v>
      </c>
      <c r="J656" s="4">
        <v>30</v>
      </c>
      <c r="K656" s="3">
        <v>10</v>
      </c>
      <c r="L656" s="1">
        <f t="shared" si="30"/>
        <v>37.799999999999997</v>
      </c>
      <c r="M656" t="str" cm="1">
        <f t="array" ref="M656">_xlfn.IFS(B656&lt;18,"Under 18",B656 &lt;=25,"18-25",B656&lt;=35,"26-35",B656&lt;=45,"36-45",B656&lt;=60,"46-60",TRUE,"60+")</f>
        <v>60+</v>
      </c>
      <c r="N656" t="str">
        <f t="shared" si="31"/>
        <v>Discounted</v>
      </c>
      <c r="O656" t="str">
        <f t="shared" si="32"/>
        <v>Returning</v>
      </c>
    </row>
    <row r="657" spans="1:15" x14ac:dyDescent="0.25">
      <c r="A657">
        <v>656</v>
      </c>
      <c r="B657">
        <v>67</v>
      </c>
      <c r="C657" t="s">
        <v>16</v>
      </c>
      <c r="D657" t="s">
        <v>17</v>
      </c>
      <c r="E657" t="s">
        <v>42</v>
      </c>
      <c r="F657" s="1">
        <v>174.5</v>
      </c>
      <c r="G657" t="s">
        <v>31</v>
      </c>
      <c r="H657" t="s">
        <v>15</v>
      </c>
      <c r="I657" s="2">
        <v>4.5</v>
      </c>
      <c r="J657" s="4">
        <v>15</v>
      </c>
      <c r="K657" s="3">
        <v>5</v>
      </c>
      <c r="L657" s="1">
        <f t="shared" si="30"/>
        <v>148.32499999999999</v>
      </c>
      <c r="M657" t="str" cm="1">
        <f t="array" ref="M657">_xlfn.IFS(B657&lt;18,"Under 18",B657 &lt;=25,"18-25",B657&lt;=35,"26-35",B657&lt;=45,"36-45",B657&lt;=60,"46-60",TRUE,"60+")</f>
        <v>60+</v>
      </c>
      <c r="N657" t="str">
        <f t="shared" si="31"/>
        <v>Discounted</v>
      </c>
      <c r="O657" t="str">
        <f t="shared" si="32"/>
        <v>Returning</v>
      </c>
    </row>
    <row r="658" spans="1:15" x14ac:dyDescent="0.25">
      <c r="A658">
        <v>657</v>
      </c>
      <c r="B658">
        <v>20</v>
      </c>
      <c r="C658" t="s">
        <v>11</v>
      </c>
      <c r="D658" t="s">
        <v>12</v>
      </c>
      <c r="E658" t="s">
        <v>50</v>
      </c>
      <c r="F658" s="1">
        <v>92.35</v>
      </c>
      <c r="G658" t="s">
        <v>14</v>
      </c>
      <c r="H658" t="s">
        <v>15</v>
      </c>
      <c r="I658" s="2">
        <v>3.3</v>
      </c>
      <c r="J658" s="4">
        <v>12</v>
      </c>
      <c r="K658" s="3">
        <v>1</v>
      </c>
      <c r="L658" s="1">
        <f t="shared" si="30"/>
        <v>81.268000000000001</v>
      </c>
      <c r="M658" t="str" cm="1">
        <f t="array" ref="M658">_xlfn.IFS(B658&lt;18,"Under 18",B658 &lt;=25,"18-25",B658&lt;=35,"26-35",B658&lt;=45,"36-45",B658&lt;=60,"46-60",TRUE,"60+")</f>
        <v>18-25</v>
      </c>
      <c r="N658" t="str">
        <f t="shared" si="31"/>
        <v>Discounted</v>
      </c>
      <c r="O658" t="str">
        <f t="shared" si="32"/>
        <v>Returning</v>
      </c>
    </row>
    <row r="659" spans="1:15" x14ac:dyDescent="0.25">
      <c r="A659">
        <v>658</v>
      </c>
      <c r="B659">
        <v>33</v>
      </c>
      <c r="C659" t="s">
        <v>11</v>
      </c>
      <c r="D659" t="s">
        <v>12</v>
      </c>
      <c r="E659" t="s">
        <v>56</v>
      </c>
      <c r="F659" s="1">
        <v>40.85</v>
      </c>
      <c r="G659" t="s">
        <v>31</v>
      </c>
      <c r="H659" t="s">
        <v>37</v>
      </c>
      <c r="I659" s="2">
        <v>4.2</v>
      </c>
      <c r="J659" s="4">
        <v>18</v>
      </c>
      <c r="K659" s="3">
        <v>4</v>
      </c>
      <c r="L659" s="1">
        <f t="shared" si="30"/>
        <v>33.497000000000007</v>
      </c>
      <c r="M659" t="str" cm="1">
        <f t="array" ref="M659">_xlfn.IFS(B659&lt;18,"Under 18",B659 &lt;=25,"18-25",B659&lt;=35,"26-35",B659&lt;=45,"36-45",B659&lt;=60,"46-60",TRUE,"60+")</f>
        <v>26-35</v>
      </c>
      <c r="N659" t="str">
        <f t="shared" si="31"/>
        <v>Discounted</v>
      </c>
      <c r="O659" t="str">
        <f t="shared" si="32"/>
        <v>Returning</v>
      </c>
    </row>
    <row r="660" spans="1:15" x14ac:dyDescent="0.25">
      <c r="A660">
        <v>659</v>
      </c>
      <c r="B660">
        <v>27</v>
      </c>
      <c r="C660" t="s">
        <v>16</v>
      </c>
      <c r="D660" t="s">
        <v>20</v>
      </c>
      <c r="E660" t="s">
        <v>36</v>
      </c>
      <c r="F660" s="1">
        <v>68.16</v>
      </c>
      <c r="G660" t="s">
        <v>19</v>
      </c>
      <c r="H660" t="s">
        <v>15</v>
      </c>
      <c r="I660" s="2">
        <v>4.0999999999999996</v>
      </c>
      <c r="J660" s="4">
        <v>10</v>
      </c>
      <c r="K660" s="3">
        <v>5</v>
      </c>
      <c r="L660" s="1">
        <f t="shared" si="30"/>
        <v>61.344000000000001</v>
      </c>
      <c r="M660" t="str" cm="1">
        <f t="array" ref="M660">_xlfn.IFS(B660&lt;18,"Under 18",B660 &lt;=25,"18-25",B660&lt;=35,"26-35",B660&lt;=45,"36-45",B660&lt;=60,"46-60",TRUE,"60+")</f>
        <v>26-35</v>
      </c>
      <c r="N660" t="str">
        <f t="shared" si="31"/>
        <v>Discounted</v>
      </c>
      <c r="O660" t="str">
        <f t="shared" si="32"/>
        <v>Returning</v>
      </c>
    </row>
    <row r="661" spans="1:15" x14ac:dyDescent="0.25">
      <c r="A661">
        <v>660</v>
      </c>
      <c r="B661">
        <v>33</v>
      </c>
      <c r="C661" t="s">
        <v>11</v>
      </c>
      <c r="D661" t="s">
        <v>29</v>
      </c>
      <c r="E661" t="s">
        <v>51</v>
      </c>
      <c r="F661" s="1">
        <v>107.56</v>
      </c>
      <c r="G661" t="s">
        <v>19</v>
      </c>
      <c r="H661" t="s">
        <v>15</v>
      </c>
      <c r="I661" s="2">
        <v>2.6</v>
      </c>
      <c r="J661" s="4">
        <v>8</v>
      </c>
      <c r="K661" s="3">
        <v>4</v>
      </c>
      <c r="L661" s="1">
        <f t="shared" si="30"/>
        <v>98.955200000000005</v>
      </c>
      <c r="M661" t="str" cm="1">
        <f t="array" ref="M661">_xlfn.IFS(B661&lt;18,"Under 18",B661 &lt;=25,"18-25",B661&lt;=35,"26-35",B661&lt;=45,"36-45",B661&lt;=60,"46-60",TRUE,"60+")</f>
        <v>26-35</v>
      </c>
      <c r="N661" t="str">
        <f t="shared" si="31"/>
        <v>Discounted</v>
      </c>
      <c r="O661" t="str">
        <f t="shared" si="32"/>
        <v>Returning</v>
      </c>
    </row>
    <row r="662" spans="1:15" x14ac:dyDescent="0.25">
      <c r="A662">
        <v>661</v>
      </c>
      <c r="B662">
        <v>54</v>
      </c>
      <c r="C662" t="s">
        <v>11</v>
      </c>
      <c r="D662" t="s">
        <v>33</v>
      </c>
      <c r="E662" t="s">
        <v>40</v>
      </c>
      <c r="F662" s="1">
        <v>242.06</v>
      </c>
      <c r="G662" t="s">
        <v>19</v>
      </c>
      <c r="H662" t="s">
        <v>15</v>
      </c>
      <c r="I662" s="2">
        <v>4.0999999999999996</v>
      </c>
      <c r="J662" s="4">
        <v>19</v>
      </c>
      <c r="K662" s="3">
        <v>7</v>
      </c>
      <c r="L662" s="1">
        <f t="shared" si="30"/>
        <v>196.0686</v>
      </c>
      <c r="M662" t="str" cm="1">
        <f t="array" ref="M662">_xlfn.IFS(B662&lt;18,"Under 18",B662 &lt;=25,"18-25",B662&lt;=35,"26-35",B662&lt;=45,"36-45",B662&lt;=60,"46-60",TRUE,"60+")</f>
        <v>46-60</v>
      </c>
      <c r="N662" t="str">
        <f t="shared" si="31"/>
        <v>Discounted</v>
      </c>
      <c r="O662" t="str">
        <f t="shared" si="32"/>
        <v>Returning</v>
      </c>
    </row>
    <row r="663" spans="1:15" x14ac:dyDescent="0.25">
      <c r="A663">
        <v>662</v>
      </c>
      <c r="B663">
        <v>45</v>
      </c>
      <c r="C663" t="s">
        <v>11</v>
      </c>
      <c r="D663" t="s">
        <v>29</v>
      </c>
      <c r="E663" t="s">
        <v>30</v>
      </c>
      <c r="F663" s="1">
        <v>144.31</v>
      </c>
      <c r="G663" t="s">
        <v>14</v>
      </c>
      <c r="H663" t="s">
        <v>15</v>
      </c>
      <c r="I663" s="2">
        <v>3.8</v>
      </c>
      <c r="J663" s="4">
        <v>0</v>
      </c>
      <c r="K663" s="3">
        <v>0</v>
      </c>
      <c r="L663" s="1">
        <f t="shared" si="30"/>
        <v>144.31</v>
      </c>
      <c r="M663" t="str" cm="1">
        <f t="array" ref="M663">_xlfn.IFS(B663&lt;18,"Under 18",B663 &lt;=25,"18-25",B663&lt;=35,"26-35",B663&lt;=45,"36-45",B663&lt;=60,"46-60",TRUE,"60+")</f>
        <v>36-45</v>
      </c>
      <c r="N663" t="str">
        <f t="shared" si="31"/>
        <v>No Discount</v>
      </c>
      <c r="O663" t="str">
        <f t="shared" si="32"/>
        <v>New</v>
      </c>
    </row>
    <row r="664" spans="1:15" x14ac:dyDescent="0.25">
      <c r="A664">
        <v>663</v>
      </c>
      <c r="B664">
        <v>28</v>
      </c>
      <c r="C664" t="s">
        <v>11</v>
      </c>
      <c r="D664" t="s">
        <v>29</v>
      </c>
      <c r="E664" t="s">
        <v>30</v>
      </c>
      <c r="F664" s="1">
        <v>119.55</v>
      </c>
      <c r="G664" t="s">
        <v>24</v>
      </c>
      <c r="H664" t="s">
        <v>15</v>
      </c>
      <c r="I664" s="2">
        <v>3.6</v>
      </c>
      <c r="J664" s="4">
        <v>6</v>
      </c>
      <c r="K664" s="3">
        <v>3</v>
      </c>
      <c r="L664" s="1">
        <f t="shared" si="30"/>
        <v>112.377</v>
      </c>
      <c r="M664" t="str" cm="1">
        <f t="array" ref="M664">_xlfn.IFS(B664&lt;18,"Under 18",B664 &lt;=25,"18-25",B664&lt;=35,"26-35",B664&lt;=45,"36-45",B664&lt;=60,"46-60",TRUE,"60+")</f>
        <v>26-35</v>
      </c>
      <c r="N664" t="str">
        <f t="shared" si="31"/>
        <v>Discounted</v>
      </c>
      <c r="O664" t="str">
        <f t="shared" si="32"/>
        <v>Returning</v>
      </c>
    </row>
    <row r="665" spans="1:15" x14ac:dyDescent="0.25">
      <c r="A665">
        <v>664</v>
      </c>
      <c r="B665">
        <v>46</v>
      </c>
      <c r="C665" t="s">
        <v>16</v>
      </c>
      <c r="D665" t="s">
        <v>20</v>
      </c>
      <c r="E665" t="s">
        <v>21</v>
      </c>
      <c r="F665" s="1">
        <v>56.34</v>
      </c>
      <c r="G665" t="s">
        <v>24</v>
      </c>
      <c r="H665" t="s">
        <v>37</v>
      </c>
      <c r="I665" s="2">
        <v>2.9</v>
      </c>
      <c r="J665" s="4">
        <v>11</v>
      </c>
      <c r="K665" s="3">
        <v>3</v>
      </c>
      <c r="L665" s="1">
        <f t="shared" si="30"/>
        <v>50.142600000000002</v>
      </c>
      <c r="M665" t="str" cm="1">
        <f t="array" ref="M665">_xlfn.IFS(B665&lt;18,"Under 18",B665 &lt;=25,"18-25",B665&lt;=35,"26-35",B665&lt;=45,"36-45",B665&lt;=60,"46-60",TRUE,"60+")</f>
        <v>46-60</v>
      </c>
      <c r="N665" t="str">
        <f t="shared" si="31"/>
        <v>Discounted</v>
      </c>
      <c r="O665" t="str">
        <f t="shared" si="32"/>
        <v>Returning</v>
      </c>
    </row>
    <row r="666" spans="1:15" x14ac:dyDescent="0.25">
      <c r="A666">
        <v>665</v>
      </c>
      <c r="B666">
        <v>25</v>
      </c>
      <c r="C666" t="s">
        <v>16</v>
      </c>
      <c r="D666" t="s">
        <v>22</v>
      </c>
      <c r="E666" t="s">
        <v>43</v>
      </c>
      <c r="F666" s="1">
        <v>279.19</v>
      </c>
      <c r="G666" t="s">
        <v>31</v>
      </c>
      <c r="H666" t="s">
        <v>15</v>
      </c>
      <c r="I666" s="2">
        <v>4.5</v>
      </c>
      <c r="J666" s="4">
        <v>8</v>
      </c>
      <c r="K666" s="3">
        <v>4</v>
      </c>
      <c r="L666" s="1">
        <f t="shared" si="30"/>
        <v>256.85480000000001</v>
      </c>
      <c r="M666" t="str" cm="1">
        <f t="array" ref="M666">_xlfn.IFS(B666&lt;18,"Under 18",B666 &lt;=25,"18-25",B666&lt;=35,"26-35",B666&lt;=45,"36-45",B666&lt;=60,"46-60",TRUE,"60+")</f>
        <v>18-25</v>
      </c>
      <c r="N666" t="str">
        <f t="shared" si="31"/>
        <v>Discounted</v>
      </c>
      <c r="O666" t="str">
        <f t="shared" si="32"/>
        <v>Returning</v>
      </c>
    </row>
    <row r="667" spans="1:15" x14ac:dyDescent="0.25">
      <c r="A667">
        <v>666</v>
      </c>
      <c r="B667">
        <v>31</v>
      </c>
      <c r="C667" t="s">
        <v>11</v>
      </c>
      <c r="D667" t="s">
        <v>29</v>
      </c>
      <c r="E667" t="s">
        <v>51</v>
      </c>
      <c r="F667" s="1">
        <v>34.01</v>
      </c>
      <c r="G667" t="s">
        <v>31</v>
      </c>
      <c r="H667" t="s">
        <v>15</v>
      </c>
      <c r="I667" s="2">
        <v>3.8</v>
      </c>
      <c r="J667" s="4">
        <v>22</v>
      </c>
      <c r="K667" s="3">
        <v>6</v>
      </c>
      <c r="L667" s="1">
        <f t="shared" si="30"/>
        <v>26.527799999999999</v>
      </c>
      <c r="M667" t="str" cm="1">
        <f t="array" ref="M667">_xlfn.IFS(B667&lt;18,"Under 18",B667 &lt;=25,"18-25",B667&lt;=35,"26-35",B667&lt;=45,"36-45",B667&lt;=60,"46-60",TRUE,"60+")</f>
        <v>26-35</v>
      </c>
      <c r="N667" t="str">
        <f t="shared" si="31"/>
        <v>Discounted</v>
      </c>
      <c r="O667" t="str">
        <f t="shared" si="32"/>
        <v>Returning</v>
      </c>
    </row>
    <row r="668" spans="1:15" x14ac:dyDescent="0.25">
      <c r="A668">
        <v>667</v>
      </c>
      <c r="B668">
        <v>60</v>
      </c>
      <c r="C668" t="s">
        <v>16</v>
      </c>
      <c r="D668" t="s">
        <v>33</v>
      </c>
      <c r="E668" t="s">
        <v>40</v>
      </c>
      <c r="F668" s="1">
        <v>99.93</v>
      </c>
      <c r="G668" t="s">
        <v>24</v>
      </c>
      <c r="H668" t="s">
        <v>15</v>
      </c>
      <c r="I668" s="2">
        <v>3.5</v>
      </c>
      <c r="J668" s="4">
        <v>28</v>
      </c>
      <c r="K668" s="3">
        <v>9</v>
      </c>
      <c r="L668" s="1">
        <f t="shared" si="30"/>
        <v>71.949600000000004</v>
      </c>
      <c r="M668" t="str" cm="1">
        <f t="array" ref="M668">_xlfn.IFS(B668&lt;18,"Under 18",B668 &lt;=25,"18-25",B668&lt;=35,"26-35",B668&lt;=45,"36-45",B668&lt;=60,"46-60",TRUE,"60+")</f>
        <v>46-60</v>
      </c>
      <c r="N668" t="str">
        <f t="shared" si="31"/>
        <v>Discounted</v>
      </c>
      <c r="O668" t="str">
        <f t="shared" si="32"/>
        <v>Returning</v>
      </c>
    </row>
    <row r="669" spans="1:15" x14ac:dyDescent="0.25">
      <c r="A669">
        <v>668</v>
      </c>
      <c r="B669">
        <v>64</v>
      </c>
      <c r="C669" t="s">
        <v>16</v>
      </c>
      <c r="D669" t="s">
        <v>27</v>
      </c>
      <c r="E669" t="s">
        <v>53</v>
      </c>
      <c r="F669" s="1">
        <v>1514.05</v>
      </c>
      <c r="G669" t="s">
        <v>24</v>
      </c>
      <c r="H669" t="s">
        <v>15</v>
      </c>
      <c r="I669" s="2">
        <v>3.7</v>
      </c>
      <c r="J669" s="4">
        <v>20</v>
      </c>
      <c r="K669" s="3">
        <v>5</v>
      </c>
      <c r="L669" s="1">
        <f t="shared" si="30"/>
        <v>1211.24</v>
      </c>
      <c r="M669" t="str" cm="1">
        <f t="array" ref="M669">_xlfn.IFS(B669&lt;18,"Under 18",B669 &lt;=25,"18-25",B669&lt;=35,"26-35",B669&lt;=45,"36-45",B669&lt;=60,"46-60",TRUE,"60+")</f>
        <v>60+</v>
      </c>
      <c r="N669" t="str">
        <f t="shared" si="31"/>
        <v>Discounted</v>
      </c>
      <c r="O669" t="str">
        <f t="shared" si="32"/>
        <v>Returning</v>
      </c>
    </row>
    <row r="670" spans="1:15" x14ac:dyDescent="0.25">
      <c r="A670">
        <v>669</v>
      </c>
      <c r="B670">
        <v>62</v>
      </c>
      <c r="C670" t="s">
        <v>16</v>
      </c>
      <c r="D670" t="s">
        <v>17</v>
      </c>
      <c r="E670" t="s">
        <v>35</v>
      </c>
      <c r="F670" s="1">
        <v>182.98</v>
      </c>
      <c r="G670" t="s">
        <v>14</v>
      </c>
      <c r="H670" t="s">
        <v>15</v>
      </c>
      <c r="I670" s="2">
        <v>3.1</v>
      </c>
      <c r="J670" s="4">
        <v>13</v>
      </c>
      <c r="K670" s="3">
        <v>4</v>
      </c>
      <c r="L670" s="1">
        <f t="shared" si="30"/>
        <v>159.1926</v>
      </c>
      <c r="M670" t="str" cm="1">
        <f t="array" ref="M670">_xlfn.IFS(B670&lt;18,"Under 18",B670 &lt;=25,"18-25",B670&lt;=35,"26-35",B670&lt;=45,"36-45",B670&lt;=60,"46-60",TRUE,"60+")</f>
        <v>60+</v>
      </c>
      <c r="N670" t="str">
        <f t="shared" si="31"/>
        <v>Discounted</v>
      </c>
      <c r="O670" t="str">
        <f t="shared" si="32"/>
        <v>Returning</v>
      </c>
    </row>
    <row r="671" spans="1:15" x14ac:dyDescent="0.25">
      <c r="A671">
        <v>670</v>
      </c>
      <c r="B671">
        <v>24</v>
      </c>
      <c r="C671" t="s">
        <v>16</v>
      </c>
      <c r="D671" t="s">
        <v>22</v>
      </c>
      <c r="E671" t="s">
        <v>23</v>
      </c>
      <c r="F671" s="1">
        <v>237.47</v>
      </c>
      <c r="G671" t="s">
        <v>24</v>
      </c>
      <c r="H671" t="s">
        <v>15</v>
      </c>
      <c r="I671" s="2">
        <v>3.2</v>
      </c>
      <c r="J671" s="4">
        <v>28</v>
      </c>
      <c r="K671" s="3">
        <v>9</v>
      </c>
      <c r="L671" s="1">
        <f t="shared" si="30"/>
        <v>170.97839999999999</v>
      </c>
      <c r="M671" t="str" cm="1">
        <f t="array" ref="M671">_xlfn.IFS(B671&lt;18,"Under 18",B671 &lt;=25,"18-25",B671&lt;=35,"26-35",B671&lt;=45,"36-45",B671&lt;=60,"46-60",TRUE,"60+")</f>
        <v>18-25</v>
      </c>
      <c r="N671" t="str">
        <f t="shared" si="31"/>
        <v>Discounted</v>
      </c>
      <c r="O671" t="str">
        <f t="shared" si="32"/>
        <v>Returning</v>
      </c>
    </row>
    <row r="672" spans="1:15" x14ac:dyDescent="0.25">
      <c r="A672">
        <v>671</v>
      </c>
      <c r="B672">
        <v>64</v>
      </c>
      <c r="C672" t="s">
        <v>16</v>
      </c>
      <c r="D672" t="s">
        <v>27</v>
      </c>
      <c r="E672" t="s">
        <v>49</v>
      </c>
      <c r="F672" s="1">
        <v>1417.01</v>
      </c>
      <c r="G672" t="s">
        <v>19</v>
      </c>
      <c r="H672" t="s">
        <v>15</v>
      </c>
      <c r="I672" s="2">
        <v>4</v>
      </c>
      <c r="J672" s="4">
        <v>2</v>
      </c>
      <c r="K672" s="3">
        <v>1</v>
      </c>
      <c r="L672" s="1">
        <f t="shared" si="30"/>
        <v>1388.6697999999999</v>
      </c>
      <c r="M672" t="str" cm="1">
        <f t="array" ref="M672">_xlfn.IFS(B672&lt;18,"Under 18",B672 &lt;=25,"18-25",B672&lt;=35,"26-35",B672&lt;=45,"36-45",B672&lt;=60,"46-60",TRUE,"60+")</f>
        <v>60+</v>
      </c>
      <c r="N672" t="str">
        <f t="shared" si="31"/>
        <v>Discounted</v>
      </c>
      <c r="O672" t="str">
        <f t="shared" si="32"/>
        <v>Returning</v>
      </c>
    </row>
    <row r="673" spans="1:15" x14ac:dyDescent="0.25">
      <c r="A673">
        <v>672</v>
      </c>
      <c r="B673">
        <v>27</v>
      </c>
      <c r="C673" t="s">
        <v>11</v>
      </c>
      <c r="D673" t="s">
        <v>41</v>
      </c>
      <c r="E673" t="s">
        <v>44</v>
      </c>
      <c r="F673" s="1">
        <v>43.52</v>
      </c>
      <c r="G673" t="s">
        <v>31</v>
      </c>
      <c r="H673" t="s">
        <v>37</v>
      </c>
      <c r="I673" s="2">
        <v>4.0999999999999996</v>
      </c>
      <c r="J673" s="4">
        <v>13</v>
      </c>
      <c r="K673" s="3">
        <v>4</v>
      </c>
      <c r="L673" s="1">
        <f t="shared" si="30"/>
        <v>37.862400000000001</v>
      </c>
      <c r="M673" t="str" cm="1">
        <f t="array" ref="M673">_xlfn.IFS(B673&lt;18,"Under 18",B673 &lt;=25,"18-25",B673&lt;=35,"26-35",B673&lt;=45,"36-45",B673&lt;=60,"46-60",TRUE,"60+")</f>
        <v>26-35</v>
      </c>
      <c r="N673" t="str">
        <f t="shared" si="31"/>
        <v>Discounted</v>
      </c>
      <c r="O673" t="str">
        <f t="shared" si="32"/>
        <v>Returning</v>
      </c>
    </row>
    <row r="674" spans="1:15" x14ac:dyDescent="0.25">
      <c r="A674">
        <v>673</v>
      </c>
      <c r="B674">
        <v>33</v>
      </c>
      <c r="C674" t="s">
        <v>11</v>
      </c>
      <c r="D674" t="s">
        <v>41</v>
      </c>
      <c r="E674" t="s">
        <v>44</v>
      </c>
      <c r="F674" s="1">
        <v>116.95</v>
      </c>
      <c r="G674" t="s">
        <v>31</v>
      </c>
      <c r="H674" t="s">
        <v>15</v>
      </c>
      <c r="I674" s="2">
        <v>4.5999999999999996</v>
      </c>
      <c r="J674" s="4">
        <v>21</v>
      </c>
      <c r="K674" s="3">
        <v>8</v>
      </c>
      <c r="L674" s="1">
        <f t="shared" si="30"/>
        <v>92.390500000000003</v>
      </c>
      <c r="M674" t="str" cm="1">
        <f t="array" ref="M674">_xlfn.IFS(B674&lt;18,"Under 18",B674 &lt;=25,"18-25",B674&lt;=35,"26-35",B674&lt;=45,"36-45",B674&lt;=60,"46-60",TRUE,"60+")</f>
        <v>26-35</v>
      </c>
      <c r="N674" t="str">
        <f t="shared" si="31"/>
        <v>Discounted</v>
      </c>
      <c r="O674" t="str">
        <f t="shared" si="32"/>
        <v>Returning</v>
      </c>
    </row>
    <row r="675" spans="1:15" x14ac:dyDescent="0.25">
      <c r="A675">
        <v>674</v>
      </c>
      <c r="B675">
        <v>61</v>
      </c>
      <c r="C675" t="s">
        <v>11</v>
      </c>
      <c r="D675" t="s">
        <v>41</v>
      </c>
      <c r="E675" t="s">
        <v>42</v>
      </c>
      <c r="F675" s="1">
        <v>196.34</v>
      </c>
      <c r="G675" t="s">
        <v>24</v>
      </c>
      <c r="H675" t="s">
        <v>15</v>
      </c>
      <c r="I675" s="2">
        <v>3</v>
      </c>
      <c r="J675" s="4">
        <v>16</v>
      </c>
      <c r="K675" s="3">
        <v>8</v>
      </c>
      <c r="L675" s="1">
        <f t="shared" si="30"/>
        <v>164.9256</v>
      </c>
      <c r="M675" t="str" cm="1">
        <f t="array" ref="M675">_xlfn.IFS(B675&lt;18,"Under 18",B675 &lt;=25,"18-25",B675&lt;=35,"26-35",B675&lt;=45,"36-45",B675&lt;=60,"46-60",TRUE,"60+")</f>
        <v>60+</v>
      </c>
      <c r="N675" t="str">
        <f t="shared" si="31"/>
        <v>Discounted</v>
      </c>
      <c r="O675" t="str">
        <f t="shared" si="32"/>
        <v>Returning</v>
      </c>
    </row>
    <row r="676" spans="1:15" x14ac:dyDescent="0.25">
      <c r="A676">
        <v>675</v>
      </c>
      <c r="B676">
        <v>68</v>
      </c>
      <c r="C676" t="s">
        <v>11</v>
      </c>
      <c r="D676" t="s">
        <v>33</v>
      </c>
      <c r="E676" t="s">
        <v>38</v>
      </c>
      <c r="F676" s="1">
        <v>163.6</v>
      </c>
      <c r="G676" t="s">
        <v>19</v>
      </c>
      <c r="H676" t="s">
        <v>15</v>
      </c>
      <c r="I676" s="2">
        <v>4.3</v>
      </c>
      <c r="J676" s="4">
        <v>22</v>
      </c>
      <c r="K676" s="3">
        <v>6</v>
      </c>
      <c r="L676" s="1">
        <f t="shared" si="30"/>
        <v>127.608</v>
      </c>
      <c r="M676" t="str" cm="1">
        <f t="array" ref="M676">_xlfn.IFS(B676&lt;18,"Under 18",B676 &lt;=25,"18-25",B676&lt;=35,"26-35",B676&lt;=45,"36-45",B676&lt;=60,"46-60",TRUE,"60+")</f>
        <v>60+</v>
      </c>
      <c r="N676" t="str">
        <f t="shared" si="31"/>
        <v>Discounted</v>
      </c>
      <c r="O676" t="str">
        <f t="shared" si="32"/>
        <v>Returning</v>
      </c>
    </row>
    <row r="677" spans="1:15" x14ac:dyDescent="0.25">
      <c r="A677">
        <v>676</v>
      </c>
      <c r="B677">
        <v>54</v>
      </c>
      <c r="C677" t="s">
        <v>16</v>
      </c>
      <c r="D677" t="s">
        <v>33</v>
      </c>
      <c r="E677" t="s">
        <v>40</v>
      </c>
      <c r="F677" s="1">
        <v>144.58000000000001</v>
      </c>
      <c r="G677" t="s">
        <v>19</v>
      </c>
      <c r="H677" t="s">
        <v>15</v>
      </c>
      <c r="I677" s="2">
        <v>3.9</v>
      </c>
      <c r="J677" s="4">
        <v>24</v>
      </c>
      <c r="K677" s="3">
        <v>7</v>
      </c>
      <c r="L677" s="1">
        <f t="shared" si="30"/>
        <v>109.88080000000001</v>
      </c>
      <c r="M677" t="str" cm="1">
        <f t="array" ref="M677">_xlfn.IFS(B677&lt;18,"Under 18",B677 &lt;=25,"18-25",B677&lt;=35,"26-35",B677&lt;=45,"36-45",B677&lt;=60,"46-60",TRUE,"60+")</f>
        <v>46-60</v>
      </c>
      <c r="N677" t="str">
        <f t="shared" si="31"/>
        <v>Discounted</v>
      </c>
      <c r="O677" t="str">
        <f t="shared" si="32"/>
        <v>Returning</v>
      </c>
    </row>
    <row r="678" spans="1:15" x14ac:dyDescent="0.25">
      <c r="A678">
        <v>677</v>
      </c>
      <c r="B678">
        <v>22</v>
      </c>
      <c r="C678" t="s">
        <v>16</v>
      </c>
      <c r="D678" t="s">
        <v>20</v>
      </c>
      <c r="E678" t="s">
        <v>36</v>
      </c>
      <c r="F678" s="1">
        <v>158.63999999999999</v>
      </c>
      <c r="G678" t="s">
        <v>19</v>
      </c>
      <c r="H678" t="s">
        <v>15</v>
      </c>
      <c r="I678" s="2">
        <v>3.9</v>
      </c>
      <c r="J678" s="4">
        <v>21</v>
      </c>
      <c r="K678" s="3">
        <v>8</v>
      </c>
      <c r="L678" s="1">
        <f t="shared" si="30"/>
        <v>125.32559999999999</v>
      </c>
      <c r="M678" t="str" cm="1">
        <f t="array" ref="M678">_xlfn.IFS(B678&lt;18,"Under 18",B678 &lt;=25,"18-25",B678&lt;=35,"26-35",B678&lt;=45,"36-45",B678&lt;=60,"46-60",TRUE,"60+")</f>
        <v>18-25</v>
      </c>
      <c r="N678" t="str">
        <f t="shared" si="31"/>
        <v>Discounted</v>
      </c>
      <c r="O678" t="str">
        <f t="shared" si="32"/>
        <v>Returning</v>
      </c>
    </row>
    <row r="679" spans="1:15" x14ac:dyDescent="0.25">
      <c r="A679">
        <v>678</v>
      </c>
      <c r="B679">
        <v>52</v>
      </c>
      <c r="C679" t="s">
        <v>11</v>
      </c>
      <c r="D679" t="s">
        <v>25</v>
      </c>
      <c r="E679" t="s">
        <v>57</v>
      </c>
      <c r="F679" s="1">
        <v>5.89</v>
      </c>
      <c r="G679" t="s">
        <v>31</v>
      </c>
      <c r="H679" t="s">
        <v>15</v>
      </c>
      <c r="I679" s="2">
        <v>3.6</v>
      </c>
      <c r="J679" s="4">
        <v>7</v>
      </c>
      <c r="K679" s="3">
        <v>1</v>
      </c>
      <c r="L679" s="1">
        <f t="shared" si="30"/>
        <v>5.4776999999999996</v>
      </c>
      <c r="M679" t="str" cm="1">
        <f t="array" ref="M679">_xlfn.IFS(B679&lt;18,"Under 18",B679 &lt;=25,"18-25",B679&lt;=35,"26-35",B679&lt;=45,"36-45",B679&lt;=60,"46-60",TRUE,"60+")</f>
        <v>46-60</v>
      </c>
      <c r="N679" t="str">
        <f t="shared" si="31"/>
        <v>Discounted</v>
      </c>
      <c r="O679" t="str">
        <f t="shared" si="32"/>
        <v>Returning</v>
      </c>
    </row>
    <row r="680" spans="1:15" x14ac:dyDescent="0.25">
      <c r="A680">
        <v>679</v>
      </c>
      <c r="B680">
        <v>63</v>
      </c>
      <c r="C680" t="s">
        <v>11</v>
      </c>
      <c r="D680" t="s">
        <v>12</v>
      </c>
      <c r="E680" t="s">
        <v>13</v>
      </c>
      <c r="F680" s="1">
        <v>168.46</v>
      </c>
      <c r="G680" t="s">
        <v>24</v>
      </c>
      <c r="H680" t="s">
        <v>15</v>
      </c>
      <c r="I680" s="2">
        <v>3.1</v>
      </c>
      <c r="J680" s="4">
        <v>20</v>
      </c>
      <c r="K680" s="3">
        <v>5</v>
      </c>
      <c r="L680" s="1">
        <f t="shared" si="30"/>
        <v>134.768</v>
      </c>
      <c r="M680" t="str" cm="1">
        <f t="array" ref="M680">_xlfn.IFS(B680&lt;18,"Under 18",B680 &lt;=25,"18-25",B680&lt;=35,"26-35",B680&lt;=45,"36-45",B680&lt;=60,"46-60",TRUE,"60+")</f>
        <v>60+</v>
      </c>
      <c r="N680" t="str">
        <f t="shared" si="31"/>
        <v>Discounted</v>
      </c>
      <c r="O680" t="str">
        <f t="shared" si="32"/>
        <v>Returning</v>
      </c>
    </row>
    <row r="681" spans="1:15" x14ac:dyDescent="0.25">
      <c r="A681">
        <v>680</v>
      </c>
      <c r="B681">
        <v>53</v>
      </c>
      <c r="C681" t="s">
        <v>11</v>
      </c>
      <c r="D681" t="s">
        <v>41</v>
      </c>
      <c r="E681" t="s">
        <v>42</v>
      </c>
      <c r="F681" s="1">
        <v>102.52</v>
      </c>
      <c r="G681" t="s">
        <v>19</v>
      </c>
      <c r="H681" t="s">
        <v>15</v>
      </c>
      <c r="I681" s="2">
        <v>4.3</v>
      </c>
      <c r="J681" s="4">
        <v>16</v>
      </c>
      <c r="K681" s="3">
        <v>8</v>
      </c>
      <c r="L681" s="1">
        <f t="shared" si="30"/>
        <v>86.116799999999998</v>
      </c>
      <c r="M681" t="str" cm="1">
        <f t="array" ref="M681">_xlfn.IFS(B681&lt;18,"Under 18",B681 &lt;=25,"18-25",B681&lt;=35,"26-35",B681&lt;=45,"36-45",B681&lt;=60,"46-60",TRUE,"60+")</f>
        <v>46-60</v>
      </c>
      <c r="N681" t="str">
        <f t="shared" si="31"/>
        <v>Discounted</v>
      </c>
      <c r="O681" t="str">
        <f t="shared" si="32"/>
        <v>Returning</v>
      </c>
    </row>
    <row r="682" spans="1:15" x14ac:dyDescent="0.25">
      <c r="A682">
        <v>681</v>
      </c>
      <c r="B682">
        <v>31</v>
      </c>
      <c r="C682" t="s">
        <v>11</v>
      </c>
      <c r="D682" t="s">
        <v>29</v>
      </c>
      <c r="E682" t="s">
        <v>55</v>
      </c>
      <c r="F682" s="1">
        <v>47.92</v>
      </c>
      <c r="G682" t="s">
        <v>31</v>
      </c>
      <c r="H682" t="s">
        <v>15</v>
      </c>
      <c r="I682" s="2">
        <v>3.6</v>
      </c>
      <c r="J682" s="4">
        <v>8</v>
      </c>
      <c r="K682" s="3">
        <v>4</v>
      </c>
      <c r="L682" s="1">
        <f t="shared" si="30"/>
        <v>44.086400000000005</v>
      </c>
      <c r="M682" t="str" cm="1">
        <f t="array" ref="M682">_xlfn.IFS(B682&lt;18,"Under 18",B682 &lt;=25,"18-25",B682&lt;=35,"26-35",B682&lt;=45,"36-45",B682&lt;=60,"46-60",TRUE,"60+")</f>
        <v>26-35</v>
      </c>
      <c r="N682" t="str">
        <f t="shared" si="31"/>
        <v>Discounted</v>
      </c>
      <c r="O682" t="str">
        <f t="shared" si="32"/>
        <v>Returning</v>
      </c>
    </row>
    <row r="683" spans="1:15" x14ac:dyDescent="0.25">
      <c r="A683">
        <v>682</v>
      </c>
      <c r="B683">
        <v>27</v>
      </c>
      <c r="C683" t="s">
        <v>16</v>
      </c>
      <c r="D683" t="s">
        <v>20</v>
      </c>
      <c r="E683" t="s">
        <v>39</v>
      </c>
      <c r="F683" s="1">
        <v>119.22</v>
      </c>
      <c r="G683" t="s">
        <v>24</v>
      </c>
      <c r="H683" t="s">
        <v>15</v>
      </c>
      <c r="I683" s="2">
        <v>4</v>
      </c>
      <c r="J683" s="4">
        <v>16</v>
      </c>
      <c r="K683" s="3">
        <v>3</v>
      </c>
      <c r="L683" s="1">
        <f t="shared" si="30"/>
        <v>100.14479999999999</v>
      </c>
      <c r="M683" t="str" cm="1">
        <f t="array" ref="M683">_xlfn.IFS(B683&lt;18,"Under 18",B683 &lt;=25,"18-25",B683&lt;=35,"26-35",B683&lt;=45,"36-45",B683&lt;=60,"46-60",TRUE,"60+")</f>
        <v>26-35</v>
      </c>
      <c r="N683" t="str">
        <f t="shared" si="31"/>
        <v>Discounted</v>
      </c>
      <c r="O683" t="str">
        <f t="shared" si="32"/>
        <v>Returning</v>
      </c>
    </row>
    <row r="684" spans="1:15" x14ac:dyDescent="0.25">
      <c r="A684">
        <v>683</v>
      </c>
      <c r="B684">
        <v>22</v>
      </c>
      <c r="C684" t="s">
        <v>16</v>
      </c>
      <c r="D684" t="s">
        <v>22</v>
      </c>
      <c r="E684" t="s">
        <v>43</v>
      </c>
      <c r="F684" s="1">
        <v>83.17</v>
      </c>
      <c r="G684" t="s">
        <v>31</v>
      </c>
      <c r="H684" t="s">
        <v>37</v>
      </c>
      <c r="I684" s="2">
        <v>4.5999999999999996</v>
      </c>
      <c r="J684" s="4">
        <v>22</v>
      </c>
      <c r="K684" s="3">
        <v>6</v>
      </c>
      <c r="L684" s="1">
        <f t="shared" si="30"/>
        <v>64.872600000000006</v>
      </c>
      <c r="M684" t="str" cm="1">
        <f t="array" ref="M684">_xlfn.IFS(B684&lt;18,"Under 18",B684 &lt;=25,"18-25",B684&lt;=35,"26-35",B684&lt;=45,"36-45",B684&lt;=60,"46-60",TRUE,"60+")</f>
        <v>18-25</v>
      </c>
      <c r="N684" t="str">
        <f t="shared" si="31"/>
        <v>Discounted</v>
      </c>
      <c r="O684" t="str">
        <f t="shared" si="32"/>
        <v>Returning</v>
      </c>
    </row>
    <row r="685" spans="1:15" x14ac:dyDescent="0.25">
      <c r="A685">
        <v>684</v>
      </c>
      <c r="B685">
        <v>41</v>
      </c>
      <c r="C685" t="s">
        <v>16</v>
      </c>
      <c r="D685" t="s">
        <v>27</v>
      </c>
      <c r="E685" t="s">
        <v>49</v>
      </c>
      <c r="F685" s="1">
        <v>1496.4</v>
      </c>
      <c r="G685" t="s">
        <v>19</v>
      </c>
      <c r="H685" t="s">
        <v>15</v>
      </c>
      <c r="I685" s="2">
        <v>3.9</v>
      </c>
      <c r="J685" s="4">
        <v>16</v>
      </c>
      <c r="K685" s="3">
        <v>3</v>
      </c>
      <c r="L685" s="1">
        <f t="shared" si="30"/>
        <v>1256.9760000000001</v>
      </c>
      <c r="M685" t="str" cm="1">
        <f t="array" ref="M685">_xlfn.IFS(B685&lt;18,"Under 18",B685 &lt;=25,"18-25",B685&lt;=35,"26-35",B685&lt;=45,"36-45",B685&lt;=60,"46-60",TRUE,"60+")</f>
        <v>36-45</v>
      </c>
      <c r="N685" t="str">
        <f t="shared" si="31"/>
        <v>Discounted</v>
      </c>
      <c r="O685" t="str">
        <f t="shared" si="32"/>
        <v>Returning</v>
      </c>
    </row>
    <row r="686" spans="1:15" x14ac:dyDescent="0.25">
      <c r="A686">
        <v>685</v>
      </c>
      <c r="B686">
        <v>35</v>
      </c>
      <c r="C686" t="s">
        <v>11</v>
      </c>
      <c r="D686" t="s">
        <v>22</v>
      </c>
      <c r="E686" t="s">
        <v>23</v>
      </c>
      <c r="F686" s="1">
        <v>121.52</v>
      </c>
      <c r="G686" t="s">
        <v>31</v>
      </c>
      <c r="H686" t="s">
        <v>15</v>
      </c>
      <c r="I686" s="2">
        <v>3.6</v>
      </c>
      <c r="J686" s="4">
        <v>10</v>
      </c>
      <c r="K686" s="3">
        <v>5</v>
      </c>
      <c r="L686" s="1">
        <f t="shared" si="30"/>
        <v>109.36799999999999</v>
      </c>
      <c r="M686" t="str" cm="1">
        <f t="array" ref="M686">_xlfn.IFS(B686&lt;18,"Under 18",B686 &lt;=25,"18-25",B686&lt;=35,"26-35",B686&lt;=45,"36-45",B686&lt;=60,"46-60",TRUE,"60+")</f>
        <v>26-35</v>
      </c>
      <c r="N686" t="str">
        <f t="shared" si="31"/>
        <v>Discounted</v>
      </c>
      <c r="O686" t="str">
        <f t="shared" si="32"/>
        <v>Returning</v>
      </c>
    </row>
    <row r="687" spans="1:15" x14ac:dyDescent="0.25">
      <c r="A687">
        <v>686</v>
      </c>
      <c r="B687">
        <v>51</v>
      </c>
      <c r="C687" t="s">
        <v>11</v>
      </c>
      <c r="D687" t="s">
        <v>29</v>
      </c>
      <c r="E687" t="s">
        <v>51</v>
      </c>
      <c r="F687" s="1">
        <v>101.58</v>
      </c>
      <c r="G687" t="s">
        <v>19</v>
      </c>
      <c r="H687" t="s">
        <v>15</v>
      </c>
      <c r="I687" s="2">
        <v>3.7</v>
      </c>
      <c r="J687" s="4">
        <v>14</v>
      </c>
      <c r="K687" s="3">
        <v>2</v>
      </c>
      <c r="L687" s="1">
        <f t="shared" si="30"/>
        <v>87.358800000000002</v>
      </c>
      <c r="M687" t="str" cm="1">
        <f t="array" ref="M687">_xlfn.IFS(B687&lt;18,"Under 18",B687 &lt;=25,"18-25",B687&lt;=35,"26-35",B687&lt;=45,"36-45",B687&lt;=60,"46-60",TRUE,"60+")</f>
        <v>46-60</v>
      </c>
      <c r="N687" t="str">
        <f t="shared" si="31"/>
        <v>Discounted</v>
      </c>
      <c r="O687" t="str">
        <f t="shared" si="32"/>
        <v>Returning</v>
      </c>
    </row>
    <row r="688" spans="1:15" x14ac:dyDescent="0.25">
      <c r="A688">
        <v>687</v>
      </c>
      <c r="B688">
        <v>20</v>
      </c>
      <c r="C688" t="s">
        <v>11</v>
      </c>
      <c r="D688" t="s">
        <v>12</v>
      </c>
      <c r="E688" t="s">
        <v>56</v>
      </c>
      <c r="F688" s="1">
        <v>96.93</v>
      </c>
      <c r="G688" t="s">
        <v>19</v>
      </c>
      <c r="H688" t="s">
        <v>37</v>
      </c>
      <c r="I688" s="2">
        <v>3.2</v>
      </c>
      <c r="J688" s="4">
        <v>12</v>
      </c>
      <c r="K688" s="3">
        <v>6</v>
      </c>
      <c r="L688" s="1">
        <f t="shared" si="30"/>
        <v>85.298400000000001</v>
      </c>
      <c r="M688" t="str" cm="1">
        <f t="array" ref="M688">_xlfn.IFS(B688&lt;18,"Under 18",B688 &lt;=25,"18-25",B688&lt;=35,"26-35",B688&lt;=45,"36-45",B688&lt;=60,"46-60",TRUE,"60+")</f>
        <v>18-25</v>
      </c>
      <c r="N688" t="str">
        <f t="shared" si="31"/>
        <v>Discounted</v>
      </c>
      <c r="O688" t="str">
        <f t="shared" si="32"/>
        <v>Returning</v>
      </c>
    </row>
    <row r="689" spans="1:15" x14ac:dyDescent="0.25">
      <c r="A689">
        <v>688</v>
      </c>
      <c r="B689">
        <v>63</v>
      </c>
      <c r="C689" t="s">
        <v>16</v>
      </c>
      <c r="D689" t="s">
        <v>20</v>
      </c>
      <c r="E689" t="s">
        <v>21</v>
      </c>
      <c r="F689" s="1">
        <v>195.87</v>
      </c>
      <c r="G689" t="s">
        <v>19</v>
      </c>
      <c r="H689" t="s">
        <v>15</v>
      </c>
      <c r="I689" s="2">
        <v>4</v>
      </c>
      <c r="J689" s="4">
        <v>18</v>
      </c>
      <c r="K689" s="3">
        <v>4</v>
      </c>
      <c r="L689" s="1">
        <f t="shared" si="30"/>
        <v>160.61340000000001</v>
      </c>
      <c r="M689" t="str" cm="1">
        <f t="array" ref="M689">_xlfn.IFS(B689&lt;18,"Under 18",B689 &lt;=25,"18-25",B689&lt;=35,"26-35",B689&lt;=45,"36-45",B689&lt;=60,"46-60",TRUE,"60+")</f>
        <v>60+</v>
      </c>
      <c r="N689" t="str">
        <f t="shared" si="31"/>
        <v>Discounted</v>
      </c>
      <c r="O689" t="str">
        <f t="shared" si="32"/>
        <v>Returning</v>
      </c>
    </row>
    <row r="690" spans="1:15" x14ac:dyDescent="0.25">
      <c r="A690">
        <v>689</v>
      </c>
      <c r="B690">
        <v>57</v>
      </c>
      <c r="C690" t="s">
        <v>11</v>
      </c>
      <c r="D690" t="s">
        <v>33</v>
      </c>
      <c r="E690" t="s">
        <v>40</v>
      </c>
      <c r="F690" s="1">
        <v>152.19</v>
      </c>
      <c r="G690" t="s">
        <v>19</v>
      </c>
      <c r="H690" t="s">
        <v>15</v>
      </c>
      <c r="I690" s="2">
        <v>5</v>
      </c>
      <c r="J690" s="4">
        <v>13</v>
      </c>
      <c r="K690" s="3">
        <v>4</v>
      </c>
      <c r="L690" s="1">
        <f t="shared" si="30"/>
        <v>132.40530000000001</v>
      </c>
      <c r="M690" t="str" cm="1">
        <f t="array" ref="M690">_xlfn.IFS(B690&lt;18,"Under 18",B690 &lt;=25,"18-25",B690&lt;=35,"26-35",B690&lt;=45,"36-45",B690&lt;=60,"46-60",TRUE,"60+")</f>
        <v>46-60</v>
      </c>
      <c r="N690" t="str">
        <f t="shared" si="31"/>
        <v>Discounted</v>
      </c>
      <c r="O690" t="str">
        <f t="shared" si="32"/>
        <v>Returning</v>
      </c>
    </row>
    <row r="691" spans="1:15" x14ac:dyDescent="0.25">
      <c r="A691">
        <v>690</v>
      </c>
      <c r="B691">
        <v>68</v>
      </c>
      <c r="C691" t="s">
        <v>16</v>
      </c>
      <c r="D691" t="s">
        <v>17</v>
      </c>
      <c r="E691" t="s">
        <v>35</v>
      </c>
      <c r="F691" s="1">
        <v>71.13</v>
      </c>
      <c r="G691" t="s">
        <v>24</v>
      </c>
      <c r="H691" t="s">
        <v>37</v>
      </c>
      <c r="I691" s="2">
        <v>3.8</v>
      </c>
      <c r="J691" s="4">
        <v>10</v>
      </c>
      <c r="K691" s="3">
        <v>5</v>
      </c>
      <c r="L691" s="1">
        <f t="shared" si="30"/>
        <v>64.016999999999996</v>
      </c>
      <c r="M691" t="str" cm="1">
        <f t="array" ref="M691">_xlfn.IFS(B691&lt;18,"Under 18",B691 &lt;=25,"18-25",B691&lt;=35,"26-35",B691&lt;=45,"36-45",B691&lt;=60,"46-60",TRUE,"60+")</f>
        <v>60+</v>
      </c>
      <c r="N691" t="str">
        <f t="shared" si="31"/>
        <v>Discounted</v>
      </c>
      <c r="O691" t="str">
        <f t="shared" si="32"/>
        <v>Returning</v>
      </c>
    </row>
    <row r="692" spans="1:15" x14ac:dyDescent="0.25">
      <c r="A692">
        <v>691</v>
      </c>
      <c r="B692">
        <v>68</v>
      </c>
      <c r="C692" t="s">
        <v>11</v>
      </c>
      <c r="D692" t="s">
        <v>29</v>
      </c>
      <c r="E692" t="s">
        <v>55</v>
      </c>
      <c r="F692" s="1">
        <v>139.63999999999999</v>
      </c>
      <c r="G692" t="s">
        <v>19</v>
      </c>
      <c r="H692" t="s">
        <v>15</v>
      </c>
      <c r="I692" s="2">
        <v>4.0999999999999996</v>
      </c>
      <c r="J692" s="4">
        <v>20</v>
      </c>
      <c r="K692" s="3">
        <v>5</v>
      </c>
      <c r="L692" s="1">
        <f t="shared" si="30"/>
        <v>111.71199999999999</v>
      </c>
      <c r="M692" t="str" cm="1">
        <f t="array" ref="M692">_xlfn.IFS(B692&lt;18,"Under 18",B692 &lt;=25,"18-25",B692&lt;=35,"26-35",B692&lt;=45,"36-45",B692&lt;=60,"46-60",TRUE,"60+")</f>
        <v>60+</v>
      </c>
      <c r="N692" t="str">
        <f t="shared" si="31"/>
        <v>Discounted</v>
      </c>
      <c r="O692" t="str">
        <f t="shared" si="32"/>
        <v>Returning</v>
      </c>
    </row>
    <row r="693" spans="1:15" x14ac:dyDescent="0.25">
      <c r="A693">
        <v>692</v>
      </c>
      <c r="B693">
        <v>65</v>
      </c>
      <c r="C693" t="s">
        <v>16</v>
      </c>
      <c r="D693" t="s">
        <v>33</v>
      </c>
      <c r="E693" t="s">
        <v>38</v>
      </c>
      <c r="F693" s="1">
        <v>134.93</v>
      </c>
      <c r="G693" t="s">
        <v>31</v>
      </c>
      <c r="H693" t="s">
        <v>15</v>
      </c>
      <c r="I693" s="2">
        <v>4</v>
      </c>
      <c r="J693" s="4">
        <v>15</v>
      </c>
      <c r="K693" s="3">
        <v>5</v>
      </c>
      <c r="L693" s="1">
        <f t="shared" si="30"/>
        <v>114.6905</v>
      </c>
      <c r="M693" t="str" cm="1">
        <f t="array" ref="M693">_xlfn.IFS(B693&lt;18,"Under 18",B693 &lt;=25,"18-25",B693&lt;=35,"26-35",B693&lt;=45,"36-45",B693&lt;=60,"46-60",TRUE,"60+")</f>
        <v>60+</v>
      </c>
      <c r="N693" t="str">
        <f t="shared" si="31"/>
        <v>Discounted</v>
      </c>
      <c r="O693" t="str">
        <f t="shared" si="32"/>
        <v>Returning</v>
      </c>
    </row>
    <row r="694" spans="1:15" x14ac:dyDescent="0.25">
      <c r="A694">
        <v>693</v>
      </c>
      <c r="B694">
        <v>30</v>
      </c>
      <c r="C694" t="s">
        <v>16</v>
      </c>
      <c r="D694" t="s">
        <v>33</v>
      </c>
      <c r="E694" t="s">
        <v>38</v>
      </c>
      <c r="F694" s="1">
        <v>75.61</v>
      </c>
      <c r="G694" t="s">
        <v>14</v>
      </c>
      <c r="H694" t="s">
        <v>37</v>
      </c>
      <c r="I694" s="2">
        <v>3.1</v>
      </c>
      <c r="J694" s="4">
        <v>17</v>
      </c>
      <c r="K694" s="3">
        <v>6</v>
      </c>
      <c r="L694" s="1">
        <f t="shared" si="30"/>
        <v>62.756299999999996</v>
      </c>
      <c r="M694" t="str" cm="1">
        <f t="array" ref="M694">_xlfn.IFS(B694&lt;18,"Under 18",B694 &lt;=25,"18-25",B694&lt;=35,"26-35",B694&lt;=45,"36-45",B694&lt;=60,"46-60",TRUE,"60+")</f>
        <v>26-35</v>
      </c>
      <c r="N694" t="str">
        <f t="shared" si="31"/>
        <v>Discounted</v>
      </c>
      <c r="O694" t="str">
        <f t="shared" si="32"/>
        <v>Returning</v>
      </c>
    </row>
    <row r="695" spans="1:15" x14ac:dyDescent="0.25">
      <c r="A695">
        <v>694</v>
      </c>
      <c r="B695">
        <v>23</v>
      </c>
      <c r="C695" t="s">
        <v>11</v>
      </c>
      <c r="D695" t="s">
        <v>12</v>
      </c>
      <c r="E695" t="s">
        <v>50</v>
      </c>
      <c r="F695" s="1">
        <v>115.77</v>
      </c>
      <c r="G695" t="s">
        <v>24</v>
      </c>
      <c r="H695" t="s">
        <v>15</v>
      </c>
      <c r="I695" s="2">
        <v>4.5</v>
      </c>
      <c r="J695" s="4">
        <v>13</v>
      </c>
      <c r="K695" s="3">
        <v>4</v>
      </c>
      <c r="L695" s="1">
        <f t="shared" si="30"/>
        <v>100.7199</v>
      </c>
      <c r="M695" t="str" cm="1">
        <f t="array" ref="M695">_xlfn.IFS(B695&lt;18,"Under 18",B695 &lt;=25,"18-25",B695&lt;=35,"26-35",B695&lt;=45,"36-45",B695&lt;=60,"46-60",TRUE,"60+")</f>
        <v>18-25</v>
      </c>
      <c r="N695" t="str">
        <f t="shared" si="31"/>
        <v>Discounted</v>
      </c>
      <c r="O695" t="str">
        <f t="shared" si="32"/>
        <v>Returning</v>
      </c>
    </row>
    <row r="696" spans="1:15" x14ac:dyDescent="0.25">
      <c r="A696">
        <v>695</v>
      </c>
      <c r="B696">
        <v>23</v>
      </c>
      <c r="C696" t="s">
        <v>11</v>
      </c>
      <c r="D696" t="s">
        <v>33</v>
      </c>
      <c r="E696" t="s">
        <v>38</v>
      </c>
      <c r="F696" s="1">
        <v>223.09</v>
      </c>
      <c r="G696" t="s">
        <v>19</v>
      </c>
      <c r="H696" t="s">
        <v>15</v>
      </c>
      <c r="I696" s="2">
        <v>4.0999999999999996</v>
      </c>
      <c r="J696" s="4">
        <v>16</v>
      </c>
      <c r="K696" s="3">
        <v>3</v>
      </c>
      <c r="L696" s="1">
        <f t="shared" si="30"/>
        <v>187.3956</v>
      </c>
      <c r="M696" t="str" cm="1">
        <f t="array" ref="M696">_xlfn.IFS(B696&lt;18,"Under 18",B696 &lt;=25,"18-25",B696&lt;=35,"26-35",B696&lt;=45,"36-45",B696&lt;=60,"46-60",TRUE,"60+")</f>
        <v>18-25</v>
      </c>
      <c r="N696" t="str">
        <f t="shared" si="31"/>
        <v>Discounted</v>
      </c>
      <c r="O696" t="str">
        <f t="shared" si="32"/>
        <v>Returning</v>
      </c>
    </row>
    <row r="697" spans="1:15" x14ac:dyDescent="0.25">
      <c r="A697">
        <v>696</v>
      </c>
      <c r="B697">
        <v>59</v>
      </c>
      <c r="C697" t="s">
        <v>11</v>
      </c>
      <c r="D697" t="s">
        <v>29</v>
      </c>
      <c r="E697" t="s">
        <v>55</v>
      </c>
      <c r="F697" s="1">
        <v>127.79</v>
      </c>
      <c r="G697" t="s">
        <v>24</v>
      </c>
      <c r="H697" t="s">
        <v>15</v>
      </c>
      <c r="I697" s="2">
        <v>3.8</v>
      </c>
      <c r="J697" s="4">
        <v>6</v>
      </c>
      <c r="K697" s="3">
        <v>3</v>
      </c>
      <c r="L697" s="1">
        <f t="shared" si="30"/>
        <v>120.12260000000001</v>
      </c>
      <c r="M697" t="str" cm="1">
        <f t="array" ref="M697">_xlfn.IFS(B697&lt;18,"Under 18",B697 &lt;=25,"18-25",B697&lt;=35,"26-35",B697&lt;=45,"36-45",B697&lt;=60,"46-60",TRUE,"60+")</f>
        <v>46-60</v>
      </c>
      <c r="N697" t="str">
        <f t="shared" si="31"/>
        <v>Discounted</v>
      </c>
      <c r="O697" t="str">
        <f t="shared" si="32"/>
        <v>Returning</v>
      </c>
    </row>
    <row r="698" spans="1:15" x14ac:dyDescent="0.25">
      <c r="A698">
        <v>697</v>
      </c>
      <c r="B698">
        <v>35</v>
      </c>
      <c r="C698" t="s">
        <v>16</v>
      </c>
      <c r="D698" t="s">
        <v>25</v>
      </c>
      <c r="E698" t="s">
        <v>54</v>
      </c>
      <c r="F698" s="1">
        <v>49.52</v>
      </c>
      <c r="G698" t="s">
        <v>19</v>
      </c>
      <c r="H698" t="s">
        <v>37</v>
      </c>
      <c r="I698" s="2">
        <v>3.6</v>
      </c>
      <c r="J698" s="4">
        <v>13</v>
      </c>
      <c r="K698" s="3">
        <v>4</v>
      </c>
      <c r="L698" s="1">
        <f t="shared" si="30"/>
        <v>43.0824</v>
      </c>
      <c r="M698" t="str" cm="1">
        <f t="array" ref="M698">_xlfn.IFS(B698&lt;18,"Under 18",B698 &lt;=25,"18-25",B698&lt;=35,"26-35",B698&lt;=45,"36-45",B698&lt;=60,"46-60",TRUE,"60+")</f>
        <v>26-35</v>
      </c>
      <c r="N698" t="str">
        <f t="shared" si="31"/>
        <v>Discounted</v>
      </c>
      <c r="O698" t="str">
        <f t="shared" si="32"/>
        <v>Returning</v>
      </c>
    </row>
    <row r="699" spans="1:15" x14ac:dyDescent="0.25">
      <c r="A699">
        <v>698</v>
      </c>
      <c r="B699">
        <v>59</v>
      </c>
      <c r="C699" t="s">
        <v>11</v>
      </c>
      <c r="D699" t="s">
        <v>33</v>
      </c>
      <c r="E699" t="s">
        <v>40</v>
      </c>
      <c r="F699" s="1">
        <v>105.81</v>
      </c>
      <c r="G699" t="s">
        <v>24</v>
      </c>
      <c r="H699" t="s">
        <v>15</v>
      </c>
      <c r="I699" s="2">
        <v>3.8</v>
      </c>
      <c r="J699" s="4">
        <v>23</v>
      </c>
      <c r="K699" s="3">
        <v>9</v>
      </c>
      <c r="L699" s="1">
        <f t="shared" si="30"/>
        <v>81.473700000000008</v>
      </c>
      <c r="M699" t="str" cm="1">
        <f t="array" ref="M699">_xlfn.IFS(B699&lt;18,"Under 18",B699 &lt;=25,"18-25",B699&lt;=35,"26-35",B699&lt;=45,"36-45",B699&lt;=60,"46-60",TRUE,"60+")</f>
        <v>46-60</v>
      </c>
      <c r="N699" t="str">
        <f t="shared" si="31"/>
        <v>Discounted</v>
      </c>
      <c r="O699" t="str">
        <f t="shared" si="32"/>
        <v>Returning</v>
      </c>
    </row>
    <row r="700" spans="1:15" x14ac:dyDescent="0.25">
      <c r="A700">
        <v>699</v>
      </c>
      <c r="B700">
        <v>42</v>
      </c>
      <c r="C700" t="s">
        <v>11</v>
      </c>
      <c r="D700" t="s">
        <v>41</v>
      </c>
      <c r="E700" t="s">
        <v>46</v>
      </c>
      <c r="F700" s="1">
        <v>178.77</v>
      </c>
      <c r="G700" t="s">
        <v>31</v>
      </c>
      <c r="H700" t="s">
        <v>15</v>
      </c>
      <c r="I700" s="2">
        <v>3.4</v>
      </c>
      <c r="J700" s="4">
        <v>9</v>
      </c>
      <c r="K700" s="3">
        <v>2</v>
      </c>
      <c r="L700" s="1">
        <f t="shared" si="30"/>
        <v>162.6807</v>
      </c>
      <c r="M700" t="str" cm="1">
        <f t="array" ref="M700">_xlfn.IFS(B700&lt;18,"Under 18",B700 &lt;=25,"18-25",B700&lt;=35,"26-35",B700&lt;=45,"36-45",B700&lt;=60,"46-60",TRUE,"60+")</f>
        <v>36-45</v>
      </c>
      <c r="N700" t="str">
        <f t="shared" si="31"/>
        <v>Discounted</v>
      </c>
      <c r="O700" t="str">
        <f t="shared" si="32"/>
        <v>Returning</v>
      </c>
    </row>
    <row r="701" spans="1:15" x14ac:dyDescent="0.25">
      <c r="A701">
        <v>700</v>
      </c>
      <c r="B701">
        <v>28</v>
      </c>
      <c r="C701" t="s">
        <v>16</v>
      </c>
      <c r="D701" t="s">
        <v>25</v>
      </c>
      <c r="E701" t="s">
        <v>47</v>
      </c>
      <c r="F701" s="1">
        <v>54.61</v>
      </c>
      <c r="G701" t="s">
        <v>24</v>
      </c>
      <c r="H701" t="s">
        <v>15</v>
      </c>
      <c r="I701" s="2">
        <v>4.0999999999999996</v>
      </c>
      <c r="J701" s="4">
        <v>8</v>
      </c>
      <c r="K701" s="3">
        <v>4</v>
      </c>
      <c r="L701" s="1">
        <f t="shared" si="30"/>
        <v>50.241199999999999</v>
      </c>
      <c r="M701" t="str" cm="1">
        <f t="array" ref="M701">_xlfn.IFS(B701&lt;18,"Under 18",B701 &lt;=25,"18-25",B701&lt;=35,"26-35",B701&lt;=45,"36-45",B701&lt;=60,"46-60",TRUE,"60+")</f>
        <v>26-35</v>
      </c>
      <c r="N701" t="str">
        <f t="shared" si="31"/>
        <v>Discounted</v>
      </c>
      <c r="O701" t="str">
        <f t="shared" si="32"/>
        <v>Returning</v>
      </c>
    </row>
    <row r="702" spans="1:15" x14ac:dyDescent="0.25">
      <c r="A702">
        <v>701</v>
      </c>
      <c r="B702">
        <v>49</v>
      </c>
      <c r="C702" t="s">
        <v>16</v>
      </c>
      <c r="D702" t="s">
        <v>27</v>
      </c>
      <c r="E702" t="s">
        <v>32</v>
      </c>
      <c r="F702" s="1">
        <v>1321.86</v>
      </c>
      <c r="G702" t="s">
        <v>19</v>
      </c>
      <c r="H702" t="s">
        <v>15</v>
      </c>
      <c r="I702" s="2">
        <v>4.4000000000000004</v>
      </c>
      <c r="J702" s="4">
        <v>24</v>
      </c>
      <c r="K702" s="3">
        <v>7</v>
      </c>
      <c r="L702" s="1">
        <f t="shared" si="30"/>
        <v>1004.6135999999999</v>
      </c>
      <c r="M702" t="str" cm="1">
        <f t="array" ref="M702">_xlfn.IFS(B702&lt;18,"Under 18",B702 &lt;=25,"18-25",B702&lt;=35,"26-35",B702&lt;=45,"36-45",B702&lt;=60,"46-60",TRUE,"60+")</f>
        <v>46-60</v>
      </c>
      <c r="N702" t="str">
        <f t="shared" si="31"/>
        <v>Discounted</v>
      </c>
      <c r="O702" t="str">
        <f t="shared" si="32"/>
        <v>Returning</v>
      </c>
    </row>
    <row r="703" spans="1:15" x14ac:dyDescent="0.25">
      <c r="A703">
        <v>702</v>
      </c>
      <c r="B703">
        <v>36</v>
      </c>
      <c r="C703" t="s">
        <v>16</v>
      </c>
      <c r="D703" t="s">
        <v>33</v>
      </c>
      <c r="E703" t="s">
        <v>40</v>
      </c>
      <c r="F703" s="1">
        <v>157.33000000000001</v>
      </c>
      <c r="G703" t="s">
        <v>31</v>
      </c>
      <c r="H703" t="s">
        <v>15</v>
      </c>
      <c r="I703" s="2">
        <v>3.7</v>
      </c>
      <c r="J703" s="4">
        <v>17</v>
      </c>
      <c r="K703" s="3">
        <v>6</v>
      </c>
      <c r="L703" s="1">
        <f t="shared" si="30"/>
        <v>130.5839</v>
      </c>
      <c r="M703" t="str" cm="1">
        <f t="array" ref="M703">_xlfn.IFS(B703&lt;18,"Under 18",B703 &lt;=25,"18-25",B703&lt;=35,"26-35",B703&lt;=45,"36-45",B703&lt;=60,"46-60",TRUE,"60+")</f>
        <v>36-45</v>
      </c>
      <c r="N703" t="str">
        <f t="shared" si="31"/>
        <v>Discounted</v>
      </c>
      <c r="O703" t="str">
        <f t="shared" si="32"/>
        <v>Returning</v>
      </c>
    </row>
    <row r="704" spans="1:15" x14ac:dyDescent="0.25">
      <c r="A704">
        <v>703</v>
      </c>
      <c r="B704">
        <v>31</v>
      </c>
      <c r="C704" t="s">
        <v>16</v>
      </c>
      <c r="D704" t="s">
        <v>33</v>
      </c>
      <c r="E704" t="s">
        <v>34</v>
      </c>
      <c r="F704" s="1">
        <v>157.43</v>
      </c>
      <c r="G704" t="s">
        <v>24</v>
      </c>
      <c r="H704" t="s">
        <v>15</v>
      </c>
      <c r="I704" s="2">
        <v>3</v>
      </c>
      <c r="J704" s="4">
        <v>6</v>
      </c>
      <c r="K704" s="3">
        <v>3</v>
      </c>
      <c r="L704" s="1">
        <f t="shared" si="30"/>
        <v>147.98419999999999</v>
      </c>
      <c r="M704" t="str" cm="1">
        <f t="array" ref="M704">_xlfn.IFS(B704&lt;18,"Under 18",B704 &lt;=25,"18-25",B704&lt;=35,"26-35",B704&lt;=45,"36-45",B704&lt;=60,"46-60",TRUE,"60+")</f>
        <v>26-35</v>
      </c>
      <c r="N704" t="str">
        <f t="shared" si="31"/>
        <v>Discounted</v>
      </c>
      <c r="O704" t="str">
        <f t="shared" si="32"/>
        <v>Returning</v>
      </c>
    </row>
    <row r="705" spans="1:15" x14ac:dyDescent="0.25">
      <c r="A705">
        <v>704</v>
      </c>
      <c r="B705">
        <v>38</v>
      </c>
      <c r="C705" t="s">
        <v>16</v>
      </c>
      <c r="D705" t="s">
        <v>17</v>
      </c>
      <c r="E705" t="s">
        <v>48</v>
      </c>
      <c r="F705" s="1">
        <v>160.97999999999999</v>
      </c>
      <c r="G705" t="s">
        <v>19</v>
      </c>
      <c r="H705" t="s">
        <v>15</v>
      </c>
      <c r="I705" s="2">
        <v>2.9</v>
      </c>
      <c r="J705" s="4">
        <v>20</v>
      </c>
      <c r="K705" s="3">
        <v>5</v>
      </c>
      <c r="L705" s="1">
        <f t="shared" si="30"/>
        <v>128.78399999999999</v>
      </c>
      <c r="M705" t="str" cm="1">
        <f t="array" ref="M705">_xlfn.IFS(B705&lt;18,"Under 18",B705 &lt;=25,"18-25",B705&lt;=35,"26-35",B705&lt;=45,"36-45",B705&lt;=60,"46-60",TRUE,"60+")</f>
        <v>36-45</v>
      </c>
      <c r="N705" t="str">
        <f t="shared" si="31"/>
        <v>Discounted</v>
      </c>
      <c r="O705" t="str">
        <f t="shared" si="32"/>
        <v>Returning</v>
      </c>
    </row>
    <row r="706" spans="1:15" x14ac:dyDescent="0.25">
      <c r="A706">
        <v>705</v>
      </c>
      <c r="B706">
        <v>46</v>
      </c>
      <c r="C706" t="s">
        <v>16</v>
      </c>
      <c r="D706" t="s">
        <v>20</v>
      </c>
      <c r="E706" t="s">
        <v>36</v>
      </c>
      <c r="F706" s="1">
        <v>107.82</v>
      </c>
      <c r="G706" t="s">
        <v>24</v>
      </c>
      <c r="H706" t="s">
        <v>15</v>
      </c>
      <c r="I706" s="2">
        <v>3.9</v>
      </c>
      <c r="J706" s="4">
        <v>7</v>
      </c>
      <c r="K706" s="3">
        <v>1</v>
      </c>
      <c r="L706" s="1">
        <f t="shared" si="30"/>
        <v>100.27259999999998</v>
      </c>
      <c r="M706" t="str" cm="1">
        <f t="array" ref="M706">_xlfn.IFS(B706&lt;18,"Under 18",B706 &lt;=25,"18-25",B706&lt;=35,"26-35",B706&lt;=45,"36-45",B706&lt;=60,"46-60",TRUE,"60+")</f>
        <v>46-60</v>
      </c>
      <c r="N706" t="str">
        <f t="shared" si="31"/>
        <v>Discounted</v>
      </c>
      <c r="O706" t="str">
        <f t="shared" si="32"/>
        <v>Returning</v>
      </c>
    </row>
    <row r="707" spans="1:15" x14ac:dyDescent="0.25">
      <c r="A707">
        <v>706</v>
      </c>
      <c r="B707">
        <v>39</v>
      </c>
      <c r="C707" t="s">
        <v>11</v>
      </c>
      <c r="D707" t="s">
        <v>33</v>
      </c>
      <c r="E707" t="s">
        <v>34</v>
      </c>
      <c r="F707" s="1">
        <v>217.69</v>
      </c>
      <c r="G707" t="s">
        <v>31</v>
      </c>
      <c r="H707" t="s">
        <v>15</v>
      </c>
      <c r="I707" s="2">
        <v>2.6</v>
      </c>
      <c r="J707" s="4">
        <v>10</v>
      </c>
      <c r="K707" s="3">
        <v>5</v>
      </c>
      <c r="L707" s="1">
        <f t="shared" ref="L707:L770" si="33">F707 * (1 - J707 / 100)</f>
        <v>195.92099999999999</v>
      </c>
      <c r="M707" t="str" cm="1">
        <f t="array" ref="M707">_xlfn.IFS(B707&lt;18,"Under 18",B707 &lt;=25,"18-25",B707&lt;=35,"26-35",B707&lt;=45,"36-45",B707&lt;=60,"46-60",TRUE,"60+")</f>
        <v>36-45</v>
      </c>
      <c r="N707" t="str">
        <f t="shared" ref="N707:N770" si="34">IF(J707&gt;0,"Discounted","No Discount")</f>
        <v>Discounted</v>
      </c>
      <c r="O707" t="str">
        <f t="shared" ref="O707:O770" si="35">IF(K707&gt;0,"Returning","New")</f>
        <v>Returning</v>
      </c>
    </row>
    <row r="708" spans="1:15" x14ac:dyDescent="0.25">
      <c r="A708">
        <v>707</v>
      </c>
      <c r="B708">
        <v>45</v>
      </c>
      <c r="C708" t="s">
        <v>16</v>
      </c>
      <c r="D708" t="s">
        <v>20</v>
      </c>
      <c r="E708" t="s">
        <v>36</v>
      </c>
      <c r="F708" s="1">
        <v>141.27000000000001</v>
      </c>
      <c r="G708" t="s">
        <v>14</v>
      </c>
      <c r="H708" t="s">
        <v>15</v>
      </c>
      <c r="I708" s="2">
        <v>3.2</v>
      </c>
      <c r="J708" s="4">
        <v>16</v>
      </c>
      <c r="K708" s="3">
        <v>3</v>
      </c>
      <c r="L708" s="1">
        <f t="shared" si="33"/>
        <v>118.66680000000001</v>
      </c>
      <c r="M708" t="str" cm="1">
        <f t="array" ref="M708">_xlfn.IFS(B708&lt;18,"Under 18",B708 &lt;=25,"18-25",B708&lt;=35,"26-35",B708&lt;=45,"36-45",B708&lt;=60,"46-60",TRUE,"60+")</f>
        <v>36-45</v>
      </c>
      <c r="N708" t="str">
        <f t="shared" si="34"/>
        <v>Discounted</v>
      </c>
      <c r="O708" t="str">
        <f t="shared" si="35"/>
        <v>Returning</v>
      </c>
    </row>
    <row r="709" spans="1:15" x14ac:dyDescent="0.25">
      <c r="A709">
        <v>708</v>
      </c>
      <c r="B709">
        <v>57</v>
      </c>
      <c r="C709" t="s">
        <v>16</v>
      </c>
      <c r="D709" t="s">
        <v>33</v>
      </c>
      <c r="E709" t="s">
        <v>38</v>
      </c>
      <c r="F709" s="1">
        <v>233.72</v>
      </c>
      <c r="G709" t="s">
        <v>31</v>
      </c>
      <c r="H709" t="s">
        <v>15</v>
      </c>
      <c r="I709" s="2">
        <v>2.8</v>
      </c>
      <c r="J709" s="4">
        <v>14</v>
      </c>
      <c r="K709" s="3">
        <v>7</v>
      </c>
      <c r="L709" s="1">
        <f t="shared" si="33"/>
        <v>200.9992</v>
      </c>
      <c r="M709" t="str" cm="1">
        <f t="array" ref="M709">_xlfn.IFS(B709&lt;18,"Under 18",B709 &lt;=25,"18-25",B709&lt;=35,"26-35",B709&lt;=45,"36-45",B709&lt;=60,"46-60",TRUE,"60+")</f>
        <v>46-60</v>
      </c>
      <c r="N709" t="str">
        <f t="shared" si="34"/>
        <v>Discounted</v>
      </c>
      <c r="O709" t="str">
        <f t="shared" si="35"/>
        <v>Returning</v>
      </c>
    </row>
    <row r="710" spans="1:15" x14ac:dyDescent="0.25">
      <c r="A710">
        <v>709</v>
      </c>
      <c r="B710">
        <v>53</v>
      </c>
      <c r="C710" t="s">
        <v>16</v>
      </c>
      <c r="D710" t="s">
        <v>27</v>
      </c>
      <c r="E710" t="s">
        <v>53</v>
      </c>
      <c r="F710" s="1">
        <v>1792.88</v>
      </c>
      <c r="G710" t="s">
        <v>24</v>
      </c>
      <c r="H710" t="s">
        <v>15</v>
      </c>
      <c r="I710" s="2">
        <v>3.6</v>
      </c>
      <c r="J710" s="4">
        <v>19</v>
      </c>
      <c r="K710" s="3">
        <v>7</v>
      </c>
      <c r="L710" s="1">
        <f t="shared" si="33"/>
        <v>1452.2328000000002</v>
      </c>
      <c r="M710" t="str" cm="1">
        <f t="array" ref="M710">_xlfn.IFS(B710&lt;18,"Under 18",B710 &lt;=25,"18-25",B710&lt;=35,"26-35",B710&lt;=45,"36-45",B710&lt;=60,"46-60",TRUE,"60+")</f>
        <v>46-60</v>
      </c>
      <c r="N710" t="str">
        <f t="shared" si="34"/>
        <v>Discounted</v>
      </c>
      <c r="O710" t="str">
        <f t="shared" si="35"/>
        <v>Returning</v>
      </c>
    </row>
    <row r="711" spans="1:15" x14ac:dyDescent="0.25">
      <c r="A711">
        <v>710</v>
      </c>
      <c r="B711">
        <v>24</v>
      </c>
      <c r="C711" t="s">
        <v>16</v>
      </c>
      <c r="D711" t="s">
        <v>27</v>
      </c>
      <c r="E711" t="s">
        <v>32</v>
      </c>
      <c r="F711" s="1">
        <v>1064.7</v>
      </c>
      <c r="G711" t="s">
        <v>24</v>
      </c>
      <c r="H711" t="s">
        <v>15</v>
      </c>
      <c r="I711" s="2">
        <v>5</v>
      </c>
      <c r="J711" s="4">
        <v>18</v>
      </c>
      <c r="K711" s="3">
        <v>4</v>
      </c>
      <c r="L711" s="1">
        <f t="shared" si="33"/>
        <v>873.05400000000009</v>
      </c>
      <c r="M711" t="str" cm="1">
        <f t="array" ref="M711">_xlfn.IFS(B711&lt;18,"Under 18",B711 &lt;=25,"18-25",B711&lt;=35,"26-35",B711&lt;=45,"36-45",B711&lt;=60,"46-60",TRUE,"60+")</f>
        <v>18-25</v>
      </c>
      <c r="N711" t="str">
        <f t="shared" si="34"/>
        <v>Discounted</v>
      </c>
      <c r="O711" t="str">
        <f t="shared" si="35"/>
        <v>Returning</v>
      </c>
    </row>
    <row r="712" spans="1:15" x14ac:dyDescent="0.25">
      <c r="A712">
        <v>711</v>
      </c>
      <c r="B712">
        <v>44</v>
      </c>
      <c r="C712" t="s">
        <v>11</v>
      </c>
      <c r="D712" t="s">
        <v>12</v>
      </c>
      <c r="E712" t="s">
        <v>50</v>
      </c>
      <c r="F712" s="1">
        <v>103.15</v>
      </c>
      <c r="G712" t="s">
        <v>14</v>
      </c>
      <c r="H712" t="s">
        <v>15</v>
      </c>
      <c r="I712" s="2">
        <v>3.6</v>
      </c>
      <c r="J712" s="4">
        <v>13</v>
      </c>
      <c r="K712" s="3">
        <v>4</v>
      </c>
      <c r="L712" s="1">
        <f t="shared" si="33"/>
        <v>89.740500000000011</v>
      </c>
      <c r="M712" t="str" cm="1">
        <f t="array" ref="M712">_xlfn.IFS(B712&lt;18,"Under 18",B712 &lt;=25,"18-25",B712&lt;=35,"26-35",B712&lt;=45,"36-45",B712&lt;=60,"46-60",TRUE,"60+")</f>
        <v>36-45</v>
      </c>
      <c r="N712" t="str">
        <f t="shared" si="34"/>
        <v>Discounted</v>
      </c>
      <c r="O712" t="str">
        <f t="shared" si="35"/>
        <v>Returning</v>
      </c>
    </row>
    <row r="713" spans="1:15" x14ac:dyDescent="0.25">
      <c r="A713">
        <v>712</v>
      </c>
      <c r="B713">
        <v>69</v>
      </c>
      <c r="C713" t="s">
        <v>16</v>
      </c>
      <c r="D713" t="s">
        <v>33</v>
      </c>
      <c r="E713" t="s">
        <v>38</v>
      </c>
      <c r="F713" s="1">
        <v>48.78</v>
      </c>
      <c r="G713" t="s">
        <v>31</v>
      </c>
      <c r="H713" t="s">
        <v>15</v>
      </c>
      <c r="I713" s="2">
        <v>1.9</v>
      </c>
      <c r="J713" s="4">
        <v>17</v>
      </c>
      <c r="K713" s="3">
        <v>6</v>
      </c>
      <c r="L713" s="1">
        <f t="shared" si="33"/>
        <v>40.487400000000001</v>
      </c>
      <c r="M713" t="str" cm="1">
        <f t="array" ref="M713">_xlfn.IFS(B713&lt;18,"Under 18",B713 &lt;=25,"18-25",B713&lt;=35,"26-35",B713&lt;=45,"36-45",B713&lt;=60,"46-60",TRUE,"60+")</f>
        <v>60+</v>
      </c>
      <c r="N713" t="str">
        <f t="shared" si="34"/>
        <v>Discounted</v>
      </c>
      <c r="O713" t="str">
        <f t="shared" si="35"/>
        <v>Returning</v>
      </c>
    </row>
    <row r="714" spans="1:15" x14ac:dyDescent="0.25">
      <c r="A714">
        <v>713</v>
      </c>
      <c r="B714">
        <v>64</v>
      </c>
      <c r="C714" t="s">
        <v>11</v>
      </c>
      <c r="D714" t="s">
        <v>29</v>
      </c>
      <c r="E714" t="s">
        <v>30</v>
      </c>
      <c r="F714" s="1">
        <v>74.05</v>
      </c>
      <c r="G714" t="s">
        <v>19</v>
      </c>
      <c r="H714" t="s">
        <v>15</v>
      </c>
      <c r="I714" s="2">
        <v>4.9000000000000004</v>
      </c>
      <c r="J714" s="4">
        <v>21</v>
      </c>
      <c r="K714" s="3">
        <v>8</v>
      </c>
      <c r="L714" s="1">
        <f t="shared" si="33"/>
        <v>58.499499999999998</v>
      </c>
      <c r="M714" t="str" cm="1">
        <f t="array" ref="M714">_xlfn.IFS(B714&lt;18,"Under 18",B714 &lt;=25,"18-25",B714&lt;=35,"26-35",B714&lt;=45,"36-45",B714&lt;=60,"46-60",TRUE,"60+")</f>
        <v>60+</v>
      </c>
      <c r="N714" t="str">
        <f t="shared" si="34"/>
        <v>Discounted</v>
      </c>
      <c r="O714" t="str">
        <f t="shared" si="35"/>
        <v>Returning</v>
      </c>
    </row>
    <row r="715" spans="1:15" x14ac:dyDescent="0.25">
      <c r="A715">
        <v>714</v>
      </c>
      <c r="B715">
        <v>59</v>
      </c>
      <c r="C715" t="s">
        <v>11</v>
      </c>
      <c r="D715" t="s">
        <v>41</v>
      </c>
      <c r="E715" t="s">
        <v>46</v>
      </c>
      <c r="F715" s="1">
        <v>35.33</v>
      </c>
      <c r="G715" t="s">
        <v>31</v>
      </c>
      <c r="H715" t="s">
        <v>37</v>
      </c>
      <c r="I715" s="2">
        <v>3.7</v>
      </c>
      <c r="J715" s="4">
        <v>13</v>
      </c>
      <c r="K715" s="3">
        <v>4</v>
      </c>
      <c r="L715" s="1">
        <f t="shared" si="33"/>
        <v>30.737099999999998</v>
      </c>
      <c r="M715" t="str" cm="1">
        <f t="array" ref="M715">_xlfn.IFS(B715&lt;18,"Under 18",B715 &lt;=25,"18-25",B715&lt;=35,"26-35",B715&lt;=45,"36-45",B715&lt;=60,"46-60",TRUE,"60+")</f>
        <v>46-60</v>
      </c>
      <c r="N715" t="str">
        <f t="shared" si="34"/>
        <v>Discounted</v>
      </c>
      <c r="O715" t="str">
        <f t="shared" si="35"/>
        <v>Returning</v>
      </c>
    </row>
    <row r="716" spans="1:15" x14ac:dyDescent="0.25">
      <c r="A716">
        <v>715</v>
      </c>
      <c r="B716">
        <v>68</v>
      </c>
      <c r="C716" t="s">
        <v>11</v>
      </c>
      <c r="D716" t="s">
        <v>41</v>
      </c>
      <c r="E716" t="s">
        <v>42</v>
      </c>
      <c r="F716" s="1">
        <v>114.33</v>
      </c>
      <c r="G716" t="s">
        <v>31</v>
      </c>
      <c r="H716" t="s">
        <v>15</v>
      </c>
      <c r="I716" s="2">
        <v>2.9</v>
      </c>
      <c r="J716" s="4">
        <v>10</v>
      </c>
      <c r="K716" s="3">
        <v>5</v>
      </c>
      <c r="L716" s="1">
        <f t="shared" si="33"/>
        <v>102.89700000000001</v>
      </c>
      <c r="M716" t="str" cm="1">
        <f t="array" ref="M716">_xlfn.IFS(B716&lt;18,"Under 18",B716 &lt;=25,"18-25",B716&lt;=35,"26-35",B716&lt;=45,"36-45",B716&lt;=60,"46-60",TRUE,"60+")</f>
        <v>60+</v>
      </c>
      <c r="N716" t="str">
        <f t="shared" si="34"/>
        <v>Discounted</v>
      </c>
      <c r="O716" t="str">
        <f t="shared" si="35"/>
        <v>Returning</v>
      </c>
    </row>
    <row r="717" spans="1:15" x14ac:dyDescent="0.25">
      <c r="A717">
        <v>716</v>
      </c>
      <c r="B717">
        <v>48</v>
      </c>
      <c r="C717" t="s">
        <v>11</v>
      </c>
      <c r="D717" t="s">
        <v>12</v>
      </c>
      <c r="E717" t="s">
        <v>13</v>
      </c>
      <c r="F717" s="1">
        <v>41.13</v>
      </c>
      <c r="G717" t="s">
        <v>24</v>
      </c>
      <c r="H717" t="s">
        <v>15</v>
      </c>
      <c r="I717" s="2">
        <v>3.2</v>
      </c>
      <c r="J717" s="4">
        <v>9</v>
      </c>
      <c r="K717" s="3">
        <v>2</v>
      </c>
      <c r="L717" s="1">
        <f t="shared" si="33"/>
        <v>37.4283</v>
      </c>
      <c r="M717" t="str" cm="1">
        <f t="array" ref="M717">_xlfn.IFS(B717&lt;18,"Under 18",B717 &lt;=25,"18-25",B717&lt;=35,"26-35",B717&lt;=45,"36-45",B717&lt;=60,"46-60",TRUE,"60+")</f>
        <v>46-60</v>
      </c>
      <c r="N717" t="str">
        <f t="shared" si="34"/>
        <v>Discounted</v>
      </c>
      <c r="O717" t="str">
        <f t="shared" si="35"/>
        <v>Returning</v>
      </c>
    </row>
    <row r="718" spans="1:15" x14ac:dyDescent="0.25">
      <c r="A718">
        <v>717</v>
      </c>
      <c r="B718">
        <v>56</v>
      </c>
      <c r="C718" t="s">
        <v>11</v>
      </c>
      <c r="D718" t="s">
        <v>22</v>
      </c>
      <c r="E718" t="s">
        <v>52</v>
      </c>
      <c r="F718" s="1">
        <v>245.44</v>
      </c>
      <c r="G718" t="s">
        <v>19</v>
      </c>
      <c r="H718" t="s">
        <v>15</v>
      </c>
      <c r="I718" s="2">
        <v>3.2</v>
      </c>
      <c r="J718" s="4">
        <v>2</v>
      </c>
      <c r="K718" s="3">
        <v>1</v>
      </c>
      <c r="L718" s="1">
        <f t="shared" si="33"/>
        <v>240.53119999999998</v>
      </c>
      <c r="M718" t="str" cm="1">
        <f t="array" ref="M718">_xlfn.IFS(B718&lt;18,"Under 18",B718 &lt;=25,"18-25",B718&lt;=35,"26-35",B718&lt;=45,"36-45",B718&lt;=60,"46-60",TRUE,"60+")</f>
        <v>46-60</v>
      </c>
      <c r="N718" t="str">
        <f t="shared" si="34"/>
        <v>Discounted</v>
      </c>
      <c r="O718" t="str">
        <f t="shared" si="35"/>
        <v>Returning</v>
      </c>
    </row>
    <row r="719" spans="1:15" x14ac:dyDescent="0.25">
      <c r="A719">
        <v>718</v>
      </c>
      <c r="B719">
        <v>36</v>
      </c>
      <c r="C719" t="s">
        <v>11</v>
      </c>
      <c r="D719" t="s">
        <v>41</v>
      </c>
      <c r="E719" t="s">
        <v>42</v>
      </c>
      <c r="F719" s="1">
        <v>153.84</v>
      </c>
      <c r="G719" t="s">
        <v>24</v>
      </c>
      <c r="H719" t="s">
        <v>15</v>
      </c>
      <c r="I719" s="2">
        <v>3.2</v>
      </c>
      <c r="J719" s="4">
        <v>0</v>
      </c>
      <c r="K719" s="3">
        <v>0</v>
      </c>
      <c r="L719" s="1">
        <f t="shared" si="33"/>
        <v>153.84</v>
      </c>
      <c r="M719" t="str" cm="1">
        <f t="array" ref="M719">_xlfn.IFS(B719&lt;18,"Under 18",B719 &lt;=25,"18-25",B719&lt;=35,"26-35",B719&lt;=45,"36-45",B719&lt;=60,"46-60",TRUE,"60+")</f>
        <v>36-45</v>
      </c>
      <c r="N719" t="str">
        <f t="shared" si="34"/>
        <v>No Discount</v>
      </c>
      <c r="O719" t="str">
        <f t="shared" si="35"/>
        <v>New</v>
      </c>
    </row>
    <row r="720" spans="1:15" x14ac:dyDescent="0.25">
      <c r="A720">
        <v>719</v>
      </c>
      <c r="B720">
        <v>44</v>
      </c>
      <c r="C720" t="s">
        <v>11</v>
      </c>
      <c r="D720" t="s">
        <v>33</v>
      </c>
      <c r="E720" t="s">
        <v>38</v>
      </c>
      <c r="F720" s="1">
        <v>236.11</v>
      </c>
      <c r="G720" t="s">
        <v>31</v>
      </c>
      <c r="H720" t="s">
        <v>15</v>
      </c>
      <c r="I720" s="2">
        <v>5</v>
      </c>
      <c r="J720" s="4">
        <v>23</v>
      </c>
      <c r="K720" s="3">
        <v>9</v>
      </c>
      <c r="L720" s="1">
        <f t="shared" si="33"/>
        <v>181.80470000000003</v>
      </c>
      <c r="M720" t="str" cm="1">
        <f t="array" ref="M720">_xlfn.IFS(B720&lt;18,"Under 18",B720 &lt;=25,"18-25",B720&lt;=35,"26-35",B720&lt;=45,"36-45",B720&lt;=60,"46-60",TRUE,"60+")</f>
        <v>36-45</v>
      </c>
      <c r="N720" t="str">
        <f t="shared" si="34"/>
        <v>Discounted</v>
      </c>
      <c r="O720" t="str">
        <f t="shared" si="35"/>
        <v>Returning</v>
      </c>
    </row>
    <row r="721" spans="1:15" x14ac:dyDescent="0.25">
      <c r="A721">
        <v>720</v>
      </c>
      <c r="B721">
        <v>54</v>
      </c>
      <c r="C721" t="s">
        <v>11</v>
      </c>
      <c r="D721" t="s">
        <v>41</v>
      </c>
      <c r="E721" t="s">
        <v>46</v>
      </c>
      <c r="F721" s="1">
        <v>165.35</v>
      </c>
      <c r="G721" t="s">
        <v>14</v>
      </c>
      <c r="H721" t="s">
        <v>15</v>
      </c>
      <c r="I721" s="2">
        <v>3.7</v>
      </c>
      <c r="J721" s="4">
        <v>10</v>
      </c>
      <c r="K721" s="3">
        <v>0</v>
      </c>
      <c r="L721" s="1">
        <f t="shared" si="33"/>
        <v>148.815</v>
      </c>
      <c r="M721" t="str" cm="1">
        <f t="array" ref="M721">_xlfn.IFS(B721&lt;18,"Under 18",B721 &lt;=25,"18-25",B721&lt;=35,"26-35",B721&lt;=45,"36-45",B721&lt;=60,"46-60",TRUE,"60+")</f>
        <v>46-60</v>
      </c>
      <c r="N721" t="str">
        <f t="shared" si="34"/>
        <v>Discounted</v>
      </c>
      <c r="O721" t="str">
        <f t="shared" si="35"/>
        <v>New</v>
      </c>
    </row>
    <row r="722" spans="1:15" x14ac:dyDescent="0.25">
      <c r="A722">
        <v>721</v>
      </c>
      <c r="B722">
        <v>30</v>
      </c>
      <c r="C722" t="s">
        <v>11</v>
      </c>
      <c r="D722" t="s">
        <v>12</v>
      </c>
      <c r="E722" t="s">
        <v>50</v>
      </c>
      <c r="F722" s="1">
        <v>59.51</v>
      </c>
      <c r="G722" t="s">
        <v>24</v>
      </c>
      <c r="H722" t="s">
        <v>15</v>
      </c>
      <c r="I722" s="2">
        <v>3.8</v>
      </c>
      <c r="J722" s="4">
        <v>24</v>
      </c>
      <c r="K722" s="3">
        <v>7</v>
      </c>
      <c r="L722" s="1">
        <f t="shared" si="33"/>
        <v>45.227600000000002</v>
      </c>
      <c r="M722" t="str" cm="1">
        <f t="array" ref="M722">_xlfn.IFS(B722&lt;18,"Under 18",B722 &lt;=25,"18-25",B722&lt;=35,"26-35",B722&lt;=45,"36-45",B722&lt;=60,"46-60",TRUE,"60+")</f>
        <v>26-35</v>
      </c>
      <c r="N722" t="str">
        <f t="shared" si="34"/>
        <v>Discounted</v>
      </c>
      <c r="O722" t="str">
        <f t="shared" si="35"/>
        <v>Returning</v>
      </c>
    </row>
    <row r="723" spans="1:15" x14ac:dyDescent="0.25">
      <c r="A723">
        <v>722</v>
      </c>
      <c r="B723">
        <v>61</v>
      </c>
      <c r="C723" t="s">
        <v>16</v>
      </c>
      <c r="D723" t="s">
        <v>20</v>
      </c>
      <c r="E723" t="s">
        <v>39</v>
      </c>
      <c r="F723" s="1">
        <v>190.26</v>
      </c>
      <c r="G723" t="s">
        <v>24</v>
      </c>
      <c r="H723" t="s">
        <v>15</v>
      </c>
      <c r="I723" s="2">
        <v>4.4000000000000004</v>
      </c>
      <c r="J723" s="4">
        <v>14</v>
      </c>
      <c r="K723" s="3">
        <v>2</v>
      </c>
      <c r="L723" s="1">
        <f t="shared" si="33"/>
        <v>163.62359999999998</v>
      </c>
      <c r="M723" t="str" cm="1">
        <f t="array" ref="M723">_xlfn.IFS(B723&lt;18,"Under 18",B723 &lt;=25,"18-25",B723&lt;=35,"26-35",B723&lt;=45,"36-45",B723&lt;=60,"46-60",TRUE,"60+")</f>
        <v>60+</v>
      </c>
      <c r="N723" t="str">
        <f t="shared" si="34"/>
        <v>Discounted</v>
      </c>
      <c r="O723" t="str">
        <f t="shared" si="35"/>
        <v>Returning</v>
      </c>
    </row>
    <row r="724" spans="1:15" x14ac:dyDescent="0.25">
      <c r="A724">
        <v>723</v>
      </c>
      <c r="B724">
        <v>63</v>
      </c>
      <c r="C724" t="s">
        <v>11</v>
      </c>
      <c r="D724" t="s">
        <v>22</v>
      </c>
      <c r="E724" t="s">
        <v>52</v>
      </c>
      <c r="F724" s="1">
        <v>168.64</v>
      </c>
      <c r="G724" t="s">
        <v>14</v>
      </c>
      <c r="H724" t="s">
        <v>15</v>
      </c>
      <c r="I724" s="2">
        <v>3.2</v>
      </c>
      <c r="J724" s="4">
        <v>6</v>
      </c>
      <c r="K724" s="3">
        <v>3</v>
      </c>
      <c r="L724" s="1">
        <f t="shared" si="33"/>
        <v>158.52159999999998</v>
      </c>
      <c r="M724" t="str" cm="1">
        <f t="array" ref="M724">_xlfn.IFS(B724&lt;18,"Under 18",B724 &lt;=25,"18-25",B724&lt;=35,"26-35",B724&lt;=45,"36-45",B724&lt;=60,"46-60",TRUE,"60+")</f>
        <v>60+</v>
      </c>
      <c r="N724" t="str">
        <f t="shared" si="34"/>
        <v>Discounted</v>
      </c>
      <c r="O724" t="str">
        <f t="shared" si="35"/>
        <v>Returning</v>
      </c>
    </row>
    <row r="725" spans="1:15" x14ac:dyDescent="0.25">
      <c r="A725">
        <v>724</v>
      </c>
      <c r="B725">
        <v>42</v>
      </c>
      <c r="C725" t="s">
        <v>16</v>
      </c>
      <c r="D725" t="s">
        <v>27</v>
      </c>
      <c r="E725" t="s">
        <v>53</v>
      </c>
      <c r="F725" s="1">
        <v>2517.98</v>
      </c>
      <c r="G725" t="s">
        <v>31</v>
      </c>
      <c r="H725" t="s">
        <v>15</v>
      </c>
      <c r="I725" s="2">
        <v>3.2</v>
      </c>
      <c r="J725" s="4">
        <v>17</v>
      </c>
      <c r="K725" s="3">
        <v>6</v>
      </c>
      <c r="L725" s="1">
        <f t="shared" si="33"/>
        <v>2089.9234000000001</v>
      </c>
      <c r="M725" t="str" cm="1">
        <f t="array" ref="M725">_xlfn.IFS(B725&lt;18,"Under 18",B725 &lt;=25,"18-25",B725&lt;=35,"26-35",B725&lt;=45,"36-45",B725&lt;=60,"46-60",TRUE,"60+")</f>
        <v>36-45</v>
      </c>
      <c r="N725" t="str">
        <f t="shared" si="34"/>
        <v>Discounted</v>
      </c>
      <c r="O725" t="str">
        <f t="shared" si="35"/>
        <v>Returning</v>
      </c>
    </row>
    <row r="726" spans="1:15" x14ac:dyDescent="0.25">
      <c r="A726">
        <v>725</v>
      </c>
      <c r="B726">
        <v>35</v>
      </c>
      <c r="C726" t="s">
        <v>16</v>
      </c>
      <c r="D726" t="s">
        <v>20</v>
      </c>
      <c r="E726" t="s">
        <v>21</v>
      </c>
      <c r="F726" s="1">
        <v>240.4</v>
      </c>
      <c r="G726" t="s">
        <v>24</v>
      </c>
      <c r="H726" t="s">
        <v>15</v>
      </c>
      <c r="I726" s="2">
        <v>3.7</v>
      </c>
      <c r="J726" s="4">
        <v>10</v>
      </c>
      <c r="K726" s="3">
        <v>5</v>
      </c>
      <c r="L726" s="1">
        <f t="shared" si="33"/>
        <v>216.36</v>
      </c>
      <c r="M726" t="str" cm="1">
        <f t="array" ref="M726">_xlfn.IFS(B726&lt;18,"Under 18",B726 &lt;=25,"18-25",B726&lt;=35,"26-35",B726&lt;=45,"36-45",B726&lt;=60,"46-60",TRUE,"60+")</f>
        <v>26-35</v>
      </c>
      <c r="N726" t="str">
        <f t="shared" si="34"/>
        <v>Discounted</v>
      </c>
      <c r="O726" t="str">
        <f t="shared" si="35"/>
        <v>Returning</v>
      </c>
    </row>
    <row r="727" spans="1:15" x14ac:dyDescent="0.25">
      <c r="A727">
        <v>726</v>
      </c>
      <c r="B727">
        <v>66</v>
      </c>
      <c r="C727" t="s">
        <v>11</v>
      </c>
      <c r="D727" t="s">
        <v>25</v>
      </c>
      <c r="E727" t="s">
        <v>57</v>
      </c>
      <c r="F727" s="1">
        <v>75.72</v>
      </c>
      <c r="G727" t="s">
        <v>19</v>
      </c>
      <c r="H727" t="s">
        <v>15</v>
      </c>
      <c r="I727" s="2">
        <v>3.9</v>
      </c>
      <c r="J727" s="4">
        <v>14</v>
      </c>
      <c r="K727" s="3">
        <v>7</v>
      </c>
      <c r="L727" s="1">
        <f t="shared" si="33"/>
        <v>65.119199999999992</v>
      </c>
      <c r="M727" t="str" cm="1">
        <f t="array" ref="M727">_xlfn.IFS(B727&lt;18,"Under 18",B727 &lt;=25,"18-25",B727&lt;=35,"26-35",B727&lt;=45,"36-45",B727&lt;=60,"46-60",TRUE,"60+")</f>
        <v>60+</v>
      </c>
      <c r="N727" t="str">
        <f t="shared" si="34"/>
        <v>Discounted</v>
      </c>
      <c r="O727" t="str">
        <f t="shared" si="35"/>
        <v>Returning</v>
      </c>
    </row>
    <row r="728" spans="1:15" x14ac:dyDescent="0.25">
      <c r="A728">
        <v>727</v>
      </c>
      <c r="B728">
        <v>37</v>
      </c>
      <c r="C728" t="s">
        <v>16</v>
      </c>
      <c r="D728" t="s">
        <v>33</v>
      </c>
      <c r="E728" t="s">
        <v>34</v>
      </c>
      <c r="F728" s="1">
        <v>229.47</v>
      </c>
      <c r="G728" t="s">
        <v>19</v>
      </c>
      <c r="H728" t="s">
        <v>15</v>
      </c>
      <c r="I728" s="2">
        <v>4.2</v>
      </c>
      <c r="J728" s="4">
        <v>14</v>
      </c>
      <c r="K728" s="3">
        <v>7</v>
      </c>
      <c r="L728" s="1">
        <f t="shared" si="33"/>
        <v>197.3442</v>
      </c>
      <c r="M728" t="str" cm="1">
        <f t="array" ref="M728">_xlfn.IFS(B728&lt;18,"Under 18",B728 &lt;=25,"18-25",B728&lt;=35,"26-35",B728&lt;=45,"36-45",B728&lt;=60,"46-60",TRUE,"60+")</f>
        <v>36-45</v>
      </c>
      <c r="N728" t="str">
        <f t="shared" si="34"/>
        <v>Discounted</v>
      </c>
      <c r="O728" t="str">
        <f t="shared" si="35"/>
        <v>Returning</v>
      </c>
    </row>
    <row r="729" spans="1:15" x14ac:dyDescent="0.25">
      <c r="A729">
        <v>728</v>
      </c>
      <c r="B729">
        <v>31</v>
      </c>
      <c r="C729" t="s">
        <v>11</v>
      </c>
      <c r="D729" t="s">
        <v>20</v>
      </c>
      <c r="E729" t="s">
        <v>21</v>
      </c>
      <c r="F729" s="1">
        <v>103.72</v>
      </c>
      <c r="G729" t="s">
        <v>24</v>
      </c>
      <c r="H729" t="s">
        <v>15</v>
      </c>
      <c r="I729" s="2">
        <v>3.4</v>
      </c>
      <c r="J729" s="4">
        <v>20</v>
      </c>
      <c r="K729" s="3">
        <v>5</v>
      </c>
      <c r="L729" s="1">
        <f t="shared" si="33"/>
        <v>82.975999999999999</v>
      </c>
      <c r="M729" t="str" cm="1">
        <f t="array" ref="M729">_xlfn.IFS(B729&lt;18,"Under 18",B729 &lt;=25,"18-25",B729&lt;=35,"26-35",B729&lt;=45,"36-45",B729&lt;=60,"46-60",TRUE,"60+")</f>
        <v>26-35</v>
      </c>
      <c r="N729" t="str">
        <f t="shared" si="34"/>
        <v>Discounted</v>
      </c>
      <c r="O729" t="str">
        <f t="shared" si="35"/>
        <v>Returning</v>
      </c>
    </row>
    <row r="730" spans="1:15" x14ac:dyDescent="0.25">
      <c r="A730">
        <v>729</v>
      </c>
      <c r="B730">
        <v>46</v>
      </c>
      <c r="C730" t="s">
        <v>11</v>
      </c>
      <c r="D730" t="s">
        <v>41</v>
      </c>
      <c r="E730" t="s">
        <v>42</v>
      </c>
      <c r="F730" s="1">
        <v>134.76</v>
      </c>
      <c r="G730" t="s">
        <v>31</v>
      </c>
      <c r="H730" t="s">
        <v>15</v>
      </c>
      <c r="I730" s="2">
        <v>4.5999999999999996</v>
      </c>
      <c r="J730" s="4">
        <v>20</v>
      </c>
      <c r="K730" s="3">
        <v>5</v>
      </c>
      <c r="L730" s="1">
        <f t="shared" si="33"/>
        <v>107.80799999999999</v>
      </c>
      <c r="M730" t="str" cm="1">
        <f t="array" ref="M730">_xlfn.IFS(B730&lt;18,"Under 18",B730 &lt;=25,"18-25",B730&lt;=35,"26-35",B730&lt;=45,"36-45",B730&lt;=60,"46-60",TRUE,"60+")</f>
        <v>46-60</v>
      </c>
      <c r="N730" t="str">
        <f t="shared" si="34"/>
        <v>Discounted</v>
      </c>
      <c r="O730" t="str">
        <f t="shared" si="35"/>
        <v>Returning</v>
      </c>
    </row>
    <row r="731" spans="1:15" x14ac:dyDescent="0.25">
      <c r="A731">
        <v>730</v>
      </c>
      <c r="B731">
        <v>46</v>
      </c>
      <c r="C731" t="s">
        <v>16</v>
      </c>
      <c r="D731" t="s">
        <v>25</v>
      </c>
      <c r="E731" t="s">
        <v>47</v>
      </c>
      <c r="F731" s="1">
        <v>59.16</v>
      </c>
      <c r="G731" t="s">
        <v>14</v>
      </c>
      <c r="H731" t="s">
        <v>15</v>
      </c>
      <c r="I731" s="2">
        <v>4.5</v>
      </c>
      <c r="J731" s="4">
        <v>24</v>
      </c>
      <c r="K731" s="3">
        <v>7</v>
      </c>
      <c r="L731" s="1">
        <f t="shared" si="33"/>
        <v>44.961599999999997</v>
      </c>
      <c r="M731" t="str" cm="1">
        <f t="array" ref="M731">_xlfn.IFS(B731&lt;18,"Under 18",B731 &lt;=25,"18-25",B731&lt;=35,"26-35",B731&lt;=45,"36-45",B731&lt;=60,"46-60",TRUE,"60+")</f>
        <v>46-60</v>
      </c>
      <c r="N731" t="str">
        <f t="shared" si="34"/>
        <v>Discounted</v>
      </c>
      <c r="O731" t="str">
        <f t="shared" si="35"/>
        <v>Returning</v>
      </c>
    </row>
    <row r="732" spans="1:15" x14ac:dyDescent="0.25">
      <c r="A732">
        <v>731</v>
      </c>
      <c r="B732">
        <v>51</v>
      </c>
      <c r="C732" t="s">
        <v>16</v>
      </c>
      <c r="D732" t="s">
        <v>17</v>
      </c>
      <c r="E732" t="s">
        <v>35</v>
      </c>
      <c r="F732" s="1">
        <v>99.13</v>
      </c>
      <c r="G732" t="s">
        <v>31</v>
      </c>
      <c r="H732" t="s">
        <v>15</v>
      </c>
      <c r="I732" s="2">
        <v>4.0999999999999996</v>
      </c>
      <c r="J732" s="4">
        <v>17</v>
      </c>
      <c r="K732" s="3">
        <v>6</v>
      </c>
      <c r="L732" s="1">
        <f t="shared" si="33"/>
        <v>82.277899999999988</v>
      </c>
      <c r="M732" t="str" cm="1">
        <f t="array" ref="M732">_xlfn.IFS(B732&lt;18,"Under 18",B732 &lt;=25,"18-25",B732&lt;=35,"26-35",B732&lt;=45,"36-45",B732&lt;=60,"46-60",TRUE,"60+")</f>
        <v>46-60</v>
      </c>
      <c r="N732" t="str">
        <f t="shared" si="34"/>
        <v>Discounted</v>
      </c>
      <c r="O732" t="str">
        <f t="shared" si="35"/>
        <v>Returning</v>
      </c>
    </row>
    <row r="733" spans="1:15" x14ac:dyDescent="0.25">
      <c r="A733">
        <v>732</v>
      </c>
      <c r="B733">
        <v>38</v>
      </c>
      <c r="C733" t="s">
        <v>16</v>
      </c>
      <c r="D733" t="s">
        <v>20</v>
      </c>
      <c r="E733" t="s">
        <v>39</v>
      </c>
      <c r="F733" s="1">
        <v>205.6</v>
      </c>
      <c r="G733" t="s">
        <v>19</v>
      </c>
      <c r="H733" t="s">
        <v>15</v>
      </c>
      <c r="I733" s="2">
        <v>4.5</v>
      </c>
      <c r="J733" s="4">
        <v>22</v>
      </c>
      <c r="K733" s="3">
        <v>6</v>
      </c>
      <c r="L733" s="1">
        <f t="shared" si="33"/>
        <v>160.36799999999999</v>
      </c>
      <c r="M733" t="str" cm="1">
        <f t="array" ref="M733">_xlfn.IFS(B733&lt;18,"Under 18",B733 &lt;=25,"18-25",B733&lt;=35,"26-35",B733&lt;=45,"36-45",B733&lt;=60,"46-60",TRUE,"60+")</f>
        <v>36-45</v>
      </c>
      <c r="N733" t="str">
        <f t="shared" si="34"/>
        <v>Discounted</v>
      </c>
      <c r="O733" t="str">
        <f t="shared" si="35"/>
        <v>Returning</v>
      </c>
    </row>
    <row r="734" spans="1:15" x14ac:dyDescent="0.25">
      <c r="A734">
        <v>733</v>
      </c>
      <c r="B734">
        <v>31</v>
      </c>
      <c r="C734" t="s">
        <v>16</v>
      </c>
      <c r="D734" t="s">
        <v>33</v>
      </c>
      <c r="E734" t="s">
        <v>34</v>
      </c>
      <c r="F734" s="1">
        <v>51.91</v>
      </c>
      <c r="G734" t="s">
        <v>31</v>
      </c>
      <c r="H734" t="s">
        <v>37</v>
      </c>
      <c r="I734" s="2">
        <v>2.2000000000000002</v>
      </c>
      <c r="J734" s="4">
        <v>2</v>
      </c>
      <c r="K734" s="3">
        <v>1</v>
      </c>
      <c r="L734" s="1">
        <f t="shared" si="33"/>
        <v>50.871799999999993</v>
      </c>
      <c r="M734" t="str" cm="1">
        <f t="array" ref="M734">_xlfn.IFS(B734&lt;18,"Under 18",B734 &lt;=25,"18-25",B734&lt;=35,"26-35",B734&lt;=45,"36-45",B734&lt;=60,"46-60",TRUE,"60+")</f>
        <v>26-35</v>
      </c>
      <c r="N734" t="str">
        <f t="shared" si="34"/>
        <v>Discounted</v>
      </c>
      <c r="O734" t="str">
        <f t="shared" si="35"/>
        <v>Returning</v>
      </c>
    </row>
    <row r="735" spans="1:15" x14ac:dyDescent="0.25">
      <c r="A735">
        <v>734</v>
      </c>
      <c r="B735">
        <v>26</v>
      </c>
      <c r="C735" t="s">
        <v>11</v>
      </c>
      <c r="D735" t="s">
        <v>29</v>
      </c>
      <c r="E735" t="s">
        <v>51</v>
      </c>
      <c r="F735" s="1">
        <v>64.09</v>
      </c>
      <c r="G735" t="s">
        <v>24</v>
      </c>
      <c r="H735" t="s">
        <v>15</v>
      </c>
      <c r="I735" s="2">
        <v>4.5</v>
      </c>
      <c r="J735" s="4">
        <v>11</v>
      </c>
      <c r="K735" s="3">
        <v>3</v>
      </c>
      <c r="L735" s="1">
        <f t="shared" si="33"/>
        <v>57.040100000000002</v>
      </c>
      <c r="M735" t="str" cm="1">
        <f t="array" ref="M735">_xlfn.IFS(B735&lt;18,"Under 18",B735 &lt;=25,"18-25",B735&lt;=35,"26-35",B735&lt;=45,"36-45",B735&lt;=60,"46-60",TRUE,"60+")</f>
        <v>26-35</v>
      </c>
      <c r="N735" t="str">
        <f t="shared" si="34"/>
        <v>Discounted</v>
      </c>
      <c r="O735" t="str">
        <f t="shared" si="35"/>
        <v>Returning</v>
      </c>
    </row>
    <row r="736" spans="1:15" x14ac:dyDescent="0.25">
      <c r="A736">
        <v>735</v>
      </c>
      <c r="B736">
        <v>46</v>
      </c>
      <c r="C736" t="s">
        <v>11</v>
      </c>
      <c r="D736" t="s">
        <v>33</v>
      </c>
      <c r="E736" t="s">
        <v>38</v>
      </c>
      <c r="F736" s="1">
        <v>44.74</v>
      </c>
      <c r="G736" t="s">
        <v>24</v>
      </c>
      <c r="H736" t="s">
        <v>37</v>
      </c>
      <c r="I736" s="2">
        <v>3.6</v>
      </c>
      <c r="J736" s="4">
        <v>13</v>
      </c>
      <c r="K736" s="3">
        <v>4</v>
      </c>
      <c r="L736" s="1">
        <f t="shared" si="33"/>
        <v>38.9238</v>
      </c>
      <c r="M736" t="str" cm="1">
        <f t="array" ref="M736">_xlfn.IFS(B736&lt;18,"Under 18",B736 &lt;=25,"18-25",B736&lt;=35,"26-35",B736&lt;=45,"36-45",B736&lt;=60,"46-60",TRUE,"60+")</f>
        <v>46-60</v>
      </c>
      <c r="N736" t="str">
        <f t="shared" si="34"/>
        <v>Discounted</v>
      </c>
      <c r="O736" t="str">
        <f t="shared" si="35"/>
        <v>Returning</v>
      </c>
    </row>
    <row r="737" spans="1:15" x14ac:dyDescent="0.25">
      <c r="A737">
        <v>736</v>
      </c>
      <c r="B737">
        <v>42</v>
      </c>
      <c r="C737" t="s">
        <v>11</v>
      </c>
      <c r="D737" t="s">
        <v>22</v>
      </c>
      <c r="E737" t="s">
        <v>43</v>
      </c>
      <c r="F737" s="1">
        <v>44.21</v>
      </c>
      <c r="G737" t="s">
        <v>31</v>
      </c>
      <c r="H737" t="s">
        <v>15</v>
      </c>
      <c r="I737" s="2">
        <v>3.4</v>
      </c>
      <c r="J737" s="4">
        <v>15</v>
      </c>
      <c r="K737" s="3">
        <v>5</v>
      </c>
      <c r="L737" s="1">
        <f t="shared" si="33"/>
        <v>37.578499999999998</v>
      </c>
      <c r="M737" t="str" cm="1">
        <f t="array" ref="M737">_xlfn.IFS(B737&lt;18,"Under 18",B737 &lt;=25,"18-25",B737&lt;=35,"26-35",B737&lt;=45,"36-45",B737&lt;=60,"46-60",TRUE,"60+")</f>
        <v>36-45</v>
      </c>
      <c r="N737" t="str">
        <f t="shared" si="34"/>
        <v>Discounted</v>
      </c>
      <c r="O737" t="str">
        <f t="shared" si="35"/>
        <v>Returning</v>
      </c>
    </row>
    <row r="738" spans="1:15" x14ac:dyDescent="0.25">
      <c r="A738">
        <v>737</v>
      </c>
      <c r="B738">
        <v>24</v>
      </c>
      <c r="C738" t="s">
        <v>11</v>
      </c>
      <c r="D738" t="s">
        <v>12</v>
      </c>
      <c r="E738" t="s">
        <v>13</v>
      </c>
      <c r="F738" s="1">
        <v>177.47</v>
      </c>
      <c r="G738" t="s">
        <v>24</v>
      </c>
      <c r="H738" t="s">
        <v>15</v>
      </c>
      <c r="I738" s="2">
        <v>3.3</v>
      </c>
      <c r="J738" s="4">
        <v>8</v>
      </c>
      <c r="K738" s="3">
        <v>4</v>
      </c>
      <c r="L738" s="1">
        <f t="shared" si="33"/>
        <v>163.2724</v>
      </c>
      <c r="M738" t="str" cm="1">
        <f t="array" ref="M738">_xlfn.IFS(B738&lt;18,"Under 18",B738 &lt;=25,"18-25",B738&lt;=35,"26-35",B738&lt;=45,"36-45",B738&lt;=60,"46-60",TRUE,"60+")</f>
        <v>18-25</v>
      </c>
      <c r="N738" t="str">
        <f t="shared" si="34"/>
        <v>Discounted</v>
      </c>
      <c r="O738" t="str">
        <f t="shared" si="35"/>
        <v>Returning</v>
      </c>
    </row>
    <row r="739" spans="1:15" x14ac:dyDescent="0.25">
      <c r="A739">
        <v>738</v>
      </c>
      <c r="B739">
        <v>30</v>
      </c>
      <c r="C739" t="s">
        <v>11</v>
      </c>
      <c r="D739" t="s">
        <v>29</v>
      </c>
      <c r="E739" t="s">
        <v>51</v>
      </c>
      <c r="F739" s="1">
        <v>114.32</v>
      </c>
      <c r="G739" t="s">
        <v>19</v>
      </c>
      <c r="H739" t="s">
        <v>15</v>
      </c>
      <c r="I739" s="2">
        <v>4</v>
      </c>
      <c r="J739" s="4">
        <v>7</v>
      </c>
      <c r="K739" s="3">
        <v>1</v>
      </c>
      <c r="L739" s="1">
        <f t="shared" si="33"/>
        <v>106.31759999999998</v>
      </c>
      <c r="M739" t="str" cm="1">
        <f t="array" ref="M739">_xlfn.IFS(B739&lt;18,"Under 18",B739 &lt;=25,"18-25",B739&lt;=35,"26-35",B739&lt;=45,"36-45",B739&lt;=60,"46-60",TRUE,"60+")</f>
        <v>26-35</v>
      </c>
      <c r="N739" t="str">
        <f t="shared" si="34"/>
        <v>Discounted</v>
      </c>
      <c r="O739" t="str">
        <f t="shared" si="35"/>
        <v>Returning</v>
      </c>
    </row>
    <row r="740" spans="1:15" x14ac:dyDescent="0.25">
      <c r="A740">
        <v>739</v>
      </c>
      <c r="B740">
        <v>53</v>
      </c>
      <c r="C740" t="s">
        <v>16</v>
      </c>
      <c r="D740" t="s">
        <v>33</v>
      </c>
      <c r="E740" t="s">
        <v>34</v>
      </c>
      <c r="F740" s="1">
        <v>139.94</v>
      </c>
      <c r="G740" t="s">
        <v>14</v>
      </c>
      <c r="H740" t="s">
        <v>15</v>
      </c>
      <c r="I740" s="2">
        <v>3.5</v>
      </c>
      <c r="J740" s="4">
        <v>13</v>
      </c>
      <c r="K740" s="3">
        <v>4</v>
      </c>
      <c r="L740" s="1">
        <f t="shared" si="33"/>
        <v>121.7478</v>
      </c>
      <c r="M740" t="str" cm="1">
        <f t="array" ref="M740">_xlfn.IFS(B740&lt;18,"Under 18",B740 &lt;=25,"18-25",B740&lt;=35,"26-35",B740&lt;=45,"36-45",B740&lt;=60,"46-60",TRUE,"60+")</f>
        <v>46-60</v>
      </c>
      <c r="N740" t="str">
        <f t="shared" si="34"/>
        <v>Discounted</v>
      </c>
      <c r="O740" t="str">
        <f t="shared" si="35"/>
        <v>Returning</v>
      </c>
    </row>
    <row r="741" spans="1:15" x14ac:dyDescent="0.25">
      <c r="A741">
        <v>740</v>
      </c>
      <c r="B741">
        <v>29</v>
      </c>
      <c r="C741" t="s">
        <v>16</v>
      </c>
      <c r="D741" t="s">
        <v>33</v>
      </c>
      <c r="E741" t="s">
        <v>40</v>
      </c>
      <c r="F741" s="1">
        <v>247.94</v>
      </c>
      <c r="G741" t="s">
        <v>24</v>
      </c>
      <c r="H741" t="s">
        <v>15</v>
      </c>
      <c r="I741" s="2">
        <v>3.4</v>
      </c>
      <c r="J741" s="4">
        <v>8</v>
      </c>
      <c r="K741" s="3">
        <v>4</v>
      </c>
      <c r="L741" s="1">
        <f t="shared" si="33"/>
        <v>228.10480000000001</v>
      </c>
      <c r="M741" t="str" cm="1">
        <f t="array" ref="M741">_xlfn.IFS(B741&lt;18,"Under 18",B741 &lt;=25,"18-25",B741&lt;=35,"26-35",B741&lt;=45,"36-45",B741&lt;=60,"46-60",TRUE,"60+")</f>
        <v>26-35</v>
      </c>
      <c r="N741" t="str">
        <f t="shared" si="34"/>
        <v>Discounted</v>
      </c>
      <c r="O741" t="str">
        <f t="shared" si="35"/>
        <v>Returning</v>
      </c>
    </row>
    <row r="742" spans="1:15" x14ac:dyDescent="0.25">
      <c r="A742">
        <v>741</v>
      </c>
      <c r="B742">
        <v>49</v>
      </c>
      <c r="C742" t="s">
        <v>16</v>
      </c>
      <c r="D742" t="s">
        <v>27</v>
      </c>
      <c r="E742" t="s">
        <v>49</v>
      </c>
      <c r="F742" s="1">
        <v>2588.27</v>
      </c>
      <c r="G742" t="s">
        <v>31</v>
      </c>
      <c r="H742" t="s">
        <v>15</v>
      </c>
      <c r="I742" s="2">
        <v>4.9000000000000004</v>
      </c>
      <c r="J742" s="4">
        <v>11</v>
      </c>
      <c r="K742" s="3">
        <v>3</v>
      </c>
      <c r="L742" s="1">
        <f t="shared" si="33"/>
        <v>2303.5603000000001</v>
      </c>
      <c r="M742" t="str" cm="1">
        <f t="array" ref="M742">_xlfn.IFS(B742&lt;18,"Under 18",B742 &lt;=25,"18-25",B742&lt;=35,"26-35",B742&lt;=45,"36-45",B742&lt;=60,"46-60",TRUE,"60+")</f>
        <v>46-60</v>
      </c>
      <c r="N742" t="str">
        <f t="shared" si="34"/>
        <v>Discounted</v>
      </c>
      <c r="O742" t="str">
        <f t="shared" si="35"/>
        <v>Returning</v>
      </c>
    </row>
    <row r="743" spans="1:15" x14ac:dyDescent="0.25">
      <c r="A743">
        <v>742</v>
      </c>
      <c r="B743">
        <v>70</v>
      </c>
      <c r="C743" t="s">
        <v>16</v>
      </c>
      <c r="D743" t="s">
        <v>27</v>
      </c>
      <c r="E743" t="s">
        <v>28</v>
      </c>
      <c r="F743" s="1">
        <v>780.6</v>
      </c>
      <c r="G743" t="s">
        <v>14</v>
      </c>
      <c r="H743" t="s">
        <v>15</v>
      </c>
      <c r="I743" s="2">
        <v>4.7</v>
      </c>
      <c r="J743" s="4">
        <v>20</v>
      </c>
      <c r="K743" s="3">
        <v>5</v>
      </c>
      <c r="L743" s="1">
        <f t="shared" si="33"/>
        <v>624.48</v>
      </c>
      <c r="M743" t="str" cm="1">
        <f t="array" ref="M743">_xlfn.IFS(B743&lt;18,"Under 18",B743 &lt;=25,"18-25",B743&lt;=35,"26-35",B743&lt;=45,"36-45",B743&lt;=60,"46-60",TRUE,"60+")</f>
        <v>60+</v>
      </c>
      <c r="N743" t="str">
        <f t="shared" si="34"/>
        <v>Discounted</v>
      </c>
      <c r="O743" t="str">
        <f t="shared" si="35"/>
        <v>Returning</v>
      </c>
    </row>
    <row r="744" spans="1:15" x14ac:dyDescent="0.25">
      <c r="A744">
        <v>743</v>
      </c>
      <c r="B744">
        <v>35</v>
      </c>
      <c r="C744" t="s">
        <v>16</v>
      </c>
      <c r="D744" t="s">
        <v>33</v>
      </c>
      <c r="E744" t="s">
        <v>38</v>
      </c>
      <c r="F744" s="1">
        <v>113.18</v>
      </c>
      <c r="G744" t="s">
        <v>19</v>
      </c>
      <c r="H744" t="s">
        <v>15</v>
      </c>
      <c r="I744" s="2">
        <v>3.8</v>
      </c>
      <c r="J744" s="4">
        <v>12</v>
      </c>
      <c r="K744" s="3">
        <v>6</v>
      </c>
      <c r="L744" s="1">
        <f t="shared" si="33"/>
        <v>99.598400000000012</v>
      </c>
      <c r="M744" t="str" cm="1">
        <f t="array" ref="M744">_xlfn.IFS(B744&lt;18,"Under 18",B744 &lt;=25,"18-25",B744&lt;=35,"26-35",B744&lt;=45,"36-45",B744&lt;=60,"46-60",TRUE,"60+")</f>
        <v>26-35</v>
      </c>
      <c r="N744" t="str">
        <f t="shared" si="34"/>
        <v>Discounted</v>
      </c>
      <c r="O744" t="str">
        <f t="shared" si="35"/>
        <v>Returning</v>
      </c>
    </row>
    <row r="745" spans="1:15" x14ac:dyDescent="0.25">
      <c r="A745">
        <v>744</v>
      </c>
      <c r="B745">
        <v>57</v>
      </c>
      <c r="C745" t="s">
        <v>16</v>
      </c>
      <c r="D745" t="s">
        <v>22</v>
      </c>
      <c r="E745" t="s">
        <v>43</v>
      </c>
      <c r="F745" s="1">
        <v>107.82</v>
      </c>
      <c r="G745" t="s">
        <v>24</v>
      </c>
      <c r="H745" t="s">
        <v>15</v>
      </c>
      <c r="I745" s="2">
        <v>4.0999999999999996</v>
      </c>
      <c r="J745" s="4">
        <v>16</v>
      </c>
      <c r="K745" s="3">
        <v>3</v>
      </c>
      <c r="L745" s="1">
        <f t="shared" si="33"/>
        <v>90.568799999999996</v>
      </c>
      <c r="M745" t="str" cm="1">
        <f t="array" ref="M745">_xlfn.IFS(B745&lt;18,"Under 18",B745 &lt;=25,"18-25",B745&lt;=35,"26-35",B745&lt;=45,"36-45",B745&lt;=60,"46-60",TRUE,"60+")</f>
        <v>46-60</v>
      </c>
      <c r="N745" t="str">
        <f t="shared" si="34"/>
        <v>Discounted</v>
      </c>
      <c r="O745" t="str">
        <f t="shared" si="35"/>
        <v>Returning</v>
      </c>
    </row>
    <row r="746" spans="1:15" x14ac:dyDescent="0.25">
      <c r="A746">
        <v>745</v>
      </c>
      <c r="B746">
        <v>36</v>
      </c>
      <c r="C746" t="s">
        <v>16</v>
      </c>
      <c r="D746" t="s">
        <v>22</v>
      </c>
      <c r="E746" t="s">
        <v>43</v>
      </c>
      <c r="F746" s="1">
        <v>224.49</v>
      </c>
      <c r="G746" t="s">
        <v>14</v>
      </c>
      <c r="H746" t="s">
        <v>15</v>
      </c>
      <c r="I746" s="2">
        <v>4.5</v>
      </c>
      <c r="J746" s="4">
        <v>12</v>
      </c>
      <c r="K746" s="3">
        <v>6</v>
      </c>
      <c r="L746" s="1">
        <f t="shared" si="33"/>
        <v>197.55120000000002</v>
      </c>
      <c r="M746" t="str" cm="1">
        <f t="array" ref="M746">_xlfn.IFS(B746&lt;18,"Under 18",B746 &lt;=25,"18-25",B746&lt;=35,"26-35",B746&lt;=45,"36-45",B746&lt;=60,"46-60",TRUE,"60+")</f>
        <v>36-45</v>
      </c>
      <c r="N746" t="str">
        <f t="shared" si="34"/>
        <v>Discounted</v>
      </c>
      <c r="O746" t="str">
        <f t="shared" si="35"/>
        <v>Returning</v>
      </c>
    </row>
    <row r="747" spans="1:15" x14ac:dyDescent="0.25">
      <c r="A747">
        <v>746</v>
      </c>
      <c r="B747">
        <v>52</v>
      </c>
      <c r="C747" t="s">
        <v>16</v>
      </c>
      <c r="D747" t="s">
        <v>17</v>
      </c>
      <c r="E747" t="s">
        <v>48</v>
      </c>
      <c r="F747" s="1">
        <v>132.43</v>
      </c>
      <c r="G747" t="s">
        <v>31</v>
      </c>
      <c r="H747" t="s">
        <v>15</v>
      </c>
      <c r="I747" s="2">
        <v>3.5</v>
      </c>
      <c r="J747" s="4">
        <v>12</v>
      </c>
      <c r="K747" s="3">
        <v>1</v>
      </c>
      <c r="L747" s="1">
        <f t="shared" si="33"/>
        <v>116.53840000000001</v>
      </c>
      <c r="M747" t="str" cm="1">
        <f t="array" ref="M747">_xlfn.IFS(B747&lt;18,"Under 18",B747 &lt;=25,"18-25",B747&lt;=35,"26-35",B747&lt;=45,"36-45",B747&lt;=60,"46-60",TRUE,"60+")</f>
        <v>46-60</v>
      </c>
      <c r="N747" t="str">
        <f t="shared" si="34"/>
        <v>Discounted</v>
      </c>
      <c r="O747" t="str">
        <f t="shared" si="35"/>
        <v>Returning</v>
      </c>
    </row>
    <row r="748" spans="1:15" x14ac:dyDescent="0.25">
      <c r="A748">
        <v>747</v>
      </c>
      <c r="B748">
        <v>47</v>
      </c>
      <c r="C748" t="s">
        <v>11</v>
      </c>
      <c r="D748" t="s">
        <v>20</v>
      </c>
      <c r="E748" t="s">
        <v>21</v>
      </c>
      <c r="F748" s="1">
        <v>57.77</v>
      </c>
      <c r="G748" t="s">
        <v>19</v>
      </c>
      <c r="H748" t="s">
        <v>37</v>
      </c>
      <c r="I748" s="2">
        <v>2.9</v>
      </c>
      <c r="J748" s="4">
        <v>16</v>
      </c>
      <c r="K748" s="3">
        <v>3</v>
      </c>
      <c r="L748" s="1">
        <f t="shared" si="33"/>
        <v>48.526800000000001</v>
      </c>
      <c r="M748" t="str" cm="1">
        <f t="array" ref="M748">_xlfn.IFS(B748&lt;18,"Under 18",B748 &lt;=25,"18-25",B748&lt;=35,"26-35",B748&lt;=45,"36-45",B748&lt;=60,"46-60",TRUE,"60+")</f>
        <v>46-60</v>
      </c>
      <c r="N748" t="str">
        <f t="shared" si="34"/>
        <v>Discounted</v>
      </c>
      <c r="O748" t="str">
        <f t="shared" si="35"/>
        <v>Returning</v>
      </c>
    </row>
    <row r="749" spans="1:15" x14ac:dyDescent="0.25">
      <c r="A749">
        <v>748</v>
      </c>
      <c r="B749">
        <v>24</v>
      </c>
      <c r="C749" t="s">
        <v>16</v>
      </c>
      <c r="D749" t="s">
        <v>20</v>
      </c>
      <c r="E749" t="s">
        <v>36</v>
      </c>
      <c r="F749" s="1">
        <v>139.11000000000001</v>
      </c>
      <c r="G749" t="s">
        <v>19</v>
      </c>
      <c r="H749" t="s">
        <v>15</v>
      </c>
      <c r="I749" s="2">
        <v>3.1</v>
      </c>
      <c r="J749" s="4">
        <v>19</v>
      </c>
      <c r="K749" s="3">
        <v>7</v>
      </c>
      <c r="L749" s="1">
        <f t="shared" si="33"/>
        <v>112.67910000000002</v>
      </c>
      <c r="M749" t="str" cm="1">
        <f t="array" ref="M749">_xlfn.IFS(B749&lt;18,"Under 18",B749 &lt;=25,"18-25",B749&lt;=35,"26-35",B749&lt;=45,"36-45",B749&lt;=60,"46-60",TRUE,"60+")</f>
        <v>18-25</v>
      </c>
      <c r="N749" t="str">
        <f t="shared" si="34"/>
        <v>Discounted</v>
      </c>
      <c r="O749" t="str">
        <f t="shared" si="35"/>
        <v>Returning</v>
      </c>
    </row>
    <row r="750" spans="1:15" x14ac:dyDescent="0.25">
      <c r="A750">
        <v>749</v>
      </c>
      <c r="B750">
        <v>55</v>
      </c>
      <c r="C750" t="s">
        <v>11</v>
      </c>
      <c r="D750" t="s">
        <v>12</v>
      </c>
      <c r="E750" t="s">
        <v>56</v>
      </c>
      <c r="F750" s="1">
        <v>159.49</v>
      </c>
      <c r="G750" t="s">
        <v>19</v>
      </c>
      <c r="H750" t="s">
        <v>15</v>
      </c>
      <c r="I750" s="2">
        <v>3.4</v>
      </c>
      <c r="J750" s="4">
        <v>18</v>
      </c>
      <c r="K750" s="3">
        <v>4</v>
      </c>
      <c r="L750" s="1">
        <f t="shared" si="33"/>
        <v>130.7818</v>
      </c>
      <c r="M750" t="str" cm="1">
        <f t="array" ref="M750">_xlfn.IFS(B750&lt;18,"Under 18",B750 &lt;=25,"18-25",B750&lt;=35,"26-35",B750&lt;=45,"36-45",B750&lt;=60,"46-60",TRUE,"60+")</f>
        <v>46-60</v>
      </c>
      <c r="N750" t="str">
        <f t="shared" si="34"/>
        <v>Discounted</v>
      </c>
      <c r="O750" t="str">
        <f t="shared" si="35"/>
        <v>Returning</v>
      </c>
    </row>
    <row r="751" spans="1:15" x14ac:dyDescent="0.25">
      <c r="A751">
        <v>750</v>
      </c>
      <c r="B751">
        <v>22</v>
      </c>
      <c r="C751" t="s">
        <v>16</v>
      </c>
      <c r="D751" t="s">
        <v>25</v>
      </c>
      <c r="E751" t="s">
        <v>54</v>
      </c>
      <c r="F751" s="1">
        <v>36.590000000000003</v>
      </c>
      <c r="G751" t="s">
        <v>19</v>
      </c>
      <c r="H751" t="s">
        <v>37</v>
      </c>
      <c r="I751" s="2">
        <v>3.2</v>
      </c>
      <c r="J751" s="4">
        <v>15</v>
      </c>
      <c r="K751" s="3">
        <v>5</v>
      </c>
      <c r="L751" s="1">
        <f t="shared" si="33"/>
        <v>31.101500000000001</v>
      </c>
      <c r="M751" t="str" cm="1">
        <f t="array" ref="M751">_xlfn.IFS(B751&lt;18,"Under 18",B751 &lt;=25,"18-25",B751&lt;=35,"26-35",B751&lt;=45,"36-45",B751&lt;=60,"46-60",TRUE,"60+")</f>
        <v>18-25</v>
      </c>
      <c r="N751" t="str">
        <f t="shared" si="34"/>
        <v>Discounted</v>
      </c>
      <c r="O751" t="str">
        <f t="shared" si="35"/>
        <v>Returning</v>
      </c>
    </row>
    <row r="752" spans="1:15" x14ac:dyDescent="0.25">
      <c r="A752">
        <v>751</v>
      </c>
      <c r="B752">
        <v>36</v>
      </c>
      <c r="C752" t="s">
        <v>11</v>
      </c>
      <c r="D752" t="s">
        <v>41</v>
      </c>
      <c r="E752" t="s">
        <v>45</v>
      </c>
      <c r="F752" s="1">
        <v>114.62</v>
      </c>
      <c r="G752" t="s">
        <v>31</v>
      </c>
      <c r="H752" t="s">
        <v>15</v>
      </c>
      <c r="I752" s="2">
        <v>3.4</v>
      </c>
      <c r="J752" s="4">
        <v>16</v>
      </c>
      <c r="K752" s="3">
        <v>3</v>
      </c>
      <c r="L752" s="1">
        <f t="shared" si="33"/>
        <v>96.280799999999999</v>
      </c>
      <c r="M752" t="str" cm="1">
        <f t="array" ref="M752">_xlfn.IFS(B752&lt;18,"Under 18",B752 &lt;=25,"18-25",B752&lt;=35,"26-35",B752&lt;=45,"36-45",B752&lt;=60,"46-60",TRUE,"60+")</f>
        <v>36-45</v>
      </c>
      <c r="N752" t="str">
        <f t="shared" si="34"/>
        <v>Discounted</v>
      </c>
      <c r="O752" t="str">
        <f t="shared" si="35"/>
        <v>Returning</v>
      </c>
    </row>
    <row r="753" spans="1:15" x14ac:dyDescent="0.25">
      <c r="A753">
        <v>752</v>
      </c>
      <c r="B753">
        <v>60</v>
      </c>
      <c r="C753" t="s">
        <v>16</v>
      </c>
      <c r="D753" t="s">
        <v>20</v>
      </c>
      <c r="E753" t="s">
        <v>39</v>
      </c>
      <c r="F753" s="1">
        <v>79.86</v>
      </c>
      <c r="G753" t="s">
        <v>19</v>
      </c>
      <c r="H753" t="s">
        <v>37</v>
      </c>
      <c r="I753" s="2">
        <v>4.4000000000000004</v>
      </c>
      <c r="J753" s="4">
        <v>19</v>
      </c>
      <c r="K753" s="3">
        <v>7</v>
      </c>
      <c r="L753" s="1">
        <f t="shared" si="33"/>
        <v>64.686599999999999</v>
      </c>
      <c r="M753" t="str" cm="1">
        <f t="array" ref="M753">_xlfn.IFS(B753&lt;18,"Under 18",B753 &lt;=25,"18-25",B753&lt;=35,"26-35",B753&lt;=45,"36-45",B753&lt;=60,"46-60",TRUE,"60+")</f>
        <v>46-60</v>
      </c>
      <c r="N753" t="str">
        <f t="shared" si="34"/>
        <v>Discounted</v>
      </c>
      <c r="O753" t="str">
        <f t="shared" si="35"/>
        <v>Returning</v>
      </c>
    </row>
    <row r="754" spans="1:15" x14ac:dyDescent="0.25">
      <c r="A754">
        <v>753</v>
      </c>
      <c r="B754">
        <v>43</v>
      </c>
      <c r="C754" t="s">
        <v>16</v>
      </c>
      <c r="D754" t="s">
        <v>17</v>
      </c>
      <c r="E754" t="s">
        <v>48</v>
      </c>
      <c r="F754" s="1">
        <v>110.06</v>
      </c>
      <c r="G754" t="s">
        <v>31</v>
      </c>
      <c r="H754" t="s">
        <v>15</v>
      </c>
      <c r="I754" s="2">
        <v>3.3</v>
      </c>
      <c r="J754" s="4">
        <v>20</v>
      </c>
      <c r="K754" s="3">
        <v>10</v>
      </c>
      <c r="L754" s="1">
        <f t="shared" si="33"/>
        <v>88.048000000000002</v>
      </c>
      <c r="M754" t="str" cm="1">
        <f t="array" ref="M754">_xlfn.IFS(B754&lt;18,"Under 18",B754 &lt;=25,"18-25",B754&lt;=35,"26-35",B754&lt;=45,"36-45",B754&lt;=60,"46-60",TRUE,"60+")</f>
        <v>36-45</v>
      </c>
      <c r="N754" t="str">
        <f t="shared" si="34"/>
        <v>Discounted</v>
      </c>
      <c r="O754" t="str">
        <f t="shared" si="35"/>
        <v>Returning</v>
      </c>
    </row>
    <row r="755" spans="1:15" x14ac:dyDescent="0.25">
      <c r="A755">
        <v>754</v>
      </c>
      <c r="B755">
        <v>57</v>
      </c>
      <c r="C755" t="s">
        <v>16</v>
      </c>
      <c r="D755" t="s">
        <v>20</v>
      </c>
      <c r="E755" t="s">
        <v>36</v>
      </c>
      <c r="F755" s="1">
        <v>203.13</v>
      </c>
      <c r="G755" t="s">
        <v>24</v>
      </c>
      <c r="H755" t="s">
        <v>15</v>
      </c>
      <c r="I755" s="2">
        <v>3.3</v>
      </c>
      <c r="J755" s="4">
        <v>11</v>
      </c>
      <c r="K755" s="3">
        <v>3</v>
      </c>
      <c r="L755" s="1">
        <f t="shared" si="33"/>
        <v>180.78569999999999</v>
      </c>
      <c r="M755" t="str" cm="1">
        <f t="array" ref="M755">_xlfn.IFS(B755&lt;18,"Under 18",B755 &lt;=25,"18-25",B755&lt;=35,"26-35",B755&lt;=45,"36-45",B755&lt;=60,"46-60",TRUE,"60+")</f>
        <v>46-60</v>
      </c>
      <c r="N755" t="str">
        <f t="shared" si="34"/>
        <v>Discounted</v>
      </c>
      <c r="O755" t="str">
        <f t="shared" si="35"/>
        <v>Returning</v>
      </c>
    </row>
    <row r="756" spans="1:15" x14ac:dyDescent="0.25">
      <c r="A756">
        <v>755</v>
      </c>
      <c r="B756">
        <v>54</v>
      </c>
      <c r="C756" t="s">
        <v>16</v>
      </c>
      <c r="D756" t="s">
        <v>27</v>
      </c>
      <c r="E756" t="s">
        <v>49</v>
      </c>
      <c r="F756" s="1">
        <v>1829.89</v>
      </c>
      <c r="G756" t="s">
        <v>24</v>
      </c>
      <c r="H756" t="s">
        <v>15</v>
      </c>
      <c r="I756" s="2">
        <v>4.9000000000000004</v>
      </c>
      <c r="J756" s="4">
        <v>30</v>
      </c>
      <c r="K756" s="3">
        <v>10</v>
      </c>
      <c r="L756" s="1">
        <f t="shared" si="33"/>
        <v>1280.923</v>
      </c>
      <c r="M756" t="str" cm="1">
        <f t="array" ref="M756">_xlfn.IFS(B756&lt;18,"Under 18",B756 &lt;=25,"18-25",B756&lt;=35,"26-35",B756&lt;=45,"36-45",B756&lt;=60,"46-60",TRUE,"60+")</f>
        <v>46-60</v>
      </c>
      <c r="N756" t="str">
        <f t="shared" si="34"/>
        <v>Discounted</v>
      </c>
      <c r="O756" t="str">
        <f t="shared" si="35"/>
        <v>Returning</v>
      </c>
    </row>
    <row r="757" spans="1:15" x14ac:dyDescent="0.25">
      <c r="A757">
        <v>756</v>
      </c>
      <c r="B757">
        <v>33</v>
      </c>
      <c r="C757" t="s">
        <v>11</v>
      </c>
      <c r="D757" t="s">
        <v>20</v>
      </c>
      <c r="E757" t="s">
        <v>21</v>
      </c>
      <c r="F757" s="1">
        <v>183.9</v>
      </c>
      <c r="G757" t="s">
        <v>31</v>
      </c>
      <c r="H757" t="s">
        <v>15</v>
      </c>
      <c r="I757" s="2">
        <v>2.6</v>
      </c>
      <c r="J757" s="4">
        <v>15</v>
      </c>
      <c r="K757" s="3">
        <v>5</v>
      </c>
      <c r="L757" s="1">
        <f t="shared" si="33"/>
        <v>156.315</v>
      </c>
      <c r="M757" t="str" cm="1">
        <f t="array" ref="M757">_xlfn.IFS(B757&lt;18,"Under 18",B757 &lt;=25,"18-25",B757&lt;=35,"26-35",B757&lt;=45,"36-45",B757&lt;=60,"46-60",TRUE,"60+")</f>
        <v>26-35</v>
      </c>
      <c r="N757" t="str">
        <f t="shared" si="34"/>
        <v>Discounted</v>
      </c>
      <c r="O757" t="str">
        <f t="shared" si="35"/>
        <v>Returning</v>
      </c>
    </row>
    <row r="758" spans="1:15" x14ac:dyDescent="0.25">
      <c r="A758">
        <v>757</v>
      </c>
      <c r="B758">
        <v>63</v>
      </c>
      <c r="C758" t="s">
        <v>11</v>
      </c>
      <c r="D758" t="s">
        <v>33</v>
      </c>
      <c r="E758" t="s">
        <v>34</v>
      </c>
      <c r="F758" s="1">
        <v>108.4</v>
      </c>
      <c r="G758" t="s">
        <v>19</v>
      </c>
      <c r="H758" t="s">
        <v>15</v>
      </c>
      <c r="I758" s="2">
        <v>2.6</v>
      </c>
      <c r="J758" s="4">
        <v>16</v>
      </c>
      <c r="K758" s="3">
        <v>3</v>
      </c>
      <c r="L758" s="1">
        <f t="shared" si="33"/>
        <v>91.055999999999997</v>
      </c>
      <c r="M758" t="str" cm="1">
        <f t="array" ref="M758">_xlfn.IFS(B758&lt;18,"Under 18",B758 &lt;=25,"18-25",B758&lt;=35,"26-35",B758&lt;=45,"36-45",B758&lt;=60,"46-60",TRUE,"60+")</f>
        <v>60+</v>
      </c>
      <c r="N758" t="str">
        <f t="shared" si="34"/>
        <v>Discounted</v>
      </c>
      <c r="O758" t="str">
        <f t="shared" si="35"/>
        <v>Returning</v>
      </c>
    </row>
    <row r="759" spans="1:15" x14ac:dyDescent="0.25">
      <c r="A759">
        <v>758</v>
      </c>
      <c r="B759">
        <v>66</v>
      </c>
      <c r="C759" t="s">
        <v>16</v>
      </c>
      <c r="D759" t="s">
        <v>25</v>
      </c>
      <c r="E759" t="s">
        <v>26</v>
      </c>
      <c r="F759" s="1">
        <v>37.9</v>
      </c>
      <c r="G759" t="s">
        <v>24</v>
      </c>
      <c r="H759" t="s">
        <v>15</v>
      </c>
      <c r="I759" s="2">
        <v>3.5</v>
      </c>
      <c r="J759" s="4">
        <v>14</v>
      </c>
      <c r="K759" s="3">
        <v>7</v>
      </c>
      <c r="L759" s="1">
        <f t="shared" si="33"/>
        <v>32.594000000000001</v>
      </c>
      <c r="M759" t="str" cm="1">
        <f t="array" ref="M759">_xlfn.IFS(B759&lt;18,"Under 18",B759 &lt;=25,"18-25",B759&lt;=35,"26-35",B759&lt;=45,"36-45",B759&lt;=60,"46-60",TRUE,"60+")</f>
        <v>60+</v>
      </c>
      <c r="N759" t="str">
        <f t="shared" si="34"/>
        <v>Discounted</v>
      </c>
      <c r="O759" t="str">
        <f t="shared" si="35"/>
        <v>Returning</v>
      </c>
    </row>
    <row r="760" spans="1:15" x14ac:dyDescent="0.25">
      <c r="A760">
        <v>759</v>
      </c>
      <c r="B760">
        <v>30</v>
      </c>
      <c r="C760" t="s">
        <v>16</v>
      </c>
      <c r="D760" t="s">
        <v>17</v>
      </c>
      <c r="E760" t="s">
        <v>35</v>
      </c>
      <c r="F760" s="1">
        <v>30.45</v>
      </c>
      <c r="G760" t="s">
        <v>31</v>
      </c>
      <c r="H760" t="s">
        <v>15</v>
      </c>
      <c r="I760" s="2">
        <v>3.6</v>
      </c>
      <c r="J760" s="4">
        <v>15</v>
      </c>
      <c r="K760" s="3">
        <v>5</v>
      </c>
      <c r="L760" s="1">
        <f t="shared" si="33"/>
        <v>25.8825</v>
      </c>
      <c r="M760" t="str" cm="1">
        <f t="array" ref="M760">_xlfn.IFS(B760&lt;18,"Under 18",B760 &lt;=25,"18-25",B760&lt;=35,"26-35",B760&lt;=45,"36-45",B760&lt;=60,"46-60",TRUE,"60+")</f>
        <v>26-35</v>
      </c>
      <c r="N760" t="str">
        <f t="shared" si="34"/>
        <v>Discounted</v>
      </c>
      <c r="O760" t="str">
        <f t="shared" si="35"/>
        <v>Returning</v>
      </c>
    </row>
    <row r="761" spans="1:15" x14ac:dyDescent="0.25">
      <c r="A761">
        <v>760</v>
      </c>
      <c r="B761">
        <v>55</v>
      </c>
      <c r="C761" t="s">
        <v>16</v>
      </c>
      <c r="D761" t="s">
        <v>20</v>
      </c>
      <c r="E761" t="s">
        <v>36</v>
      </c>
      <c r="F761" s="1">
        <v>54.84</v>
      </c>
      <c r="G761" t="s">
        <v>19</v>
      </c>
      <c r="H761" t="s">
        <v>37</v>
      </c>
      <c r="I761" s="2">
        <v>1.1000000000000001</v>
      </c>
      <c r="J761" s="4">
        <v>8</v>
      </c>
      <c r="K761" s="3">
        <v>4</v>
      </c>
      <c r="L761" s="1">
        <f t="shared" si="33"/>
        <v>50.452800000000003</v>
      </c>
      <c r="M761" t="str" cm="1">
        <f t="array" ref="M761">_xlfn.IFS(B761&lt;18,"Under 18",B761 &lt;=25,"18-25",B761&lt;=35,"26-35",B761&lt;=45,"36-45",B761&lt;=60,"46-60",TRUE,"60+")</f>
        <v>46-60</v>
      </c>
      <c r="N761" t="str">
        <f t="shared" si="34"/>
        <v>Discounted</v>
      </c>
      <c r="O761" t="str">
        <f t="shared" si="35"/>
        <v>Returning</v>
      </c>
    </row>
    <row r="762" spans="1:15" x14ac:dyDescent="0.25">
      <c r="A762">
        <v>761</v>
      </c>
      <c r="B762">
        <v>35</v>
      </c>
      <c r="C762" t="s">
        <v>11</v>
      </c>
      <c r="D762" t="s">
        <v>12</v>
      </c>
      <c r="E762" t="s">
        <v>50</v>
      </c>
      <c r="F762" s="1">
        <v>154.72</v>
      </c>
      <c r="G762" t="s">
        <v>19</v>
      </c>
      <c r="H762" t="s">
        <v>15</v>
      </c>
      <c r="I762" s="2">
        <v>3.2</v>
      </c>
      <c r="J762" s="4">
        <v>26</v>
      </c>
      <c r="K762" s="3">
        <v>8</v>
      </c>
      <c r="L762" s="1">
        <f t="shared" si="33"/>
        <v>114.4928</v>
      </c>
      <c r="M762" t="str" cm="1">
        <f t="array" ref="M762">_xlfn.IFS(B762&lt;18,"Under 18",B762 &lt;=25,"18-25",B762&lt;=35,"26-35",B762&lt;=45,"36-45",B762&lt;=60,"46-60",TRUE,"60+")</f>
        <v>26-35</v>
      </c>
      <c r="N762" t="str">
        <f t="shared" si="34"/>
        <v>Discounted</v>
      </c>
      <c r="O762" t="str">
        <f t="shared" si="35"/>
        <v>Returning</v>
      </c>
    </row>
    <row r="763" spans="1:15" x14ac:dyDescent="0.25">
      <c r="A763">
        <v>762</v>
      </c>
      <c r="B763">
        <v>33</v>
      </c>
      <c r="C763" t="s">
        <v>16</v>
      </c>
      <c r="D763" t="s">
        <v>27</v>
      </c>
      <c r="E763" t="s">
        <v>53</v>
      </c>
      <c r="F763" s="1">
        <v>2603.54</v>
      </c>
      <c r="G763" t="s">
        <v>14</v>
      </c>
      <c r="H763" t="s">
        <v>15</v>
      </c>
      <c r="I763" s="2">
        <v>4.4000000000000004</v>
      </c>
      <c r="J763" s="4">
        <v>12</v>
      </c>
      <c r="K763" s="3">
        <v>6</v>
      </c>
      <c r="L763" s="1">
        <f t="shared" si="33"/>
        <v>2291.1152000000002</v>
      </c>
      <c r="M763" t="str" cm="1">
        <f t="array" ref="M763">_xlfn.IFS(B763&lt;18,"Under 18",B763 &lt;=25,"18-25",B763&lt;=35,"26-35",B763&lt;=45,"36-45",B763&lt;=60,"46-60",TRUE,"60+")</f>
        <v>26-35</v>
      </c>
      <c r="N763" t="str">
        <f t="shared" si="34"/>
        <v>Discounted</v>
      </c>
      <c r="O763" t="str">
        <f t="shared" si="35"/>
        <v>Returning</v>
      </c>
    </row>
    <row r="764" spans="1:15" x14ac:dyDescent="0.25">
      <c r="A764">
        <v>763</v>
      </c>
      <c r="B764">
        <v>28</v>
      </c>
      <c r="C764" t="s">
        <v>16</v>
      </c>
      <c r="D764" t="s">
        <v>33</v>
      </c>
      <c r="E764" t="s">
        <v>38</v>
      </c>
      <c r="F764" s="1">
        <v>192.41</v>
      </c>
      <c r="G764" t="s">
        <v>24</v>
      </c>
      <c r="H764" t="s">
        <v>15</v>
      </c>
      <c r="I764" s="2">
        <v>3.2</v>
      </c>
      <c r="J764" s="4">
        <v>8</v>
      </c>
      <c r="K764" s="3">
        <v>4</v>
      </c>
      <c r="L764" s="1">
        <f t="shared" si="33"/>
        <v>177.0172</v>
      </c>
      <c r="M764" t="str" cm="1">
        <f t="array" ref="M764">_xlfn.IFS(B764&lt;18,"Under 18",B764 &lt;=25,"18-25",B764&lt;=35,"26-35",B764&lt;=45,"36-45",B764&lt;=60,"46-60",TRUE,"60+")</f>
        <v>26-35</v>
      </c>
      <c r="N764" t="str">
        <f t="shared" si="34"/>
        <v>Discounted</v>
      </c>
      <c r="O764" t="str">
        <f t="shared" si="35"/>
        <v>Returning</v>
      </c>
    </row>
    <row r="765" spans="1:15" x14ac:dyDescent="0.25">
      <c r="A765">
        <v>764</v>
      </c>
      <c r="B765">
        <v>38</v>
      </c>
      <c r="C765" t="s">
        <v>16</v>
      </c>
      <c r="D765" t="s">
        <v>20</v>
      </c>
      <c r="E765" t="s">
        <v>36</v>
      </c>
      <c r="F765" s="1">
        <v>248.91</v>
      </c>
      <c r="G765" t="s">
        <v>14</v>
      </c>
      <c r="H765" t="s">
        <v>15</v>
      </c>
      <c r="I765" s="2">
        <v>4.8</v>
      </c>
      <c r="J765" s="4">
        <v>26</v>
      </c>
      <c r="K765" s="3">
        <v>8</v>
      </c>
      <c r="L765" s="1">
        <f t="shared" si="33"/>
        <v>184.1934</v>
      </c>
      <c r="M765" t="str" cm="1">
        <f t="array" ref="M765">_xlfn.IFS(B765&lt;18,"Under 18",B765 &lt;=25,"18-25",B765&lt;=35,"26-35",B765&lt;=45,"36-45",B765&lt;=60,"46-60",TRUE,"60+")</f>
        <v>36-45</v>
      </c>
      <c r="N765" t="str">
        <f t="shared" si="34"/>
        <v>Discounted</v>
      </c>
      <c r="O765" t="str">
        <f t="shared" si="35"/>
        <v>Returning</v>
      </c>
    </row>
    <row r="766" spans="1:15" x14ac:dyDescent="0.25">
      <c r="A766">
        <v>765</v>
      </c>
      <c r="B766">
        <v>51</v>
      </c>
      <c r="C766" t="s">
        <v>16</v>
      </c>
      <c r="D766" t="s">
        <v>25</v>
      </c>
      <c r="E766" t="s">
        <v>57</v>
      </c>
      <c r="F766" s="1">
        <v>43.81</v>
      </c>
      <c r="G766" t="s">
        <v>24</v>
      </c>
      <c r="H766" t="s">
        <v>37</v>
      </c>
      <c r="I766" s="2">
        <v>4.0999999999999996</v>
      </c>
      <c r="J766" s="4">
        <v>7</v>
      </c>
      <c r="K766" s="3">
        <v>1</v>
      </c>
      <c r="L766" s="1">
        <f t="shared" si="33"/>
        <v>40.743299999999998</v>
      </c>
      <c r="M766" t="str" cm="1">
        <f t="array" ref="M766">_xlfn.IFS(B766&lt;18,"Under 18",B766 &lt;=25,"18-25",B766&lt;=35,"26-35",B766&lt;=45,"36-45",B766&lt;=60,"46-60",TRUE,"60+")</f>
        <v>46-60</v>
      </c>
      <c r="N766" t="str">
        <f t="shared" si="34"/>
        <v>Discounted</v>
      </c>
      <c r="O766" t="str">
        <f t="shared" si="35"/>
        <v>Returning</v>
      </c>
    </row>
    <row r="767" spans="1:15" x14ac:dyDescent="0.25">
      <c r="A767">
        <v>766</v>
      </c>
      <c r="B767">
        <v>24</v>
      </c>
      <c r="C767" t="s">
        <v>16</v>
      </c>
      <c r="D767" t="s">
        <v>25</v>
      </c>
      <c r="E767" t="s">
        <v>54</v>
      </c>
      <c r="F767" s="1">
        <v>63.21</v>
      </c>
      <c r="G767" t="s">
        <v>19</v>
      </c>
      <c r="H767" t="s">
        <v>37</v>
      </c>
      <c r="I767" s="2">
        <v>4</v>
      </c>
      <c r="J767" s="4">
        <v>10</v>
      </c>
      <c r="K767" s="3">
        <v>5</v>
      </c>
      <c r="L767" s="1">
        <f t="shared" si="33"/>
        <v>56.889000000000003</v>
      </c>
      <c r="M767" t="str" cm="1">
        <f t="array" ref="M767">_xlfn.IFS(B767&lt;18,"Under 18",B767 &lt;=25,"18-25",B767&lt;=35,"26-35",B767&lt;=45,"36-45",B767&lt;=60,"46-60",TRUE,"60+")</f>
        <v>18-25</v>
      </c>
      <c r="N767" t="str">
        <f t="shared" si="34"/>
        <v>Discounted</v>
      </c>
      <c r="O767" t="str">
        <f t="shared" si="35"/>
        <v>Returning</v>
      </c>
    </row>
    <row r="768" spans="1:15" x14ac:dyDescent="0.25">
      <c r="A768">
        <v>767</v>
      </c>
      <c r="B768">
        <v>62</v>
      </c>
      <c r="C768" t="s">
        <v>16</v>
      </c>
      <c r="D768" t="s">
        <v>22</v>
      </c>
      <c r="E768" t="s">
        <v>23</v>
      </c>
      <c r="F768" s="1">
        <v>98</v>
      </c>
      <c r="G768" t="s">
        <v>19</v>
      </c>
      <c r="H768" t="s">
        <v>37</v>
      </c>
      <c r="I768" s="2">
        <v>5</v>
      </c>
      <c r="J768" s="4">
        <v>28</v>
      </c>
      <c r="K768" s="3">
        <v>9</v>
      </c>
      <c r="L768" s="1">
        <f t="shared" si="33"/>
        <v>70.56</v>
      </c>
      <c r="M768" t="str" cm="1">
        <f t="array" ref="M768">_xlfn.IFS(B768&lt;18,"Under 18",B768 &lt;=25,"18-25",B768&lt;=35,"26-35",B768&lt;=45,"36-45",B768&lt;=60,"46-60",TRUE,"60+")</f>
        <v>60+</v>
      </c>
      <c r="N768" t="str">
        <f t="shared" si="34"/>
        <v>Discounted</v>
      </c>
      <c r="O768" t="str">
        <f t="shared" si="35"/>
        <v>Returning</v>
      </c>
    </row>
    <row r="769" spans="1:15" x14ac:dyDescent="0.25">
      <c r="A769">
        <v>768</v>
      </c>
      <c r="B769">
        <v>63</v>
      </c>
      <c r="C769" t="s">
        <v>16</v>
      </c>
      <c r="D769" t="s">
        <v>20</v>
      </c>
      <c r="E769" t="s">
        <v>36</v>
      </c>
      <c r="F769" s="1">
        <v>117.1</v>
      </c>
      <c r="G769" t="s">
        <v>14</v>
      </c>
      <c r="H769" t="s">
        <v>15</v>
      </c>
      <c r="I769" s="2">
        <v>3.6</v>
      </c>
      <c r="J769" s="4">
        <v>8</v>
      </c>
      <c r="K769" s="3">
        <v>4</v>
      </c>
      <c r="L769" s="1">
        <f t="shared" si="33"/>
        <v>107.732</v>
      </c>
      <c r="M769" t="str" cm="1">
        <f t="array" ref="M769">_xlfn.IFS(B769&lt;18,"Under 18",B769 &lt;=25,"18-25",B769&lt;=35,"26-35",B769&lt;=45,"36-45",B769&lt;=60,"46-60",TRUE,"60+")</f>
        <v>60+</v>
      </c>
      <c r="N769" t="str">
        <f t="shared" si="34"/>
        <v>Discounted</v>
      </c>
      <c r="O769" t="str">
        <f t="shared" si="35"/>
        <v>Returning</v>
      </c>
    </row>
    <row r="770" spans="1:15" x14ac:dyDescent="0.25">
      <c r="A770">
        <v>769</v>
      </c>
      <c r="B770">
        <v>60</v>
      </c>
      <c r="C770" t="s">
        <v>11</v>
      </c>
      <c r="D770" t="s">
        <v>20</v>
      </c>
      <c r="E770" t="s">
        <v>39</v>
      </c>
      <c r="F770" s="1">
        <v>248.11</v>
      </c>
      <c r="G770" t="s">
        <v>14</v>
      </c>
      <c r="H770" t="s">
        <v>15</v>
      </c>
      <c r="I770" s="2">
        <v>3.9</v>
      </c>
      <c r="J770" s="4">
        <v>20</v>
      </c>
      <c r="K770" s="3">
        <v>5</v>
      </c>
      <c r="L770" s="1">
        <f t="shared" si="33"/>
        <v>198.48800000000003</v>
      </c>
      <c r="M770" t="str" cm="1">
        <f t="array" ref="M770">_xlfn.IFS(B770&lt;18,"Under 18",B770 &lt;=25,"18-25",B770&lt;=35,"26-35",B770&lt;=45,"36-45",B770&lt;=60,"46-60",TRUE,"60+")</f>
        <v>46-60</v>
      </c>
      <c r="N770" t="str">
        <f t="shared" si="34"/>
        <v>Discounted</v>
      </c>
      <c r="O770" t="str">
        <f t="shared" si="35"/>
        <v>Returning</v>
      </c>
    </row>
    <row r="771" spans="1:15" x14ac:dyDescent="0.25">
      <c r="A771">
        <v>770</v>
      </c>
      <c r="B771">
        <v>26</v>
      </c>
      <c r="C771" t="s">
        <v>11</v>
      </c>
      <c r="D771" t="s">
        <v>41</v>
      </c>
      <c r="E771" t="s">
        <v>46</v>
      </c>
      <c r="F771" s="1">
        <v>43.35</v>
      </c>
      <c r="G771" t="s">
        <v>19</v>
      </c>
      <c r="H771" t="s">
        <v>15</v>
      </c>
      <c r="I771" s="2">
        <v>4.4000000000000004</v>
      </c>
      <c r="J771" s="4">
        <v>14</v>
      </c>
      <c r="K771" s="3">
        <v>7</v>
      </c>
      <c r="L771" s="1">
        <f t="shared" ref="L771:L834" si="36">F771 * (1 - J771 / 100)</f>
        <v>37.280999999999999</v>
      </c>
      <c r="M771" t="str" cm="1">
        <f t="array" ref="M771">_xlfn.IFS(B771&lt;18,"Under 18",B771 &lt;=25,"18-25",B771&lt;=35,"26-35",B771&lt;=45,"36-45",B771&lt;=60,"46-60",TRUE,"60+")</f>
        <v>26-35</v>
      </c>
      <c r="N771" t="str">
        <f t="shared" ref="N771:N834" si="37">IF(J771&gt;0,"Discounted","No Discount")</f>
        <v>Discounted</v>
      </c>
      <c r="O771" t="str">
        <f t="shared" ref="O771:O834" si="38">IF(K771&gt;0,"Returning","New")</f>
        <v>Returning</v>
      </c>
    </row>
    <row r="772" spans="1:15" x14ac:dyDescent="0.25">
      <c r="A772">
        <v>771</v>
      </c>
      <c r="B772">
        <v>56</v>
      </c>
      <c r="C772" t="s">
        <v>11</v>
      </c>
      <c r="D772" t="s">
        <v>25</v>
      </c>
      <c r="E772" t="s">
        <v>57</v>
      </c>
      <c r="F772" s="1">
        <v>62.63</v>
      </c>
      <c r="G772" t="s">
        <v>14</v>
      </c>
      <c r="H772" t="s">
        <v>15</v>
      </c>
      <c r="I772" s="2">
        <v>3.7</v>
      </c>
      <c r="J772" s="4">
        <v>18</v>
      </c>
      <c r="K772" s="3">
        <v>4</v>
      </c>
      <c r="L772" s="1">
        <f t="shared" si="36"/>
        <v>51.356600000000007</v>
      </c>
      <c r="M772" t="str" cm="1">
        <f t="array" ref="M772">_xlfn.IFS(B772&lt;18,"Under 18",B772 &lt;=25,"18-25",B772&lt;=35,"26-35",B772&lt;=45,"36-45",B772&lt;=60,"46-60",TRUE,"60+")</f>
        <v>46-60</v>
      </c>
      <c r="N772" t="str">
        <f t="shared" si="37"/>
        <v>Discounted</v>
      </c>
      <c r="O772" t="str">
        <f t="shared" si="38"/>
        <v>Returning</v>
      </c>
    </row>
    <row r="773" spans="1:15" x14ac:dyDescent="0.25">
      <c r="A773">
        <v>772</v>
      </c>
      <c r="B773">
        <v>21</v>
      </c>
      <c r="C773" t="s">
        <v>11</v>
      </c>
      <c r="D773" t="s">
        <v>41</v>
      </c>
      <c r="E773" t="s">
        <v>45</v>
      </c>
      <c r="F773" s="1">
        <v>92.13</v>
      </c>
      <c r="G773" t="s">
        <v>24</v>
      </c>
      <c r="H773" t="s">
        <v>37</v>
      </c>
      <c r="I773" s="2">
        <v>3.5</v>
      </c>
      <c r="J773" s="4">
        <v>20</v>
      </c>
      <c r="K773" s="3">
        <v>5</v>
      </c>
      <c r="L773" s="1">
        <f t="shared" si="36"/>
        <v>73.703999999999994</v>
      </c>
      <c r="M773" t="str" cm="1">
        <f t="array" ref="M773">_xlfn.IFS(B773&lt;18,"Under 18",B773 &lt;=25,"18-25",B773&lt;=35,"26-35",B773&lt;=45,"36-45",B773&lt;=60,"46-60",TRUE,"60+")</f>
        <v>18-25</v>
      </c>
      <c r="N773" t="str">
        <f t="shared" si="37"/>
        <v>Discounted</v>
      </c>
      <c r="O773" t="str">
        <f t="shared" si="38"/>
        <v>Returning</v>
      </c>
    </row>
    <row r="774" spans="1:15" x14ac:dyDescent="0.25">
      <c r="A774">
        <v>773</v>
      </c>
      <c r="B774">
        <v>31</v>
      </c>
      <c r="C774" t="s">
        <v>11</v>
      </c>
      <c r="D774" t="s">
        <v>12</v>
      </c>
      <c r="E774" t="s">
        <v>56</v>
      </c>
      <c r="F774" s="1">
        <v>136.74</v>
      </c>
      <c r="G774" t="s">
        <v>24</v>
      </c>
      <c r="H774" t="s">
        <v>15</v>
      </c>
      <c r="I774" s="2">
        <v>2.9</v>
      </c>
      <c r="J774" s="4">
        <v>8</v>
      </c>
      <c r="K774" s="3">
        <v>4</v>
      </c>
      <c r="L774" s="1">
        <f t="shared" si="36"/>
        <v>125.80080000000001</v>
      </c>
      <c r="M774" t="str" cm="1">
        <f t="array" ref="M774">_xlfn.IFS(B774&lt;18,"Under 18",B774 &lt;=25,"18-25",B774&lt;=35,"26-35",B774&lt;=45,"36-45",B774&lt;=60,"46-60",TRUE,"60+")</f>
        <v>26-35</v>
      </c>
      <c r="N774" t="str">
        <f t="shared" si="37"/>
        <v>Discounted</v>
      </c>
      <c r="O774" t="str">
        <f t="shared" si="38"/>
        <v>Returning</v>
      </c>
    </row>
    <row r="775" spans="1:15" x14ac:dyDescent="0.25">
      <c r="A775">
        <v>774</v>
      </c>
      <c r="B775">
        <v>51</v>
      </c>
      <c r="C775" t="s">
        <v>11</v>
      </c>
      <c r="D775" t="s">
        <v>29</v>
      </c>
      <c r="E775" t="s">
        <v>51</v>
      </c>
      <c r="F775" s="1">
        <v>101.97</v>
      </c>
      <c r="G775" t="s">
        <v>14</v>
      </c>
      <c r="H775" t="s">
        <v>15</v>
      </c>
      <c r="I775" s="2">
        <v>3.4</v>
      </c>
      <c r="J775" s="4">
        <v>9</v>
      </c>
      <c r="K775" s="3">
        <v>2</v>
      </c>
      <c r="L775" s="1">
        <f t="shared" si="36"/>
        <v>92.792699999999996</v>
      </c>
      <c r="M775" t="str" cm="1">
        <f t="array" ref="M775">_xlfn.IFS(B775&lt;18,"Under 18",B775 &lt;=25,"18-25",B775&lt;=35,"26-35",B775&lt;=45,"36-45",B775&lt;=60,"46-60",TRUE,"60+")</f>
        <v>46-60</v>
      </c>
      <c r="N775" t="str">
        <f t="shared" si="37"/>
        <v>Discounted</v>
      </c>
      <c r="O775" t="str">
        <f t="shared" si="38"/>
        <v>Returning</v>
      </c>
    </row>
    <row r="776" spans="1:15" x14ac:dyDescent="0.25">
      <c r="A776">
        <v>775</v>
      </c>
      <c r="B776">
        <v>38</v>
      </c>
      <c r="C776" t="s">
        <v>11</v>
      </c>
      <c r="D776" t="s">
        <v>41</v>
      </c>
      <c r="E776" t="s">
        <v>45</v>
      </c>
      <c r="F776" s="1">
        <v>50.83</v>
      </c>
      <c r="G776" t="s">
        <v>14</v>
      </c>
      <c r="H776" t="s">
        <v>15</v>
      </c>
      <c r="I776" s="2">
        <v>3.9</v>
      </c>
      <c r="J776" s="4">
        <v>7</v>
      </c>
      <c r="K776" s="3">
        <v>1</v>
      </c>
      <c r="L776" s="1">
        <f t="shared" si="36"/>
        <v>47.271899999999995</v>
      </c>
      <c r="M776" t="str" cm="1">
        <f t="array" ref="M776">_xlfn.IFS(B776&lt;18,"Under 18",B776 &lt;=25,"18-25",B776&lt;=35,"26-35",B776&lt;=45,"36-45",B776&lt;=60,"46-60",TRUE,"60+")</f>
        <v>36-45</v>
      </c>
      <c r="N776" t="str">
        <f t="shared" si="37"/>
        <v>Discounted</v>
      </c>
      <c r="O776" t="str">
        <f t="shared" si="38"/>
        <v>Returning</v>
      </c>
    </row>
    <row r="777" spans="1:15" x14ac:dyDescent="0.25">
      <c r="A777">
        <v>776</v>
      </c>
      <c r="B777">
        <v>52</v>
      </c>
      <c r="C777" t="s">
        <v>16</v>
      </c>
      <c r="D777" t="s">
        <v>33</v>
      </c>
      <c r="E777" t="s">
        <v>38</v>
      </c>
      <c r="F777" s="1">
        <v>161.58000000000001</v>
      </c>
      <c r="G777" t="s">
        <v>19</v>
      </c>
      <c r="H777" t="s">
        <v>15</v>
      </c>
      <c r="I777" s="2">
        <v>2.6</v>
      </c>
      <c r="J777" s="4">
        <v>22</v>
      </c>
      <c r="K777" s="3">
        <v>11</v>
      </c>
      <c r="L777" s="1">
        <f t="shared" si="36"/>
        <v>126.03240000000001</v>
      </c>
      <c r="M777" t="str" cm="1">
        <f t="array" ref="M777">_xlfn.IFS(B777&lt;18,"Under 18",B777 &lt;=25,"18-25",B777&lt;=35,"26-35",B777&lt;=45,"36-45",B777&lt;=60,"46-60",TRUE,"60+")</f>
        <v>46-60</v>
      </c>
      <c r="N777" t="str">
        <f t="shared" si="37"/>
        <v>Discounted</v>
      </c>
      <c r="O777" t="str">
        <f t="shared" si="38"/>
        <v>Returning</v>
      </c>
    </row>
    <row r="778" spans="1:15" x14ac:dyDescent="0.25">
      <c r="A778">
        <v>777</v>
      </c>
      <c r="B778">
        <v>36</v>
      </c>
      <c r="C778" t="s">
        <v>11</v>
      </c>
      <c r="D778" t="s">
        <v>25</v>
      </c>
      <c r="E778" t="s">
        <v>57</v>
      </c>
      <c r="F778" s="1">
        <v>11.85</v>
      </c>
      <c r="G778" t="s">
        <v>19</v>
      </c>
      <c r="H778" t="s">
        <v>37</v>
      </c>
      <c r="I778" s="2">
        <v>3.6</v>
      </c>
      <c r="J778" s="4">
        <v>19</v>
      </c>
      <c r="K778" s="3">
        <v>7</v>
      </c>
      <c r="L778" s="1">
        <f t="shared" si="36"/>
        <v>9.5984999999999996</v>
      </c>
      <c r="M778" t="str" cm="1">
        <f t="array" ref="M778">_xlfn.IFS(B778&lt;18,"Under 18",B778 &lt;=25,"18-25",B778&lt;=35,"26-35",B778&lt;=45,"36-45",B778&lt;=60,"46-60",TRUE,"60+")</f>
        <v>36-45</v>
      </c>
      <c r="N778" t="str">
        <f t="shared" si="37"/>
        <v>Discounted</v>
      </c>
      <c r="O778" t="str">
        <f t="shared" si="38"/>
        <v>Returning</v>
      </c>
    </row>
    <row r="779" spans="1:15" x14ac:dyDescent="0.25">
      <c r="A779">
        <v>778</v>
      </c>
      <c r="B779">
        <v>42</v>
      </c>
      <c r="C779" t="s">
        <v>16</v>
      </c>
      <c r="D779" t="s">
        <v>33</v>
      </c>
      <c r="E779" t="s">
        <v>40</v>
      </c>
      <c r="F779" s="1">
        <v>205.2</v>
      </c>
      <c r="G779" t="s">
        <v>24</v>
      </c>
      <c r="H779" t="s">
        <v>15</v>
      </c>
      <c r="I779" s="2">
        <v>2.9</v>
      </c>
      <c r="J779" s="4">
        <v>4</v>
      </c>
      <c r="K779" s="3">
        <v>2</v>
      </c>
      <c r="L779" s="1">
        <f t="shared" si="36"/>
        <v>196.99199999999999</v>
      </c>
      <c r="M779" t="str" cm="1">
        <f t="array" ref="M779">_xlfn.IFS(B779&lt;18,"Under 18",B779 &lt;=25,"18-25",B779&lt;=35,"26-35",B779&lt;=45,"36-45",B779&lt;=60,"46-60",TRUE,"60+")</f>
        <v>36-45</v>
      </c>
      <c r="N779" t="str">
        <f t="shared" si="37"/>
        <v>Discounted</v>
      </c>
      <c r="O779" t="str">
        <f t="shared" si="38"/>
        <v>Returning</v>
      </c>
    </row>
    <row r="780" spans="1:15" x14ac:dyDescent="0.25">
      <c r="A780">
        <v>779</v>
      </c>
      <c r="B780">
        <v>69</v>
      </c>
      <c r="C780" t="s">
        <v>16</v>
      </c>
      <c r="D780" t="s">
        <v>22</v>
      </c>
      <c r="E780" t="s">
        <v>43</v>
      </c>
      <c r="F780" s="1">
        <v>120.93</v>
      </c>
      <c r="G780" t="s">
        <v>31</v>
      </c>
      <c r="H780" t="s">
        <v>15</v>
      </c>
      <c r="I780" s="2">
        <v>4.5</v>
      </c>
      <c r="J780" s="4">
        <v>28</v>
      </c>
      <c r="K780" s="3">
        <v>9</v>
      </c>
      <c r="L780" s="1">
        <f t="shared" si="36"/>
        <v>87.069600000000008</v>
      </c>
      <c r="M780" t="str" cm="1">
        <f t="array" ref="M780">_xlfn.IFS(B780&lt;18,"Under 18",B780 &lt;=25,"18-25",B780&lt;=35,"26-35",B780&lt;=45,"36-45",B780&lt;=60,"46-60",TRUE,"60+")</f>
        <v>60+</v>
      </c>
      <c r="N780" t="str">
        <f t="shared" si="37"/>
        <v>Discounted</v>
      </c>
      <c r="O780" t="str">
        <f t="shared" si="38"/>
        <v>Returning</v>
      </c>
    </row>
    <row r="781" spans="1:15" x14ac:dyDescent="0.25">
      <c r="A781">
        <v>780</v>
      </c>
      <c r="B781">
        <v>67</v>
      </c>
      <c r="C781" t="s">
        <v>16</v>
      </c>
      <c r="D781" t="s">
        <v>17</v>
      </c>
      <c r="E781" t="s">
        <v>48</v>
      </c>
      <c r="F781" s="1">
        <v>35.68</v>
      </c>
      <c r="G781" t="s">
        <v>14</v>
      </c>
      <c r="H781" t="s">
        <v>37</v>
      </c>
      <c r="I781" s="2">
        <v>3.5</v>
      </c>
      <c r="J781" s="4">
        <v>10</v>
      </c>
      <c r="K781" s="3">
        <v>5</v>
      </c>
      <c r="L781" s="1">
        <f t="shared" si="36"/>
        <v>32.112000000000002</v>
      </c>
      <c r="M781" t="str" cm="1">
        <f t="array" ref="M781">_xlfn.IFS(B781&lt;18,"Under 18",B781 &lt;=25,"18-25",B781&lt;=35,"26-35",B781&lt;=45,"36-45",B781&lt;=60,"46-60",TRUE,"60+")</f>
        <v>60+</v>
      </c>
      <c r="N781" t="str">
        <f t="shared" si="37"/>
        <v>Discounted</v>
      </c>
      <c r="O781" t="str">
        <f t="shared" si="38"/>
        <v>Returning</v>
      </c>
    </row>
    <row r="782" spans="1:15" x14ac:dyDescent="0.25">
      <c r="A782">
        <v>781</v>
      </c>
      <c r="B782">
        <v>69</v>
      </c>
      <c r="C782" t="s">
        <v>16</v>
      </c>
      <c r="D782" t="s">
        <v>20</v>
      </c>
      <c r="E782" t="s">
        <v>39</v>
      </c>
      <c r="F782" s="1">
        <v>109.07</v>
      </c>
      <c r="G782" t="s">
        <v>24</v>
      </c>
      <c r="H782" t="s">
        <v>15</v>
      </c>
      <c r="I782" s="2">
        <v>3.3</v>
      </c>
      <c r="J782" s="4">
        <v>10</v>
      </c>
      <c r="K782" s="3">
        <v>5</v>
      </c>
      <c r="L782" s="1">
        <f t="shared" si="36"/>
        <v>98.162999999999997</v>
      </c>
      <c r="M782" t="str" cm="1">
        <f t="array" ref="M782">_xlfn.IFS(B782&lt;18,"Under 18",B782 &lt;=25,"18-25",B782&lt;=35,"26-35",B782&lt;=45,"36-45",B782&lt;=60,"46-60",TRUE,"60+")</f>
        <v>60+</v>
      </c>
      <c r="N782" t="str">
        <f t="shared" si="37"/>
        <v>Discounted</v>
      </c>
      <c r="O782" t="str">
        <f t="shared" si="38"/>
        <v>Returning</v>
      </c>
    </row>
    <row r="783" spans="1:15" x14ac:dyDescent="0.25">
      <c r="A783">
        <v>782</v>
      </c>
      <c r="B783">
        <v>30</v>
      </c>
      <c r="C783" t="s">
        <v>11</v>
      </c>
      <c r="D783" t="s">
        <v>33</v>
      </c>
      <c r="E783" t="s">
        <v>34</v>
      </c>
      <c r="F783" s="1">
        <v>109.86</v>
      </c>
      <c r="G783" t="s">
        <v>24</v>
      </c>
      <c r="H783" t="s">
        <v>15</v>
      </c>
      <c r="I783" s="2">
        <v>3.6</v>
      </c>
      <c r="J783" s="4">
        <v>9</v>
      </c>
      <c r="K783" s="3">
        <v>2</v>
      </c>
      <c r="L783" s="1">
        <f t="shared" si="36"/>
        <v>99.9726</v>
      </c>
      <c r="M783" t="str" cm="1">
        <f t="array" ref="M783">_xlfn.IFS(B783&lt;18,"Under 18",B783 &lt;=25,"18-25",B783&lt;=35,"26-35",B783&lt;=45,"36-45",B783&lt;=60,"46-60",TRUE,"60+")</f>
        <v>26-35</v>
      </c>
      <c r="N783" t="str">
        <f t="shared" si="37"/>
        <v>Discounted</v>
      </c>
      <c r="O783" t="str">
        <f t="shared" si="38"/>
        <v>Returning</v>
      </c>
    </row>
    <row r="784" spans="1:15" x14ac:dyDescent="0.25">
      <c r="A784">
        <v>783</v>
      </c>
      <c r="B784">
        <v>40</v>
      </c>
      <c r="C784" t="s">
        <v>11</v>
      </c>
      <c r="D784" t="s">
        <v>41</v>
      </c>
      <c r="E784" t="s">
        <v>44</v>
      </c>
      <c r="F784" s="1">
        <v>34.85</v>
      </c>
      <c r="G784" t="s">
        <v>31</v>
      </c>
      <c r="H784" t="s">
        <v>37</v>
      </c>
      <c r="I784" s="2">
        <v>3</v>
      </c>
      <c r="J784" s="4">
        <v>14</v>
      </c>
      <c r="K784" s="3">
        <v>2</v>
      </c>
      <c r="L784" s="1">
        <f t="shared" si="36"/>
        <v>29.971</v>
      </c>
      <c r="M784" t="str" cm="1">
        <f t="array" ref="M784">_xlfn.IFS(B784&lt;18,"Under 18",B784 &lt;=25,"18-25",B784&lt;=35,"26-35",B784&lt;=45,"36-45",B784&lt;=60,"46-60",TRUE,"60+")</f>
        <v>36-45</v>
      </c>
      <c r="N784" t="str">
        <f t="shared" si="37"/>
        <v>Discounted</v>
      </c>
      <c r="O784" t="str">
        <f t="shared" si="38"/>
        <v>Returning</v>
      </c>
    </row>
    <row r="785" spans="1:15" x14ac:dyDescent="0.25">
      <c r="A785">
        <v>784</v>
      </c>
      <c r="B785">
        <v>41</v>
      </c>
      <c r="C785" t="s">
        <v>11</v>
      </c>
      <c r="D785" t="s">
        <v>25</v>
      </c>
      <c r="E785" t="s">
        <v>26</v>
      </c>
      <c r="F785" s="1">
        <v>70.84</v>
      </c>
      <c r="G785" t="s">
        <v>14</v>
      </c>
      <c r="H785" t="s">
        <v>15</v>
      </c>
      <c r="I785" s="2">
        <v>4.4000000000000004</v>
      </c>
      <c r="J785" s="4">
        <v>12</v>
      </c>
      <c r="K785" s="3">
        <v>6</v>
      </c>
      <c r="L785" s="1">
        <f t="shared" si="36"/>
        <v>62.339200000000005</v>
      </c>
      <c r="M785" t="str" cm="1">
        <f t="array" ref="M785">_xlfn.IFS(B785&lt;18,"Under 18",B785 &lt;=25,"18-25",B785&lt;=35,"26-35",B785&lt;=45,"36-45",B785&lt;=60,"46-60",TRUE,"60+")</f>
        <v>36-45</v>
      </c>
      <c r="N785" t="str">
        <f t="shared" si="37"/>
        <v>Discounted</v>
      </c>
      <c r="O785" t="str">
        <f t="shared" si="38"/>
        <v>Returning</v>
      </c>
    </row>
    <row r="786" spans="1:15" x14ac:dyDescent="0.25">
      <c r="A786">
        <v>785</v>
      </c>
      <c r="B786">
        <v>20</v>
      </c>
      <c r="C786" t="s">
        <v>16</v>
      </c>
      <c r="D786" t="s">
        <v>33</v>
      </c>
      <c r="E786" t="s">
        <v>38</v>
      </c>
      <c r="F786" s="1">
        <v>170.06</v>
      </c>
      <c r="G786" t="s">
        <v>24</v>
      </c>
      <c r="H786" t="s">
        <v>15</v>
      </c>
      <c r="I786" s="2">
        <v>4.4000000000000004</v>
      </c>
      <c r="J786" s="4">
        <v>12</v>
      </c>
      <c r="K786" s="3">
        <v>1</v>
      </c>
      <c r="L786" s="1">
        <f t="shared" si="36"/>
        <v>149.65280000000001</v>
      </c>
      <c r="M786" t="str" cm="1">
        <f t="array" ref="M786">_xlfn.IFS(B786&lt;18,"Under 18",B786 &lt;=25,"18-25",B786&lt;=35,"26-35",B786&lt;=45,"36-45",B786&lt;=60,"46-60",TRUE,"60+")</f>
        <v>18-25</v>
      </c>
      <c r="N786" t="str">
        <f t="shared" si="37"/>
        <v>Discounted</v>
      </c>
      <c r="O786" t="str">
        <f t="shared" si="38"/>
        <v>Returning</v>
      </c>
    </row>
    <row r="787" spans="1:15" x14ac:dyDescent="0.25">
      <c r="A787">
        <v>786</v>
      </c>
      <c r="B787">
        <v>39</v>
      </c>
      <c r="C787" t="s">
        <v>11</v>
      </c>
      <c r="D787" t="s">
        <v>22</v>
      </c>
      <c r="E787" t="s">
        <v>43</v>
      </c>
      <c r="F787" s="1">
        <v>80.69</v>
      </c>
      <c r="G787" t="s">
        <v>19</v>
      </c>
      <c r="H787" t="s">
        <v>37</v>
      </c>
      <c r="I787" s="2">
        <v>3.8</v>
      </c>
      <c r="J787" s="4">
        <v>16</v>
      </c>
      <c r="K787" s="3">
        <v>8</v>
      </c>
      <c r="L787" s="1">
        <f t="shared" si="36"/>
        <v>67.779600000000002</v>
      </c>
      <c r="M787" t="str" cm="1">
        <f t="array" ref="M787">_xlfn.IFS(B787&lt;18,"Under 18",B787 &lt;=25,"18-25",B787&lt;=35,"26-35",B787&lt;=45,"36-45",B787&lt;=60,"46-60",TRUE,"60+")</f>
        <v>36-45</v>
      </c>
      <c r="N787" t="str">
        <f t="shared" si="37"/>
        <v>Discounted</v>
      </c>
      <c r="O787" t="str">
        <f t="shared" si="38"/>
        <v>Returning</v>
      </c>
    </row>
    <row r="788" spans="1:15" x14ac:dyDescent="0.25">
      <c r="A788">
        <v>787</v>
      </c>
      <c r="B788">
        <v>54</v>
      </c>
      <c r="C788" t="s">
        <v>16</v>
      </c>
      <c r="D788" t="s">
        <v>27</v>
      </c>
      <c r="E788" t="s">
        <v>49</v>
      </c>
      <c r="F788" s="1">
        <v>980.43</v>
      </c>
      <c r="G788" t="s">
        <v>31</v>
      </c>
      <c r="H788" t="s">
        <v>15</v>
      </c>
      <c r="I788" s="2">
        <v>3.6</v>
      </c>
      <c r="J788" s="4">
        <v>14</v>
      </c>
      <c r="K788" s="3">
        <v>2</v>
      </c>
      <c r="L788" s="1">
        <f t="shared" si="36"/>
        <v>843.1697999999999</v>
      </c>
      <c r="M788" t="str" cm="1">
        <f t="array" ref="M788">_xlfn.IFS(B788&lt;18,"Under 18",B788 &lt;=25,"18-25",B788&lt;=35,"26-35",B788&lt;=45,"36-45",B788&lt;=60,"46-60",TRUE,"60+")</f>
        <v>46-60</v>
      </c>
      <c r="N788" t="str">
        <f t="shared" si="37"/>
        <v>Discounted</v>
      </c>
      <c r="O788" t="str">
        <f t="shared" si="38"/>
        <v>Returning</v>
      </c>
    </row>
    <row r="789" spans="1:15" x14ac:dyDescent="0.25">
      <c r="A789">
        <v>788</v>
      </c>
      <c r="B789">
        <v>66</v>
      </c>
      <c r="C789" t="s">
        <v>16</v>
      </c>
      <c r="D789" t="s">
        <v>20</v>
      </c>
      <c r="E789" t="s">
        <v>21</v>
      </c>
      <c r="F789" s="1">
        <v>103.3</v>
      </c>
      <c r="G789" t="s">
        <v>19</v>
      </c>
      <c r="H789" t="s">
        <v>15</v>
      </c>
      <c r="I789" s="2">
        <v>2.6</v>
      </c>
      <c r="J789" s="4">
        <v>6</v>
      </c>
      <c r="K789" s="3">
        <v>3</v>
      </c>
      <c r="L789" s="1">
        <f t="shared" si="36"/>
        <v>97.10199999999999</v>
      </c>
      <c r="M789" t="str" cm="1">
        <f t="array" ref="M789">_xlfn.IFS(B789&lt;18,"Under 18",B789 &lt;=25,"18-25",B789&lt;=35,"26-35",B789&lt;=45,"36-45",B789&lt;=60,"46-60",TRUE,"60+")</f>
        <v>60+</v>
      </c>
      <c r="N789" t="str">
        <f t="shared" si="37"/>
        <v>Discounted</v>
      </c>
      <c r="O789" t="str">
        <f t="shared" si="38"/>
        <v>Returning</v>
      </c>
    </row>
    <row r="790" spans="1:15" x14ac:dyDescent="0.25">
      <c r="A790">
        <v>789</v>
      </c>
      <c r="B790">
        <v>39</v>
      </c>
      <c r="C790" t="s">
        <v>16</v>
      </c>
      <c r="D790" t="s">
        <v>20</v>
      </c>
      <c r="E790" t="s">
        <v>21</v>
      </c>
      <c r="F790" s="1">
        <v>245.18</v>
      </c>
      <c r="G790" t="s">
        <v>24</v>
      </c>
      <c r="H790" t="s">
        <v>15</v>
      </c>
      <c r="I790" s="2">
        <v>4</v>
      </c>
      <c r="J790" s="4">
        <v>20</v>
      </c>
      <c r="K790" s="3">
        <v>5</v>
      </c>
      <c r="L790" s="1">
        <f t="shared" si="36"/>
        <v>196.14400000000001</v>
      </c>
      <c r="M790" t="str" cm="1">
        <f t="array" ref="M790">_xlfn.IFS(B790&lt;18,"Under 18",B790 &lt;=25,"18-25",B790&lt;=35,"26-35",B790&lt;=45,"36-45",B790&lt;=60,"46-60",TRUE,"60+")</f>
        <v>36-45</v>
      </c>
      <c r="N790" t="str">
        <f t="shared" si="37"/>
        <v>Discounted</v>
      </c>
      <c r="O790" t="str">
        <f t="shared" si="38"/>
        <v>Returning</v>
      </c>
    </row>
    <row r="791" spans="1:15" x14ac:dyDescent="0.25">
      <c r="A791">
        <v>790</v>
      </c>
      <c r="B791">
        <v>39</v>
      </c>
      <c r="C791" t="s">
        <v>11</v>
      </c>
      <c r="D791" t="s">
        <v>12</v>
      </c>
      <c r="E791" t="s">
        <v>13</v>
      </c>
      <c r="F791" s="1">
        <v>128.03</v>
      </c>
      <c r="G791" t="s">
        <v>19</v>
      </c>
      <c r="H791" t="s">
        <v>15</v>
      </c>
      <c r="I791" s="2">
        <v>3.7</v>
      </c>
      <c r="J791" s="4">
        <v>8</v>
      </c>
      <c r="K791" s="3">
        <v>4</v>
      </c>
      <c r="L791" s="1">
        <f t="shared" si="36"/>
        <v>117.78760000000001</v>
      </c>
      <c r="M791" t="str" cm="1">
        <f t="array" ref="M791">_xlfn.IFS(B791&lt;18,"Under 18",B791 &lt;=25,"18-25",B791&lt;=35,"26-35",B791&lt;=45,"36-45",B791&lt;=60,"46-60",TRUE,"60+")</f>
        <v>36-45</v>
      </c>
      <c r="N791" t="str">
        <f t="shared" si="37"/>
        <v>Discounted</v>
      </c>
      <c r="O791" t="str">
        <f t="shared" si="38"/>
        <v>Returning</v>
      </c>
    </row>
    <row r="792" spans="1:15" x14ac:dyDescent="0.25">
      <c r="A792">
        <v>791</v>
      </c>
      <c r="B792">
        <v>21</v>
      </c>
      <c r="C792" t="s">
        <v>16</v>
      </c>
      <c r="D792" t="s">
        <v>20</v>
      </c>
      <c r="E792" t="s">
        <v>36</v>
      </c>
      <c r="F792" s="1">
        <v>231.08</v>
      </c>
      <c r="G792" t="s">
        <v>19</v>
      </c>
      <c r="H792" t="s">
        <v>15</v>
      </c>
      <c r="I792" s="2">
        <v>4.7</v>
      </c>
      <c r="J792" s="4">
        <v>18</v>
      </c>
      <c r="K792" s="3">
        <v>4</v>
      </c>
      <c r="L792" s="1">
        <f t="shared" si="36"/>
        <v>189.48560000000003</v>
      </c>
      <c r="M792" t="str" cm="1">
        <f t="array" ref="M792">_xlfn.IFS(B792&lt;18,"Under 18",B792 &lt;=25,"18-25",B792&lt;=35,"26-35",B792&lt;=45,"36-45",B792&lt;=60,"46-60",TRUE,"60+")</f>
        <v>18-25</v>
      </c>
      <c r="N792" t="str">
        <f t="shared" si="37"/>
        <v>Discounted</v>
      </c>
      <c r="O792" t="str">
        <f t="shared" si="38"/>
        <v>Returning</v>
      </c>
    </row>
    <row r="793" spans="1:15" x14ac:dyDescent="0.25">
      <c r="A793">
        <v>792</v>
      </c>
      <c r="B793">
        <v>60</v>
      </c>
      <c r="C793" t="s">
        <v>11</v>
      </c>
      <c r="D793" t="s">
        <v>41</v>
      </c>
      <c r="E793" t="s">
        <v>42</v>
      </c>
      <c r="F793" s="1">
        <v>48.29</v>
      </c>
      <c r="G793" t="s">
        <v>24</v>
      </c>
      <c r="H793" t="s">
        <v>37</v>
      </c>
      <c r="I793" s="2">
        <v>3.9</v>
      </c>
      <c r="J793" s="4">
        <v>22</v>
      </c>
      <c r="K793" s="3">
        <v>6</v>
      </c>
      <c r="L793" s="1">
        <f t="shared" si="36"/>
        <v>37.666200000000003</v>
      </c>
      <c r="M793" t="str" cm="1">
        <f t="array" ref="M793">_xlfn.IFS(B793&lt;18,"Under 18",B793 &lt;=25,"18-25",B793&lt;=35,"26-35",B793&lt;=45,"36-45",B793&lt;=60,"46-60",TRUE,"60+")</f>
        <v>46-60</v>
      </c>
      <c r="N793" t="str">
        <f t="shared" si="37"/>
        <v>Discounted</v>
      </c>
      <c r="O793" t="str">
        <f t="shared" si="38"/>
        <v>Returning</v>
      </c>
    </row>
    <row r="794" spans="1:15" x14ac:dyDescent="0.25">
      <c r="A794">
        <v>793</v>
      </c>
      <c r="B794">
        <v>27</v>
      </c>
      <c r="C794" t="s">
        <v>16</v>
      </c>
      <c r="D794" t="s">
        <v>27</v>
      </c>
      <c r="E794" t="s">
        <v>49</v>
      </c>
      <c r="F794" s="1">
        <v>677.89</v>
      </c>
      <c r="G794" t="s">
        <v>31</v>
      </c>
      <c r="H794" t="s">
        <v>15</v>
      </c>
      <c r="I794" s="2">
        <v>3.3</v>
      </c>
      <c r="J794" s="4">
        <v>16</v>
      </c>
      <c r="K794" s="3">
        <v>8</v>
      </c>
      <c r="L794" s="1">
        <f t="shared" si="36"/>
        <v>569.42759999999998</v>
      </c>
      <c r="M794" t="str" cm="1">
        <f t="array" ref="M794">_xlfn.IFS(B794&lt;18,"Under 18",B794 &lt;=25,"18-25",B794&lt;=35,"26-35",B794&lt;=45,"36-45",B794&lt;=60,"46-60",TRUE,"60+")</f>
        <v>26-35</v>
      </c>
      <c r="N794" t="str">
        <f t="shared" si="37"/>
        <v>Discounted</v>
      </c>
      <c r="O794" t="str">
        <f t="shared" si="38"/>
        <v>Returning</v>
      </c>
    </row>
    <row r="795" spans="1:15" x14ac:dyDescent="0.25">
      <c r="A795">
        <v>794</v>
      </c>
      <c r="B795">
        <v>36</v>
      </c>
      <c r="C795" t="s">
        <v>16</v>
      </c>
      <c r="D795" t="s">
        <v>20</v>
      </c>
      <c r="E795" t="s">
        <v>21</v>
      </c>
      <c r="F795" s="1">
        <v>163.62</v>
      </c>
      <c r="G795" t="s">
        <v>24</v>
      </c>
      <c r="H795" t="s">
        <v>15</v>
      </c>
      <c r="I795" s="2">
        <v>2.9</v>
      </c>
      <c r="J795" s="4">
        <v>15</v>
      </c>
      <c r="K795" s="3">
        <v>5</v>
      </c>
      <c r="L795" s="1">
        <f t="shared" si="36"/>
        <v>139.077</v>
      </c>
      <c r="M795" t="str" cm="1">
        <f t="array" ref="M795">_xlfn.IFS(B795&lt;18,"Under 18",B795 &lt;=25,"18-25",B795&lt;=35,"26-35",B795&lt;=45,"36-45",B795&lt;=60,"46-60",TRUE,"60+")</f>
        <v>36-45</v>
      </c>
      <c r="N795" t="str">
        <f t="shared" si="37"/>
        <v>Discounted</v>
      </c>
      <c r="O795" t="str">
        <f t="shared" si="38"/>
        <v>Returning</v>
      </c>
    </row>
    <row r="796" spans="1:15" x14ac:dyDescent="0.25">
      <c r="A796">
        <v>795</v>
      </c>
      <c r="B796">
        <v>21</v>
      </c>
      <c r="C796" t="s">
        <v>11</v>
      </c>
      <c r="D796" t="s">
        <v>25</v>
      </c>
      <c r="E796" t="s">
        <v>47</v>
      </c>
      <c r="F796" s="1">
        <v>23.18</v>
      </c>
      <c r="G796" t="s">
        <v>19</v>
      </c>
      <c r="H796" t="s">
        <v>15</v>
      </c>
      <c r="I796" s="2">
        <v>4.4000000000000004</v>
      </c>
      <c r="J796" s="4">
        <v>11</v>
      </c>
      <c r="K796" s="3">
        <v>3</v>
      </c>
      <c r="L796" s="1">
        <f t="shared" si="36"/>
        <v>20.630199999999999</v>
      </c>
      <c r="M796" t="str" cm="1">
        <f t="array" ref="M796">_xlfn.IFS(B796&lt;18,"Under 18",B796 &lt;=25,"18-25",B796&lt;=35,"26-35",B796&lt;=45,"36-45",B796&lt;=60,"46-60",TRUE,"60+")</f>
        <v>18-25</v>
      </c>
      <c r="N796" t="str">
        <f t="shared" si="37"/>
        <v>Discounted</v>
      </c>
      <c r="O796" t="str">
        <f t="shared" si="38"/>
        <v>Returning</v>
      </c>
    </row>
    <row r="797" spans="1:15" x14ac:dyDescent="0.25">
      <c r="A797">
        <v>796</v>
      </c>
      <c r="B797">
        <v>63</v>
      </c>
      <c r="C797" t="s">
        <v>16</v>
      </c>
      <c r="D797" t="s">
        <v>20</v>
      </c>
      <c r="E797" t="s">
        <v>39</v>
      </c>
      <c r="F797" s="1">
        <v>136.33000000000001</v>
      </c>
      <c r="G797" t="s">
        <v>14</v>
      </c>
      <c r="H797" t="s">
        <v>15</v>
      </c>
      <c r="I797" s="2">
        <v>4.5999999999999996</v>
      </c>
      <c r="J797" s="4">
        <v>15</v>
      </c>
      <c r="K797" s="3">
        <v>5</v>
      </c>
      <c r="L797" s="1">
        <f t="shared" si="36"/>
        <v>115.88050000000001</v>
      </c>
      <c r="M797" t="str" cm="1">
        <f t="array" ref="M797">_xlfn.IFS(B797&lt;18,"Under 18",B797 &lt;=25,"18-25",B797&lt;=35,"26-35",B797&lt;=45,"36-45",B797&lt;=60,"46-60",TRUE,"60+")</f>
        <v>60+</v>
      </c>
      <c r="N797" t="str">
        <f t="shared" si="37"/>
        <v>Discounted</v>
      </c>
      <c r="O797" t="str">
        <f t="shared" si="38"/>
        <v>Returning</v>
      </c>
    </row>
    <row r="798" spans="1:15" x14ac:dyDescent="0.25">
      <c r="A798">
        <v>797</v>
      </c>
      <c r="B798">
        <v>67</v>
      </c>
      <c r="C798" t="s">
        <v>16</v>
      </c>
      <c r="D798" t="s">
        <v>27</v>
      </c>
      <c r="E798" t="s">
        <v>49</v>
      </c>
      <c r="F798" s="1">
        <v>2406.63</v>
      </c>
      <c r="G798" t="s">
        <v>24</v>
      </c>
      <c r="H798" t="s">
        <v>15</v>
      </c>
      <c r="I798" s="2">
        <v>3.2</v>
      </c>
      <c r="J798" s="4">
        <v>16</v>
      </c>
      <c r="K798" s="3">
        <v>3</v>
      </c>
      <c r="L798" s="1">
        <f t="shared" si="36"/>
        <v>2021.5691999999999</v>
      </c>
      <c r="M798" t="str" cm="1">
        <f t="array" ref="M798">_xlfn.IFS(B798&lt;18,"Under 18",B798 &lt;=25,"18-25",B798&lt;=35,"26-35",B798&lt;=45,"36-45",B798&lt;=60,"46-60",TRUE,"60+")</f>
        <v>60+</v>
      </c>
      <c r="N798" t="str">
        <f t="shared" si="37"/>
        <v>Discounted</v>
      </c>
      <c r="O798" t="str">
        <f t="shared" si="38"/>
        <v>Returning</v>
      </c>
    </row>
    <row r="799" spans="1:15" x14ac:dyDescent="0.25">
      <c r="A799">
        <v>798</v>
      </c>
      <c r="B799">
        <v>27</v>
      </c>
      <c r="C799" t="s">
        <v>16</v>
      </c>
      <c r="D799" t="s">
        <v>33</v>
      </c>
      <c r="E799" t="s">
        <v>40</v>
      </c>
      <c r="F799" s="1">
        <v>172.16</v>
      </c>
      <c r="G799" t="s">
        <v>24</v>
      </c>
      <c r="H799" t="s">
        <v>15</v>
      </c>
      <c r="I799" s="2">
        <v>3.4</v>
      </c>
      <c r="J799" s="4">
        <v>14</v>
      </c>
      <c r="K799" s="3">
        <v>7</v>
      </c>
      <c r="L799" s="1">
        <f t="shared" si="36"/>
        <v>148.05760000000001</v>
      </c>
      <c r="M799" t="str" cm="1">
        <f t="array" ref="M799">_xlfn.IFS(B799&lt;18,"Under 18",B799 &lt;=25,"18-25",B799&lt;=35,"26-35",B799&lt;=45,"36-45",B799&lt;=60,"46-60",TRUE,"60+")</f>
        <v>26-35</v>
      </c>
      <c r="N799" t="str">
        <f t="shared" si="37"/>
        <v>Discounted</v>
      </c>
      <c r="O799" t="str">
        <f t="shared" si="38"/>
        <v>Returning</v>
      </c>
    </row>
    <row r="800" spans="1:15" x14ac:dyDescent="0.25">
      <c r="A800">
        <v>799</v>
      </c>
      <c r="B800">
        <v>69</v>
      </c>
      <c r="C800" t="s">
        <v>16</v>
      </c>
      <c r="D800" t="s">
        <v>33</v>
      </c>
      <c r="E800" t="s">
        <v>40</v>
      </c>
      <c r="F800" s="1">
        <v>242.66</v>
      </c>
      <c r="G800" t="s">
        <v>19</v>
      </c>
      <c r="H800" t="s">
        <v>15</v>
      </c>
      <c r="I800" s="2">
        <v>5</v>
      </c>
      <c r="J800" s="4">
        <v>2</v>
      </c>
      <c r="K800" s="3">
        <v>1</v>
      </c>
      <c r="L800" s="1">
        <f t="shared" si="36"/>
        <v>237.80679999999998</v>
      </c>
      <c r="M800" t="str" cm="1">
        <f t="array" ref="M800">_xlfn.IFS(B800&lt;18,"Under 18",B800 &lt;=25,"18-25",B800&lt;=35,"26-35",B800&lt;=45,"36-45",B800&lt;=60,"46-60",TRUE,"60+")</f>
        <v>60+</v>
      </c>
      <c r="N800" t="str">
        <f t="shared" si="37"/>
        <v>Discounted</v>
      </c>
      <c r="O800" t="str">
        <f t="shared" si="38"/>
        <v>Returning</v>
      </c>
    </row>
    <row r="801" spans="1:15" x14ac:dyDescent="0.25">
      <c r="A801">
        <v>800</v>
      </c>
      <c r="B801">
        <v>64</v>
      </c>
      <c r="C801" t="s">
        <v>16</v>
      </c>
      <c r="D801" t="s">
        <v>20</v>
      </c>
      <c r="E801" t="s">
        <v>21</v>
      </c>
      <c r="F801" s="1">
        <v>99.39</v>
      </c>
      <c r="G801" t="s">
        <v>14</v>
      </c>
      <c r="H801" t="s">
        <v>15</v>
      </c>
      <c r="I801" s="2">
        <v>3.6</v>
      </c>
      <c r="J801" s="4">
        <v>16</v>
      </c>
      <c r="K801" s="3">
        <v>8</v>
      </c>
      <c r="L801" s="1">
        <f t="shared" si="36"/>
        <v>83.4876</v>
      </c>
      <c r="M801" t="str" cm="1">
        <f t="array" ref="M801">_xlfn.IFS(B801&lt;18,"Under 18",B801 &lt;=25,"18-25",B801&lt;=35,"26-35",B801&lt;=45,"36-45",B801&lt;=60,"46-60",TRUE,"60+")</f>
        <v>60+</v>
      </c>
      <c r="N801" t="str">
        <f t="shared" si="37"/>
        <v>Discounted</v>
      </c>
      <c r="O801" t="str">
        <f t="shared" si="38"/>
        <v>Returning</v>
      </c>
    </row>
    <row r="802" spans="1:15" x14ac:dyDescent="0.25">
      <c r="A802">
        <v>801</v>
      </c>
      <c r="B802">
        <v>62</v>
      </c>
      <c r="C802" t="s">
        <v>11</v>
      </c>
      <c r="D802" t="s">
        <v>29</v>
      </c>
      <c r="E802" t="s">
        <v>30</v>
      </c>
      <c r="F802" s="1">
        <v>36.869999999999997</v>
      </c>
      <c r="G802" t="s">
        <v>24</v>
      </c>
      <c r="H802" t="s">
        <v>15</v>
      </c>
      <c r="I802" s="2">
        <v>4.7</v>
      </c>
      <c r="J802" s="4">
        <v>23</v>
      </c>
      <c r="K802" s="3">
        <v>9</v>
      </c>
      <c r="L802" s="1">
        <f t="shared" si="36"/>
        <v>28.389899999999997</v>
      </c>
      <c r="M802" t="str" cm="1">
        <f t="array" ref="M802">_xlfn.IFS(B802&lt;18,"Under 18",B802 &lt;=25,"18-25",B802&lt;=35,"26-35",B802&lt;=45,"36-45",B802&lt;=60,"46-60",TRUE,"60+")</f>
        <v>60+</v>
      </c>
      <c r="N802" t="str">
        <f t="shared" si="37"/>
        <v>Discounted</v>
      </c>
      <c r="O802" t="str">
        <f t="shared" si="38"/>
        <v>Returning</v>
      </c>
    </row>
    <row r="803" spans="1:15" x14ac:dyDescent="0.25">
      <c r="A803">
        <v>802</v>
      </c>
      <c r="B803">
        <v>55</v>
      </c>
      <c r="C803" t="s">
        <v>16</v>
      </c>
      <c r="D803" t="s">
        <v>27</v>
      </c>
      <c r="E803" t="s">
        <v>49</v>
      </c>
      <c r="F803" s="1">
        <v>2855.84</v>
      </c>
      <c r="G803" t="s">
        <v>14</v>
      </c>
      <c r="H803" t="s">
        <v>15</v>
      </c>
      <c r="I803" s="2">
        <v>3.7</v>
      </c>
      <c r="J803" s="4">
        <v>11</v>
      </c>
      <c r="K803" s="3">
        <v>3</v>
      </c>
      <c r="L803" s="1">
        <f t="shared" si="36"/>
        <v>2541.6976</v>
      </c>
      <c r="M803" t="str" cm="1">
        <f t="array" ref="M803">_xlfn.IFS(B803&lt;18,"Under 18",B803 &lt;=25,"18-25",B803&lt;=35,"26-35",B803&lt;=45,"36-45",B803&lt;=60,"46-60",TRUE,"60+")</f>
        <v>46-60</v>
      </c>
      <c r="N803" t="str">
        <f t="shared" si="37"/>
        <v>Discounted</v>
      </c>
      <c r="O803" t="str">
        <f t="shared" si="38"/>
        <v>Returning</v>
      </c>
    </row>
    <row r="804" spans="1:15" x14ac:dyDescent="0.25">
      <c r="A804">
        <v>803</v>
      </c>
      <c r="B804">
        <v>49</v>
      </c>
      <c r="C804" t="s">
        <v>11</v>
      </c>
      <c r="D804" t="s">
        <v>12</v>
      </c>
      <c r="E804" t="s">
        <v>13</v>
      </c>
      <c r="F804" s="1">
        <v>135.05000000000001</v>
      </c>
      <c r="G804" t="s">
        <v>19</v>
      </c>
      <c r="H804" t="s">
        <v>15</v>
      </c>
      <c r="I804" s="2">
        <v>2.9</v>
      </c>
      <c r="J804" s="4">
        <v>6</v>
      </c>
      <c r="K804" s="3">
        <v>3</v>
      </c>
      <c r="L804" s="1">
        <f t="shared" si="36"/>
        <v>126.947</v>
      </c>
      <c r="M804" t="str" cm="1">
        <f t="array" ref="M804">_xlfn.IFS(B804&lt;18,"Under 18",B804 &lt;=25,"18-25",B804&lt;=35,"26-35",B804&lt;=45,"36-45",B804&lt;=60,"46-60",TRUE,"60+")</f>
        <v>46-60</v>
      </c>
      <c r="N804" t="str">
        <f t="shared" si="37"/>
        <v>Discounted</v>
      </c>
      <c r="O804" t="str">
        <f t="shared" si="38"/>
        <v>Returning</v>
      </c>
    </row>
    <row r="805" spans="1:15" x14ac:dyDescent="0.25">
      <c r="A805">
        <v>804</v>
      </c>
      <c r="B805">
        <v>34</v>
      </c>
      <c r="C805" t="s">
        <v>16</v>
      </c>
      <c r="D805" t="s">
        <v>20</v>
      </c>
      <c r="E805" t="s">
        <v>21</v>
      </c>
      <c r="F805" s="1">
        <v>49.52</v>
      </c>
      <c r="G805" t="s">
        <v>19</v>
      </c>
      <c r="H805" t="s">
        <v>37</v>
      </c>
      <c r="I805" s="2">
        <v>2.2999999999999998</v>
      </c>
      <c r="J805" s="4">
        <v>9</v>
      </c>
      <c r="K805" s="3">
        <v>2</v>
      </c>
      <c r="L805" s="1">
        <f t="shared" si="36"/>
        <v>45.063200000000002</v>
      </c>
      <c r="M805" t="str" cm="1">
        <f t="array" ref="M805">_xlfn.IFS(B805&lt;18,"Under 18",B805 &lt;=25,"18-25",B805&lt;=35,"26-35",B805&lt;=45,"36-45",B805&lt;=60,"46-60",TRUE,"60+")</f>
        <v>26-35</v>
      </c>
      <c r="N805" t="str">
        <f t="shared" si="37"/>
        <v>Discounted</v>
      </c>
      <c r="O805" t="str">
        <f t="shared" si="38"/>
        <v>Returning</v>
      </c>
    </row>
    <row r="806" spans="1:15" x14ac:dyDescent="0.25">
      <c r="A806">
        <v>805</v>
      </c>
      <c r="B806">
        <v>42</v>
      </c>
      <c r="C806" t="s">
        <v>16</v>
      </c>
      <c r="D806" t="s">
        <v>33</v>
      </c>
      <c r="E806" t="s">
        <v>40</v>
      </c>
      <c r="F806" s="1">
        <v>161.18</v>
      </c>
      <c r="G806" t="s">
        <v>19</v>
      </c>
      <c r="H806" t="s">
        <v>15</v>
      </c>
      <c r="I806" s="2">
        <v>4.5</v>
      </c>
      <c r="J806" s="4">
        <v>20</v>
      </c>
      <c r="K806" s="3">
        <v>5</v>
      </c>
      <c r="L806" s="1">
        <f t="shared" si="36"/>
        <v>128.94400000000002</v>
      </c>
      <c r="M806" t="str" cm="1">
        <f t="array" ref="M806">_xlfn.IFS(B806&lt;18,"Under 18",B806 &lt;=25,"18-25",B806&lt;=35,"26-35",B806&lt;=45,"36-45",B806&lt;=60,"46-60",TRUE,"60+")</f>
        <v>36-45</v>
      </c>
      <c r="N806" t="str">
        <f t="shared" si="37"/>
        <v>Discounted</v>
      </c>
      <c r="O806" t="str">
        <f t="shared" si="38"/>
        <v>Returning</v>
      </c>
    </row>
    <row r="807" spans="1:15" x14ac:dyDescent="0.25">
      <c r="A807">
        <v>806</v>
      </c>
      <c r="B807">
        <v>70</v>
      </c>
      <c r="C807" t="s">
        <v>11</v>
      </c>
      <c r="D807" t="s">
        <v>25</v>
      </c>
      <c r="E807" t="s">
        <v>54</v>
      </c>
      <c r="F807" s="1">
        <v>36.299999999999997</v>
      </c>
      <c r="G807" t="s">
        <v>24</v>
      </c>
      <c r="H807" t="s">
        <v>15</v>
      </c>
      <c r="I807" s="2">
        <v>3.1</v>
      </c>
      <c r="J807" s="4">
        <v>12</v>
      </c>
      <c r="K807" s="3">
        <v>6</v>
      </c>
      <c r="L807" s="1">
        <f t="shared" si="36"/>
        <v>31.943999999999999</v>
      </c>
      <c r="M807" t="str" cm="1">
        <f t="array" ref="M807">_xlfn.IFS(B807&lt;18,"Under 18",B807 &lt;=25,"18-25",B807&lt;=35,"26-35",B807&lt;=45,"36-45",B807&lt;=60,"46-60",TRUE,"60+")</f>
        <v>60+</v>
      </c>
      <c r="N807" t="str">
        <f t="shared" si="37"/>
        <v>Discounted</v>
      </c>
      <c r="O807" t="str">
        <f t="shared" si="38"/>
        <v>Returning</v>
      </c>
    </row>
    <row r="808" spans="1:15" x14ac:dyDescent="0.25">
      <c r="A808">
        <v>807</v>
      </c>
      <c r="B808">
        <v>42</v>
      </c>
      <c r="C808" t="s">
        <v>16</v>
      </c>
      <c r="D808" t="s">
        <v>27</v>
      </c>
      <c r="E808" t="s">
        <v>28</v>
      </c>
      <c r="F808" s="1">
        <v>2889.05</v>
      </c>
      <c r="G808" t="s">
        <v>19</v>
      </c>
      <c r="H808" t="s">
        <v>15</v>
      </c>
      <c r="I808" s="2">
        <v>4.0999999999999996</v>
      </c>
      <c r="J808" s="4">
        <v>12</v>
      </c>
      <c r="K808" s="3">
        <v>1</v>
      </c>
      <c r="L808" s="1">
        <f t="shared" si="36"/>
        <v>2542.364</v>
      </c>
      <c r="M808" t="str" cm="1">
        <f t="array" ref="M808">_xlfn.IFS(B808&lt;18,"Under 18",B808 &lt;=25,"18-25",B808&lt;=35,"26-35",B808&lt;=45,"36-45",B808&lt;=60,"46-60",TRUE,"60+")</f>
        <v>36-45</v>
      </c>
      <c r="N808" t="str">
        <f t="shared" si="37"/>
        <v>Discounted</v>
      </c>
      <c r="O808" t="str">
        <f t="shared" si="38"/>
        <v>Returning</v>
      </c>
    </row>
    <row r="809" spans="1:15" x14ac:dyDescent="0.25">
      <c r="A809">
        <v>808</v>
      </c>
      <c r="B809">
        <v>49</v>
      </c>
      <c r="C809" t="s">
        <v>11</v>
      </c>
      <c r="D809" t="s">
        <v>33</v>
      </c>
      <c r="E809" t="s">
        <v>34</v>
      </c>
      <c r="F809" s="1">
        <v>185.74</v>
      </c>
      <c r="G809" t="s">
        <v>19</v>
      </c>
      <c r="H809" t="s">
        <v>15</v>
      </c>
      <c r="I809" s="2">
        <v>2.5</v>
      </c>
      <c r="J809" s="4">
        <v>13</v>
      </c>
      <c r="K809" s="3">
        <v>4</v>
      </c>
      <c r="L809" s="1">
        <f t="shared" si="36"/>
        <v>161.59380000000002</v>
      </c>
      <c r="M809" t="str" cm="1">
        <f t="array" ref="M809">_xlfn.IFS(B809&lt;18,"Under 18",B809 &lt;=25,"18-25",B809&lt;=35,"26-35",B809&lt;=45,"36-45",B809&lt;=60,"46-60",TRUE,"60+")</f>
        <v>46-60</v>
      </c>
      <c r="N809" t="str">
        <f t="shared" si="37"/>
        <v>Discounted</v>
      </c>
      <c r="O809" t="str">
        <f t="shared" si="38"/>
        <v>Returning</v>
      </c>
    </row>
    <row r="810" spans="1:15" x14ac:dyDescent="0.25">
      <c r="A810">
        <v>809</v>
      </c>
      <c r="B810">
        <v>57</v>
      </c>
      <c r="C810" t="s">
        <v>11</v>
      </c>
      <c r="D810" t="s">
        <v>41</v>
      </c>
      <c r="E810" t="s">
        <v>46</v>
      </c>
      <c r="F810" s="1">
        <v>149.82</v>
      </c>
      <c r="G810" t="s">
        <v>19</v>
      </c>
      <c r="H810" t="s">
        <v>15</v>
      </c>
      <c r="I810" s="2">
        <v>3.3</v>
      </c>
      <c r="J810" s="4">
        <v>16</v>
      </c>
      <c r="K810" s="3">
        <v>8</v>
      </c>
      <c r="L810" s="1">
        <f t="shared" si="36"/>
        <v>125.84879999999998</v>
      </c>
      <c r="M810" t="str" cm="1">
        <f t="array" ref="M810">_xlfn.IFS(B810&lt;18,"Under 18",B810 &lt;=25,"18-25",B810&lt;=35,"26-35",B810&lt;=45,"36-45",B810&lt;=60,"46-60",TRUE,"60+")</f>
        <v>46-60</v>
      </c>
      <c r="N810" t="str">
        <f t="shared" si="37"/>
        <v>Discounted</v>
      </c>
      <c r="O810" t="str">
        <f t="shared" si="38"/>
        <v>Returning</v>
      </c>
    </row>
    <row r="811" spans="1:15" x14ac:dyDescent="0.25">
      <c r="A811">
        <v>810</v>
      </c>
      <c r="B811">
        <v>45</v>
      </c>
      <c r="C811" t="s">
        <v>11</v>
      </c>
      <c r="D811" t="s">
        <v>20</v>
      </c>
      <c r="E811" t="s">
        <v>36</v>
      </c>
      <c r="F811" s="1">
        <v>159.87</v>
      </c>
      <c r="G811" t="s">
        <v>24</v>
      </c>
      <c r="H811" t="s">
        <v>15</v>
      </c>
      <c r="I811" s="2">
        <v>3.6</v>
      </c>
      <c r="J811" s="4">
        <v>11</v>
      </c>
      <c r="K811" s="3">
        <v>3</v>
      </c>
      <c r="L811" s="1">
        <f t="shared" si="36"/>
        <v>142.2843</v>
      </c>
      <c r="M811" t="str" cm="1">
        <f t="array" ref="M811">_xlfn.IFS(B811&lt;18,"Under 18",B811 &lt;=25,"18-25",B811&lt;=35,"26-35",B811&lt;=45,"36-45",B811&lt;=60,"46-60",TRUE,"60+")</f>
        <v>36-45</v>
      </c>
      <c r="N811" t="str">
        <f t="shared" si="37"/>
        <v>Discounted</v>
      </c>
      <c r="O811" t="str">
        <f t="shared" si="38"/>
        <v>Returning</v>
      </c>
    </row>
    <row r="812" spans="1:15" x14ac:dyDescent="0.25">
      <c r="A812">
        <v>811</v>
      </c>
      <c r="B812">
        <v>47</v>
      </c>
      <c r="C812" t="s">
        <v>11</v>
      </c>
      <c r="D812" t="s">
        <v>33</v>
      </c>
      <c r="E812" t="s">
        <v>40</v>
      </c>
      <c r="F812" s="1">
        <v>116.66</v>
      </c>
      <c r="G812" t="s">
        <v>19</v>
      </c>
      <c r="H812" t="s">
        <v>15</v>
      </c>
      <c r="I812" s="2">
        <v>4.0999999999999996</v>
      </c>
      <c r="J812" s="4">
        <v>16</v>
      </c>
      <c r="K812" s="3">
        <v>8</v>
      </c>
      <c r="L812" s="1">
        <f t="shared" si="36"/>
        <v>97.994399999999999</v>
      </c>
      <c r="M812" t="str" cm="1">
        <f t="array" ref="M812">_xlfn.IFS(B812&lt;18,"Under 18",B812 &lt;=25,"18-25",B812&lt;=35,"26-35",B812&lt;=45,"36-45",B812&lt;=60,"46-60",TRUE,"60+")</f>
        <v>46-60</v>
      </c>
      <c r="N812" t="str">
        <f t="shared" si="37"/>
        <v>Discounted</v>
      </c>
      <c r="O812" t="str">
        <f t="shared" si="38"/>
        <v>Returning</v>
      </c>
    </row>
    <row r="813" spans="1:15" x14ac:dyDescent="0.25">
      <c r="A813">
        <v>812</v>
      </c>
      <c r="B813">
        <v>60</v>
      </c>
      <c r="C813" t="s">
        <v>16</v>
      </c>
      <c r="D813" t="s">
        <v>33</v>
      </c>
      <c r="E813" t="s">
        <v>34</v>
      </c>
      <c r="F813" s="1">
        <v>69.97</v>
      </c>
      <c r="G813" t="s">
        <v>24</v>
      </c>
      <c r="H813" t="s">
        <v>15</v>
      </c>
      <c r="I813" s="2">
        <v>4.5999999999999996</v>
      </c>
      <c r="J813" s="4">
        <v>24</v>
      </c>
      <c r="K813" s="3">
        <v>7</v>
      </c>
      <c r="L813" s="1">
        <f t="shared" si="36"/>
        <v>53.177199999999999</v>
      </c>
      <c r="M813" t="str" cm="1">
        <f t="array" ref="M813">_xlfn.IFS(B813&lt;18,"Under 18",B813 &lt;=25,"18-25",B813&lt;=35,"26-35",B813&lt;=45,"36-45",B813&lt;=60,"46-60",TRUE,"60+")</f>
        <v>46-60</v>
      </c>
      <c r="N813" t="str">
        <f t="shared" si="37"/>
        <v>Discounted</v>
      </c>
      <c r="O813" t="str">
        <f t="shared" si="38"/>
        <v>Returning</v>
      </c>
    </row>
    <row r="814" spans="1:15" x14ac:dyDescent="0.25">
      <c r="A814">
        <v>813</v>
      </c>
      <c r="B814">
        <v>43</v>
      </c>
      <c r="C814" t="s">
        <v>11</v>
      </c>
      <c r="D814" t="s">
        <v>33</v>
      </c>
      <c r="E814" t="s">
        <v>40</v>
      </c>
      <c r="F814" s="1">
        <v>243.54</v>
      </c>
      <c r="G814" t="s">
        <v>24</v>
      </c>
      <c r="H814" t="s">
        <v>15</v>
      </c>
      <c r="I814" s="2">
        <v>4.0999999999999996</v>
      </c>
      <c r="J814" s="4">
        <v>22</v>
      </c>
      <c r="K814" s="3">
        <v>6</v>
      </c>
      <c r="L814" s="1">
        <f t="shared" si="36"/>
        <v>189.96119999999999</v>
      </c>
      <c r="M814" t="str" cm="1">
        <f t="array" ref="M814">_xlfn.IFS(B814&lt;18,"Under 18",B814 &lt;=25,"18-25",B814&lt;=35,"26-35",B814&lt;=45,"36-45",B814&lt;=60,"46-60",TRUE,"60+")</f>
        <v>36-45</v>
      </c>
      <c r="N814" t="str">
        <f t="shared" si="37"/>
        <v>Discounted</v>
      </c>
      <c r="O814" t="str">
        <f t="shared" si="38"/>
        <v>Returning</v>
      </c>
    </row>
    <row r="815" spans="1:15" x14ac:dyDescent="0.25">
      <c r="A815">
        <v>814</v>
      </c>
      <c r="B815">
        <v>64</v>
      </c>
      <c r="C815" t="s">
        <v>16</v>
      </c>
      <c r="D815" t="s">
        <v>20</v>
      </c>
      <c r="E815" t="s">
        <v>21</v>
      </c>
      <c r="F815" s="1">
        <v>182</v>
      </c>
      <c r="G815" t="s">
        <v>31</v>
      </c>
      <c r="H815" t="s">
        <v>15</v>
      </c>
      <c r="I815" s="2">
        <v>4.5</v>
      </c>
      <c r="J815" s="4">
        <v>11</v>
      </c>
      <c r="K815" s="3">
        <v>3</v>
      </c>
      <c r="L815" s="1">
        <f t="shared" si="36"/>
        <v>161.97999999999999</v>
      </c>
      <c r="M815" t="str" cm="1">
        <f t="array" ref="M815">_xlfn.IFS(B815&lt;18,"Under 18",B815 &lt;=25,"18-25",B815&lt;=35,"26-35",B815&lt;=45,"36-45",B815&lt;=60,"46-60",TRUE,"60+")</f>
        <v>60+</v>
      </c>
      <c r="N815" t="str">
        <f t="shared" si="37"/>
        <v>Discounted</v>
      </c>
      <c r="O815" t="str">
        <f t="shared" si="38"/>
        <v>Returning</v>
      </c>
    </row>
    <row r="816" spans="1:15" x14ac:dyDescent="0.25">
      <c r="A816">
        <v>815</v>
      </c>
      <c r="B816">
        <v>55</v>
      </c>
      <c r="C816" t="s">
        <v>11</v>
      </c>
      <c r="D816" t="s">
        <v>29</v>
      </c>
      <c r="E816" t="s">
        <v>51</v>
      </c>
      <c r="F816" s="1">
        <v>129.26</v>
      </c>
      <c r="G816" t="s">
        <v>19</v>
      </c>
      <c r="H816" t="s">
        <v>15</v>
      </c>
      <c r="I816" s="2">
        <v>3.2</v>
      </c>
      <c r="J816" s="4">
        <v>8</v>
      </c>
      <c r="K816" s="3">
        <v>4</v>
      </c>
      <c r="L816" s="1">
        <f t="shared" si="36"/>
        <v>118.9192</v>
      </c>
      <c r="M816" t="str" cm="1">
        <f t="array" ref="M816">_xlfn.IFS(B816&lt;18,"Under 18",B816 &lt;=25,"18-25",B816&lt;=35,"26-35",B816&lt;=45,"36-45",B816&lt;=60,"46-60",TRUE,"60+")</f>
        <v>46-60</v>
      </c>
      <c r="N816" t="str">
        <f t="shared" si="37"/>
        <v>Discounted</v>
      </c>
      <c r="O816" t="str">
        <f t="shared" si="38"/>
        <v>Returning</v>
      </c>
    </row>
    <row r="817" spans="1:15" x14ac:dyDescent="0.25">
      <c r="A817">
        <v>816</v>
      </c>
      <c r="B817">
        <v>62</v>
      </c>
      <c r="C817" t="s">
        <v>11</v>
      </c>
      <c r="D817" t="s">
        <v>33</v>
      </c>
      <c r="E817" t="s">
        <v>34</v>
      </c>
      <c r="F817" s="1">
        <v>199.51</v>
      </c>
      <c r="G817" t="s">
        <v>19</v>
      </c>
      <c r="H817" t="s">
        <v>15</v>
      </c>
      <c r="I817" s="2">
        <v>5</v>
      </c>
      <c r="J817" s="4">
        <v>26</v>
      </c>
      <c r="K817" s="3">
        <v>13</v>
      </c>
      <c r="L817" s="1">
        <f t="shared" si="36"/>
        <v>147.63739999999999</v>
      </c>
      <c r="M817" t="str" cm="1">
        <f t="array" ref="M817">_xlfn.IFS(B817&lt;18,"Under 18",B817 &lt;=25,"18-25",B817&lt;=35,"26-35",B817&lt;=45,"36-45",B817&lt;=60,"46-60",TRUE,"60+")</f>
        <v>60+</v>
      </c>
      <c r="N817" t="str">
        <f t="shared" si="37"/>
        <v>Discounted</v>
      </c>
      <c r="O817" t="str">
        <f t="shared" si="38"/>
        <v>Returning</v>
      </c>
    </row>
    <row r="818" spans="1:15" x14ac:dyDescent="0.25">
      <c r="A818">
        <v>817</v>
      </c>
      <c r="B818">
        <v>48</v>
      </c>
      <c r="C818" t="s">
        <v>11</v>
      </c>
      <c r="D818" t="s">
        <v>25</v>
      </c>
      <c r="E818" t="s">
        <v>26</v>
      </c>
      <c r="F818" s="1">
        <v>42.88</v>
      </c>
      <c r="G818" t="s">
        <v>31</v>
      </c>
      <c r="H818" t="s">
        <v>37</v>
      </c>
      <c r="I818" s="2">
        <v>3.9</v>
      </c>
      <c r="J818" s="4">
        <v>22</v>
      </c>
      <c r="K818" s="3">
        <v>6</v>
      </c>
      <c r="L818" s="1">
        <f t="shared" si="36"/>
        <v>33.446400000000004</v>
      </c>
      <c r="M818" t="str" cm="1">
        <f t="array" ref="M818">_xlfn.IFS(B818&lt;18,"Under 18",B818 &lt;=25,"18-25",B818&lt;=35,"26-35",B818&lt;=45,"36-45",B818&lt;=60,"46-60",TRUE,"60+")</f>
        <v>46-60</v>
      </c>
      <c r="N818" t="str">
        <f t="shared" si="37"/>
        <v>Discounted</v>
      </c>
      <c r="O818" t="str">
        <f t="shared" si="38"/>
        <v>Returning</v>
      </c>
    </row>
    <row r="819" spans="1:15" x14ac:dyDescent="0.25">
      <c r="A819">
        <v>818</v>
      </c>
      <c r="B819">
        <v>65</v>
      </c>
      <c r="C819" t="s">
        <v>11</v>
      </c>
      <c r="D819" t="s">
        <v>41</v>
      </c>
      <c r="E819" t="s">
        <v>44</v>
      </c>
      <c r="F819" s="1">
        <v>108.5</v>
      </c>
      <c r="G819" t="s">
        <v>31</v>
      </c>
      <c r="H819" t="s">
        <v>15</v>
      </c>
      <c r="I819" s="2">
        <v>3.4</v>
      </c>
      <c r="J819" s="4">
        <v>16</v>
      </c>
      <c r="K819" s="3">
        <v>8</v>
      </c>
      <c r="L819" s="1">
        <f t="shared" si="36"/>
        <v>91.14</v>
      </c>
      <c r="M819" t="str" cm="1">
        <f t="array" ref="M819">_xlfn.IFS(B819&lt;18,"Under 18",B819 &lt;=25,"18-25",B819&lt;=35,"26-35",B819&lt;=45,"36-45",B819&lt;=60,"46-60",TRUE,"60+")</f>
        <v>60+</v>
      </c>
      <c r="N819" t="str">
        <f t="shared" si="37"/>
        <v>Discounted</v>
      </c>
      <c r="O819" t="str">
        <f t="shared" si="38"/>
        <v>Returning</v>
      </c>
    </row>
    <row r="820" spans="1:15" x14ac:dyDescent="0.25">
      <c r="A820">
        <v>819</v>
      </c>
      <c r="B820">
        <v>27</v>
      </c>
      <c r="C820" t="s">
        <v>11</v>
      </c>
      <c r="D820" t="s">
        <v>29</v>
      </c>
      <c r="E820" t="s">
        <v>51</v>
      </c>
      <c r="F820" s="1">
        <v>38.35</v>
      </c>
      <c r="G820" t="s">
        <v>31</v>
      </c>
      <c r="H820" t="s">
        <v>37</v>
      </c>
      <c r="I820" s="2">
        <v>5</v>
      </c>
      <c r="J820" s="4">
        <v>13</v>
      </c>
      <c r="K820" s="3">
        <v>4</v>
      </c>
      <c r="L820" s="1">
        <f t="shared" si="36"/>
        <v>33.3645</v>
      </c>
      <c r="M820" t="str" cm="1">
        <f t="array" ref="M820">_xlfn.IFS(B820&lt;18,"Under 18",B820 &lt;=25,"18-25",B820&lt;=35,"26-35",B820&lt;=45,"36-45",B820&lt;=60,"46-60",TRUE,"60+")</f>
        <v>26-35</v>
      </c>
      <c r="N820" t="str">
        <f t="shared" si="37"/>
        <v>Discounted</v>
      </c>
      <c r="O820" t="str">
        <f t="shared" si="38"/>
        <v>Returning</v>
      </c>
    </row>
    <row r="821" spans="1:15" x14ac:dyDescent="0.25">
      <c r="A821">
        <v>820</v>
      </c>
      <c r="B821">
        <v>68</v>
      </c>
      <c r="C821" t="s">
        <v>11</v>
      </c>
      <c r="D821" t="s">
        <v>25</v>
      </c>
      <c r="E821" t="s">
        <v>47</v>
      </c>
      <c r="F821" s="1">
        <v>28.85</v>
      </c>
      <c r="G821" t="s">
        <v>31</v>
      </c>
      <c r="H821" t="s">
        <v>15</v>
      </c>
      <c r="I821" s="2">
        <v>4.4000000000000004</v>
      </c>
      <c r="J821" s="4">
        <v>17</v>
      </c>
      <c r="K821" s="3">
        <v>6</v>
      </c>
      <c r="L821" s="1">
        <f t="shared" si="36"/>
        <v>23.945499999999999</v>
      </c>
      <c r="M821" t="str" cm="1">
        <f t="array" ref="M821">_xlfn.IFS(B821&lt;18,"Under 18",B821 &lt;=25,"18-25",B821&lt;=35,"26-35",B821&lt;=45,"36-45",B821&lt;=60,"46-60",TRUE,"60+")</f>
        <v>60+</v>
      </c>
      <c r="N821" t="str">
        <f t="shared" si="37"/>
        <v>Discounted</v>
      </c>
      <c r="O821" t="str">
        <f t="shared" si="38"/>
        <v>Returning</v>
      </c>
    </row>
    <row r="822" spans="1:15" x14ac:dyDescent="0.25">
      <c r="A822">
        <v>821</v>
      </c>
      <c r="B822">
        <v>64</v>
      </c>
      <c r="C822" t="s">
        <v>16</v>
      </c>
      <c r="D822" t="s">
        <v>27</v>
      </c>
      <c r="E822" t="s">
        <v>49</v>
      </c>
      <c r="F822" s="1">
        <v>1305.74</v>
      </c>
      <c r="G822" t="s">
        <v>31</v>
      </c>
      <c r="H822" t="s">
        <v>15</v>
      </c>
      <c r="I822" s="2">
        <v>4.8</v>
      </c>
      <c r="J822" s="4">
        <v>12</v>
      </c>
      <c r="K822" s="3">
        <v>6</v>
      </c>
      <c r="L822" s="1">
        <f t="shared" si="36"/>
        <v>1149.0512000000001</v>
      </c>
      <c r="M822" t="str" cm="1">
        <f t="array" ref="M822">_xlfn.IFS(B822&lt;18,"Under 18",B822 &lt;=25,"18-25",B822&lt;=35,"26-35",B822&lt;=45,"36-45",B822&lt;=60,"46-60",TRUE,"60+")</f>
        <v>60+</v>
      </c>
      <c r="N822" t="str">
        <f t="shared" si="37"/>
        <v>Discounted</v>
      </c>
      <c r="O822" t="str">
        <f t="shared" si="38"/>
        <v>Returning</v>
      </c>
    </row>
    <row r="823" spans="1:15" x14ac:dyDescent="0.25">
      <c r="A823">
        <v>822</v>
      </c>
      <c r="B823">
        <v>31</v>
      </c>
      <c r="C823" t="s">
        <v>16</v>
      </c>
      <c r="D823" t="s">
        <v>27</v>
      </c>
      <c r="E823" t="s">
        <v>28</v>
      </c>
      <c r="F823" s="1">
        <v>2370.9899999999998</v>
      </c>
      <c r="G823" t="s">
        <v>19</v>
      </c>
      <c r="H823" t="s">
        <v>15</v>
      </c>
      <c r="I823" s="2">
        <v>3.6</v>
      </c>
      <c r="J823" s="4">
        <v>20</v>
      </c>
      <c r="K823" s="3">
        <v>5</v>
      </c>
      <c r="L823" s="1">
        <f t="shared" si="36"/>
        <v>1896.7919999999999</v>
      </c>
      <c r="M823" t="str" cm="1">
        <f t="array" ref="M823">_xlfn.IFS(B823&lt;18,"Under 18",B823 &lt;=25,"18-25",B823&lt;=35,"26-35",B823&lt;=45,"36-45",B823&lt;=60,"46-60",TRUE,"60+")</f>
        <v>26-35</v>
      </c>
      <c r="N823" t="str">
        <f t="shared" si="37"/>
        <v>Discounted</v>
      </c>
      <c r="O823" t="str">
        <f t="shared" si="38"/>
        <v>Returning</v>
      </c>
    </row>
    <row r="824" spans="1:15" x14ac:dyDescent="0.25">
      <c r="A824">
        <v>823</v>
      </c>
      <c r="B824">
        <v>56</v>
      </c>
      <c r="C824" t="s">
        <v>11</v>
      </c>
      <c r="D824" t="s">
        <v>20</v>
      </c>
      <c r="E824" t="s">
        <v>21</v>
      </c>
      <c r="F824" s="1">
        <v>197.64</v>
      </c>
      <c r="G824" t="s">
        <v>31</v>
      </c>
      <c r="H824" t="s">
        <v>15</v>
      </c>
      <c r="I824" s="2">
        <v>5</v>
      </c>
      <c r="J824" s="4">
        <v>22</v>
      </c>
      <c r="K824" s="3">
        <v>6</v>
      </c>
      <c r="L824" s="1">
        <f t="shared" si="36"/>
        <v>154.1592</v>
      </c>
      <c r="M824" t="str" cm="1">
        <f t="array" ref="M824">_xlfn.IFS(B824&lt;18,"Under 18",B824 &lt;=25,"18-25",B824&lt;=35,"26-35",B824&lt;=45,"36-45",B824&lt;=60,"46-60",TRUE,"60+")</f>
        <v>46-60</v>
      </c>
      <c r="N824" t="str">
        <f t="shared" si="37"/>
        <v>Discounted</v>
      </c>
      <c r="O824" t="str">
        <f t="shared" si="38"/>
        <v>Returning</v>
      </c>
    </row>
    <row r="825" spans="1:15" x14ac:dyDescent="0.25">
      <c r="A825">
        <v>824</v>
      </c>
      <c r="B825">
        <v>55</v>
      </c>
      <c r="C825" t="s">
        <v>11</v>
      </c>
      <c r="D825" t="s">
        <v>41</v>
      </c>
      <c r="E825" t="s">
        <v>45</v>
      </c>
      <c r="F825" s="1">
        <v>33.4</v>
      </c>
      <c r="G825" t="s">
        <v>31</v>
      </c>
      <c r="H825" t="s">
        <v>37</v>
      </c>
      <c r="I825" s="2">
        <v>4.9000000000000004</v>
      </c>
      <c r="J825" s="4">
        <v>14</v>
      </c>
      <c r="K825" s="3">
        <v>2</v>
      </c>
      <c r="L825" s="1">
        <f t="shared" si="36"/>
        <v>28.723999999999997</v>
      </c>
      <c r="M825" t="str" cm="1">
        <f t="array" ref="M825">_xlfn.IFS(B825&lt;18,"Under 18",B825 &lt;=25,"18-25",B825&lt;=35,"26-35",B825&lt;=45,"36-45",B825&lt;=60,"46-60",TRUE,"60+")</f>
        <v>46-60</v>
      </c>
      <c r="N825" t="str">
        <f t="shared" si="37"/>
        <v>Discounted</v>
      </c>
      <c r="O825" t="str">
        <f t="shared" si="38"/>
        <v>Returning</v>
      </c>
    </row>
    <row r="826" spans="1:15" x14ac:dyDescent="0.25">
      <c r="A826">
        <v>825</v>
      </c>
      <c r="B826">
        <v>57</v>
      </c>
      <c r="C826" t="s">
        <v>11</v>
      </c>
      <c r="D826" t="s">
        <v>25</v>
      </c>
      <c r="E826" t="s">
        <v>57</v>
      </c>
      <c r="F826" s="1">
        <v>68.77</v>
      </c>
      <c r="G826" t="s">
        <v>19</v>
      </c>
      <c r="H826" t="s">
        <v>15</v>
      </c>
      <c r="I826" s="2">
        <v>4.2</v>
      </c>
      <c r="J826" s="4">
        <v>32</v>
      </c>
      <c r="K826" s="3">
        <v>11</v>
      </c>
      <c r="L826" s="1">
        <f t="shared" si="36"/>
        <v>46.76359999999999</v>
      </c>
      <c r="M826" t="str" cm="1">
        <f t="array" ref="M826">_xlfn.IFS(B826&lt;18,"Under 18",B826 &lt;=25,"18-25",B826&lt;=35,"26-35",B826&lt;=45,"36-45",B826&lt;=60,"46-60",TRUE,"60+")</f>
        <v>46-60</v>
      </c>
      <c r="N826" t="str">
        <f t="shared" si="37"/>
        <v>Discounted</v>
      </c>
      <c r="O826" t="str">
        <f t="shared" si="38"/>
        <v>Returning</v>
      </c>
    </row>
    <row r="827" spans="1:15" x14ac:dyDescent="0.25">
      <c r="A827">
        <v>826</v>
      </c>
      <c r="B827">
        <v>36</v>
      </c>
      <c r="C827" t="s">
        <v>11</v>
      </c>
      <c r="D827" t="s">
        <v>41</v>
      </c>
      <c r="E827" t="s">
        <v>42</v>
      </c>
      <c r="F827" s="1">
        <v>42.75</v>
      </c>
      <c r="G827" t="s">
        <v>31</v>
      </c>
      <c r="H827" t="s">
        <v>15</v>
      </c>
      <c r="I827" s="2">
        <v>3.8</v>
      </c>
      <c r="J827" s="4">
        <v>17</v>
      </c>
      <c r="K827" s="3">
        <v>6</v>
      </c>
      <c r="L827" s="1">
        <f t="shared" si="36"/>
        <v>35.482500000000002</v>
      </c>
      <c r="M827" t="str" cm="1">
        <f t="array" ref="M827">_xlfn.IFS(B827&lt;18,"Under 18",B827 &lt;=25,"18-25",B827&lt;=35,"26-35",B827&lt;=45,"36-45",B827&lt;=60,"46-60",TRUE,"60+")</f>
        <v>36-45</v>
      </c>
      <c r="N827" t="str">
        <f t="shared" si="37"/>
        <v>Discounted</v>
      </c>
      <c r="O827" t="str">
        <f t="shared" si="38"/>
        <v>Returning</v>
      </c>
    </row>
    <row r="828" spans="1:15" x14ac:dyDescent="0.25">
      <c r="A828">
        <v>827</v>
      </c>
      <c r="B828">
        <v>41</v>
      </c>
      <c r="C828" t="s">
        <v>11</v>
      </c>
      <c r="D828" t="s">
        <v>22</v>
      </c>
      <c r="E828" t="s">
        <v>23</v>
      </c>
      <c r="F828" s="1">
        <v>157.96</v>
      </c>
      <c r="G828" t="s">
        <v>31</v>
      </c>
      <c r="H828" t="s">
        <v>15</v>
      </c>
      <c r="I828" s="2">
        <v>4.4000000000000004</v>
      </c>
      <c r="J828" s="4">
        <v>10</v>
      </c>
      <c r="K828" s="3">
        <v>5</v>
      </c>
      <c r="L828" s="1">
        <f t="shared" si="36"/>
        <v>142.16400000000002</v>
      </c>
      <c r="M828" t="str" cm="1">
        <f t="array" ref="M828">_xlfn.IFS(B828&lt;18,"Under 18",B828 &lt;=25,"18-25",B828&lt;=35,"26-35",B828&lt;=45,"36-45",B828&lt;=60,"46-60",TRUE,"60+")</f>
        <v>36-45</v>
      </c>
      <c r="N828" t="str">
        <f t="shared" si="37"/>
        <v>Discounted</v>
      </c>
      <c r="O828" t="str">
        <f t="shared" si="38"/>
        <v>Returning</v>
      </c>
    </row>
    <row r="829" spans="1:15" x14ac:dyDescent="0.25">
      <c r="A829">
        <v>828</v>
      </c>
      <c r="B829">
        <v>38</v>
      </c>
      <c r="C829" t="s">
        <v>16</v>
      </c>
      <c r="D829" t="s">
        <v>27</v>
      </c>
      <c r="E829" t="s">
        <v>53</v>
      </c>
      <c r="F829" s="1">
        <v>2502.52</v>
      </c>
      <c r="G829" t="s">
        <v>14</v>
      </c>
      <c r="H829" t="s">
        <v>15</v>
      </c>
      <c r="I829" s="2">
        <v>2.9</v>
      </c>
      <c r="J829" s="4">
        <v>15</v>
      </c>
      <c r="K829" s="3">
        <v>5</v>
      </c>
      <c r="L829" s="1">
        <f t="shared" si="36"/>
        <v>2127.1419999999998</v>
      </c>
      <c r="M829" t="str" cm="1">
        <f t="array" ref="M829">_xlfn.IFS(B829&lt;18,"Under 18",B829 &lt;=25,"18-25",B829&lt;=35,"26-35",B829&lt;=45,"36-45",B829&lt;=60,"46-60",TRUE,"60+")</f>
        <v>36-45</v>
      </c>
      <c r="N829" t="str">
        <f t="shared" si="37"/>
        <v>Discounted</v>
      </c>
      <c r="O829" t="str">
        <f t="shared" si="38"/>
        <v>Returning</v>
      </c>
    </row>
    <row r="830" spans="1:15" x14ac:dyDescent="0.25">
      <c r="A830">
        <v>829</v>
      </c>
      <c r="B830">
        <v>43</v>
      </c>
      <c r="C830" t="s">
        <v>11</v>
      </c>
      <c r="D830" t="s">
        <v>20</v>
      </c>
      <c r="E830" t="s">
        <v>36</v>
      </c>
      <c r="F830" s="1">
        <v>93.26</v>
      </c>
      <c r="G830" t="s">
        <v>24</v>
      </c>
      <c r="H830" t="s">
        <v>15</v>
      </c>
      <c r="I830" s="2">
        <v>4.3</v>
      </c>
      <c r="J830" s="4">
        <v>10</v>
      </c>
      <c r="K830" s="3">
        <v>5</v>
      </c>
      <c r="L830" s="1">
        <f t="shared" si="36"/>
        <v>83.934000000000012</v>
      </c>
      <c r="M830" t="str" cm="1">
        <f t="array" ref="M830">_xlfn.IFS(B830&lt;18,"Under 18",B830 &lt;=25,"18-25",B830&lt;=35,"26-35",B830&lt;=45,"36-45",B830&lt;=60,"46-60",TRUE,"60+")</f>
        <v>36-45</v>
      </c>
      <c r="N830" t="str">
        <f t="shared" si="37"/>
        <v>Discounted</v>
      </c>
      <c r="O830" t="str">
        <f t="shared" si="38"/>
        <v>Returning</v>
      </c>
    </row>
    <row r="831" spans="1:15" x14ac:dyDescent="0.25">
      <c r="A831">
        <v>830</v>
      </c>
      <c r="B831">
        <v>46</v>
      </c>
      <c r="C831" t="s">
        <v>16</v>
      </c>
      <c r="D831" t="s">
        <v>33</v>
      </c>
      <c r="E831" t="s">
        <v>38</v>
      </c>
      <c r="F831" s="1">
        <v>160.09</v>
      </c>
      <c r="G831" t="s">
        <v>14</v>
      </c>
      <c r="H831" t="s">
        <v>15</v>
      </c>
      <c r="I831" s="2">
        <v>4</v>
      </c>
      <c r="J831" s="4">
        <v>8</v>
      </c>
      <c r="K831" s="3">
        <v>4</v>
      </c>
      <c r="L831" s="1">
        <f t="shared" si="36"/>
        <v>147.28280000000001</v>
      </c>
      <c r="M831" t="str" cm="1">
        <f t="array" ref="M831">_xlfn.IFS(B831&lt;18,"Under 18",B831 &lt;=25,"18-25",B831&lt;=35,"26-35",B831&lt;=45,"36-45",B831&lt;=60,"46-60",TRUE,"60+")</f>
        <v>46-60</v>
      </c>
      <c r="N831" t="str">
        <f t="shared" si="37"/>
        <v>Discounted</v>
      </c>
      <c r="O831" t="str">
        <f t="shared" si="38"/>
        <v>Returning</v>
      </c>
    </row>
    <row r="832" spans="1:15" x14ac:dyDescent="0.25">
      <c r="A832">
        <v>831</v>
      </c>
      <c r="B832">
        <v>38</v>
      </c>
      <c r="C832" t="s">
        <v>16</v>
      </c>
      <c r="D832" t="s">
        <v>27</v>
      </c>
      <c r="E832" t="s">
        <v>53</v>
      </c>
      <c r="F832" s="1">
        <v>2841.72</v>
      </c>
      <c r="G832" t="s">
        <v>14</v>
      </c>
      <c r="H832" t="s">
        <v>15</v>
      </c>
      <c r="I832" s="2">
        <v>4</v>
      </c>
      <c r="J832" s="4">
        <v>23</v>
      </c>
      <c r="K832" s="3">
        <v>9</v>
      </c>
      <c r="L832" s="1">
        <f t="shared" si="36"/>
        <v>2188.1243999999997</v>
      </c>
      <c r="M832" t="str" cm="1">
        <f t="array" ref="M832">_xlfn.IFS(B832&lt;18,"Under 18",B832 &lt;=25,"18-25",B832&lt;=35,"26-35",B832&lt;=45,"36-45",B832&lt;=60,"46-60",TRUE,"60+")</f>
        <v>36-45</v>
      </c>
      <c r="N832" t="str">
        <f t="shared" si="37"/>
        <v>Discounted</v>
      </c>
      <c r="O832" t="str">
        <f t="shared" si="38"/>
        <v>Returning</v>
      </c>
    </row>
    <row r="833" spans="1:15" x14ac:dyDescent="0.25">
      <c r="A833">
        <v>832</v>
      </c>
      <c r="B833">
        <v>32</v>
      </c>
      <c r="C833" t="s">
        <v>16</v>
      </c>
      <c r="D833" t="s">
        <v>22</v>
      </c>
      <c r="E833" t="s">
        <v>23</v>
      </c>
      <c r="F833" s="1">
        <v>220.24</v>
      </c>
      <c r="G833" t="s">
        <v>31</v>
      </c>
      <c r="H833" t="s">
        <v>15</v>
      </c>
      <c r="I833" s="2">
        <v>5</v>
      </c>
      <c r="J833" s="4">
        <v>16</v>
      </c>
      <c r="K833" s="3">
        <v>3</v>
      </c>
      <c r="L833" s="1">
        <f t="shared" si="36"/>
        <v>185.0016</v>
      </c>
      <c r="M833" t="str" cm="1">
        <f t="array" ref="M833">_xlfn.IFS(B833&lt;18,"Under 18",B833 &lt;=25,"18-25",B833&lt;=35,"26-35",B833&lt;=45,"36-45",B833&lt;=60,"46-60",TRUE,"60+")</f>
        <v>26-35</v>
      </c>
      <c r="N833" t="str">
        <f t="shared" si="37"/>
        <v>Discounted</v>
      </c>
      <c r="O833" t="str">
        <f t="shared" si="38"/>
        <v>Returning</v>
      </c>
    </row>
    <row r="834" spans="1:15" x14ac:dyDescent="0.25">
      <c r="A834">
        <v>833</v>
      </c>
      <c r="B834">
        <v>59</v>
      </c>
      <c r="C834" t="s">
        <v>16</v>
      </c>
      <c r="D834" t="s">
        <v>33</v>
      </c>
      <c r="E834" t="s">
        <v>38</v>
      </c>
      <c r="F834" s="1">
        <v>239.65</v>
      </c>
      <c r="G834" t="s">
        <v>24</v>
      </c>
      <c r="H834" t="s">
        <v>15</v>
      </c>
      <c r="I834" s="2">
        <v>2.7</v>
      </c>
      <c r="J834" s="4">
        <v>9</v>
      </c>
      <c r="K834" s="3">
        <v>2</v>
      </c>
      <c r="L834" s="1">
        <f t="shared" si="36"/>
        <v>218.08150000000001</v>
      </c>
      <c r="M834" t="str" cm="1">
        <f t="array" ref="M834">_xlfn.IFS(B834&lt;18,"Under 18",B834 &lt;=25,"18-25",B834&lt;=35,"26-35",B834&lt;=45,"36-45",B834&lt;=60,"46-60",TRUE,"60+")</f>
        <v>46-60</v>
      </c>
      <c r="N834" t="str">
        <f t="shared" si="37"/>
        <v>Discounted</v>
      </c>
      <c r="O834" t="str">
        <f t="shared" si="38"/>
        <v>Returning</v>
      </c>
    </row>
    <row r="835" spans="1:15" x14ac:dyDescent="0.25">
      <c r="A835">
        <v>834</v>
      </c>
      <c r="B835">
        <v>37</v>
      </c>
      <c r="C835" t="s">
        <v>11</v>
      </c>
      <c r="D835" t="s">
        <v>41</v>
      </c>
      <c r="E835" t="s">
        <v>42</v>
      </c>
      <c r="F835" s="1">
        <v>41.62</v>
      </c>
      <c r="G835" t="s">
        <v>24</v>
      </c>
      <c r="H835" t="s">
        <v>15</v>
      </c>
      <c r="I835" s="2">
        <v>3.5</v>
      </c>
      <c r="J835" s="4">
        <v>21</v>
      </c>
      <c r="K835" s="3">
        <v>8</v>
      </c>
      <c r="L835" s="1">
        <f t="shared" ref="L835:L898" si="39">F835 * (1 - J835 / 100)</f>
        <v>32.879799999999996</v>
      </c>
      <c r="M835" t="str" cm="1">
        <f t="array" ref="M835">_xlfn.IFS(B835&lt;18,"Under 18",B835 &lt;=25,"18-25",B835&lt;=35,"26-35",B835&lt;=45,"36-45",B835&lt;=60,"46-60",TRUE,"60+")</f>
        <v>36-45</v>
      </c>
      <c r="N835" t="str">
        <f t="shared" ref="N835:N898" si="40">IF(J835&gt;0,"Discounted","No Discount")</f>
        <v>Discounted</v>
      </c>
      <c r="O835" t="str">
        <f t="shared" ref="O835:O898" si="41">IF(K835&gt;0,"Returning","New")</f>
        <v>Returning</v>
      </c>
    </row>
    <row r="836" spans="1:15" x14ac:dyDescent="0.25">
      <c r="A836">
        <v>835</v>
      </c>
      <c r="B836">
        <v>36</v>
      </c>
      <c r="C836" t="s">
        <v>16</v>
      </c>
      <c r="D836" t="s">
        <v>22</v>
      </c>
      <c r="E836" t="s">
        <v>43</v>
      </c>
      <c r="F836" s="1">
        <v>254.85</v>
      </c>
      <c r="G836" t="s">
        <v>31</v>
      </c>
      <c r="H836" t="s">
        <v>15</v>
      </c>
      <c r="I836" s="2">
        <v>3</v>
      </c>
      <c r="J836" s="4">
        <v>8</v>
      </c>
      <c r="K836" s="3">
        <v>4</v>
      </c>
      <c r="L836" s="1">
        <f t="shared" si="39"/>
        <v>234.46200000000002</v>
      </c>
      <c r="M836" t="str" cm="1">
        <f t="array" ref="M836">_xlfn.IFS(B836&lt;18,"Under 18",B836 &lt;=25,"18-25",B836&lt;=35,"26-35",B836&lt;=45,"36-45",B836&lt;=60,"46-60",TRUE,"60+")</f>
        <v>36-45</v>
      </c>
      <c r="N836" t="str">
        <f t="shared" si="40"/>
        <v>Discounted</v>
      </c>
      <c r="O836" t="str">
        <f t="shared" si="41"/>
        <v>Returning</v>
      </c>
    </row>
    <row r="837" spans="1:15" x14ac:dyDescent="0.25">
      <c r="A837">
        <v>836</v>
      </c>
      <c r="B837">
        <v>34</v>
      </c>
      <c r="C837" t="s">
        <v>11</v>
      </c>
      <c r="D837" t="s">
        <v>41</v>
      </c>
      <c r="E837" t="s">
        <v>46</v>
      </c>
      <c r="F837" s="1">
        <v>46.13</v>
      </c>
      <c r="G837" t="s">
        <v>31</v>
      </c>
      <c r="H837" t="s">
        <v>37</v>
      </c>
      <c r="I837" s="2">
        <v>3.5</v>
      </c>
      <c r="J837" s="4">
        <v>21</v>
      </c>
      <c r="K837" s="3">
        <v>8</v>
      </c>
      <c r="L837" s="1">
        <f t="shared" si="39"/>
        <v>36.442700000000002</v>
      </c>
      <c r="M837" t="str" cm="1">
        <f t="array" ref="M837">_xlfn.IFS(B837&lt;18,"Under 18",B837 &lt;=25,"18-25",B837&lt;=35,"26-35",B837&lt;=45,"36-45",B837&lt;=60,"46-60",TRUE,"60+")</f>
        <v>26-35</v>
      </c>
      <c r="N837" t="str">
        <f t="shared" si="40"/>
        <v>Discounted</v>
      </c>
      <c r="O837" t="str">
        <f t="shared" si="41"/>
        <v>Returning</v>
      </c>
    </row>
    <row r="838" spans="1:15" x14ac:dyDescent="0.25">
      <c r="A838">
        <v>837</v>
      </c>
      <c r="B838">
        <v>62</v>
      </c>
      <c r="C838" t="s">
        <v>11</v>
      </c>
      <c r="D838" t="s">
        <v>12</v>
      </c>
      <c r="E838" t="s">
        <v>13</v>
      </c>
      <c r="F838" s="1">
        <v>144.18</v>
      </c>
      <c r="G838" t="s">
        <v>24</v>
      </c>
      <c r="H838" t="s">
        <v>15</v>
      </c>
      <c r="I838" s="2">
        <v>3.7</v>
      </c>
      <c r="J838" s="4">
        <v>6</v>
      </c>
      <c r="K838" s="3">
        <v>3</v>
      </c>
      <c r="L838" s="1">
        <f t="shared" si="39"/>
        <v>135.5292</v>
      </c>
      <c r="M838" t="str" cm="1">
        <f t="array" ref="M838">_xlfn.IFS(B838&lt;18,"Under 18",B838 &lt;=25,"18-25",B838&lt;=35,"26-35",B838&lt;=45,"36-45",B838&lt;=60,"46-60",TRUE,"60+")</f>
        <v>60+</v>
      </c>
      <c r="N838" t="str">
        <f t="shared" si="40"/>
        <v>Discounted</v>
      </c>
      <c r="O838" t="str">
        <f t="shared" si="41"/>
        <v>Returning</v>
      </c>
    </row>
    <row r="839" spans="1:15" x14ac:dyDescent="0.25">
      <c r="A839">
        <v>838</v>
      </c>
      <c r="B839">
        <v>59</v>
      </c>
      <c r="C839" t="s">
        <v>16</v>
      </c>
      <c r="D839" t="s">
        <v>20</v>
      </c>
      <c r="E839" t="s">
        <v>21</v>
      </c>
      <c r="F839" s="1">
        <v>140.99</v>
      </c>
      <c r="G839" t="s">
        <v>19</v>
      </c>
      <c r="H839" t="s">
        <v>15</v>
      </c>
      <c r="I839" s="2">
        <v>2.7</v>
      </c>
      <c r="J839" s="4">
        <v>12</v>
      </c>
      <c r="K839" s="3">
        <v>6</v>
      </c>
      <c r="L839" s="1">
        <f t="shared" si="39"/>
        <v>124.0712</v>
      </c>
      <c r="M839" t="str" cm="1">
        <f t="array" ref="M839">_xlfn.IFS(B839&lt;18,"Under 18",B839 &lt;=25,"18-25",B839&lt;=35,"26-35",B839&lt;=45,"36-45",B839&lt;=60,"46-60",TRUE,"60+")</f>
        <v>46-60</v>
      </c>
      <c r="N839" t="str">
        <f t="shared" si="40"/>
        <v>Discounted</v>
      </c>
      <c r="O839" t="str">
        <f t="shared" si="41"/>
        <v>Returning</v>
      </c>
    </row>
    <row r="840" spans="1:15" x14ac:dyDescent="0.25">
      <c r="A840">
        <v>839</v>
      </c>
      <c r="B840">
        <v>38</v>
      </c>
      <c r="C840" t="s">
        <v>16</v>
      </c>
      <c r="D840" t="s">
        <v>22</v>
      </c>
      <c r="E840" t="s">
        <v>43</v>
      </c>
      <c r="F840" s="1">
        <v>140.12</v>
      </c>
      <c r="G840" t="s">
        <v>31</v>
      </c>
      <c r="H840" t="s">
        <v>15</v>
      </c>
      <c r="I840" s="2">
        <v>4.9000000000000004</v>
      </c>
      <c r="J840" s="4">
        <v>14</v>
      </c>
      <c r="K840" s="3">
        <v>7</v>
      </c>
      <c r="L840" s="1">
        <f t="shared" si="39"/>
        <v>120.50320000000001</v>
      </c>
      <c r="M840" t="str" cm="1">
        <f t="array" ref="M840">_xlfn.IFS(B840&lt;18,"Under 18",B840 &lt;=25,"18-25",B840&lt;=35,"26-35",B840&lt;=45,"36-45",B840&lt;=60,"46-60",TRUE,"60+")</f>
        <v>36-45</v>
      </c>
      <c r="N840" t="str">
        <f t="shared" si="40"/>
        <v>Discounted</v>
      </c>
      <c r="O840" t="str">
        <f t="shared" si="41"/>
        <v>Returning</v>
      </c>
    </row>
    <row r="841" spans="1:15" x14ac:dyDescent="0.25">
      <c r="A841">
        <v>840</v>
      </c>
      <c r="B841">
        <v>31</v>
      </c>
      <c r="C841" t="s">
        <v>16</v>
      </c>
      <c r="D841" t="s">
        <v>17</v>
      </c>
      <c r="E841" t="s">
        <v>48</v>
      </c>
      <c r="F841" s="1">
        <v>81.16</v>
      </c>
      <c r="G841" t="s">
        <v>14</v>
      </c>
      <c r="H841" t="s">
        <v>15</v>
      </c>
      <c r="I841" s="2">
        <v>3.9</v>
      </c>
      <c r="J841" s="4">
        <v>21</v>
      </c>
      <c r="K841" s="3">
        <v>8</v>
      </c>
      <c r="L841" s="1">
        <f t="shared" si="39"/>
        <v>64.116399999999999</v>
      </c>
      <c r="M841" t="str" cm="1">
        <f t="array" ref="M841">_xlfn.IFS(B841&lt;18,"Under 18",B841 &lt;=25,"18-25",B841&lt;=35,"26-35",B841&lt;=45,"36-45",B841&lt;=60,"46-60",TRUE,"60+")</f>
        <v>26-35</v>
      </c>
      <c r="N841" t="str">
        <f t="shared" si="40"/>
        <v>Discounted</v>
      </c>
      <c r="O841" t="str">
        <f t="shared" si="41"/>
        <v>Returning</v>
      </c>
    </row>
    <row r="842" spans="1:15" x14ac:dyDescent="0.25">
      <c r="A842">
        <v>841</v>
      </c>
      <c r="B842">
        <v>40</v>
      </c>
      <c r="C842" t="s">
        <v>11</v>
      </c>
      <c r="D842" t="s">
        <v>12</v>
      </c>
      <c r="E842" t="s">
        <v>13</v>
      </c>
      <c r="F842" s="1">
        <v>74.23</v>
      </c>
      <c r="G842" t="s">
        <v>19</v>
      </c>
      <c r="H842" t="s">
        <v>15</v>
      </c>
      <c r="I842" s="2">
        <v>4.4000000000000004</v>
      </c>
      <c r="J842" s="4">
        <v>11</v>
      </c>
      <c r="K842" s="3">
        <v>3</v>
      </c>
      <c r="L842" s="1">
        <f t="shared" si="39"/>
        <v>66.064700000000002</v>
      </c>
      <c r="M842" t="str" cm="1">
        <f t="array" ref="M842">_xlfn.IFS(B842&lt;18,"Under 18",B842 &lt;=25,"18-25",B842&lt;=35,"26-35",B842&lt;=45,"36-45",B842&lt;=60,"46-60",TRUE,"60+")</f>
        <v>36-45</v>
      </c>
      <c r="N842" t="str">
        <f t="shared" si="40"/>
        <v>Discounted</v>
      </c>
      <c r="O842" t="str">
        <f t="shared" si="41"/>
        <v>Returning</v>
      </c>
    </row>
    <row r="843" spans="1:15" x14ac:dyDescent="0.25">
      <c r="A843">
        <v>842</v>
      </c>
      <c r="B843">
        <v>51</v>
      </c>
      <c r="C843" t="s">
        <v>11</v>
      </c>
      <c r="D843" t="s">
        <v>12</v>
      </c>
      <c r="E843" t="s">
        <v>50</v>
      </c>
      <c r="F843" s="1">
        <v>125.26</v>
      </c>
      <c r="G843" t="s">
        <v>19</v>
      </c>
      <c r="H843" t="s">
        <v>15</v>
      </c>
      <c r="I843" s="2">
        <v>4.7</v>
      </c>
      <c r="J843" s="4">
        <v>14</v>
      </c>
      <c r="K843" s="3">
        <v>2</v>
      </c>
      <c r="L843" s="1">
        <f t="shared" si="39"/>
        <v>107.7236</v>
      </c>
      <c r="M843" t="str" cm="1">
        <f t="array" ref="M843">_xlfn.IFS(B843&lt;18,"Under 18",B843 &lt;=25,"18-25",B843&lt;=35,"26-35",B843&lt;=45,"36-45",B843&lt;=60,"46-60",TRUE,"60+")</f>
        <v>46-60</v>
      </c>
      <c r="N843" t="str">
        <f t="shared" si="40"/>
        <v>Discounted</v>
      </c>
      <c r="O843" t="str">
        <f t="shared" si="41"/>
        <v>Returning</v>
      </c>
    </row>
    <row r="844" spans="1:15" x14ac:dyDescent="0.25">
      <c r="A844">
        <v>843</v>
      </c>
      <c r="B844">
        <v>24</v>
      </c>
      <c r="C844" t="s">
        <v>16</v>
      </c>
      <c r="D844" t="s">
        <v>33</v>
      </c>
      <c r="E844" t="s">
        <v>38</v>
      </c>
      <c r="F844" s="1">
        <v>214.97</v>
      </c>
      <c r="G844" t="s">
        <v>24</v>
      </c>
      <c r="H844" t="s">
        <v>15</v>
      </c>
      <c r="I844" s="2">
        <v>4.2</v>
      </c>
      <c r="J844" s="4">
        <v>19</v>
      </c>
      <c r="K844" s="3">
        <v>7</v>
      </c>
      <c r="L844" s="1">
        <f t="shared" si="39"/>
        <v>174.12570000000002</v>
      </c>
      <c r="M844" t="str" cm="1">
        <f t="array" ref="M844">_xlfn.IFS(B844&lt;18,"Under 18",B844 &lt;=25,"18-25",B844&lt;=35,"26-35",B844&lt;=45,"36-45",B844&lt;=60,"46-60",TRUE,"60+")</f>
        <v>18-25</v>
      </c>
      <c r="N844" t="str">
        <f t="shared" si="40"/>
        <v>Discounted</v>
      </c>
      <c r="O844" t="str">
        <f t="shared" si="41"/>
        <v>Returning</v>
      </c>
    </row>
    <row r="845" spans="1:15" x14ac:dyDescent="0.25">
      <c r="A845">
        <v>844</v>
      </c>
      <c r="B845">
        <v>23</v>
      </c>
      <c r="C845" t="s">
        <v>16</v>
      </c>
      <c r="D845" t="s">
        <v>27</v>
      </c>
      <c r="E845" t="s">
        <v>28</v>
      </c>
      <c r="F845" s="1">
        <v>1810.64</v>
      </c>
      <c r="G845" t="s">
        <v>14</v>
      </c>
      <c r="H845" t="s">
        <v>15</v>
      </c>
      <c r="I845" s="2">
        <v>4.5</v>
      </c>
      <c r="J845" s="4">
        <v>11</v>
      </c>
      <c r="K845" s="3">
        <v>3</v>
      </c>
      <c r="L845" s="1">
        <f t="shared" si="39"/>
        <v>1611.4696000000001</v>
      </c>
      <c r="M845" t="str" cm="1">
        <f t="array" ref="M845">_xlfn.IFS(B845&lt;18,"Under 18",B845 &lt;=25,"18-25",B845&lt;=35,"26-35",B845&lt;=45,"36-45",B845&lt;=60,"46-60",TRUE,"60+")</f>
        <v>18-25</v>
      </c>
      <c r="N845" t="str">
        <f t="shared" si="40"/>
        <v>Discounted</v>
      </c>
      <c r="O845" t="str">
        <f t="shared" si="41"/>
        <v>Returning</v>
      </c>
    </row>
    <row r="846" spans="1:15" x14ac:dyDescent="0.25">
      <c r="A846">
        <v>845</v>
      </c>
      <c r="B846">
        <v>33</v>
      </c>
      <c r="C846" t="s">
        <v>16</v>
      </c>
      <c r="D846" t="s">
        <v>17</v>
      </c>
      <c r="E846" t="s">
        <v>42</v>
      </c>
      <c r="F846" s="1">
        <v>140.65</v>
      </c>
      <c r="G846" t="s">
        <v>31</v>
      </c>
      <c r="H846" t="s">
        <v>15</v>
      </c>
      <c r="I846" s="2">
        <v>4.7</v>
      </c>
      <c r="J846" s="4">
        <v>20</v>
      </c>
      <c r="K846" s="3">
        <v>5</v>
      </c>
      <c r="L846" s="1">
        <f t="shared" si="39"/>
        <v>112.52000000000001</v>
      </c>
      <c r="M846" t="str" cm="1">
        <f t="array" ref="M846">_xlfn.IFS(B846&lt;18,"Under 18",B846 &lt;=25,"18-25",B846&lt;=35,"26-35",B846&lt;=45,"36-45",B846&lt;=60,"46-60",TRUE,"60+")</f>
        <v>26-35</v>
      </c>
      <c r="N846" t="str">
        <f t="shared" si="40"/>
        <v>Discounted</v>
      </c>
      <c r="O846" t="str">
        <f t="shared" si="41"/>
        <v>Returning</v>
      </c>
    </row>
    <row r="847" spans="1:15" x14ac:dyDescent="0.25">
      <c r="A847">
        <v>846</v>
      </c>
      <c r="B847">
        <v>33</v>
      </c>
      <c r="C847" t="s">
        <v>16</v>
      </c>
      <c r="D847" t="s">
        <v>27</v>
      </c>
      <c r="E847" t="s">
        <v>28</v>
      </c>
      <c r="F847" s="1">
        <v>2064.65</v>
      </c>
      <c r="G847" t="s">
        <v>14</v>
      </c>
      <c r="H847" t="s">
        <v>15</v>
      </c>
      <c r="I847" s="2">
        <v>4.7</v>
      </c>
      <c r="J847" s="4">
        <v>17</v>
      </c>
      <c r="K847" s="3">
        <v>6</v>
      </c>
      <c r="L847" s="1">
        <f t="shared" si="39"/>
        <v>1713.6595</v>
      </c>
      <c r="M847" t="str" cm="1">
        <f t="array" ref="M847">_xlfn.IFS(B847&lt;18,"Under 18",B847 &lt;=25,"18-25",B847&lt;=35,"26-35",B847&lt;=45,"36-45",B847&lt;=60,"46-60",TRUE,"60+")</f>
        <v>26-35</v>
      </c>
      <c r="N847" t="str">
        <f t="shared" si="40"/>
        <v>Discounted</v>
      </c>
      <c r="O847" t="str">
        <f t="shared" si="41"/>
        <v>Returning</v>
      </c>
    </row>
    <row r="848" spans="1:15" x14ac:dyDescent="0.25">
      <c r="A848">
        <v>847</v>
      </c>
      <c r="B848">
        <v>36</v>
      </c>
      <c r="C848" t="s">
        <v>11</v>
      </c>
      <c r="D848" t="s">
        <v>25</v>
      </c>
      <c r="E848" t="s">
        <v>54</v>
      </c>
      <c r="F848" s="1">
        <v>11.44</v>
      </c>
      <c r="G848" t="s">
        <v>14</v>
      </c>
      <c r="H848" t="s">
        <v>15</v>
      </c>
      <c r="I848" s="2">
        <v>3.1</v>
      </c>
      <c r="J848" s="4">
        <v>13</v>
      </c>
      <c r="K848" s="3">
        <v>4</v>
      </c>
      <c r="L848" s="1">
        <f t="shared" si="39"/>
        <v>9.9527999999999999</v>
      </c>
      <c r="M848" t="str" cm="1">
        <f t="array" ref="M848">_xlfn.IFS(B848&lt;18,"Under 18",B848 &lt;=25,"18-25",B848&lt;=35,"26-35",B848&lt;=45,"36-45",B848&lt;=60,"46-60",TRUE,"60+")</f>
        <v>36-45</v>
      </c>
      <c r="N848" t="str">
        <f t="shared" si="40"/>
        <v>Discounted</v>
      </c>
      <c r="O848" t="str">
        <f t="shared" si="41"/>
        <v>Returning</v>
      </c>
    </row>
    <row r="849" spans="1:15" x14ac:dyDescent="0.25">
      <c r="A849">
        <v>848</v>
      </c>
      <c r="B849">
        <v>54</v>
      </c>
      <c r="C849" t="s">
        <v>11</v>
      </c>
      <c r="D849" t="s">
        <v>29</v>
      </c>
      <c r="E849" t="s">
        <v>30</v>
      </c>
      <c r="F849" s="1">
        <v>76.66</v>
      </c>
      <c r="G849" t="s">
        <v>19</v>
      </c>
      <c r="H849" t="s">
        <v>37</v>
      </c>
      <c r="I849" s="2">
        <v>4.3</v>
      </c>
      <c r="J849" s="4">
        <v>12</v>
      </c>
      <c r="K849" s="3">
        <v>6</v>
      </c>
      <c r="L849" s="1">
        <f t="shared" si="39"/>
        <v>67.460799999999992</v>
      </c>
      <c r="M849" t="str" cm="1">
        <f t="array" ref="M849">_xlfn.IFS(B849&lt;18,"Under 18",B849 &lt;=25,"18-25",B849&lt;=35,"26-35",B849&lt;=45,"36-45",B849&lt;=60,"46-60",TRUE,"60+")</f>
        <v>46-60</v>
      </c>
      <c r="N849" t="str">
        <f t="shared" si="40"/>
        <v>Discounted</v>
      </c>
      <c r="O849" t="str">
        <f t="shared" si="41"/>
        <v>Returning</v>
      </c>
    </row>
    <row r="850" spans="1:15" x14ac:dyDescent="0.25">
      <c r="A850">
        <v>849</v>
      </c>
      <c r="B850">
        <v>64</v>
      </c>
      <c r="C850" t="s">
        <v>11</v>
      </c>
      <c r="D850" t="s">
        <v>12</v>
      </c>
      <c r="E850" t="s">
        <v>56</v>
      </c>
      <c r="F850" s="1">
        <v>97.05</v>
      </c>
      <c r="G850" t="s">
        <v>14</v>
      </c>
      <c r="H850" t="s">
        <v>37</v>
      </c>
      <c r="I850" s="2">
        <v>4.3</v>
      </c>
      <c r="J850" s="4">
        <v>17</v>
      </c>
      <c r="K850" s="3">
        <v>6</v>
      </c>
      <c r="L850" s="1">
        <f t="shared" si="39"/>
        <v>80.55149999999999</v>
      </c>
      <c r="M850" t="str" cm="1">
        <f t="array" ref="M850">_xlfn.IFS(B850&lt;18,"Under 18",B850 &lt;=25,"18-25",B850&lt;=35,"26-35",B850&lt;=45,"36-45",B850&lt;=60,"46-60",TRUE,"60+")</f>
        <v>60+</v>
      </c>
      <c r="N850" t="str">
        <f t="shared" si="40"/>
        <v>Discounted</v>
      </c>
      <c r="O850" t="str">
        <f t="shared" si="41"/>
        <v>Returning</v>
      </c>
    </row>
    <row r="851" spans="1:15" x14ac:dyDescent="0.25">
      <c r="A851">
        <v>850</v>
      </c>
      <c r="B851">
        <v>24</v>
      </c>
      <c r="C851" t="s">
        <v>16</v>
      </c>
      <c r="D851" t="s">
        <v>20</v>
      </c>
      <c r="E851" t="s">
        <v>21</v>
      </c>
      <c r="F851" s="1">
        <v>214.49</v>
      </c>
      <c r="G851" t="s">
        <v>14</v>
      </c>
      <c r="H851" t="s">
        <v>15</v>
      </c>
      <c r="I851" s="2">
        <v>4.4000000000000004</v>
      </c>
      <c r="J851" s="4">
        <v>7</v>
      </c>
      <c r="K851" s="3">
        <v>1</v>
      </c>
      <c r="L851" s="1">
        <f t="shared" si="39"/>
        <v>199.47569999999999</v>
      </c>
      <c r="M851" t="str" cm="1">
        <f t="array" ref="M851">_xlfn.IFS(B851&lt;18,"Under 18",B851 &lt;=25,"18-25",B851&lt;=35,"26-35",B851&lt;=45,"36-45",B851&lt;=60,"46-60",TRUE,"60+")</f>
        <v>18-25</v>
      </c>
      <c r="N851" t="str">
        <f t="shared" si="40"/>
        <v>Discounted</v>
      </c>
      <c r="O851" t="str">
        <f t="shared" si="41"/>
        <v>Returning</v>
      </c>
    </row>
    <row r="852" spans="1:15" x14ac:dyDescent="0.25">
      <c r="A852">
        <v>851</v>
      </c>
      <c r="B852">
        <v>27</v>
      </c>
      <c r="C852" t="s">
        <v>16</v>
      </c>
      <c r="D852" t="s">
        <v>17</v>
      </c>
      <c r="E852" t="s">
        <v>48</v>
      </c>
      <c r="F852" s="1">
        <v>43.04</v>
      </c>
      <c r="G852" t="s">
        <v>31</v>
      </c>
      <c r="H852" t="s">
        <v>37</v>
      </c>
      <c r="I852" s="2">
        <v>2</v>
      </c>
      <c r="J852" s="4">
        <v>13</v>
      </c>
      <c r="K852" s="3">
        <v>4</v>
      </c>
      <c r="L852" s="1">
        <f t="shared" si="39"/>
        <v>37.444800000000001</v>
      </c>
      <c r="M852" t="str" cm="1">
        <f t="array" ref="M852">_xlfn.IFS(B852&lt;18,"Under 18",B852 &lt;=25,"18-25",B852&lt;=35,"26-35",B852&lt;=45,"36-45",B852&lt;=60,"46-60",TRUE,"60+")</f>
        <v>26-35</v>
      </c>
      <c r="N852" t="str">
        <f t="shared" si="40"/>
        <v>Discounted</v>
      </c>
      <c r="O852" t="str">
        <f t="shared" si="41"/>
        <v>Returning</v>
      </c>
    </row>
    <row r="853" spans="1:15" x14ac:dyDescent="0.25">
      <c r="A853">
        <v>852</v>
      </c>
      <c r="B853">
        <v>42</v>
      </c>
      <c r="C853" t="s">
        <v>11</v>
      </c>
      <c r="D853" t="s">
        <v>12</v>
      </c>
      <c r="E853" t="s">
        <v>50</v>
      </c>
      <c r="F853" s="1">
        <v>60.96</v>
      </c>
      <c r="G853" t="s">
        <v>19</v>
      </c>
      <c r="H853" t="s">
        <v>15</v>
      </c>
      <c r="I853" s="2">
        <v>3.2</v>
      </c>
      <c r="J853" s="4">
        <v>4</v>
      </c>
      <c r="K853" s="3">
        <v>2</v>
      </c>
      <c r="L853" s="1">
        <f t="shared" si="39"/>
        <v>58.521599999999999</v>
      </c>
      <c r="M853" t="str" cm="1">
        <f t="array" ref="M853">_xlfn.IFS(B853&lt;18,"Under 18",B853 &lt;=25,"18-25",B853&lt;=35,"26-35",B853&lt;=45,"36-45",B853&lt;=60,"46-60",TRUE,"60+")</f>
        <v>36-45</v>
      </c>
      <c r="N853" t="str">
        <f t="shared" si="40"/>
        <v>Discounted</v>
      </c>
      <c r="O853" t="str">
        <f t="shared" si="41"/>
        <v>Returning</v>
      </c>
    </row>
    <row r="854" spans="1:15" x14ac:dyDescent="0.25">
      <c r="A854">
        <v>853</v>
      </c>
      <c r="B854">
        <v>40</v>
      </c>
      <c r="C854" t="s">
        <v>11</v>
      </c>
      <c r="D854" t="s">
        <v>22</v>
      </c>
      <c r="E854" t="s">
        <v>43</v>
      </c>
      <c r="F854" s="1">
        <v>198.03</v>
      </c>
      <c r="G854" t="s">
        <v>14</v>
      </c>
      <c r="H854" t="s">
        <v>15</v>
      </c>
      <c r="I854" s="2">
        <v>3</v>
      </c>
      <c r="J854" s="4">
        <v>20</v>
      </c>
      <c r="K854" s="3">
        <v>5</v>
      </c>
      <c r="L854" s="1">
        <f t="shared" si="39"/>
        <v>158.42400000000001</v>
      </c>
      <c r="M854" t="str" cm="1">
        <f t="array" ref="M854">_xlfn.IFS(B854&lt;18,"Under 18",B854 &lt;=25,"18-25",B854&lt;=35,"26-35",B854&lt;=45,"36-45",B854&lt;=60,"46-60",TRUE,"60+")</f>
        <v>36-45</v>
      </c>
      <c r="N854" t="str">
        <f t="shared" si="40"/>
        <v>Discounted</v>
      </c>
      <c r="O854" t="str">
        <f t="shared" si="41"/>
        <v>Returning</v>
      </c>
    </row>
    <row r="855" spans="1:15" x14ac:dyDescent="0.25">
      <c r="A855">
        <v>854</v>
      </c>
      <c r="B855">
        <v>44</v>
      </c>
      <c r="C855" t="s">
        <v>11</v>
      </c>
      <c r="D855" t="s">
        <v>20</v>
      </c>
      <c r="E855" t="s">
        <v>39</v>
      </c>
      <c r="F855" s="1">
        <v>218.22</v>
      </c>
      <c r="G855" t="s">
        <v>19</v>
      </c>
      <c r="H855" t="s">
        <v>15</v>
      </c>
      <c r="I855" s="2">
        <v>3.3</v>
      </c>
      <c r="J855" s="4">
        <v>19</v>
      </c>
      <c r="K855" s="3">
        <v>7</v>
      </c>
      <c r="L855" s="1">
        <f t="shared" si="39"/>
        <v>176.75820000000002</v>
      </c>
      <c r="M855" t="str" cm="1">
        <f t="array" ref="M855">_xlfn.IFS(B855&lt;18,"Under 18",B855 &lt;=25,"18-25",B855&lt;=35,"26-35",B855&lt;=45,"36-45",B855&lt;=60,"46-60",TRUE,"60+")</f>
        <v>36-45</v>
      </c>
      <c r="N855" t="str">
        <f t="shared" si="40"/>
        <v>Discounted</v>
      </c>
      <c r="O855" t="str">
        <f t="shared" si="41"/>
        <v>Returning</v>
      </c>
    </row>
    <row r="856" spans="1:15" x14ac:dyDescent="0.25">
      <c r="A856">
        <v>855</v>
      </c>
      <c r="B856">
        <v>51</v>
      </c>
      <c r="C856" t="s">
        <v>11</v>
      </c>
      <c r="D856" t="s">
        <v>22</v>
      </c>
      <c r="E856" t="s">
        <v>23</v>
      </c>
      <c r="F856" s="1">
        <v>207.52</v>
      </c>
      <c r="G856" t="s">
        <v>19</v>
      </c>
      <c r="H856" t="s">
        <v>15</v>
      </c>
      <c r="I856" s="2">
        <v>3.6</v>
      </c>
      <c r="J856" s="4">
        <v>17</v>
      </c>
      <c r="K856" s="3">
        <v>6</v>
      </c>
      <c r="L856" s="1">
        <f t="shared" si="39"/>
        <v>172.24160000000001</v>
      </c>
      <c r="M856" t="str" cm="1">
        <f t="array" ref="M856">_xlfn.IFS(B856&lt;18,"Under 18",B856 &lt;=25,"18-25",B856&lt;=35,"26-35",B856&lt;=45,"36-45",B856&lt;=60,"46-60",TRUE,"60+")</f>
        <v>46-60</v>
      </c>
      <c r="N856" t="str">
        <f t="shared" si="40"/>
        <v>Discounted</v>
      </c>
      <c r="O856" t="str">
        <f t="shared" si="41"/>
        <v>Returning</v>
      </c>
    </row>
    <row r="857" spans="1:15" x14ac:dyDescent="0.25">
      <c r="A857">
        <v>856</v>
      </c>
      <c r="B857">
        <v>55</v>
      </c>
      <c r="C857" t="s">
        <v>11</v>
      </c>
      <c r="D857" t="s">
        <v>29</v>
      </c>
      <c r="E857" t="s">
        <v>55</v>
      </c>
      <c r="F857" s="1">
        <v>72.03</v>
      </c>
      <c r="G857" t="s">
        <v>14</v>
      </c>
      <c r="H857" t="s">
        <v>15</v>
      </c>
      <c r="I857" s="2">
        <v>4.2</v>
      </c>
      <c r="J857" s="4">
        <v>12</v>
      </c>
      <c r="K857" s="3">
        <v>6</v>
      </c>
      <c r="L857" s="1">
        <f t="shared" si="39"/>
        <v>63.386400000000002</v>
      </c>
      <c r="M857" t="str" cm="1">
        <f t="array" ref="M857">_xlfn.IFS(B857&lt;18,"Under 18",B857 &lt;=25,"18-25",B857&lt;=35,"26-35",B857&lt;=45,"36-45",B857&lt;=60,"46-60",TRUE,"60+")</f>
        <v>46-60</v>
      </c>
      <c r="N857" t="str">
        <f t="shared" si="40"/>
        <v>Discounted</v>
      </c>
      <c r="O857" t="str">
        <f t="shared" si="41"/>
        <v>Returning</v>
      </c>
    </row>
    <row r="858" spans="1:15" x14ac:dyDescent="0.25">
      <c r="A858">
        <v>857</v>
      </c>
      <c r="B858">
        <v>60</v>
      </c>
      <c r="C858" t="s">
        <v>16</v>
      </c>
      <c r="D858" t="s">
        <v>33</v>
      </c>
      <c r="E858" t="s">
        <v>38</v>
      </c>
      <c r="F858" s="1">
        <v>186.72</v>
      </c>
      <c r="G858" t="s">
        <v>19</v>
      </c>
      <c r="H858" t="s">
        <v>15</v>
      </c>
      <c r="I858" s="2">
        <v>4</v>
      </c>
      <c r="J858" s="4">
        <v>18</v>
      </c>
      <c r="K858" s="3">
        <v>4</v>
      </c>
      <c r="L858" s="1">
        <f t="shared" si="39"/>
        <v>153.1104</v>
      </c>
      <c r="M858" t="str" cm="1">
        <f t="array" ref="M858">_xlfn.IFS(B858&lt;18,"Under 18",B858 &lt;=25,"18-25",B858&lt;=35,"26-35",B858&lt;=45,"36-45",B858&lt;=60,"46-60",TRUE,"60+")</f>
        <v>46-60</v>
      </c>
      <c r="N858" t="str">
        <f t="shared" si="40"/>
        <v>Discounted</v>
      </c>
      <c r="O858" t="str">
        <f t="shared" si="41"/>
        <v>Returning</v>
      </c>
    </row>
    <row r="859" spans="1:15" x14ac:dyDescent="0.25">
      <c r="A859">
        <v>858</v>
      </c>
      <c r="B859">
        <v>62</v>
      </c>
      <c r="C859" t="s">
        <v>16</v>
      </c>
      <c r="D859" t="s">
        <v>33</v>
      </c>
      <c r="E859" t="s">
        <v>34</v>
      </c>
      <c r="F859" s="1">
        <v>114.97</v>
      </c>
      <c r="G859" t="s">
        <v>14</v>
      </c>
      <c r="H859" t="s">
        <v>15</v>
      </c>
      <c r="I859" s="2">
        <v>2.9</v>
      </c>
      <c r="J859" s="4">
        <v>22</v>
      </c>
      <c r="K859" s="3">
        <v>11</v>
      </c>
      <c r="L859" s="1">
        <f t="shared" si="39"/>
        <v>89.676600000000008</v>
      </c>
      <c r="M859" t="str" cm="1">
        <f t="array" ref="M859">_xlfn.IFS(B859&lt;18,"Under 18",B859 &lt;=25,"18-25",B859&lt;=35,"26-35",B859&lt;=45,"36-45",B859&lt;=60,"46-60",TRUE,"60+")</f>
        <v>60+</v>
      </c>
      <c r="N859" t="str">
        <f t="shared" si="40"/>
        <v>Discounted</v>
      </c>
      <c r="O859" t="str">
        <f t="shared" si="41"/>
        <v>Returning</v>
      </c>
    </row>
    <row r="860" spans="1:15" x14ac:dyDescent="0.25">
      <c r="A860">
        <v>859</v>
      </c>
      <c r="B860">
        <v>22</v>
      </c>
      <c r="C860" t="s">
        <v>16</v>
      </c>
      <c r="D860" t="s">
        <v>25</v>
      </c>
      <c r="E860" t="s">
        <v>26</v>
      </c>
      <c r="F860" s="1">
        <v>40.19</v>
      </c>
      <c r="G860" t="s">
        <v>19</v>
      </c>
      <c r="H860" t="s">
        <v>37</v>
      </c>
      <c r="I860" s="2">
        <v>3.7</v>
      </c>
      <c r="J860" s="4">
        <v>14</v>
      </c>
      <c r="K860" s="3">
        <v>2</v>
      </c>
      <c r="L860" s="1">
        <f t="shared" si="39"/>
        <v>34.563399999999994</v>
      </c>
      <c r="M860" t="str" cm="1">
        <f t="array" ref="M860">_xlfn.IFS(B860&lt;18,"Under 18",B860 &lt;=25,"18-25",B860&lt;=35,"26-35",B860&lt;=45,"36-45",B860&lt;=60,"46-60",TRUE,"60+")</f>
        <v>18-25</v>
      </c>
      <c r="N860" t="str">
        <f t="shared" si="40"/>
        <v>Discounted</v>
      </c>
      <c r="O860" t="str">
        <f t="shared" si="41"/>
        <v>Returning</v>
      </c>
    </row>
    <row r="861" spans="1:15" x14ac:dyDescent="0.25">
      <c r="A861">
        <v>860</v>
      </c>
      <c r="B861">
        <v>32</v>
      </c>
      <c r="C861" t="s">
        <v>11</v>
      </c>
      <c r="D861" t="s">
        <v>41</v>
      </c>
      <c r="E861" t="s">
        <v>42</v>
      </c>
      <c r="F861" s="1">
        <v>120.08</v>
      </c>
      <c r="G861" t="s">
        <v>19</v>
      </c>
      <c r="H861" t="s">
        <v>15</v>
      </c>
      <c r="I861" s="2">
        <v>3.5</v>
      </c>
      <c r="J861" s="4">
        <v>8</v>
      </c>
      <c r="K861" s="3">
        <v>4</v>
      </c>
      <c r="L861" s="1">
        <f t="shared" si="39"/>
        <v>110.4736</v>
      </c>
      <c r="M861" t="str" cm="1">
        <f t="array" ref="M861">_xlfn.IFS(B861&lt;18,"Under 18",B861 &lt;=25,"18-25",B861&lt;=35,"26-35",B861&lt;=45,"36-45",B861&lt;=60,"46-60",TRUE,"60+")</f>
        <v>26-35</v>
      </c>
      <c r="N861" t="str">
        <f t="shared" si="40"/>
        <v>Discounted</v>
      </c>
      <c r="O861" t="str">
        <f t="shared" si="41"/>
        <v>Returning</v>
      </c>
    </row>
    <row r="862" spans="1:15" x14ac:dyDescent="0.25">
      <c r="A862">
        <v>861</v>
      </c>
      <c r="B862">
        <v>58</v>
      </c>
      <c r="C862" t="s">
        <v>16</v>
      </c>
      <c r="D862" t="s">
        <v>27</v>
      </c>
      <c r="E862" t="s">
        <v>49</v>
      </c>
      <c r="F862" s="1">
        <v>2431.86</v>
      </c>
      <c r="G862" t="s">
        <v>31</v>
      </c>
      <c r="H862" t="s">
        <v>15</v>
      </c>
      <c r="I862" s="2">
        <v>4.5999999999999996</v>
      </c>
      <c r="J862" s="4">
        <v>15</v>
      </c>
      <c r="K862" s="3">
        <v>5</v>
      </c>
      <c r="L862" s="1">
        <f t="shared" si="39"/>
        <v>2067.0810000000001</v>
      </c>
      <c r="M862" t="str" cm="1">
        <f t="array" ref="M862">_xlfn.IFS(B862&lt;18,"Under 18",B862 &lt;=25,"18-25",B862&lt;=35,"26-35",B862&lt;=45,"36-45",B862&lt;=60,"46-60",TRUE,"60+")</f>
        <v>46-60</v>
      </c>
      <c r="N862" t="str">
        <f t="shared" si="40"/>
        <v>Discounted</v>
      </c>
      <c r="O862" t="str">
        <f t="shared" si="41"/>
        <v>Returning</v>
      </c>
    </row>
    <row r="863" spans="1:15" x14ac:dyDescent="0.25">
      <c r="A863">
        <v>862</v>
      </c>
      <c r="B863">
        <v>59</v>
      </c>
      <c r="C863" t="s">
        <v>16</v>
      </c>
      <c r="D863" t="s">
        <v>27</v>
      </c>
      <c r="E863" t="s">
        <v>53</v>
      </c>
      <c r="F863" s="1">
        <v>1129</v>
      </c>
      <c r="G863" t="s">
        <v>24</v>
      </c>
      <c r="H863" t="s">
        <v>15</v>
      </c>
      <c r="I863" s="2">
        <v>2.5</v>
      </c>
      <c r="J863" s="4">
        <v>11</v>
      </c>
      <c r="K863" s="3">
        <v>3</v>
      </c>
      <c r="L863" s="1">
        <f t="shared" si="39"/>
        <v>1004.8100000000001</v>
      </c>
      <c r="M863" t="str" cm="1">
        <f t="array" ref="M863">_xlfn.IFS(B863&lt;18,"Under 18",B863 &lt;=25,"18-25",B863&lt;=35,"26-35",B863&lt;=45,"36-45",B863&lt;=60,"46-60",TRUE,"60+")</f>
        <v>46-60</v>
      </c>
      <c r="N863" t="str">
        <f t="shared" si="40"/>
        <v>Discounted</v>
      </c>
      <c r="O863" t="str">
        <f t="shared" si="41"/>
        <v>Returning</v>
      </c>
    </row>
    <row r="864" spans="1:15" x14ac:dyDescent="0.25">
      <c r="A864">
        <v>863</v>
      </c>
      <c r="B864">
        <v>40</v>
      </c>
      <c r="C864" t="s">
        <v>16</v>
      </c>
      <c r="D864" t="s">
        <v>33</v>
      </c>
      <c r="E864" t="s">
        <v>40</v>
      </c>
      <c r="F864" s="1">
        <v>96.21</v>
      </c>
      <c r="G864" t="s">
        <v>24</v>
      </c>
      <c r="H864" t="s">
        <v>37</v>
      </c>
      <c r="I864" s="2">
        <v>2.6</v>
      </c>
      <c r="J864" s="4">
        <v>11</v>
      </c>
      <c r="K864" s="3">
        <v>3</v>
      </c>
      <c r="L864" s="1">
        <f t="shared" si="39"/>
        <v>85.626899999999992</v>
      </c>
      <c r="M864" t="str" cm="1">
        <f t="array" ref="M864">_xlfn.IFS(B864&lt;18,"Under 18",B864 &lt;=25,"18-25",B864&lt;=35,"26-35",B864&lt;=45,"36-45",B864&lt;=60,"46-60",TRUE,"60+")</f>
        <v>36-45</v>
      </c>
      <c r="N864" t="str">
        <f t="shared" si="40"/>
        <v>Discounted</v>
      </c>
      <c r="O864" t="str">
        <f t="shared" si="41"/>
        <v>Returning</v>
      </c>
    </row>
    <row r="865" spans="1:15" x14ac:dyDescent="0.25">
      <c r="A865">
        <v>864</v>
      </c>
      <c r="B865">
        <v>46</v>
      </c>
      <c r="C865" t="s">
        <v>16</v>
      </c>
      <c r="D865" t="s">
        <v>27</v>
      </c>
      <c r="E865" t="s">
        <v>53</v>
      </c>
      <c r="F865" s="1">
        <v>1454.05</v>
      </c>
      <c r="G865" t="s">
        <v>31</v>
      </c>
      <c r="H865" t="s">
        <v>15</v>
      </c>
      <c r="I865" s="2">
        <v>3.5</v>
      </c>
      <c r="J865" s="4">
        <v>23</v>
      </c>
      <c r="K865" s="3">
        <v>9</v>
      </c>
      <c r="L865" s="1">
        <f t="shared" si="39"/>
        <v>1119.6185</v>
      </c>
      <c r="M865" t="str" cm="1">
        <f t="array" ref="M865">_xlfn.IFS(B865&lt;18,"Under 18",B865 &lt;=25,"18-25",B865&lt;=35,"26-35",B865&lt;=45,"36-45",B865&lt;=60,"46-60",TRUE,"60+")</f>
        <v>46-60</v>
      </c>
      <c r="N865" t="str">
        <f t="shared" si="40"/>
        <v>Discounted</v>
      </c>
      <c r="O865" t="str">
        <f t="shared" si="41"/>
        <v>Returning</v>
      </c>
    </row>
    <row r="866" spans="1:15" x14ac:dyDescent="0.25">
      <c r="A866">
        <v>865</v>
      </c>
      <c r="B866">
        <v>22</v>
      </c>
      <c r="C866" t="s">
        <v>16</v>
      </c>
      <c r="D866" t="s">
        <v>20</v>
      </c>
      <c r="E866" t="s">
        <v>36</v>
      </c>
      <c r="F866" s="1">
        <v>210.91</v>
      </c>
      <c r="G866" t="s">
        <v>19</v>
      </c>
      <c r="H866" t="s">
        <v>15</v>
      </c>
      <c r="I866" s="2">
        <v>3.8</v>
      </c>
      <c r="J866" s="4">
        <v>24</v>
      </c>
      <c r="K866" s="3">
        <v>7</v>
      </c>
      <c r="L866" s="1">
        <f t="shared" si="39"/>
        <v>160.29159999999999</v>
      </c>
      <c r="M866" t="str" cm="1">
        <f t="array" ref="M866">_xlfn.IFS(B866&lt;18,"Under 18",B866 &lt;=25,"18-25",B866&lt;=35,"26-35",B866&lt;=45,"36-45",B866&lt;=60,"46-60",TRUE,"60+")</f>
        <v>18-25</v>
      </c>
      <c r="N866" t="str">
        <f t="shared" si="40"/>
        <v>Discounted</v>
      </c>
      <c r="O866" t="str">
        <f t="shared" si="41"/>
        <v>Returning</v>
      </c>
    </row>
    <row r="867" spans="1:15" x14ac:dyDescent="0.25">
      <c r="A867">
        <v>866</v>
      </c>
      <c r="B867">
        <v>52</v>
      </c>
      <c r="C867" t="s">
        <v>11</v>
      </c>
      <c r="D867" t="s">
        <v>41</v>
      </c>
      <c r="E867" t="s">
        <v>46</v>
      </c>
      <c r="F867" s="1">
        <v>35.17</v>
      </c>
      <c r="G867" t="s">
        <v>14</v>
      </c>
      <c r="H867" t="s">
        <v>15</v>
      </c>
      <c r="I867" s="2">
        <v>4.0999999999999996</v>
      </c>
      <c r="J867" s="4">
        <v>26</v>
      </c>
      <c r="K867" s="3">
        <v>8</v>
      </c>
      <c r="L867" s="1">
        <f t="shared" si="39"/>
        <v>26.0258</v>
      </c>
      <c r="M867" t="str" cm="1">
        <f t="array" ref="M867">_xlfn.IFS(B867&lt;18,"Under 18",B867 &lt;=25,"18-25",B867&lt;=35,"26-35",B867&lt;=45,"36-45",B867&lt;=60,"46-60",TRUE,"60+")</f>
        <v>46-60</v>
      </c>
      <c r="N867" t="str">
        <f t="shared" si="40"/>
        <v>Discounted</v>
      </c>
      <c r="O867" t="str">
        <f t="shared" si="41"/>
        <v>Returning</v>
      </c>
    </row>
    <row r="868" spans="1:15" x14ac:dyDescent="0.25">
      <c r="A868">
        <v>867</v>
      </c>
      <c r="B868">
        <v>70</v>
      </c>
      <c r="C868" t="s">
        <v>16</v>
      </c>
      <c r="D868" t="s">
        <v>27</v>
      </c>
      <c r="E868" t="s">
        <v>28</v>
      </c>
      <c r="F868" s="1">
        <v>2108.89</v>
      </c>
      <c r="G868" t="s">
        <v>24</v>
      </c>
      <c r="H868" t="s">
        <v>15</v>
      </c>
      <c r="I868" s="2">
        <v>4.4000000000000004</v>
      </c>
      <c r="J868" s="4">
        <v>23</v>
      </c>
      <c r="K868" s="3">
        <v>9</v>
      </c>
      <c r="L868" s="1">
        <f t="shared" si="39"/>
        <v>1623.8453</v>
      </c>
      <c r="M868" t="str" cm="1">
        <f t="array" ref="M868">_xlfn.IFS(B868&lt;18,"Under 18",B868 &lt;=25,"18-25",B868&lt;=35,"26-35",B868&lt;=45,"36-45",B868&lt;=60,"46-60",TRUE,"60+")</f>
        <v>60+</v>
      </c>
      <c r="N868" t="str">
        <f t="shared" si="40"/>
        <v>Discounted</v>
      </c>
      <c r="O868" t="str">
        <f t="shared" si="41"/>
        <v>Returning</v>
      </c>
    </row>
    <row r="869" spans="1:15" x14ac:dyDescent="0.25">
      <c r="A869">
        <v>868</v>
      </c>
      <c r="B869">
        <v>51</v>
      </c>
      <c r="C869" t="s">
        <v>16</v>
      </c>
      <c r="D869" t="s">
        <v>20</v>
      </c>
      <c r="E869" t="s">
        <v>39</v>
      </c>
      <c r="F869" s="1">
        <v>219.04</v>
      </c>
      <c r="G869" t="s">
        <v>31</v>
      </c>
      <c r="H869" t="s">
        <v>15</v>
      </c>
      <c r="I869" s="2">
        <v>3.2</v>
      </c>
      <c r="J869" s="4">
        <v>11</v>
      </c>
      <c r="K869" s="3">
        <v>3</v>
      </c>
      <c r="L869" s="1">
        <f t="shared" si="39"/>
        <v>194.94559999999998</v>
      </c>
      <c r="M869" t="str" cm="1">
        <f t="array" ref="M869">_xlfn.IFS(B869&lt;18,"Under 18",B869 &lt;=25,"18-25",B869&lt;=35,"26-35",B869&lt;=45,"36-45",B869&lt;=60,"46-60",TRUE,"60+")</f>
        <v>46-60</v>
      </c>
      <c r="N869" t="str">
        <f t="shared" si="40"/>
        <v>Discounted</v>
      </c>
      <c r="O869" t="str">
        <f t="shared" si="41"/>
        <v>Returning</v>
      </c>
    </row>
    <row r="870" spans="1:15" x14ac:dyDescent="0.25">
      <c r="A870">
        <v>869</v>
      </c>
      <c r="B870">
        <v>67</v>
      </c>
      <c r="C870" t="s">
        <v>11</v>
      </c>
      <c r="D870" t="s">
        <v>12</v>
      </c>
      <c r="E870" t="s">
        <v>50</v>
      </c>
      <c r="F870" s="1">
        <v>48.74</v>
      </c>
      <c r="G870" t="s">
        <v>14</v>
      </c>
      <c r="H870" t="s">
        <v>15</v>
      </c>
      <c r="I870" s="2">
        <v>3.1</v>
      </c>
      <c r="J870" s="4">
        <v>24</v>
      </c>
      <c r="K870" s="3">
        <v>7</v>
      </c>
      <c r="L870" s="1">
        <f t="shared" si="39"/>
        <v>37.042400000000001</v>
      </c>
      <c r="M870" t="str" cm="1">
        <f t="array" ref="M870">_xlfn.IFS(B870&lt;18,"Under 18",B870 &lt;=25,"18-25",B870&lt;=35,"26-35",B870&lt;=45,"36-45",B870&lt;=60,"46-60",TRUE,"60+")</f>
        <v>60+</v>
      </c>
      <c r="N870" t="str">
        <f t="shared" si="40"/>
        <v>Discounted</v>
      </c>
      <c r="O870" t="str">
        <f t="shared" si="41"/>
        <v>Returning</v>
      </c>
    </row>
    <row r="871" spans="1:15" x14ac:dyDescent="0.25">
      <c r="A871">
        <v>870</v>
      </c>
      <c r="B871">
        <v>31</v>
      </c>
      <c r="C871" t="s">
        <v>11</v>
      </c>
      <c r="D871" t="s">
        <v>41</v>
      </c>
      <c r="E871" t="s">
        <v>42</v>
      </c>
      <c r="F871" s="1">
        <v>93.29</v>
      </c>
      <c r="G871" t="s">
        <v>14</v>
      </c>
      <c r="H871" t="s">
        <v>15</v>
      </c>
      <c r="I871" s="2">
        <v>5</v>
      </c>
      <c r="J871" s="4">
        <v>16</v>
      </c>
      <c r="K871" s="3">
        <v>3</v>
      </c>
      <c r="L871" s="1">
        <f t="shared" si="39"/>
        <v>78.363600000000005</v>
      </c>
      <c r="M871" t="str" cm="1">
        <f t="array" ref="M871">_xlfn.IFS(B871&lt;18,"Under 18",B871 &lt;=25,"18-25",B871&lt;=35,"26-35",B871&lt;=45,"36-45",B871&lt;=60,"46-60",TRUE,"60+")</f>
        <v>26-35</v>
      </c>
      <c r="N871" t="str">
        <f t="shared" si="40"/>
        <v>Discounted</v>
      </c>
      <c r="O871" t="str">
        <f t="shared" si="41"/>
        <v>Returning</v>
      </c>
    </row>
    <row r="872" spans="1:15" x14ac:dyDescent="0.25">
      <c r="A872">
        <v>871</v>
      </c>
      <c r="B872">
        <v>58</v>
      </c>
      <c r="C872" t="s">
        <v>11</v>
      </c>
      <c r="D872" t="s">
        <v>33</v>
      </c>
      <c r="E872" t="s">
        <v>38</v>
      </c>
      <c r="F872" s="1">
        <v>59.04</v>
      </c>
      <c r="G872" t="s">
        <v>14</v>
      </c>
      <c r="H872" t="s">
        <v>15</v>
      </c>
      <c r="I872" s="2">
        <v>2.9</v>
      </c>
      <c r="J872" s="4">
        <v>10</v>
      </c>
      <c r="K872" s="3">
        <v>5</v>
      </c>
      <c r="L872" s="1">
        <f t="shared" si="39"/>
        <v>53.136000000000003</v>
      </c>
      <c r="M872" t="str" cm="1">
        <f t="array" ref="M872">_xlfn.IFS(B872&lt;18,"Under 18",B872 &lt;=25,"18-25",B872&lt;=35,"26-35",B872&lt;=45,"36-45",B872&lt;=60,"46-60",TRUE,"60+")</f>
        <v>46-60</v>
      </c>
      <c r="N872" t="str">
        <f t="shared" si="40"/>
        <v>Discounted</v>
      </c>
      <c r="O872" t="str">
        <f t="shared" si="41"/>
        <v>Returning</v>
      </c>
    </row>
    <row r="873" spans="1:15" x14ac:dyDescent="0.25">
      <c r="A873">
        <v>872</v>
      </c>
      <c r="B873">
        <v>30</v>
      </c>
      <c r="C873" t="s">
        <v>16</v>
      </c>
      <c r="D873" t="s">
        <v>33</v>
      </c>
      <c r="E873" t="s">
        <v>34</v>
      </c>
      <c r="F873" s="1">
        <v>87.7</v>
      </c>
      <c r="G873" t="s">
        <v>14</v>
      </c>
      <c r="H873" t="s">
        <v>15</v>
      </c>
      <c r="I873" s="2">
        <v>4.2</v>
      </c>
      <c r="J873" s="4">
        <v>19</v>
      </c>
      <c r="K873" s="3">
        <v>7</v>
      </c>
      <c r="L873" s="1">
        <f t="shared" si="39"/>
        <v>71.037000000000006</v>
      </c>
      <c r="M873" t="str" cm="1">
        <f t="array" ref="M873">_xlfn.IFS(B873&lt;18,"Under 18",B873 &lt;=25,"18-25",B873&lt;=35,"26-35",B873&lt;=45,"36-45",B873&lt;=60,"46-60",TRUE,"60+")</f>
        <v>26-35</v>
      </c>
      <c r="N873" t="str">
        <f t="shared" si="40"/>
        <v>Discounted</v>
      </c>
      <c r="O873" t="str">
        <f t="shared" si="41"/>
        <v>Returning</v>
      </c>
    </row>
    <row r="874" spans="1:15" x14ac:dyDescent="0.25">
      <c r="A874">
        <v>873</v>
      </c>
      <c r="B874">
        <v>39</v>
      </c>
      <c r="C874" t="s">
        <v>11</v>
      </c>
      <c r="D874" t="s">
        <v>29</v>
      </c>
      <c r="E874" t="s">
        <v>30</v>
      </c>
      <c r="F874" s="1">
        <v>58.21</v>
      </c>
      <c r="G874" t="s">
        <v>24</v>
      </c>
      <c r="H874" t="s">
        <v>15</v>
      </c>
      <c r="I874" s="2">
        <v>2.5</v>
      </c>
      <c r="J874" s="4">
        <v>7</v>
      </c>
      <c r="K874" s="3">
        <v>1</v>
      </c>
      <c r="L874" s="1">
        <f t="shared" si="39"/>
        <v>54.135299999999994</v>
      </c>
      <c r="M874" t="str" cm="1">
        <f t="array" ref="M874">_xlfn.IFS(B874&lt;18,"Under 18",B874 &lt;=25,"18-25",B874&lt;=35,"26-35",B874&lt;=45,"36-45",B874&lt;=60,"46-60",TRUE,"60+")</f>
        <v>36-45</v>
      </c>
      <c r="N874" t="str">
        <f t="shared" si="40"/>
        <v>Discounted</v>
      </c>
      <c r="O874" t="str">
        <f t="shared" si="41"/>
        <v>Returning</v>
      </c>
    </row>
    <row r="875" spans="1:15" x14ac:dyDescent="0.25">
      <c r="A875">
        <v>874</v>
      </c>
      <c r="B875">
        <v>69</v>
      </c>
      <c r="C875" t="s">
        <v>11</v>
      </c>
      <c r="D875" t="s">
        <v>41</v>
      </c>
      <c r="E875" t="s">
        <v>42</v>
      </c>
      <c r="F875" s="1">
        <v>100.29</v>
      </c>
      <c r="G875" t="s">
        <v>24</v>
      </c>
      <c r="H875" t="s">
        <v>15</v>
      </c>
      <c r="I875" s="2">
        <v>2.6</v>
      </c>
      <c r="J875" s="4">
        <v>24</v>
      </c>
      <c r="K875" s="3">
        <v>7</v>
      </c>
      <c r="L875" s="1">
        <f t="shared" si="39"/>
        <v>76.220400000000012</v>
      </c>
      <c r="M875" t="str" cm="1">
        <f t="array" ref="M875">_xlfn.IFS(B875&lt;18,"Under 18",B875 &lt;=25,"18-25",B875&lt;=35,"26-35",B875&lt;=45,"36-45",B875&lt;=60,"46-60",TRUE,"60+")</f>
        <v>60+</v>
      </c>
      <c r="N875" t="str">
        <f t="shared" si="40"/>
        <v>Discounted</v>
      </c>
      <c r="O875" t="str">
        <f t="shared" si="41"/>
        <v>Returning</v>
      </c>
    </row>
    <row r="876" spans="1:15" x14ac:dyDescent="0.25">
      <c r="A876">
        <v>875</v>
      </c>
      <c r="B876">
        <v>22</v>
      </c>
      <c r="C876" t="s">
        <v>16</v>
      </c>
      <c r="D876" t="s">
        <v>33</v>
      </c>
      <c r="E876" t="s">
        <v>38</v>
      </c>
      <c r="F876" s="1">
        <v>154.19999999999999</v>
      </c>
      <c r="G876" t="s">
        <v>31</v>
      </c>
      <c r="H876" t="s">
        <v>15</v>
      </c>
      <c r="I876" s="2">
        <v>3.4</v>
      </c>
      <c r="J876" s="4">
        <v>4</v>
      </c>
      <c r="K876" s="3">
        <v>2</v>
      </c>
      <c r="L876" s="1">
        <f t="shared" si="39"/>
        <v>148.03199999999998</v>
      </c>
      <c r="M876" t="str" cm="1">
        <f t="array" ref="M876">_xlfn.IFS(B876&lt;18,"Under 18",B876 &lt;=25,"18-25",B876&lt;=35,"26-35",B876&lt;=45,"36-45",B876&lt;=60,"46-60",TRUE,"60+")</f>
        <v>18-25</v>
      </c>
      <c r="N876" t="str">
        <f t="shared" si="40"/>
        <v>Discounted</v>
      </c>
      <c r="O876" t="str">
        <f t="shared" si="41"/>
        <v>Returning</v>
      </c>
    </row>
    <row r="877" spans="1:15" x14ac:dyDescent="0.25">
      <c r="A877">
        <v>876</v>
      </c>
      <c r="B877">
        <v>32</v>
      </c>
      <c r="C877" t="s">
        <v>16</v>
      </c>
      <c r="D877" t="s">
        <v>27</v>
      </c>
      <c r="E877" t="s">
        <v>49</v>
      </c>
      <c r="F877" s="1">
        <v>1370.18</v>
      </c>
      <c r="G877" t="s">
        <v>19</v>
      </c>
      <c r="H877" t="s">
        <v>15</v>
      </c>
      <c r="I877" s="2">
        <v>3</v>
      </c>
      <c r="J877" s="4">
        <v>20</v>
      </c>
      <c r="K877" s="3">
        <v>5</v>
      </c>
      <c r="L877" s="1">
        <f t="shared" si="39"/>
        <v>1096.144</v>
      </c>
      <c r="M877" t="str" cm="1">
        <f t="array" ref="M877">_xlfn.IFS(B877&lt;18,"Under 18",B877 &lt;=25,"18-25",B877&lt;=35,"26-35",B877&lt;=45,"36-45",B877&lt;=60,"46-60",TRUE,"60+")</f>
        <v>26-35</v>
      </c>
      <c r="N877" t="str">
        <f t="shared" si="40"/>
        <v>Discounted</v>
      </c>
      <c r="O877" t="str">
        <f t="shared" si="41"/>
        <v>Returning</v>
      </c>
    </row>
    <row r="878" spans="1:15" x14ac:dyDescent="0.25">
      <c r="A878">
        <v>877</v>
      </c>
      <c r="B878">
        <v>40</v>
      </c>
      <c r="C878" t="s">
        <v>16</v>
      </c>
      <c r="D878" t="s">
        <v>33</v>
      </c>
      <c r="E878" t="s">
        <v>40</v>
      </c>
      <c r="F878" s="1">
        <v>123.96</v>
      </c>
      <c r="G878" t="s">
        <v>31</v>
      </c>
      <c r="H878" t="s">
        <v>15</v>
      </c>
      <c r="I878" s="2">
        <v>4.0999999999999996</v>
      </c>
      <c r="J878" s="4">
        <v>11</v>
      </c>
      <c r="K878" s="3">
        <v>3</v>
      </c>
      <c r="L878" s="1">
        <f t="shared" si="39"/>
        <v>110.3244</v>
      </c>
      <c r="M878" t="str" cm="1">
        <f t="array" ref="M878">_xlfn.IFS(B878&lt;18,"Under 18",B878 &lt;=25,"18-25",B878&lt;=35,"26-35",B878&lt;=45,"36-45",B878&lt;=60,"46-60",TRUE,"60+")</f>
        <v>36-45</v>
      </c>
      <c r="N878" t="str">
        <f t="shared" si="40"/>
        <v>Discounted</v>
      </c>
      <c r="O878" t="str">
        <f t="shared" si="41"/>
        <v>Returning</v>
      </c>
    </row>
    <row r="879" spans="1:15" x14ac:dyDescent="0.25">
      <c r="A879">
        <v>878</v>
      </c>
      <c r="B879">
        <v>32</v>
      </c>
      <c r="C879" t="s">
        <v>11</v>
      </c>
      <c r="D879" t="s">
        <v>33</v>
      </c>
      <c r="E879" t="s">
        <v>34</v>
      </c>
      <c r="F879" s="1">
        <v>151.91</v>
      </c>
      <c r="G879" t="s">
        <v>31</v>
      </c>
      <c r="H879" t="s">
        <v>15</v>
      </c>
      <c r="I879" s="2">
        <v>4.2</v>
      </c>
      <c r="J879" s="4">
        <v>22</v>
      </c>
      <c r="K879" s="3">
        <v>6</v>
      </c>
      <c r="L879" s="1">
        <f t="shared" si="39"/>
        <v>118.4898</v>
      </c>
      <c r="M879" t="str" cm="1">
        <f t="array" ref="M879">_xlfn.IFS(B879&lt;18,"Under 18",B879 &lt;=25,"18-25",B879&lt;=35,"26-35",B879&lt;=45,"36-45",B879&lt;=60,"46-60",TRUE,"60+")</f>
        <v>26-35</v>
      </c>
      <c r="N879" t="str">
        <f t="shared" si="40"/>
        <v>Discounted</v>
      </c>
      <c r="O879" t="str">
        <f t="shared" si="41"/>
        <v>Returning</v>
      </c>
    </row>
    <row r="880" spans="1:15" x14ac:dyDescent="0.25">
      <c r="A880">
        <v>879</v>
      </c>
      <c r="B880">
        <v>69</v>
      </c>
      <c r="C880" t="s">
        <v>11</v>
      </c>
      <c r="D880" t="s">
        <v>22</v>
      </c>
      <c r="E880" t="s">
        <v>23</v>
      </c>
      <c r="F880" s="1">
        <v>201.11</v>
      </c>
      <c r="G880" t="s">
        <v>19</v>
      </c>
      <c r="H880" t="s">
        <v>15</v>
      </c>
      <c r="I880" s="2">
        <v>3.9</v>
      </c>
      <c r="J880" s="4">
        <v>11</v>
      </c>
      <c r="K880" s="3">
        <v>3</v>
      </c>
      <c r="L880" s="1">
        <f t="shared" si="39"/>
        <v>178.98790000000002</v>
      </c>
      <c r="M880" t="str" cm="1">
        <f t="array" ref="M880">_xlfn.IFS(B880&lt;18,"Under 18",B880 &lt;=25,"18-25",B880&lt;=35,"26-35",B880&lt;=45,"36-45",B880&lt;=60,"46-60",TRUE,"60+")</f>
        <v>60+</v>
      </c>
      <c r="N880" t="str">
        <f t="shared" si="40"/>
        <v>Discounted</v>
      </c>
      <c r="O880" t="str">
        <f t="shared" si="41"/>
        <v>Returning</v>
      </c>
    </row>
    <row r="881" spans="1:15" x14ac:dyDescent="0.25">
      <c r="A881">
        <v>880</v>
      </c>
      <c r="B881">
        <v>59</v>
      </c>
      <c r="C881" t="s">
        <v>16</v>
      </c>
      <c r="D881" t="s">
        <v>33</v>
      </c>
      <c r="E881" t="s">
        <v>40</v>
      </c>
      <c r="F881" s="1">
        <v>42.35</v>
      </c>
      <c r="G881" t="s">
        <v>19</v>
      </c>
      <c r="H881" t="s">
        <v>37</v>
      </c>
      <c r="I881" s="2">
        <v>3.6</v>
      </c>
      <c r="J881" s="4">
        <v>13</v>
      </c>
      <c r="K881" s="3">
        <v>4</v>
      </c>
      <c r="L881" s="1">
        <f t="shared" si="39"/>
        <v>36.844500000000004</v>
      </c>
      <c r="M881" t="str" cm="1">
        <f t="array" ref="M881">_xlfn.IFS(B881&lt;18,"Under 18",B881 &lt;=25,"18-25",B881&lt;=35,"26-35",B881&lt;=45,"36-45",B881&lt;=60,"46-60",TRUE,"60+")</f>
        <v>46-60</v>
      </c>
      <c r="N881" t="str">
        <f t="shared" si="40"/>
        <v>Discounted</v>
      </c>
      <c r="O881" t="str">
        <f t="shared" si="41"/>
        <v>Returning</v>
      </c>
    </row>
    <row r="882" spans="1:15" x14ac:dyDescent="0.25">
      <c r="A882">
        <v>881</v>
      </c>
      <c r="B882">
        <v>70</v>
      </c>
      <c r="C882" t="s">
        <v>11</v>
      </c>
      <c r="D882" t="s">
        <v>29</v>
      </c>
      <c r="E882" t="s">
        <v>51</v>
      </c>
      <c r="F882" s="1">
        <v>142.85</v>
      </c>
      <c r="G882" t="s">
        <v>24</v>
      </c>
      <c r="H882" t="s">
        <v>15</v>
      </c>
      <c r="I882" s="2">
        <v>3.2</v>
      </c>
      <c r="J882" s="4">
        <v>20</v>
      </c>
      <c r="K882" s="3">
        <v>5</v>
      </c>
      <c r="L882" s="1">
        <f t="shared" si="39"/>
        <v>114.28</v>
      </c>
      <c r="M882" t="str" cm="1">
        <f t="array" ref="M882">_xlfn.IFS(B882&lt;18,"Under 18",B882 &lt;=25,"18-25",B882&lt;=35,"26-35",B882&lt;=45,"36-45",B882&lt;=60,"46-60",TRUE,"60+")</f>
        <v>60+</v>
      </c>
      <c r="N882" t="str">
        <f t="shared" si="40"/>
        <v>Discounted</v>
      </c>
      <c r="O882" t="str">
        <f t="shared" si="41"/>
        <v>Returning</v>
      </c>
    </row>
    <row r="883" spans="1:15" x14ac:dyDescent="0.25">
      <c r="A883">
        <v>882</v>
      </c>
      <c r="B883">
        <v>46</v>
      </c>
      <c r="C883" t="s">
        <v>16</v>
      </c>
      <c r="D883" t="s">
        <v>27</v>
      </c>
      <c r="E883" t="s">
        <v>28</v>
      </c>
      <c r="F883" s="1">
        <v>533.08000000000004</v>
      </c>
      <c r="G883" t="s">
        <v>31</v>
      </c>
      <c r="H883" t="s">
        <v>15</v>
      </c>
      <c r="I883" s="2">
        <v>5</v>
      </c>
      <c r="J883" s="4">
        <v>16</v>
      </c>
      <c r="K883" s="3">
        <v>3</v>
      </c>
      <c r="L883" s="1">
        <f t="shared" si="39"/>
        <v>447.78720000000004</v>
      </c>
      <c r="M883" t="str" cm="1">
        <f t="array" ref="M883">_xlfn.IFS(B883&lt;18,"Under 18",B883 &lt;=25,"18-25",B883&lt;=35,"26-35",B883&lt;=45,"36-45",B883&lt;=60,"46-60",TRUE,"60+")</f>
        <v>46-60</v>
      </c>
      <c r="N883" t="str">
        <f t="shared" si="40"/>
        <v>Discounted</v>
      </c>
      <c r="O883" t="str">
        <f t="shared" si="41"/>
        <v>Returning</v>
      </c>
    </row>
    <row r="884" spans="1:15" x14ac:dyDescent="0.25">
      <c r="A884">
        <v>883</v>
      </c>
      <c r="B884">
        <v>36</v>
      </c>
      <c r="C884" t="s">
        <v>11</v>
      </c>
      <c r="D884" t="s">
        <v>22</v>
      </c>
      <c r="E884" t="s">
        <v>52</v>
      </c>
      <c r="F884" s="1">
        <v>100.72</v>
      </c>
      <c r="G884" t="s">
        <v>14</v>
      </c>
      <c r="H884" t="s">
        <v>15</v>
      </c>
      <c r="I884" s="2">
        <v>2.8</v>
      </c>
      <c r="J884" s="4">
        <v>22</v>
      </c>
      <c r="K884" s="3">
        <v>6</v>
      </c>
      <c r="L884" s="1">
        <f t="shared" si="39"/>
        <v>78.561599999999999</v>
      </c>
      <c r="M884" t="str" cm="1">
        <f t="array" ref="M884">_xlfn.IFS(B884&lt;18,"Under 18",B884 &lt;=25,"18-25",B884&lt;=35,"26-35",B884&lt;=45,"36-45",B884&lt;=60,"46-60",TRUE,"60+")</f>
        <v>36-45</v>
      </c>
      <c r="N884" t="str">
        <f t="shared" si="40"/>
        <v>Discounted</v>
      </c>
      <c r="O884" t="str">
        <f t="shared" si="41"/>
        <v>Returning</v>
      </c>
    </row>
    <row r="885" spans="1:15" x14ac:dyDescent="0.25">
      <c r="A885">
        <v>884</v>
      </c>
      <c r="B885">
        <v>31</v>
      </c>
      <c r="C885" t="s">
        <v>11</v>
      </c>
      <c r="D885" t="s">
        <v>12</v>
      </c>
      <c r="E885" t="s">
        <v>50</v>
      </c>
      <c r="F885" s="1">
        <v>172.26</v>
      </c>
      <c r="G885" t="s">
        <v>31</v>
      </c>
      <c r="H885" t="s">
        <v>15</v>
      </c>
      <c r="I885" s="2">
        <v>2.8</v>
      </c>
      <c r="J885" s="4">
        <v>20</v>
      </c>
      <c r="K885" s="3">
        <v>5</v>
      </c>
      <c r="L885" s="1">
        <f t="shared" si="39"/>
        <v>137.80799999999999</v>
      </c>
      <c r="M885" t="str" cm="1">
        <f t="array" ref="M885">_xlfn.IFS(B885&lt;18,"Under 18",B885 &lt;=25,"18-25",B885&lt;=35,"26-35",B885&lt;=45,"36-45",B885&lt;=60,"46-60",TRUE,"60+")</f>
        <v>26-35</v>
      </c>
      <c r="N885" t="str">
        <f t="shared" si="40"/>
        <v>Discounted</v>
      </c>
      <c r="O885" t="str">
        <f t="shared" si="41"/>
        <v>Returning</v>
      </c>
    </row>
    <row r="886" spans="1:15" x14ac:dyDescent="0.25">
      <c r="A886">
        <v>885</v>
      </c>
      <c r="B886">
        <v>46</v>
      </c>
      <c r="C886" t="s">
        <v>11</v>
      </c>
      <c r="D886" t="s">
        <v>20</v>
      </c>
      <c r="E886" t="s">
        <v>39</v>
      </c>
      <c r="F886" s="1">
        <v>200.96</v>
      </c>
      <c r="G886" t="s">
        <v>31</v>
      </c>
      <c r="H886" t="s">
        <v>15</v>
      </c>
      <c r="I886" s="2">
        <v>4.2</v>
      </c>
      <c r="J886" s="4">
        <v>16</v>
      </c>
      <c r="K886" s="3">
        <v>3</v>
      </c>
      <c r="L886" s="1">
        <f t="shared" si="39"/>
        <v>168.8064</v>
      </c>
      <c r="M886" t="str" cm="1">
        <f t="array" ref="M886">_xlfn.IFS(B886&lt;18,"Under 18",B886 &lt;=25,"18-25",B886&lt;=35,"26-35",B886&lt;=45,"36-45",B886&lt;=60,"46-60",TRUE,"60+")</f>
        <v>46-60</v>
      </c>
      <c r="N886" t="str">
        <f t="shared" si="40"/>
        <v>Discounted</v>
      </c>
      <c r="O886" t="str">
        <f t="shared" si="41"/>
        <v>Returning</v>
      </c>
    </row>
    <row r="887" spans="1:15" x14ac:dyDescent="0.25">
      <c r="A887">
        <v>886</v>
      </c>
      <c r="B887">
        <v>66</v>
      </c>
      <c r="C887" t="s">
        <v>11</v>
      </c>
      <c r="D887" t="s">
        <v>33</v>
      </c>
      <c r="E887" t="s">
        <v>40</v>
      </c>
      <c r="F887" s="1">
        <v>113.39</v>
      </c>
      <c r="G887" t="s">
        <v>19</v>
      </c>
      <c r="H887" t="s">
        <v>15</v>
      </c>
      <c r="I887" s="2">
        <v>3.4</v>
      </c>
      <c r="J887" s="4">
        <v>23</v>
      </c>
      <c r="K887" s="3">
        <v>9</v>
      </c>
      <c r="L887" s="1">
        <f t="shared" si="39"/>
        <v>87.310299999999998</v>
      </c>
      <c r="M887" t="str" cm="1">
        <f t="array" ref="M887">_xlfn.IFS(B887&lt;18,"Under 18",B887 &lt;=25,"18-25",B887&lt;=35,"26-35",B887&lt;=45,"36-45",B887&lt;=60,"46-60",TRUE,"60+")</f>
        <v>60+</v>
      </c>
      <c r="N887" t="str">
        <f t="shared" si="40"/>
        <v>Discounted</v>
      </c>
      <c r="O887" t="str">
        <f t="shared" si="41"/>
        <v>Returning</v>
      </c>
    </row>
    <row r="888" spans="1:15" x14ac:dyDescent="0.25">
      <c r="A888">
        <v>887</v>
      </c>
      <c r="B888">
        <v>36</v>
      </c>
      <c r="C888" t="s">
        <v>11</v>
      </c>
      <c r="D888" t="s">
        <v>12</v>
      </c>
      <c r="E888" t="s">
        <v>56</v>
      </c>
      <c r="F888" s="1">
        <v>65.17</v>
      </c>
      <c r="G888" t="s">
        <v>31</v>
      </c>
      <c r="H888" t="s">
        <v>37</v>
      </c>
      <c r="I888" s="2">
        <v>4.5999999999999996</v>
      </c>
      <c r="J888" s="4">
        <v>15</v>
      </c>
      <c r="K888" s="3">
        <v>5</v>
      </c>
      <c r="L888" s="1">
        <f t="shared" si="39"/>
        <v>55.394500000000001</v>
      </c>
      <c r="M888" t="str" cm="1">
        <f t="array" ref="M888">_xlfn.IFS(B888&lt;18,"Under 18",B888 &lt;=25,"18-25",B888&lt;=35,"26-35",B888&lt;=45,"36-45",B888&lt;=60,"46-60",TRUE,"60+")</f>
        <v>36-45</v>
      </c>
      <c r="N888" t="str">
        <f t="shared" si="40"/>
        <v>Discounted</v>
      </c>
      <c r="O888" t="str">
        <f t="shared" si="41"/>
        <v>Returning</v>
      </c>
    </row>
    <row r="889" spans="1:15" x14ac:dyDescent="0.25">
      <c r="A889">
        <v>888</v>
      </c>
      <c r="B889">
        <v>42</v>
      </c>
      <c r="C889" t="s">
        <v>16</v>
      </c>
      <c r="D889" t="s">
        <v>33</v>
      </c>
      <c r="E889" t="s">
        <v>40</v>
      </c>
      <c r="F889" s="1">
        <v>154.55000000000001</v>
      </c>
      <c r="G889" t="s">
        <v>24</v>
      </c>
      <c r="H889" t="s">
        <v>15</v>
      </c>
      <c r="I889" s="2">
        <v>5</v>
      </c>
      <c r="J889" s="4">
        <v>17</v>
      </c>
      <c r="K889" s="3">
        <v>6</v>
      </c>
      <c r="L889" s="1">
        <f t="shared" si="39"/>
        <v>128.2765</v>
      </c>
      <c r="M889" t="str" cm="1">
        <f t="array" ref="M889">_xlfn.IFS(B889&lt;18,"Under 18",B889 &lt;=25,"18-25",B889&lt;=35,"26-35",B889&lt;=45,"36-45",B889&lt;=60,"46-60",TRUE,"60+")</f>
        <v>36-45</v>
      </c>
      <c r="N889" t="str">
        <f t="shared" si="40"/>
        <v>Discounted</v>
      </c>
      <c r="O889" t="str">
        <f t="shared" si="41"/>
        <v>Returning</v>
      </c>
    </row>
    <row r="890" spans="1:15" x14ac:dyDescent="0.25">
      <c r="A890">
        <v>889</v>
      </c>
      <c r="B890">
        <v>26</v>
      </c>
      <c r="C890" t="s">
        <v>16</v>
      </c>
      <c r="D890" t="s">
        <v>17</v>
      </c>
      <c r="E890" t="s">
        <v>42</v>
      </c>
      <c r="F890" s="1">
        <v>100.84</v>
      </c>
      <c r="G890" t="s">
        <v>19</v>
      </c>
      <c r="H890" t="s">
        <v>15</v>
      </c>
      <c r="I890" s="2">
        <v>3.6</v>
      </c>
      <c r="J890" s="4">
        <v>14</v>
      </c>
      <c r="K890" s="3">
        <v>2</v>
      </c>
      <c r="L890" s="1">
        <f t="shared" si="39"/>
        <v>86.722400000000007</v>
      </c>
      <c r="M890" t="str" cm="1">
        <f t="array" ref="M890">_xlfn.IFS(B890&lt;18,"Under 18",B890 &lt;=25,"18-25",B890&lt;=35,"26-35",B890&lt;=45,"36-45",B890&lt;=60,"46-60",TRUE,"60+")</f>
        <v>26-35</v>
      </c>
      <c r="N890" t="str">
        <f t="shared" si="40"/>
        <v>Discounted</v>
      </c>
      <c r="O890" t="str">
        <f t="shared" si="41"/>
        <v>Returning</v>
      </c>
    </row>
    <row r="891" spans="1:15" x14ac:dyDescent="0.25">
      <c r="A891">
        <v>890</v>
      </c>
      <c r="B891">
        <v>31</v>
      </c>
      <c r="C891" t="s">
        <v>16</v>
      </c>
      <c r="D891" t="s">
        <v>27</v>
      </c>
      <c r="E891" t="s">
        <v>28</v>
      </c>
      <c r="F891" s="1">
        <v>1142.03</v>
      </c>
      <c r="G891" t="s">
        <v>24</v>
      </c>
      <c r="H891" t="s">
        <v>15</v>
      </c>
      <c r="I891" s="2">
        <v>4.2</v>
      </c>
      <c r="J891" s="4">
        <v>10</v>
      </c>
      <c r="K891" s="3">
        <v>5</v>
      </c>
      <c r="L891" s="1">
        <f t="shared" si="39"/>
        <v>1027.827</v>
      </c>
      <c r="M891" t="str" cm="1">
        <f t="array" ref="M891">_xlfn.IFS(B891&lt;18,"Under 18",B891 &lt;=25,"18-25",B891&lt;=35,"26-35",B891&lt;=45,"36-45",B891&lt;=60,"46-60",TRUE,"60+")</f>
        <v>26-35</v>
      </c>
      <c r="N891" t="str">
        <f t="shared" si="40"/>
        <v>Discounted</v>
      </c>
      <c r="O891" t="str">
        <f t="shared" si="41"/>
        <v>Returning</v>
      </c>
    </row>
    <row r="892" spans="1:15" x14ac:dyDescent="0.25">
      <c r="A892">
        <v>891</v>
      </c>
      <c r="B892">
        <v>39</v>
      </c>
      <c r="C892" t="s">
        <v>16</v>
      </c>
      <c r="D892" t="s">
        <v>17</v>
      </c>
      <c r="E892" t="s">
        <v>18</v>
      </c>
      <c r="F892" s="1">
        <v>168.97</v>
      </c>
      <c r="G892" t="s">
        <v>31</v>
      </c>
      <c r="H892" t="s">
        <v>15</v>
      </c>
      <c r="I892" s="2">
        <v>4.5999999999999996</v>
      </c>
      <c r="J892" s="4">
        <v>24</v>
      </c>
      <c r="K892" s="3">
        <v>7</v>
      </c>
      <c r="L892" s="1">
        <f t="shared" si="39"/>
        <v>128.41720000000001</v>
      </c>
      <c r="M892" t="str" cm="1">
        <f t="array" ref="M892">_xlfn.IFS(B892&lt;18,"Under 18",B892 &lt;=25,"18-25",B892&lt;=35,"26-35",B892&lt;=45,"36-45",B892&lt;=60,"46-60",TRUE,"60+")</f>
        <v>36-45</v>
      </c>
      <c r="N892" t="str">
        <f t="shared" si="40"/>
        <v>Discounted</v>
      </c>
      <c r="O892" t="str">
        <f t="shared" si="41"/>
        <v>Returning</v>
      </c>
    </row>
    <row r="893" spans="1:15" x14ac:dyDescent="0.25">
      <c r="A893">
        <v>892</v>
      </c>
      <c r="B893">
        <v>64</v>
      </c>
      <c r="C893" t="s">
        <v>16</v>
      </c>
      <c r="D893" t="s">
        <v>33</v>
      </c>
      <c r="E893" t="s">
        <v>38</v>
      </c>
      <c r="F893" s="1">
        <v>220.97</v>
      </c>
      <c r="G893" t="s">
        <v>14</v>
      </c>
      <c r="H893" t="s">
        <v>15</v>
      </c>
      <c r="I893" s="2">
        <v>5</v>
      </c>
      <c r="J893" s="4">
        <v>4</v>
      </c>
      <c r="K893" s="3">
        <v>2</v>
      </c>
      <c r="L893" s="1">
        <f t="shared" si="39"/>
        <v>212.13119999999998</v>
      </c>
      <c r="M893" t="str" cm="1">
        <f t="array" ref="M893">_xlfn.IFS(B893&lt;18,"Under 18",B893 &lt;=25,"18-25",B893&lt;=35,"26-35",B893&lt;=45,"36-45",B893&lt;=60,"46-60",TRUE,"60+")</f>
        <v>60+</v>
      </c>
      <c r="N893" t="str">
        <f t="shared" si="40"/>
        <v>Discounted</v>
      </c>
      <c r="O893" t="str">
        <f t="shared" si="41"/>
        <v>Returning</v>
      </c>
    </row>
    <row r="894" spans="1:15" x14ac:dyDescent="0.25">
      <c r="A894">
        <v>893</v>
      </c>
      <c r="B894">
        <v>59</v>
      </c>
      <c r="C894" t="s">
        <v>11</v>
      </c>
      <c r="D894" t="s">
        <v>22</v>
      </c>
      <c r="E894" t="s">
        <v>23</v>
      </c>
      <c r="F894" s="1">
        <v>181.46</v>
      </c>
      <c r="G894" t="s">
        <v>14</v>
      </c>
      <c r="H894" t="s">
        <v>15</v>
      </c>
      <c r="I894" s="2">
        <v>3.1</v>
      </c>
      <c r="J894" s="4">
        <v>18</v>
      </c>
      <c r="K894" s="3">
        <v>4</v>
      </c>
      <c r="L894" s="1">
        <f t="shared" si="39"/>
        <v>148.7972</v>
      </c>
      <c r="M894" t="str" cm="1">
        <f t="array" ref="M894">_xlfn.IFS(B894&lt;18,"Under 18",B894 &lt;=25,"18-25",B894&lt;=35,"26-35",B894&lt;=45,"36-45",B894&lt;=60,"46-60",TRUE,"60+")</f>
        <v>46-60</v>
      </c>
      <c r="N894" t="str">
        <f t="shared" si="40"/>
        <v>Discounted</v>
      </c>
      <c r="O894" t="str">
        <f t="shared" si="41"/>
        <v>Returning</v>
      </c>
    </row>
    <row r="895" spans="1:15" x14ac:dyDescent="0.25">
      <c r="A895">
        <v>894</v>
      </c>
      <c r="B895">
        <v>30</v>
      </c>
      <c r="C895" t="s">
        <v>11</v>
      </c>
      <c r="D895" t="s">
        <v>33</v>
      </c>
      <c r="E895" t="s">
        <v>40</v>
      </c>
      <c r="F895" s="1">
        <v>212.78</v>
      </c>
      <c r="G895" t="s">
        <v>19</v>
      </c>
      <c r="H895" t="s">
        <v>15</v>
      </c>
      <c r="I895" s="2">
        <v>4.4000000000000004</v>
      </c>
      <c r="J895" s="4">
        <v>22</v>
      </c>
      <c r="K895" s="3">
        <v>6</v>
      </c>
      <c r="L895" s="1">
        <f t="shared" si="39"/>
        <v>165.9684</v>
      </c>
      <c r="M895" t="str" cm="1">
        <f t="array" ref="M895">_xlfn.IFS(B895&lt;18,"Under 18",B895 &lt;=25,"18-25",B895&lt;=35,"26-35",B895&lt;=45,"36-45",B895&lt;=60,"46-60",TRUE,"60+")</f>
        <v>26-35</v>
      </c>
      <c r="N895" t="str">
        <f t="shared" si="40"/>
        <v>Discounted</v>
      </c>
      <c r="O895" t="str">
        <f t="shared" si="41"/>
        <v>Returning</v>
      </c>
    </row>
    <row r="896" spans="1:15" x14ac:dyDescent="0.25">
      <c r="A896">
        <v>895</v>
      </c>
      <c r="B896">
        <v>30</v>
      </c>
      <c r="C896" t="s">
        <v>11</v>
      </c>
      <c r="D896" t="s">
        <v>20</v>
      </c>
      <c r="E896" t="s">
        <v>36</v>
      </c>
      <c r="F896" s="1">
        <v>102.27</v>
      </c>
      <c r="G896" t="s">
        <v>19</v>
      </c>
      <c r="H896" t="s">
        <v>15</v>
      </c>
      <c r="I896" s="2">
        <v>3.1</v>
      </c>
      <c r="J896" s="4">
        <v>16</v>
      </c>
      <c r="K896" s="3">
        <v>8</v>
      </c>
      <c r="L896" s="1">
        <f t="shared" si="39"/>
        <v>85.90679999999999</v>
      </c>
      <c r="M896" t="str" cm="1">
        <f t="array" ref="M896">_xlfn.IFS(B896&lt;18,"Under 18",B896 &lt;=25,"18-25",B896&lt;=35,"26-35",B896&lt;=45,"36-45",B896&lt;=60,"46-60",TRUE,"60+")</f>
        <v>26-35</v>
      </c>
      <c r="N896" t="str">
        <f t="shared" si="40"/>
        <v>Discounted</v>
      </c>
      <c r="O896" t="str">
        <f t="shared" si="41"/>
        <v>Returning</v>
      </c>
    </row>
    <row r="897" spans="1:15" x14ac:dyDescent="0.25">
      <c r="A897">
        <v>896</v>
      </c>
      <c r="B897">
        <v>40</v>
      </c>
      <c r="C897" t="s">
        <v>16</v>
      </c>
      <c r="D897" t="s">
        <v>20</v>
      </c>
      <c r="E897" t="s">
        <v>39</v>
      </c>
      <c r="F897" s="1">
        <v>101.71</v>
      </c>
      <c r="G897" t="s">
        <v>19</v>
      </c>
      <c r="H897" t="s">
        <v>15</v>
      </c>
      <c r="I897" s="2">
        <v>3.8</v>
      </c>
      <c r="J897" s="4">
        <v>17</v>
      </c>
      <c r="K897" s="3">
        <v>6</v>
      </c>
      <c r="L897" s="1">
        <f t="shared" si="39"/>
        <v>84.419299999999993</v>
      </c>
      <c r="M897" t="str" cm="1">
        <f t="array" ref="M897">_xlfn.IFS(B897&lt;18,"Under 18",B897 &lt;=25,"18-25",B897&lt;=35,"26-35",B897&lt;=45,"36-45",B897&lt;=60,"46-60",TRUE,"60+")</f>
        <v>36-45</v>
      </c>
      <c r="N897" t="str">
        <f t="shared" si="40"/>
        <v>Discounted</v>
      </c>
      <c r="O897" t="str">
        <f t="shared" si="41"/>
        <v>Returning</v>
      </c>
    </row>
    <row r="898" spans="1:15" x14ac:dyDescent="0.25">
      <c r="A898">
        <v>897</v>
      </c>
      <c r="B898">
        <v>57</v>
      </c>
      <c r="C898" t="s">
        <v>16</v>
      </c>
      <c r="D898" t="s">
        <v>20</v>
      </c>
      <c r="E898" t="s">
        <v>36</v>
      </c>
      <c r="F898" s="1">
        <v>166.23</v>
      </c>
      <c r="G898" t="s">
        <v>19</v>
      </c>
      <c r="H898" t="s">
        <v>15</v>
      </c>
      <c r="I898" s="2">
        <v>4</v>
      </c>
      <c r="J898" s="4">
        <v>20</v>
      </c>
      <c r="K898" s="3">
        <v>5</v>
      </c>
      <c r="L898" s="1">
        <f t="shared" si="39"/>
        <v>132.98400000000001</v>
      </c>
      <c r="M898" t="str" cm="1">
        <f t="array" ref="M898">_xlfn.IFS(B898&lt;18,"Under 18",B898 &lt;=25,"18-25",B898&lt;=35,"26-35",B898&lt;=45,"36-45",B898&lt;=60,"46-60",TRUE,"60+")</f>
        <v>46-60</v>
      </c>
      <c r="N898" t="str">
        <f t="shared" si="40"/>
        <v>Discounted</v>
      </c>
      <c r="O898" t="str">
        <f t="shared" si="41"/>
        <v>Returning</v>
      </c>
    </row>
    <row r="899" spans="1:15" x14ac:dyDescent="0.25">
      <c r="A899">
        <v>898</v>
      </c>
      <c r="B899">
        <v>59</v>
      </c>
      <c r="C899" t="s">
        <v>16</v>
      </c>
      <c r="D899" t="s">
        <v>33</v>
      </c>
      <c r="E899" t="s">
        <v>40</v>
      </c>
      <c r="F899" s="1">
        <v>82.01</v>
      </c>
      <c r="G899" t="s">
        <v>19</v>
      </c>
      <c r="H899" t="s">
        <v>37</v>
      </c>
      <c r="I899" s="2">
        <v>3.3</v>
      </c>
      <c r="J899" s="4">
        <v>16</v>
      </c>
      <c r="K899" s="3">
        <v>3</v>
      </c>
      <c r="L899" s="1">
        <f t="shared" ref="L899:L962" si="42">F899 * (1 - J899 / 100)</f>
        <v>68.888400000000004</v>
      </c>
      <c r="M899" t="str" cm="1">
        <f t="array" ref="M899">_xlfn.IFS(B899&lt;18,"Under 18",B899 &lt;=25,"18-25",B899&lt;=35,"26-35",B899&lt;=45,"36-45",B899&lt;=60,"46-60",TRUE,"60+")</f>
        <v>46-60</v>
      </c>
      <c r="N899" t="str">
        <f t="shared" ref="N899:N962" si="43">IF(J899&gt;0,"Discounted","No Discount")</f>
        <v>Discounted</v>
      </c>
      <c r="O899" t="str">
        <f t="shared" ref="O899:O962" si="44">IF(K899&gt;0,"Returning","New")</f>
        <v>Returning</v>
      </c>
    </row>
    <row r="900" spans="1:15" x14ac:dyDescent="0.25">
      <c r="A900">
        <v>899</v>
      </c>
      <c r="B900">
        <v>23</v>
      </c>
      <c r="C900" t="s">
        <v>11</v>
      </c>
      <c r="D900" t="s">
        <v>33</v>
      </c>
      <c r="E900" t="s">
        <v>38</v>
      </c>
      <c r="F900" s="1">
        <v>214.88</v>
      </c>
      <c r="G900" t="s">
        <v>24</v>
      </c>
      <c r="H900" t="s">
        <v>15</v>
      </c>
      <c r="I900" s="2">
        <v>5</v>
      </c>
      <c r="J900" s="4">
        <v>20</v>
      </c>
      <c r="K900" s="3">
        <v>5</v>
      </c>
      <c r="L900" s="1">
        <f t="shared" si="42"/>
        <v>171.904</v>
      </c>
      <c r="M900" t="str" cm="1">
        <f t="array" ref="M900">_xlfn.IFS(B900&lt;18,"Under 18",B900 &lt;=25,"18-25",B900&lt;=35,"26-35",B900&lt;=45,"36-45",B900&lt;=60,"46-60",TRUE,"60+")</f>
        <v>18-25</v>
      </c>
      <c r="N900" t="str">
        <f t="shared" si="43"/>
        <v>Discounted</v>
      </c>
      <c r="O900" t="str">
        <f t="shared" si="44"/>
        <v>Returning</v>
      </c>
    </row>
    <row r="901" spans="1:15" x14ac:dyDescent="0.25">
      <c r="A901">
        <v>900</v>
      </c>
      <c r="B901">
        <v>64</v>
      </c>
      <c r="C901" t="s">
        <v>11</v>
      </c>
      <c r="D901" t="s">
        <v>12</v>
      </c>
      <c r="E901" t="s">
        <v>13</v>
      </c>
      <c r="F901" s="1">
        <v>110.37</v>
      </c>
      <c r="G901" t="s">
        <v>19</v>
      </c>
      <c r="H901" t="s">
        <v>15</v>
      </c>
      <c r="I901" s="2">
        <v>4.2</v>
      </c>
      <c r="J901" s="4">
        <v>17</v>
      </c>
      <c r="K901" s="3">
        <v>6</v>
      </c>
      <c r="L901" s="1">
        <f t="shared" si="42"/>
        <v>91.607100000000003</v>
      </c>
      <c r="M901" t="str" cm="1">
        <f t="array" ref="M901">_xlfn.IFS(B901&lt;18,"Under 18",B901 &lt;=25,"18-25",B901&lt;=35,"26-35",B901&lt;=45,"36-45",B901&lt;=60,"46-60",TRUE,"60+")</f>
        <v>60+</v>
      </c>
      <c r="N901" t="str">
        <f t="shared" si="43"/>
        <v>Discounted</v>
      </c>
      <c r="O901" t="str">
        <f t="shared" si="44"/>
        <v>Returning</v>
      </c>
    </row>
    <row r="902" spans="1:15" x14ac:dyDescent="0.25">
      <c r="A902">
        <v>901</v>
      </c>
      <c r="B902">
        <v>23</v>
      </c>
      <c r="C902" t="s">
        <v>16</v>
      </c>
      <c r="D902" t="s">
        <v>33</v>
      </c>
      <c r="E902" t="s">
        <v>40</v>
      </c>
      <c r="F902" s="1">
        <v>144.05000000000001</v>
      </c>
      <c r="G902" t="s">
        <v>31</v>
      </c>
      <c r="H902" t="s">
        <v>15</v>
      </c>
      <c r="I902" s="2">
        <v>2.6</v>
      </c>
      <c r="J902" s="4">
        <v>18</v>
      </c>
      <c r="K902" s="3">
        <v>4</v>
      </c>
      <c r="L902" s="1">
        <f t="shared" si="42"/>
        <v>118.12100000000002</v>
      </c>
      <c r="M902" t="str" cm="1">
        <f t="array" ref="M902">_xlfn.IFS(B902&lt;18,"Under 18",B902 &lt;=25,"18-25",B902&lt;=35,"26-35",B902&lt;=45,"36-45",B902&lt;=60,"46-60",TRUE,"60+")</f>
        <v>18-25</v>
      </c>
      <c r="N902" t="str">
        <f t="shared" si="43"/>
        <v>Discounted</v>
      </c>
      <c r="O902" t="str">
        <f t="shared" si="44"/>
        <v>Returning</v>
      </c>
    </row>
    <row r="903" spans="1:15" x14ac:dyDescent="0.25">
      <c r="A903">
        <v>902</v>
      </c>
      <c r="B903">
        <v>47</v>
      </c>
      <c r="C903" t="s">
        <v>11</v>
      </c>
      <c r="D903" t="s">
        <v>12</v>
      </c>
      <c r="E903" t="s">
        <v>50</v>
      </c>
      <c r="F903" s="1">
        <v>134.41999999999999</v>
      </c>
      <c r="G903" t="s">
        <v>24</v>
      </c>
      <c r="H903" t="s">
        <v>15</v>
      </c>
      <c r="I903" s="2">
        <v>4.0999999999999996</v>
      </c>
      <c r="J903" s="4">
        <v>8</v>
      </c>
      <c r="K903" s="3">
        <v>4</v>
      </c>
      <c r="L903" s="1">
        <f t="shared" si="42"/>
        <v>123.6664</v>
      </c>
      <c r="M903" t="str" cm="1">
        <f t="array" ref="M903">_xlfn.IFS(B903&lt;18,"Under 18",B903 &lt;=25,"18-25",B903&lt;=35,"26-35",B903&lt;=45,"36-45",B903&lt;=60,"46-60",TRUE,"60+")</f>
        <v>46-60</v>
      </c>
      <c r="N903" t="str">
        <f t="shared" si="43"/>
        <v>Discounted</v>
      </c>
      <c r="O903" t="str">
        <f t="shared" si="44"/>
        <v>Returning</v>
      </c>
    </row>
    <row r="904" spans="1:15" x14ac:dyDescent="0.25">
      <c r="A904">
        <v>903</v>
      </c>
      <c r="B904">
        <v>64</v>
      </c>
      <c r="C904" t="s">
        <v>11</v>
      </c>
      <c r="D904" t="s">
        <v>29</v>
      </c>
      <c r="E904" t="s">
        <v>55</v>
      </c>
      <c r="F904" s="1">
        <v>133.46</v>
      </c>
      <c r="G904" t="s">
        <v>24</v>
      </c>
      <c r="H904" t="s">
        <v>15</v>
      </c>
      <c r="I904" s="2">
        <v>4.5999999999999996</v>
      </c>
      <c r="J904" s="4">
        <v>10</v>
      </c>
      <c r="K904" s="3">
        <v>5</v>
      </c>
      <c r="L904" s="1">
        <f t="shared" si="42"/>
        <v>120.114</v>
      </c>
      <c r="M904" t="str" cm="1">
        <f t="array" ref="M904">_xlfn.IFS(B904&lt;18,"Under 18",B904 &lt;=25,"18-25",B904&lt;=35,"26-35",B904&lt;=45,"36-45",B904&lt;=60,"46-60",TRUE,"60+")</f>
        <v>60+</v>
      </c>
      <c r="N904" t="str">
        <f t="shared" si="43"/>
        <v>Discounted</v>
      </c>
      <c r="O904" t="str">
        <f t="shared" si="44"/>
        <v>Returning</v>
      </c>
    </row>
    <row r="905" spans="1:15" x14ac:dyDescent="0.25">
      <c r="A905">
        <v>904</v>
      </c>
      <c r="B905">
        <v>70</v>
      </c>
      <c r="C905" t="s">
        <v>11</v>
      </c>
      <c r="D905" t="s">
        <v>22</v>
      </c>
      <c r="E905" t="s">
        <v>43</v>
      </c>
      <c r="F905" s="1">
        <v>256.37</v>
      </c>
      <c r="G905" t="s">
        <v>31</v>
      </c>
      <c r="H905" t="s">
        <v>15</v>
      </c>
      <c r="I905" s="2">
        <v>3.6</v>
      </c>
      <c r="J905" s="4">
        <v>24</v>
      </c>
      <c r="K905" s="3">
        <v>7</v>
      </c>
      <c r="L905" s="1">
        <f t="shared" si="42"/>
        <v>194.84120000000001</v>
      </c>
      <c r="M905" t="str" cm="1">
        <f t="array" ref="M905">_xlfn.IFS(B905&lt;18,"Under 18",B905 &lt;=25,"18-25",B905&lt;=35,"26-35",B905&lt;=45,"36-45",B905&lt;=60,"46-60",TRUE,"60+")</f>
        <v>60+</v>
      </c>
      <c r="N905" t="str">
        <f t="shared" si="43"/>
        <v>Discounted</v>
      </c>
      <c r="O905" t="str">
        <f t="shared" si="44"/>
        <v>Returning</v>
      </c>
    </row>
    <row r="906" spans="1:15" x14ac:dyDescent="0.25">
      <c r="A906">
        <v>905</v>
      </c>
      <c r="B906">
        <v>59</v>
      </c>
      <c r="C906" t="s">
        <v>16</v>
      </c>
      <c r="D906" t="s">
        <v>20</v>
      </c>
      <c r="E906" t="s">
        <v>39</v>
      </c>
      <c r="F906" s="1">
        <v>160.41999999999999</v>
      </c>
      <c r="G906" t="s">
        <v>19</v>
      </c>
      <c r="H906" t="s">
        <v>15</v>
      </c>
      <c r="I906" s="2">
        <v>4.3</v>
      </c>
      <c r="J906" s="4">
        <v>22</v>
      </c>
      <c r="K906" s="3">
        <v>6</v>
      </c>
      <c r="L906" s="1">
        <f t="shared" si="42"/>
        <v>125.1276</v>
      </c>
      <c r="M906" t="str" cm="1">
        <f t="array" ref="M906">_xlfn.IFS(B906&lt;18,"Under 18",B906 &lt;=25,"18-25",B906&lt;=35,"26-35",B906&lt;=45,"36-45",B906&lt;=60,"46-60",TRUE,"60+")</f>
        <v>46-60</v>
      </c>
      <c r="N906" t="str">
        <f t="shared" si="43"/>
        <v>Discounted</v>
      </c>
      <c r="O906" t="str">
        <f t="shared" si="44"/>
        <v>Returning</v>
      </c>
    </row>
    <row r="907" spans="1:15" x14ac:dyDescent="0.25">
      <c r="A907">
        <v>906</v>
      </c>
      <c r="B907">
        <v>31</v>
      </c>
      <c r="C907" t="s">
        <v>16</v>
      </c>
      <c r="D907" t="s">
        <v>27</v>
      </c>
      <c r="E907" t="s">
        <v>28</v>
      </c>
      <c r="F907" s="1">
        <v>1501.64</v>
      </c>
      <c r="G907" t="s">
        <v>14</v>
      </c>
      <c r="H907" t="s">
        <v>15</v>
      </c>
      <c r="I907" s="2">
        <v>3.2</v>
      </c>
      <c r="J907" s="4">
        <v>12</v>
      </c>
      <c r="K907" s="3">
        <v>6</v>
      </c>
      <c r="L907" s="1">
        <f t="shared" si="42"/>
        <v>1321.4432000000002</v>
      </c>
      <c r="M907" t="str" cm="1">
        <f t="array" ref="M907">_xlfn.IFS(B907&lt;18,"Under 18",B907 &lt;=25,"18-25",B907&lt;=35,"26-35",B907&lt;=45,"36-45",B907&lt;=60,"46-60",TRUE,"60+")</f>
        <v>26-35</v>
      </c>
      <c r="N907" t="str">
        <f t="shared" si="43"/>
        <v>Discounted</v>
      </c>
      <c r="O907" t="str">
        <f t="shared" si="44"/>
        <v>Returning</v>
      </c>
    </row>
    <row r="908" spans="1:15" x14ac:dyDescent="0.25">
      <c r="A908">
        <v>907</v>
      </c>
      <c r="B908">
        <v>69</v>
      </c>
      <c r="C908" t="s">
        <v>16</v>
      </c>
      <c r="D908" t="s">
        <v>33</v>
      </c>
      <c r="E908" t="s">
        <v>34</v>
      </c>
      <c r="F908" s="1">
        <v>145.19999999999999</v>
      </c>
      <c r="G908" t="s">
        <v>14</v>
      </c>
      <c r="H908" t="s">
        <v>15</v>
      </c>
      <c r="I908" s="2">
        <v>2.8</v>
      </c>
      <c r="J908" s="4">
        <v>18</v>
      </c>
      <c r="K908" s="3">
        <v>4</v>
      </c>
      <c r="L908" s="1">
        <f t="shared" si="42"/>
        <v>119.06399999999999</v>
      </c>
      <c r="M908" t="str" cm="1">
        <f t="array" ref="M908">_xlfn.IFS(B908&lt;18,"Under 18",B908 &lt;=25,"18-25",B908&lt;=35,"26-35",B908&lt;=45,"36-45",B908&lt;=60,"46-60",TRUE,"60+")</f>
        <v>60+</v>
      </c>
      <c r="N908" t="str">
        <f t="shared" si="43"/>
        <v>Discounted</v>
      </c>
      <c r="O908" t="str">
        <f t="shared" si="44"/>
        <v>Returning</v>
      </c>
    </row>
    <row r="909" spans="1:15" x14ac:dyDescent="0.25">
      <c r="A909">
        <v>908</v>
      </c>
      <c r="B909">
        <v>50</v>
      </c>
      <c r="C909" t="s">
        <v>16</v>
      </c>
      <c r="D909" t="s">
        <v>17</v>
      </c>
      <c r="E909" t="s">
        <v>18</v>
      </c>
      <c r="F909" s="1">
        <v>66.680000000000007</v>
      </c>
      <c r="G909" t="s">
        <v>24</v>
      </c>
      <c r="H909" t="s">
        <v>15</v>
      </c>
      <c r="I909" s="2">
        <v>3.1</v>
      </c>
      <c r="J909" s="4">
        <v>13</v>
      </c>
      <c r="K909" s="3">
        <v>4</v>
      </c>
      <c r="L909" s="1">
        <f t="shared" si="42"/>
        <v>58.011600000000008</v>
      </c>
      <c r="M909" t="str" cm="1">
        <f t="array" ref="M909">_xlfn.IFS(B909&lt;18,"Under 18",B909 &lt;=25,"18-25",B909&lt;=35,"26-35",B909&lt;=45,"36-45",B909&lt;=60,"46-60",TRUE,"60+")</f>
        <v>46-60</v>
      </c>
      <c r="N909" t="str">
        <f t="shared" si="43"/>
        <v>Discounted</v>
      </c>
      <c r="O909" t="str">
        <f t="shared" si="44"/>
        <v>Returning</v>
      </c>
    </row>
    <row r="910" spans="1:15" x14ac:dyDescent="0.25">
      <c r="A910">
        <v>909</v>
      </c>
      <c r="B910">
        <v>60</v>
      </c>
      <c r="C910" t="s">
        <v>16</v>
      </c>
      <c r="D910" t="s">
        <v>27</v>
      </c>
      <c r="E910" t="s">
        <v>32</v>
      </c>
      <c r="F910" s="1">
        <v>592.23</v>
      </c>
      <c r="G910" t="s">
        <v>19</v>
      </c>
      <c r="H910" t="s">
        <v>15</v>
      </c>
      <c r="I910" s="2">
        <v>3.6</v>
      </c>
      <c r="J910" s="4">
        <v>13</v>
      </c>
      <c r="K910" s="3">
        <v>4</v>
      </c>
      <c r="L910" s="1">
        <f t="shared" si="42"/>
        <v>515.24009999999998</v>
      </c>
      <c r="M910" t="str" cm="1">
        <f t="array" ref="M910">_xlfn.IFS(B910&lt;18,"Under 18",B910 &lt;=25,"18-25",B910&lt;=35,"26-35",B910&lt;=45,"36-45",B910&lt;=60,"46-60",TRUE,"60+")</f>
        <v>46-60</v>
      </c>
      <c r="N910" t="str">
        <f t="shared" si="43"/>
        <v>Discounted</v>
      </c>
      <c r="O910" t="str">
        <f t="shared" si="44"/>
        <v>Returning</v>
      </c>
    </row>
    <row r="911" spans="1:15" x14ac:dyDescent="0.25">
      <c r="A911">
        <v>910</v>
      </c>
      <c r="B911">
        <v>39</v>
      </c>
      <c r="C911" t="s">
        <v>16</v>
      </c>
      <c r="D911" t="s">
        <v>27</v>
      </c>
      <c r="E911" t="s">
        <v>28</v>
      </c>
      <c r="F911" s="1">
        <v>646.99</v>
      </c>
      <c r="G911" t="s">
        <v>24</v>
      </c>
      <c r="H911" t="s">
        <v>15</v>
      </c>
      <c r="I911" s="2">
        <v>4.0999999999999996</v>
      </c>
      <c r="J911" s="4">
        <v>24</v>
      </c>
      <c r="K911" s="3">
        <v>7</v>
      </c>
      <c r="L911" s="1">
        <f t="shared" si="42"/>
        <v>491.7124</v>
      </c>
      <c r="M911" t="str" cm="1">
        <f t="array" ref="M911">_xlfn.IFS(B911&lt;18,"Under 18",B911 &lt;=25,"18-25",B911&lt;=35,"26-35",B911&lt;=45,"36-45",B911&lt;=60,"46-60",TRUE,"60+")</f>
        <v>36-45</v>
      </c>
      <c r="N911" t="str">
        <f t="shared" si="43"/>
        <v>Discounted</v>
      </c>
      <c r="O911" t="str">
        <f t="shared" si="44"/>
        <v>Returning</v>
      </c>
    </row>
    <row r="912" spans="1:15" x14ac:dyDescent="0.25">
      <c r="A912">
        <v>911</v>
      </c>
      <c r="B912">
        <v>50</v>
      </c>
      <c r="C912" t="s">
        <v>16</v>
      </c>
      <c r="D912" t="s">
        <v>33</v>
      </c>
      <c r="E912" t="s">
        <v>38</v>
      </c>
      <c r="F912" s="1">
        <v>58.87</v>
      </c>
      <c r="G912" t="s">
        <v>19</v>
      </c>
      <c r="H912" t="s">
        <v>37</v>
      </c>
      <c r="I912" s="2">
        <v>3.1</v>
      </c>
      <c r="J912" s="4">
        <v>16</v>
      </c>
      <c r="K912" s="3">
        <v>3</v>
      </c>
      <c r="L912" s="1">
        <f t="shared" si="42"/>
        <v>49.450799999999994</v>
      </c>
      <c r="M912" t="str" cm="1">
        <f t="array" ref="M912">_xlfn.IFS(B912&lt;18,"Under 18",B912 &lt;=25,"18-25",B912&lt;=35,"26-35",B912&lt;=45,"36-45",B912&lt;=60,"46-60",TRUE,"60+")</f>
        <v>46-60</v>
      </c>
      <c r="N912" t="str">
        <f t="shared" si="43"/>
        <v>Discounted</v>
      </c>
      <c r="O912" t="str">
        <f t="shared" si="44"/>
        <v>Returning</v>
      </c>
    </row>
    <row r="913" spans="1:15" x14ac:dyDescent="0.25">
      <c r="A913">
        <v>912</v>
      </c>
      <c r="B913">
        <v>42</v>
      </c>
      <c r="C913" t="s">
        <v>16</v>
      </c>
      <c r="D913" t="s">
        <v>20</v>
      </c>
      <c r="E913" t="s">
        <v>39</v>
      </c>
      <c r="F913" s="1">
        <v>51.43</v>
      </c>
      <c r="G913" t="s">
        <v>24</v>
      </c>
      <c r="H913" t="s">
        <v>15</v>
      </c>
      <c r="I913" s="2">
        <v>2.7</v>
      </c>
      <c r="J913" s="4">
        <v>13</v>
      </c>
      <c r="K913" s="3">
        <v>4</v>
      </c>
      <c r="L913" s="1">
        <f t="shared" si="42"/>
        <v>44.744099999999996</v>
      </c>
      <c r="M913" t="str" cm="1">
        <f t="array" ref="M913">_xlfn.IFS(B913&lt;18,"Under 18",B913 &lt;=25,"18-25",B913&lt;=35,"26-35",B913&lt;=45,"36-45",B913&lt;=60,"46-60",TRUE,"60+")</f>
        <v>36-45</v>
      </c>
      <c r="N913" t="str">
        <f t="shared" si="43"/>
        <v>Discounted</v>
      </c>
      <c r="O913" t="str">
        <f t="shared" si="44"/>
        <v>Returning</v>
      </c>
    </row>
    <row r="914" spans="1:15" x14ac:dyDescent="0.25">
      <c r="A914">
        <v>913</v>
      </c>
      <c r="B914">
        <v>56</v>
      </c>
      <c r="C914" t="s">
        <v>11</v>
      </c>
      <c r="D914" t="s">
        <v>22</v>
      </c>
      <c r="E914" t="s">
        <v>43</v>
      </c>
      <c r="F914" s="1">
        <v>235.41</v>
      </c>
      <c r="G914" t="s">
        <v>31</v>
      </c>
      <c r="H914" t="s">
        <v>15</v>
      </c>
      <c r="I914" s="2">
        <v>2.6</v>
      </c>
      <c r="J914" s="4">
        <v>2</v>
      </c>
      <c r="K914" s="3">
        <v>1</v>
      </c>
      <c r="L914" s="1">
        <f t="shared" si="42"/>
        <v>230.70179999999999</v>
      </c>
      <c r="M914" t="str" cm="1">
        <f t="array" ref="M914">_xlfn.IFS(B914&lt;18,"Under 18",B914 &lt;=25,"18-25",B914&lt;=35,"26-35",B914&lt;=45,"36-45",B914&lt;=60,"46-60",TRUE,"60+")</f>
        <v>46-60</v>
      </c>
      <c r="N914" t="str">
        <f t="shared" si="43"/>
        <v>Discounted</v>
      </c>
      <c r="O914" t="str">
        <f t="shared" si="44"/>
        <v>Returning</v>
      </c>
    </row>
    <row r="915" spans="1:15" x14ac:dyDescent="0.25">
      <c r="A915">
        <v>914</v>
      </c>
      <c r="B915">
        <v>46</v>
      </c>
      <c r="C915" t="s">
        <v>11</v>
      </c>
      <c r="D915" t="s">
        <v>12</v>
      </c>
      <c r="E915" t="s">
        <v>56</v>
      </c>
      <c r="F915" s="1">
        <v>99.47</v>
      </c>
      <c r="G915" t="s">
        <v>24</v>
      </c>
      <c r="H915" t="s">
        <v>37</v>
      </c>
      <c r="I915" s="2">
        <v>3.7</v>
      </c>
      <c r="J915" s="4">
        <v>22</v>
      </c>
      <c r="K915" s="3">
        <v>11</v>
      </c>
      <c r="L915" s="1">
        <f t="shared" si="42"/>
        <v>77.586600000000004</v>
      </c>
      <c r="M915" t="str" cm="1">
        <f t="array" ref="M915">_xlfn.IFS(B915&lt;18,"Under 18",B915 &lt;=25,"18-25",B915&lt;=35,"26-35",B915&lt;=45,"36-45",B915&lt;=60,"46-60",TRUE,"60+")</f>
        <v>46-60</v>
      </c>
      <c r="N915" t="str">
        <f t="shared" si="43"/>
        <v>Discounted</v>
      </c>
      <c r="O915" t="str">
        <f t="shared" si="44"/>
        <v>Returning</v>
      </c>
    </row>
    <row r="916" spans="1:15" x14ac:dyDescent="0.25">
      <c r="A916">
        <v>915</v>
      </c>
      <c r="B916">
        <v>40</v>
      </c>
      <c r="C916" t="s">
        <v>11</v>
      </c>
      <c r="D916" t="s">
        <v>12</v>
      </c>
      <c r="E916" t="s">
        <v>50</v>
      </c>
      <c r="F916" s="1">
        <v>38.29</v>
      </c>
      <c r="G916" t="s">
        <v>14</v>
      </c>
      <c r="H916" t="s">
        <v>15</v>
      </c>
      <c r="I916" s="2">
        <v>4.0999999999999996</v>
      </c>
      <c r="J916" s="4">
        <v>18</v>
      </c>
      <c r="K916" s="3">
        <v>9</v>
      </c>
      <c r="L916" s="1">
        <f t="shared" si="42"/>
        <v>31.3978</v>
      </c>
      <c r="M916" t="str" cm="1">
        <f t="array" ref="M916">_xlfn.IFS(B916&lt;18,"Under 18",B916 &lt;=25,"18-25",B916&lt;=35,"26-35",B916&lt;=45,"36-45",B916&lt;=60,"46-60",TRUE,"60+")</f>
        <v>36-45</v>
      </c>
      <c r="N916" t="str">
        <f t="shared" si="43"/>
        <v>Discounted</v>
      </c>
      <c r="O916" t="str">
        <f t="shared" si="44"/>
        <v>Returning</v>
      </c>
    </row>
    <row r="917" spans="1:15" x14ac:dyDescent="0.25">
      <c r="A917">
        <v>916</v>
      </c>
      <c r="B917">
        <v>54</v>
      </c>
      <c r="C917" t="s">
        <v>16</v>
      </c>
      <c r="D917" t="s">
        <v>33</v>
      </c>
      <c r="E917" t="s">
        <v>38</v>
      </c>
      <c r="F917" s="1">
        <v>240.73</v>
      </c>
      <c r="G917" t="s">
        <v>19</v>
      </c>
      <c r="H917" t="s">
        <v>15</v>
      </c>
      <c r="I917" s="2">
        <v>4.5</v>
      </c>
      <c r="J917" s="4">
        <v>18</v>
      </c>
      <c r="K917" s="3">
        <v>4</v>
      </c>
      <c r="L917" s="1">
        <f t="shared" si="42"/>
        <v>197.39860000000002</v>
      </c>
      <c r="M917" t="str" cm="1">
        <f t="array" ref="M917">_xlfn.IFS(B917&lt;18,"Under 18",B917 &lt;=25,"18-25",B917&lt;=35,"26-35",B917&lt;=45,"36-45",B917&lt;=60,"46-60",TRUE,"60+")</f>
        <v>46-60</v>
      </c>
      <c r="N917" t="str">
        <f t="shared" si="43"/>
        <v>Discounted</v>
      </c>
      <c r="O917" t="str">
        <f t="shared" si="44"/>
        <v>Returning</v>
      </c>
    </row>
    <row r="918" spans="1:15" x14ac:dyDescent="0.25">
      <c r="A918">
        <v>917</v>
      </c>
      <c r="B918">
        <v>24</v>
      </c>
      <c r="C918" t="s">
        <v>11</v>
      </c>
      <c r="D918" t="s">
        <v>41</v>
      </c>
      <c r="E918" t="s">
        <v>45</v>
      </c>
      <c r="F918" s="1">
        <v>145.27000000000001</v>
      </c>
      <c r="G918" t="s">
        <v>31</v>
      </c>
      <c r="H918" t="s">
        <v>15</v>
      </c>
      <c r="I918" s="2">
        <v>4.7</v>
      </c>
      <c r="J918" s="4">
        <v>20</v>
      </c>
      <c r="K918" s="3">
        <v>10</v>
      </c>
      <c r="L918" s="1">
        <f t="shared" si="42"/>
        <v>116.21600000000001</v>
      </c>
      <c r="M918" t="str" cm="1">
        <f t="array" ref="M918">_xlfn.IFS(B918&lt;18,"Under 18",B918 &lt;=25,"18-25",B918&lt;=35,"26-35",B918&lt;=45,"36-45",B918&lt;=60,"46-60",TRUE,"60+")</f>
        <v>18-25</v>
      </c>
      <c r="N918" t="str">
        <f t="shared" si="43"/>
        <v>Discounted</v>
      </c>
      <c r="O918" t="str">
        <f t="shared" si="44"/>
        <v>Returning</v>
      </c>
    </row>
    <row r="919" spans="1:15" x14ac:dyDescent="0.25">
      <c r="A919">
        <v>918</v>
      </c>
      <c r="B919">
        <v>22</v>
      </c>
      <c r="C919" t="s">
        <v>16</v>
      </c>
      <c r="D919" t="s">
        <v>33</v>
      </c>
      <c r="E919" t="s">
        <v>38</v>
      </c>
      <c r="F919" s="1">
        <v>140.13</v>
      </c>
      <c r="G919" t="s">
        <v>19</v>
      </c>
      <c r="H919" t="s">
        <v>15</v>
      </c>
      <c r="I919" s="2">
        <v>4.4000000000000004</v>
      </c>
      <c r="J919" s="4">
        <v>16</v>
      </c>
      <c r="K919" s="3">
        <v>3</v>
      </c>
      <c r="L919" s="1">
        <f t="shared" si="42"/>
        <v>117.7092</v>
      </c>
      <c r="M919" t="str" cm="1">
        <f t="array" ref="M919">_xlfn.IFS(B919&lt;18,"Under 18",B919 &lt;=25,"18-25",B919&lt;=35,"26-35",B919&lt;=45,"36-45",B919&lt;=60,"46-60",TRUE,"60+")</f>
        <v>18-25</v>
      </c>
      <c r="N919" t="str">
        <f t="shared" si="43"/>
        <v>Discounted</v>
      </c>
      <c r="O919" t="str">
        <f t="shared" si="44"/>
        <v>Returning</v>
      </c>
    </row>
    <row r="920" spans="1:15" x14ac:dyDescent="0.25">
      <c r="A920">
        <v>919</v>
      </c>
      <c r="B920">
        <v>43</v>
      </c>
      <c r="C920" t="s">
        <v>16</v>
      </c>
      <c r="D920" t="s">
        <v>33</v>
      </c>
      <c r="E920" t="s">
        <v>40</v>
      </c>
      <c r="F920" s="1">
        <v>192.45</v>
      </c>
      <c r="G920" t="s">
        <v>14</v>
      </c>
      <c r="H920" t="s">
        <v>15</v>
      </c>
      <c r="I920" s="2">
        <v>3.3</v>
      </c>
      <c r="J920" s="4">
        <v>7</v>
      </c>
      <c r="K920" s="3">
        <v>1</v>
      </c>
      <c r="L920" s="1">
        <f t="shared" si="42"/>
        <v>178.97849999999997</v>
      </c>
      <c r="M920" t="str" cm="1">
        <f t="array" ref="M920">_xlfn.IFS(B920&lt;18,"Under 18",B920 &lt;=25,"18-25",B920&lt;=35,"26-35",B920&lt;=45,"36-45",B920&lt;=60,"46-60",TRUE,"60+")</f>
        <v>36-45</v>
      </c>
      <c r="N920" t="str">
        <f t="shared" si="43"/>
        <v>Discounted</v>
      </c>
      <c r="O920" t="str">
        <f t="shared" si="44"/>
        <v>Returning</v>
      </c>
    </row>
    <row r="921" spans="1:15" x14ac:dyDescent="0.25">
      <c r="A921">
        <v>920</v>
      </c>
      <c r="B921">
        <v>21</v>
      </c>
      <c r="C921" t="s">
        <v>16</v>
      </c>
      <c r="D921" t="s">
        <v>27</v>
      </c>
      <c r="E921" t="s">
        <v>53</v>
      </c>
      <c r="F921" s="1">
        <v>2391.56</v>
      </c>
      <c r="G921" t="s">
        <v>19</v>
      </c>
      <c r="H921" t="s">
        <v>15</v>
      </c>
      <c r="I921" s="2">
        <v>3.7</v>
      </c>
      <c r="J921" s="4">
        <v>24</v>
      </c>
      <c r="K921" s="3">
        <v>7</v>
      </c>
      <c r="L921" s="1">
        <f t="shared" si="42"/>
        <v>1817.5855999999999</v>
      </c>
      <c r="M921" t="str" cm="1">
        <f t="array" ref="M921">_xlfn.IFS(B921&lt;18,"Under 18",B921 &lt;=25,"18-25",B921&lt;=35,"26-35",B921&lt;=45,"36-45",B921&lt;=60,"46-60",TRUE,"60+")</f>
        <v>18-25</v>
      </c>
      <c r="N921" t="str">
        <f t="shared" si="43"/>
        <v>Discounted</v>
      </c>
      <c r="O921" t="str">
        <f t="shared" si="44"/>
        <v>Returning</v>
      </c>
    </row>
    <row r="922" spans="1:15" x14ac:dyDescent="0.25">
      <c r="A922">
        <v>921</v>
      </c>
      <c r="B922">
        <v>58</v>
      </c>
      <c r="C922" t="s">
        <v>11</v>
      </c>
      <c r="D922" t="s">
        <v>22</v>
      </c>
      <c r="E922" t="s">
        <v>23</v>
      </c>
      <c r="F922" s="1">
        <v>246.33</v>
      </c>
      <c r="G922" t="s">
        <v>24</v>
      </c>
      <c r="H922" t="s">
        <v>15</v>
      </c>
      <c r="I922" s="2">
        <v>3.9</v>
      </c>
      <c r="J922" s="4">
        <v>12</v>
      </c>
      <c r="K922" s="3">
        <v>6</v>
      </c>
      <c r="L922" s="1">
        <f t="shared" si="42"/>
        <v>216.77040000000002</v>
      </c>
      <c r="M922" t="str" cm="1">
        <f t="array" ref="M922">_xlfn.IFS(B922&lt;18,"Under 18",B922 &lt;=25,"18-25",B922&lt;=35,"26-35",B922&lt;=45,"36-45",B922&lt;=60,"46-60",TRUE,"60+")</f>
        <v>46-60</v>
      </c>
      <c r="N922" t="str">
        <f t="shared" si="43"/>
        <v>Discounted</v>
      </c>
      <c r="O922" t="str">
        <f t="shared" si="44"/>
        <v>Returning</v>
      </c>
    </row>
    <row r="923" spans="1:15" x14ac:dyDescent="0.25">
      <c r="A923">
        <v>922</v>
      </c>
      <c r="B923">
        <v>57</v>
      </c>
      <c r="C923" t="s">
        <v>16</v>
      </c>
      <c r="D923" t="s">
        <v>20</v>
      </c>
      <c r="E923" t="s">
        <v>39</v>
      </c>
      <c r="F923" s="1">
        <v>39.18</v>
      </c>
      <c r="G923" t="s">
        <v>31</v>
      </c>
      <c r="H923" t="s">
        <v>37</v>
      </c>
      <c r="I923" s="2">
        <v>3.4</v>
      </c>
      <c r="J923" s="4">
        <v>23</v>
      </c>
      <c r="K923" s="3">
        <v>9</v>
      </c>
      <c r="L923" s="1">
        <f t="shared" si="42"/>
        <v>30.168600000000001</v>
      </c>
      <c r="M923" t="str" cm="1">
        <f t="array" ref="M923">_xlfn.IFS(B923&lt;18,"Under 18",B923 &lt;=25,"18-25",B923&lt;=35,"26-35",B923&lt;=45,"36-45",B923&lt;=60,"46-60",TRUE,"60+")</f>
        <v>46-60</v>
      </c>
      <c r="N923" t="str">
        <f t="shared" si="43"/>
        <v>Discounted</v>
      </c>
      <c r="O923" t="str">
        <f t="shared" si="44"/>
        <v>Returning</v>
      </c>
    </row>
    <row r="924" spans="1:15" x14ac:dyDescent="0.25">
      <c r="A924">
        <v>923</v>
      </c>
      <c r="B924">
        <v>25</v>
      </c>
      <c r="C924" t="s">
        <v>11</v>
      </c>
      <c r="D924" t="s">
        <v>29</v>
      </c>
      <c r="E924" t="s">
        <v>55</v>
      </c>
      <c r="F924" s="1">
        <v>21.93</v>
      </c>
      <c r="G924" t="s">
        <v>14</v>
      </c>
      <c r="H924" t="s">
        <v>37</v>
      </c>
      <c r="I924" s="2">
        <v>4.5</v>
      </c>
      <c r="J924" s="4">
        <v>18</v>
      </c>
      <c r="K924" s="3">
        <v>4</v>
      </c>
      <c r="L924" s="1">
        <f t="shared" si="42"/>
        <v>17.982600000000001</v>
      </c>
      <c r="M924" t="str" cm="1">
        <f t="array" ref="M924">_xlfn.IFS(B924&lt;18,"Under 18",B924 &lt;=25,"18-25",B924&lt;=35,"26-35",B924&lt;=45,"36-45",B924&lt;=60,"46-60",TRUE,"60+")</f>
        <v>18-25</v>
      </c>
      <c r="N924" t="str">
        <f t="shared" si="43"/>
        <v>Discounted</v>
      </c>
      <c r="O924" t="str">
        <f t="shared" si="44"/>
        <v>Returning</v>
      </c>
    </row>
    <row r="925" spans="1:15" x14ac:dyDescent="0.25">
      <c r="A925">
        <v>924</v>
      </c>
      <c r="B925">
        <v>35</v>
      </c>
      <c r="C925" t="s">
        <v>16</v>
      </c>
      <c r="D925" t="s">
        <v>17</v>
      </c>
      <c r="E925" t="s">
        <v>35</v>
      </c>
      <c r="F925" s="1">
        <v>35.65</v>
      </c>
      <c r="G925" t="s">
        <v>14</v>
      </c>
      <c r="H925" t="s">
        <v>15</v>
      </c>
      <c r="I925" s="2">
        <v>4.5</v>
      </c>
      <c r="J925" s="4">
        <v>13</v>
      </c>
      <c r="K925" s="3">
        <v>4</v>
      </c>
      <c r="L925" s="1">
        <f t="shared" si="42"/>
        <v>31.015499999999999</v>
      </c>
      <c r="M925" t="str" cm="1">
        <f t="array" ref="M925">_xlfn.IFS(B925&lt;18,"Under 18",B925 &lt;=25,"18-25",B925&lt;=35,"26-35",B925&lt;=45,"36-45",B925&lt;=60,"46-60",TRUE,"60+")</f>
        <v>26-35</v>
      </c>
      <c r="N925" t="str">
        <f t="shared" si="43"/>
        <v>Discounted</v>
      </c>
      <c r="O925" t="str">
        <f t="shared" si="44"/>
        <v>Returning</v>
      </c>
    </row>
    <row r="926" spans="1:15" x14ac:dyDescent="0.25">
      <c r="A926">
        <v>925</v>
      </c>
      <c r="B926">
        <v>23</v>
      </c>
      <c r="C926" t="s">
        <v>16</v>
      </c>
      <c r="D926" t="s">
        <v>17</v>
      </c>
      <c r="E926" t="s">
        <v>48</v>
      </c>
      <c r="F926" s="1">
        <v>174.44</v>
      </c>
      <c r="G926" t="s">
        <v>31</v>
      </c>
      <c r="H926" t="s">
        <v>15</v>
      </c>
      <c r="I926" s="2">
        <v>2.9</v>
      </c>
      <c r="J926" s="4">
        <v>14</v>
      </c>
      <c r="K926" s="3">
        <v>7</v>
      </c>
      <c r="L926" s="1">
        <f t="shared" si="42"/>
        <v>150.01839999999999</v>
      </c>
      <c r="M926" t="str" cm="1">
        <f t="array" ref="M926">_xlfn.IFS(B926&lt;18,"Under 18",B926 &lt;=25,"18-25",B926&lt;=35,"26-35",B926&lt;=45,"36-45",B926&lt;=60,"46-60",TRUE,"60+")</f>
        <v>18-25</v>
      </c>
      <c r="N926" t="str">
        <f t="shared" si="43"/>
        <v>Discounted</v>
      </c>
      <c r="O926" t="str">
        <f t="shared" si="44"/>
        <v>Returning</v>
      </c>
    </row>
    <row r="927" spans="1:15" x14ac:dyDescent="0.25">
      <c r="A927">
        <v>926</v>
      </c>
      <c r="B927">
        <v>23</v>
      </c>
      <c r="C927" t="s">
        <v>11</v>
      </c>
      <c r="D927" t="s">
        <v>12</v>
      </c>
      <c r="E927" t="s">
        <v>56</v>
      </c>
      <c r="F927" s="1">
        <v>130.69999999999999</v>
      </c>
      <c r="G927" t="s">
        <v>19</v>
      </c>
      <c r="H927" t="s">
        <v>15</v>
      </c>
      <c r="I927" s="2">
        <v>3.2</v>
      </c>
      <c r="J927" s="4">
        <v>19</v>
      </c>
      <c r="K927" s="3">
        <v>7</v>
      </c>
      <c r="L927" s="1">
        <f t="shared" si="42"/>
        <v>105.867</v>
      </c>
      <c r="M927" t="str" cm="1">
        <f t="array" ref="M927">_xlfn.IFS(B927&lt;18,"Under 18",B927 &lt;=25,"18-25",B927&lt;=35,"26-35",B927&lt;=45,"36-45",B927&lt;=60,"46-60",TRUE,"60+")</f>
        <v>18-25</v>
      </c>
      <c r="N927" t="str">
        <f t="shared" si="43"/>
        <v>Discounted</v>
      </c>
      <c r="O927" t="str">
        <f t="shared" si="44"/>
        <v>Returning</v>
      </c>
    </row>
    <row r="928" spans="1:15" x14ac:dyDescent="0.25">
      <c r="A928">
        <v>927</v>
      </c>
      <c r="B928">
        <v>31</v>
      </c>
      <c r="C928" t="s">
        <v>16</v>
      </c>
      <c r="D928" t="s">
        <v>20</v>
      </c>
      <c r="E928" t="s">
        <v>21</v>
      </c>
      <c r="F928" s="1">
        <v>231.91</v>
      </c>
      <c r="G928" t="s">
        <v>24</v>
      </c>
      <c r="H928" t="s">
        <v>15</v>
      </c>
      <c r="I928" s="2">
        <v>4.4000000000000004</v>
      </c>
      <c r="J928" s="4">
        <v>21</v>
      </c>
      <c r="K928" s="3">
        <v>8</v>
      </c>
      <c r="L928" s="1">
        <f t="shared" si="42"/>
        <v>183.2089</v>
      </c>
      <c r="M928" t="str" cm="1">
        <f t="array" ref="M928">_xlfn.IFS(B928&lt;18,"Under 18",B928 &lt;=25,"18-25",B928&lt;=35,"26-35",B928&lt;=45,"36-45",B928&lt;=60,"46-60",TRUE,"60+")</f>
        <v>26-35</v>
      </c>
      <c r="N928" t="str">
        <f t="shared" si="43"/>
        <v>Discounted</v>
      </c>
      <c r="O928" t="str">
        <f t="shared" si="44"/>
        <v>Returning</v>
      </c>
    </row>
    <row r="929" spans="1:15" x14ac:dyDescent="0.25">
      <c r="A929">
        <v>928</v>
      </c>
      <c r="B929">
        <v>33</v>
      </c>
      <c r="C929" t="s">
        <v>11</v>
      </c>
      <c r="D929" t="s">
        <v>12</v>
      </c>
      <c r="E929" t="s">
        <v>56</v>
      </c>
      <c r="F929" s="1">
        <v>130.37</v>
      </c>
      <c r="G929" t="s">
        <v>14</v>
      </c>
      <c r="H929" t="s">
        <v>15</v>
      </c>
      <c r="I929" s="2">
        <v>3.3</v>
      </c>
      <c r="J929" s="4">
        <v>6</v>
      </c>
      <c r="K929" s="3">
        <v>3</v>
      </c>
      <c r="L929" s="1">
        <f t="shared" si="42"/>
        <v>122.5478</v>
      </c>
      <c r="M929" t="str" cm="1">
        <f t="array" ref="M929">_xlfn.IFS(B929&lt;18,"Under 18",B929 &lt;=25,"18-25",B929&lt;=35,"26-35",B929&lt;=45,"36-45",B929&lt;=60,"46-60",TRUE,"60+")</f>
        <v>26-35</v>
      </c>
      <c r="N929" t="str">
        <f t="shared" si="43"/>
        <v>Discounted</v>
      </c>
      <c r="O929" t="str">
        <f t="shared" si="44"/>
        <v>Returning</v>
      </c>
    </row>
    <row r="930" spans="1:15" x14ac:dyDescent="0.25">
      <c r="A930">
        <v>929</v>
      </c>
      <c r="B930">
        <v>45</v>
      </c>
      <c r="C930" t="s">
        <v>11</v>
      </c>
      <c r="D930" t="s">
        <v>41</v>
      </c>
      <c r="E930" t="s">
        <v>45</v>
      </c>
      <c r="F930" s="1">
        <v>185.7</v>
      </c>
      <c r="G930" t="s">
        <v>14</v>
      </c>
      <c r="H930" t="s">
        <v>15</v>
      </c>
      <c r="I930" s="2">
        <v>2.8</v>
      </c>
      <c r="J930" s="4">
        <v>8</v>
      </c>
      <c r="K930" s="3">
        <v>4</v>
      </c>
      <c r="L930" s="1">
        <f t="shared" si="42"/>
        <v>170.84399999999999</v>
      </c>
      <c r="M930" t="str" cm="1">
        <f t="array" ref="M930">_xlfn.IFS(B930&lt;18,"Under 18",B930 &lt;=25,"18-25",B930&lt;=35,"26-35",B930&lt;=45,"36-45",B930&lt;=60,"46-60",TRUE,"60+")</f>
        <v>36-45</v>
      </c>
      <c r="N930" t="str">
        <f t="shared" si="43"/>
        <v>Discounted</v>
      </c>
      <c r="O930" t="str">
        <f t="shared" si="44"/>
        <v>Returning</v>
      </c>
    </row>
    <row r="931" spans="1:15" x14ac:dyDescent="0.25">
      <c r="A931">
        <v>930</v>
      </c>
      <c r="B931">
        <v>59</v>
      </c>
      <c r="C931" t="s">
        <v>16</v>
      </c>
      <c r="D931" t="s">
        <v>25</v>
      </c>
      <c r="E931" t="s">
        <v>26</v>
      </c>
      <c r="F931" s="1">
        <v>8.6999999999999993</v>
      </c>
      <c r="G931" t="s">
        <v>14</v>
      </c>
      <c r="H931" t="s">
        <v>37</v>
      </c>
      <c r="I931" s="2">
        <v>3.5</v>
      </c>
      <c r="J931" s="4">
        <v>32</v>
      </c>
      <c r="K931" s="3">
        <v>11</v>
      </c>
      <c r="L931" s="1">
        <f t="shared" si="42"/>
        <v>5.9159999999999986</v>
      </c>
      <c r="M931" t="str" cm="1">
        <f t="array" ref="M931">_xlfn.IFS(B931&lt;18,"Under 18",B931 &lt;=25,"18-25",B931&lt;=35,"26-35",B931&lt;=45,"36-45",B931&lt;=60,"46-60",TRUE,"60+")</f>
        <v>46-60</v>
      </c>
      <c r="N931" t="str">
        <f t="shared" si="43"/>
        <v>Discounted</v>
      </c>
      <c r="O931" t="str">
        <f t="shared" si="44"/>
        <v>Returning</v>
      </c>
    </row>
    <row r="932" spans="1:15" x14ac:dyDescent="0.25">
      <c r="A932">
        <v>931</v>
      </c>
      <c r="B932">
        <v>43</v>
      </c>
      <c r="C932" t="s">
        <v>16</v>
      </c>
      <c r="D932" t="s">
        <v>27</v>
      </c>
      <c r="E932" t="s">
        <v>49</v>
      </c>
      <c r="F932" s="1">
        <v>2197.9899999999998</v>
      </c>
      <c r="G932" t="s">
        <v>31</v>
      </c>
      <c r="H932" t="s">
        <v>15</v>
      </c>
      <c r="I932" s="2">
        <v>4.0999999999999996</v>
      </c>
      <c r="J932" s="4">
        <v>10</v>
      </c>
      <c r="K932" s="3">
        <v>5</v>
      </c>
      <c r="L932" s="1">
        <f t="shared" si="42"/>
        <v>1978.1909999999998</v>
      </c>
      <c r="M932" t="str" cm="1">
        <f t="array" ref="M932">_xlfn.IFS(B932&lt;18,"Under 18",B932 &lt;=25,"18-25",B932&lt;=35,"26-35",B932&lt;=45,"36-45",B932&lt;=60,"46-60",TRUE,"60+")</f>
        <v>36-45</v>
      </c>
      <c r="N932" t="str">
        <f t="shared" si="43"/>
        <v>Discounted</v>
      </c>
      <c r="O932" t="str">
        <f t="shared" si="44"/>
        <v>Returning</v>
      </c>
    </row>
    <row r="933" spans="1:15" x14ac:dyDescent="0.25">
      <c r="A933">
        <v>932</v>
      </c>
      <c r="B933">
        <v>27</v>
      </c>
      <c r="C933" t="s">
        <v>16</v>
      </c>
      <c r="D933" t="s">
        <v>20</v>
      </c>
      <c r="E933" t="s">
        <v>36</v>
      </c>
      <c r="F933" s="1">
        <v>113.14</v>
      </c>
      <c r="G933" t="s">
        <v>31</v>
      </c>
      <c r="H933" t="s">
        <v>15</v>
      </c>
      <c r="I933" s="2">
        <v>4.4000000000000004</v>
      </c>
      <c r="J933" s="4">
        <v>10</v>
      </c>
      <c r="K933" s="3">
        <v>5</v>
      </c>
      <c r="L933" s="1">
        <f t="shared" si="42"/>
        <v>101.82600000000001</v>
      </c>
      <c r="M933" t="str" cm="1">
        <f t="array" ref="M933">_xlfn.IFS(B933&lt;18,"Under 18",B933 &lt;=25,"18-25",B933&lt;=35,"26-35",B933&lt;=45,"36-45",B933&lt;=60,"46-60",TRUE,"60+")</f>
        <v>26-35</v>
      </c>
      <c r="N933" t="str">
        <f t="shared" si="43"/>
        <v>Discounted</v>
      </c>
      <c r="O933" t="str">
        <f t="shared" si="44"/>
        <v>Returning</v>
      </c>
    </row>
    <row r="934" spans="1:15" x14ac:dyDescent="0.25">
      <c r="A934">
        <v>933</v>
      </c>
      <c r="B934">
        <v>53</v>
      </c>
      <c r="C934" t="s">
        <v>16</v>
      </c>
      <c r="D934" t="s">
        <v>33</v>
      </c>
      <c r="E934" t="s">
        <v>34</v>
      </c>
      <c r="F934" s="1">
        <v>223.47</v>
      </c>
      <c r="G934" t="s">
        <v>14</v>
      </c>
      <c r="H934" t="s">
        <v>15</v>
      </c>
      <c r="I934" s="2">
        <v>3.4</v>
      </c>
      <c r="J934" s="4">
        <v>8</v>
      </c>
      <c r="K934" s="3">
        <v>4</v>
      </c>
      <c r="L934" s="1">
        <f t="shared" si="42"/>
        <v>205.5924</v>
      </c>
      <c r="M934" t="str" cm="1">
        <f t="array" ref="M934">_xlfn.IFS(B934&lt;18,"Under 18",B934 &lt;=25,"18-25",B934&lt;=35,"26-35",B934&lt;=45,"36-45",B934&lt;=60,"46-60",TRUE,"60+")</f>
        <v>46-60</v>
      </c>
      <c r="N934" t="str">
        <f t="shared" si="43"/>
        <v>Discounted</v>
      </c>
      <c r="O934" t="str">
        <f t="shared" si="44"/>
        <v>Returning</v>
      </c>
    </row>
    <row r="935" spans="1:15" x14ac:dyDescent="0.25">
      <c r="A935">
        <v>934</v>
      </c>
      <c r="B935">
        <v>60</v>
      </c>
      <c r="C935" t="s">
        <v>16</v>
      </c>
      <c r="D935" t="s">
        <v>20</v>
      </c>
      <c r="E935" t="s">
        <v>21</v>
      </c>
      <c r="F935" s="1">
        <v>203.1</v>
      </c>
      <c r="G935" t="s">
        <v>14</v>
      </c>
      <c r="H935" t="s">
        <v>15</v>
      </c>
      <c r="I935" s="2">
        <v>3.9</v>
      </c>
      <c r="J935" s="4">
        <v>10</v>
      </c>
      <c r="K935" s="3">
        <v>5</v>
      </c>
      <c r="L935" s="1">
        <f t="shared" si="42"/>
        <v>182.79</v>
      </c>
      <c r="M935" t="str" cm="1">
        <f t="array" ref="M935">_xlfn.IFS(B935&lt;18,"Under 18",B935 &lt;=25,"18-25",B935&lt;=35,"26-35",B935&lt;=45,"36-45",B935&lt;=60,"46-60",TRUE,"60+")</f>
        <v>46-60</v>
      </c>
      <c r="N935" t="str">
        <f t="shared" si="43"/>
        <v>Discounted</v>
      </c>
      <c r="O935" t="str">
        <f t="shared" si="44"/>
        <v>Returning</v>
      </c>
    </row>
    <row r="936" spans="1:15" x14ac:dyDescent="0.25">
      <c r="A936">
        <v>935</v>
      </c>
      <c r="B936">
        <v>42</v>
      </c>
      <c r="C936" t="s">
        <v>16</v>
      </c>
      <c r="D936" t="s">
        <v>17</v>
      </c>
      <c r="E936" t="s">
        <v>42</v>
      </c>
      <c r="F936" s="1">
        <v>85.93</v>
      </c>
      <c r="G936" t="s">
        <v>24</v>
      </c>
      <c r="H936" t="s">
        <v>15</v>
      </c>
      <c r="I936" s="2">
        <v>2.6</v>
      </c>
      <c r="J936" s="4">
        <v>22</v>
      </c>
      <c r="K936" s="3">
        <v>6</v>
      </c>
      <c r="L936" s="1">
        <f t="shared" si="42"/>
        <v>67.025400000000005</v>
      </c>
      <c r="M936" t="str" cm="1">
        <f t="array" ref="M936">_xlfn.IFS(B936&lt;18,"Under 18",B936 &lt;=25,"18-25",B936&lt;=35,"26-35",B936&lt;=45,"36-45",B936&lt;=60,"46-60",TRUE,"60+")</f>
        <v>36-45</v>
      </c>
      <c r="N936" t="str">
        <f t="shared" si="43"/>
        <v>Discounted</v>
      </c>
      <c r="O936" t="str">
        <f t="shared" si="44"/>
        <v>Returning</v>
      </c>
    </row>
    <row r="937" spans="1:15" x14ac:dyDescent="0.25">
      <c r="A937">
        <v>936</v>
      </c>
      <c r="B937">
        <v>43</v>
      </c>
      <c r="C937" t="s">
        <v>16</v>
      </c>
      <c r="D937" t="s">
        <v>27</v>
      </c>
      <c r="E937" t="s">
        <v>53</v>
      </c>
      <c r="F937" s="1">
        <v>622.05999999999995</v>
      </c>
      <c r="G937" t="s">
        <v>14</v>
      </c>
      <c r="H937" t="s">
        <v>15</v>
      </c>
      <c r="I937" s="2">
        <v>3.5</v>
      </c>
      <c r="J937" s="4">
        <v>20</v>
      </c>
      <c r="K937" s="3">
        <v>5</v>
      </c>
      <c r="L937" s="1">
        <f t="shared" si="42"/>
        <v>497.64799999999997</v>
      </c>
      <c r="M937" t="str" cm="1">
        <f t="array" ref="M937">_xlfn.IFS(B937&lt;18,"Under 18",B937 &lt;=25,"18-25",B937&lt;=35,"26-35",B937&lt;=45,"36-45",B937&lt;=60,"46-60",TRUE,"60+")</f>
        <v>36-45</v>
      </c>
      <c r="N937" t="str">
        <f t="shared" si="43"/>
        <v>Discounted</v>
      </c>
      <c r="O937" t="str">
        <f t="shared" si="44"/>
        <v>Returning</v>
      </c>
    </row>
    <row r="938" spans="1:15" x14ac:dyDescent="0.25">
      <c r="A938">
        <v>937</v>
      </c>
      <c r="B938">
        <v>62</v>
      </c>
      <c r="C938" t="s">
        <v>16</v>
      </c>
      <c r="D938" t="s">
        <v>22</v>
      </c>
      <c r="E938" t="s">
        <v>52</v>
      </c>
      <c r="F938" s="1">
        <v>136.93</v>
      </c>
      <c r="G938" t="s">
        <v>14</v>
      </c>
      <c r="H938" t="s">
        <v>15</v>
      </c>
      <c r="I938" s="2">
        <v>2</v>
      </c>
      <c r="J938" s="4">
        <v>12</v>
      </c>
      <c r="K938" s="3">
        <v>6</v>
      </c>
      <c r="L938" s="1">
        <f t="shared" si="42"/>
        <v>120.4984</v>
      </c>
      <c r="M938" t="str" cm="1">
        <f t="array" ref="M938">_xlfn.IFS(B938&lt;18,"Under 18",B938 &lt;=25,"18-25",B938&lt;=35,"26-35",B938&lt;=45,"36-45",B938&lt;=60,"46-60",TRUE,"60+")</f>
        <v>60+</v>
      </c>
      <c r="N938" t="str">
        <f t="shared" si="43"/>
        <v>Discounted</v>
      </c>
      <c r="O938" t="str">
        <f t="shared" si="44"/>
        <v>Returning</v>
      </c>
    </row>
    <row r="939" spans="1:15" x14ac:dyDescent="0.25">
      <c r="A939">
        <v>938</v>
      </c>
      <c r="B939">
        <v>52</v>
      </c>
      <c r="C939" t="s">
        <v>11</v>
      </c>
      <c r="D939" t="s">
        <v>22</v>
      </c>
      <c r="E939" t="s">
        <v>23</v>
      </c>
      <c r="F939" s="1">
        <v>287.12</v>
      </c>
      <c r="G939" t="s">
        <v>19</v>
      </c>
      <c r="H939" t="s">
        <v>15</v>
      </c>
      <c r="I939" s="2">
        <v>4.2</v>
      </c>
      <c r="J939" s="4">
        <v>28</v>
      </c>
      <c r="K939" s="3">
        <v>9</v>
      </c>
      <c r="L939" s="1">
        <f t="shared" si="42"/>
        <v>206.72639999999998</v>
      </c>
      <c r="M939" t="str" cm="1">
        <f t="array" ref="M939">_xlfn.IFS(B939&lt;18,"Under 18",B939 &lt;=25,"18-25",B939&lt;=35,"26-35",B939&lt;=45,"36-45",B939&lt;=60,"46-60",TRUE,"60+")</f>
        <v>46-60</v>
      </c>
      <c r="N939" t="str">
        <f t="shared" si="43"/>
        <v>Discounted</v>
      </c>
      <c r="O939" t="str">
        <f t="shared" si="44"/>
        <v>Returning</v>
      </c>
    </row>
    <row r="940" spans="1:15" x14ac:dyDescent="0.25">
      <c r="A940">
        <v>939</v>
      </c>
      <c r="B940">
        <v>70</v>
      </c>
      <c r="C940" t="s">
        <v>16</v>
      </c>
      <c r="D940" t="s">
        <v>33</v>
      </c>
      <c r="E940" t="s">
        <v>38</v>
      </c>
      <c r="F940" s="1">
        <v>223.82</v>
      </c>
      <c r="G940" t="s">
        <v>31</v>
      </c>
      <c r="H940" t="s">
        <v>15</v>
      </c>
      <c r="I940" s="2">
        <v>5</v>
      </c>
      <c r="J940" s="4">
        <v>9</v>
      </c>
      <c r="K940" s="3">
        <v>2</v>
      </c>
      <c r="L940" s="1">
        <f t="shared" si="42"/>
        <v>203.67619999999999</v>
      </c>
      <c r="M940" t="str" cm="1">
        <f t="array" ref="M940">_xlfn.IFS(B940&lt;18,"Under 18",B940 &lt;=25,"18-25",B940&lt;=35,"26-35",B940&lt;=45,"36-45",B940&lt;=60,"46-60",TRUE,"60+")</f>
        <v>60+</v>
      </c>
      <c r="N940" t="str">
        <f t="shared" si="43"/>
        <v>Discounted</v>
      </c>
      <c r="O940" t="str">
        <f t="shared" si="44"/>
        <v>Returning</v>
      </c>
    </row>
    <row r="941" spans="1:15" x14ac:dyDescent="0.25">
      <c r="A941">
        <v>940</v>
      </c>
      <c r="B941">
        <v>69</v>
      </c>
      <c r="C941" t="s">
        <v>11</v>
      </c>
      <c r="D941" t="s">
        <v>25</v>
      </c>
      <c r="E941" t="s">
        <v>57</v>
      </c>
      <c r="F941" s="1">
        <v>52.06</v>
      </c>
      <c r="G941" t="s">
        <v>19</v>
      </c>
      <c r="H941" t="s">
        <v>15</v>
      </c>
      <c r="I941" s="2">
        <v>4.7</v>
      </c>
      <c r="J941" s="4">
        <v>20</v>
      </c>
      <c r="K941" s="3">
        <v>5</v>
      </c>
      <c r="L941" s="1">
        <f t="shared" si="42"/>
        <v>41.648000000000003</v>
      </c>
      <c r="M941" t="str" cm="1">
        <f t="array" ref="M941">_xlfn.IFS(B941&lt;18,"Under 18",B941 &lt;=25,"18-25",B941&lt;=35,"26-35",B941&lt;=45,"36-45",B941&lt;=60,"46-60",TRUE,"60+")</f>
        <v>60+</v>
      </c>
      <c r="N941" t="str">
        <f t="shared" si="43"/>
        <v>Discounted</v>
      </c>
      <c r="O941" t="str">
        <f t="shared" si="44"/>
        <v>Returning</v>
      </c>
    </row>
    <row r="942" spans="1:15" x14ac:dyDescent="0.25">
      <c r="A942">
        <v>941</v>
      </c>
      <c r="B942">
        <v>38</v>
      </c>
      <c r="C942" t="s">
        <v>16</v>
      </c>
      <c r="D942" t="s">
        <v>22</v>
      </c>
      <c r="E942" t="s">
        <v>43</v>
      </c>
      <c r="F942" s="1">
        <v>230.54</v>
      </c>
      <c r="G942" t="s">
        <v>19</v>
      </c>
      <c r="H942" t="s">
        <v>15</v>
      </c>
      <c r="I942" s="2">
        <v>4.2</v>
      </c>
      <c r="J942" s="4">
        <v>16</v>
      </c>
      <c r="K942" s="3">
        <v>8</v>
      </c>
      <c r="L942" s="1">
        <f t="shared" si="42"/>
        <v>193.65359999999998</v>
      </c>
      <c r="M942" t="str" cm="1">
        <f t="array" ref="M942">_xlfn.IFS(B942&lt;18,"Under 18",B942 &lt;=25,"18-25",B942&lt;=35,"26-35",B942&lt;=45,"36-45",B942&lt;=60,"46-60",TRUE,"60+")</f>
        <v>36-45</v>
      </c>
      <c r="N942" t="str">
        <f t="shared" si="43"/>
        <v>Discounted</v>
      </c>
      <c r="O942" t="str">
        <f t="shared" si="44"/>
        <v>Returning</v>
      </c>
    </row>
    <row r="943" spans="1:15" x14ac:dyDescent="0.25">
      <c r="A943">
        <v>942</v>
      </c>
      <c r="B943">
        <v>64</v>
      </c>
      <c r="C943" t="s">
        <v>11</v>
      </c>
      <c r="D943" t="s">
        <v>12</v>
      </c>
      <c r="E943" t="s">
        <v>56</v>
      </c>
      <c r="F943" s="1">
        <v>146.22999999999999</v>
      </c>
      <c r="G943" t="s">
        <v>31</v>
      </c>
      <c r="H943" t="s">
        <v>15</v>
      </c>
      <c r="I943" s="2">
        <v>4</v>
      </c>
      <c r="J943" s="4">
        <v>14</v>
      </c>
      <c r="K943" s="3">
        <v>7</v>
      </c>
      <c r="L943" s="1">
        <f t="shared" si="42"/>
        <v>125.75779999999999</v>
      </c>
      <c r="M943" t="str" cm="1">
        <f t="array" ref="M943">_xlfn.IFS(B943&lt;18,"Under 18",B943 &lt;=25,"18-25",B943&lt;=35,"26-35",B943&lt;=45,"36-45",B943&lt;=60,"46-60",TRUE,"60+")</f>
        <v>60+</v>
      </c>
      <c r="N943" t="str">
        <f t="shared" si="43"/>
        <v>Discounted</v>
      </c>
      <c r="O943" t="str">
        <f t="shared" si="44"/>
        <v>Returning</v>
      </c>
    </row>
    <row r="944" spans="1:15" x14ac:dyDescent="0.25">
      <c r="A944">
        <v>943</v>
      </c>
      <c r="B944">
        <v>43</v>
      </c>
      <c r="C944" t="s">
        <v>11</v>
      </c>
      <c r="D944" t="s">
        <v>41</v>
      </c>
      <c r="E944" t="s">
        <v>42</v>
      </c>
      <c r="F944" s="1">
        <v>84.02</v>
      </c>
      <c r="G944" t="s">
        <v>19</v>
      </c>
      <c r="H944" t="s">
        <v>37</v>
      </c>
      <c r="I944" s="2">
        <v>4</v>
      </c>
      <c r="J944" s="4">
        <v>8</v>
      </c>
      <c r="K944" s="3">
        <v>4</v>
      </c>
      <c r="L944" s="1">
        <f t="shared" si="42"/>
        <v>77.298400000000001</v>
      </c>
      <c r="M944" t="str" cm="1">
        <f t="array" ref="M944">_xlfn.IFS(B944&lt;18,"Under 18",B944 &lt;=25,"18-25",B944&lt;=35,"26-35",B944&lt;=45,"36-45",B944&lt;=60,"46-60",TRUE,"60+")</f>
        <v>36-45</v>
      </c>
      <c r="N944" t="str">
        <f t="shared" si="43"/>
        <v>Discounted</v>
      </c>
      <c r="O944" t="str">
        <f t="shared" si="44"/>
        <v>Returning</v>
      </c>
    </row>
    <row r="945" spans="1:15" x14ac:dyDescent="0.25">
      <c r="A945">
        <v>944</v>
      </c>
      <c r="B945">
        <v>40</v>
      </c>
      <c r="C945" t="s">
        <v>16</v>
      </c>
      <c r="D945" t="s">
        <v>27</v>
      </c>
      <c r="E945" t="s">
        <v>49</v>
      </c>
      <c r="F945" s="1">
        <v>570.66</v>
      </c>
      <c r="G945" t="s">
        <v>24</v>
      </c>
      <c r="H945" t="s">
        <v>15</v>
      </c>
      <c r="I945" s="2">
        <v>3.7</v>
      </c>
      <c r="J945" s="4">
        <v>7</v>
      </c>
      <c r="K945" s="3">
        <v>1</v>
      </c>
      <c r="L945" s="1">
        <f t="shared" si="42"/>
        <v>530.71379999999988</v>
      </c>
      <c r="M945" t="str" cm="1">
        <f t="array" ref="M945">_xlfn.IFS(B945&lt;18,"Under 18",B945 &lt;=25,"18-25",B945&lt;=35,"26-35",B945&lt;=45,"36-45",B945&lt;=60,"46-60",TRUE,"60+")</f>
        <v>36-45</v>
      </c>
      <c r="N945" t="str">
        <f t="shared" si="43"/>
        <v>Discounted</v>
      </c>
      <c r="O945" t="str">
        <f t="shared" si="44"/>
        <v>Returning</v>
      </c>
    </row>
    <row r="946" spans="1:15" x14ac:dyDescent="0.25">
      <c r="A946">
        <v>945</v>
      </c>
      <c r="B946">
        <v>59</v>
      </c>
      <c r="C946" t="s">
        <v>16</v>
      </c>
      <c r="D946" t="s">
        <v>33</v>
      </c>
      <c r="E946" t="s">
        <v>38</v>
      </c>
      <c r="F946" s="1">
        <v>208.68</v>
      </c>
      <c r="G946" t="s">
        <v>24</v>
      </c>
      <c r="H946" t="s">
        <v>15</v>
      </c>
      <c r="I946" s="2">
        <v>2.9</v>
      </c>
      <c r="J946" s="4">
        <v>22</v>
      </c>
      <c r="K946" s="3">
        <v>6</v>
      </c>
      <c r="L946" s="1">
        <f t="shared" si="42"/>
        <v>162.77040000000002</v>
      </c>
      <c r="M946" t="str" cm="1">
        <f t="array" ref="M946">_xlfn.IFS(B946&lt;18,"Under 18",B946 &lt;=25,"18-25",B946&lt;=35,"26-35",B946&lt;=45,"36-45",B946&lt;=60,"46-60",TRUE,"60+")</f>
        <v>46-60</v>
      </c>
      <c r="N946" t="str">
        <f t="shared" si="43"/>
        <v>Discounted</v>
      </c>
      <c r="O946" t="str">
        <f t="shared" si="44"/>
        <v>Returning</v>
      </c>
    </row>
    <row r="947" spans="1:15" x14ac:dyDescent="0.25">
      <c r="A947">
        <v>946</v>
      </c>
      <c r="B947">
        <v>55</v>
      </c>
      <c r="C947" t="s">
        <v>16</v>
      </c>
      <c r="D947" t="s">
        <v>17</v>
      </c>
      <c r="E947" t="s">
        <v>18</v>
      </c>
      <c r="F947" s="1">
        <v>105.92</v>
      </c>
      <c r="G947" t="s">
        <v>19</v>
      </c>
      <c r="H947" t="s">
        <v>15</v>
      </c>
      <c r="I947" s="2">
        <v>4</v>
      </c>
      <c r="J947" s="4">
        <v>14</v>
      </c>
      <c r="K947" s="3">
        <v>2</v>
      </c>
      <c r="L947" s="1">
        <f t="shared" si="42"/>
        <v>91.091200000000001</v>
      </c>
      <c r="M947" t="str" cm="1">
        <f t="array" ref="M947">_xlfn.IFS(B947&lt;18,"Under 18",B947 &lt;=25,"18-25",B947&lt;=35,"26-35",B947&lt;=45,"36-45",B947&lt;=60,"46-60",TRUE,"60+")</f>
        <v>46-60</v>
      </c>
      <c r="N947" t="str">
        <f t="shared" si="43"/>
        <v>Discounted</v>
      </c>
      <c r="O947" t="str">
        <f t="shared" si="44"/>
        <v>Returning</v>
      </c>
    </row>
    <row r="948" spans="1:15" x14ac:dyDescent="0.25">
      <c r="A948">
        <v>947</v>
      </c>
      <c r="B948">
        <v>67</v>
      </c>
      <c r="C948" t="s">
        <v>16</v>
      </c>
      <c r="D948" t="s">
        <v>27</v>
      </c>
      <c r="E948" t="s">
        <v>32</v>
      </c>
      <c r="F948" s="1">
        <v>594.99</v>
      </c>
      <c r="G948" t="s">
        <v>24</v>
      </c>
      <c r="H948" t="s">
        <v>15</v>
      </c>
      <c r="I948" s="2">
        <v>4.7</v>
      </c>
      <c r="J948" s="4">
        <v>15</v>
      </c>
      <c r="K948" s="3">
        <v>5</v>
      </c>
      <c r="L948" s="1">
        <f t="shared" si="42"/>
        <v>505.74149999999997</v>
      </c>
      <c r="M948" t="str" cm="1">
        <f t="array" ref="M948">_xlfn.IFS(B948&lt;18,"Under 18",B948 &lt;=25,"18-25",B948&lt;=35,"26-35",B948&lt;=45,"36-45",B948&lt;=60,"46-60",TRUE,"60+")</f>
        <v>60+</v>
      </c>
      <c r="N948" t="str">
        <f t="shared" si="43"/>
        <v>Discounted</v>
      </c>
      <c r="O948" t="str">
        <f t="shared" si="44"/>
        <v>Returning</v>
      </c>
    </row>
    <row r="949" spans="1:15" x14ac:dyDescent="0.25">
      <c r="A949">
        <v>948</v>
      </c>
      <c r="B949">
        <v>48</v>
      </c>
      <c r="C949" t="s">
        <v>16</v>
      </c>
      <c r="D949" t="s">
        <v>20</v>
      </c>
      <c r="E949" t="s">
        <v>21</v>
      </c>
      <c r="F949" s="1">
        <v>122.6</v>
      </c>
      <c r="G949" t="s">
        <v>19</v>
      </c>
      <c r="H949" t="s">
        <v>15</v>
      </c>
      <c r="I949" s="2">
        <v>3.6</v>
      </c>
      <c r="J949" s="4">
        <v>14</v>
      </c>
      <c r="K949" s="3">
        <v>7</v>
      </c>
      <c r="L949" s="1">
        <f t="shared" si="42"/>
        <v>105.43599999999999</v>
      </c>
      <c r="M949" t="str" cm="1">
        <f t="array" ref="M949">_xlfn.IFS(B949&lt;18,"Under 18",B949 &lt;=25,"18-25",B949&lt;=35,"26-35",B949&lt;=45,"36-45",B949&lt;=60,"46-60",TRUE,"60+")</f>
        <v>46-60</v>
      </c>
      <c r="N949" t="str">
        <f t="shared" si="43"/>
        <v>Discounted</v>
      </c>
      <c r="O949" t="str">
        <f t="shared" si="44"/>
        <v>Returning</v>
      </c>
    </row>
    <row r="950" spans="1:15" x14ac:dyDescent="0.25">
      <c r="A950">
        <v>949</v>
      </c>
      <c r="B950">
        <v>62</v>
      </c>
      <c r="C950" t="s">
        <v>11</v>
      </c>
      <c r="D950" t="s">
        <v>29</v>
      </c>
      <c r="E950" t="s">
        <v>55</v>
      </c>
      <c r="F950" s="1">
        <v>105.62</v>
      </c>
      <c r="G950" t="s">
        <v>24</v>
      </c>
      <c r="H950" t="s">
        <v>15</v>
      </c>
      <c r="I950" s="2">
        <v>3.6</v>
      </c>
      <c r="J950" s="4">
        <v>29</v>
      </c>
      <c r="K950" s="3">
        <v>12</v>
      </c>
      <c r="L950" s="1">
        <f t="shared" si="42"/>
        <v>74.990200000000002</v>
      </c>
      <c r="M950" t="str" cm="1">
        <f t="array" ref="M950">_xlfn.IFS(B950&lt;18,"Under 18",B950 &lt;=25,"18-25",B950&lt;=35,"26-35",B950&lt;=45,"36-45",B950&lt;=60,"46-60",TRUE,"60+")</f>
        <v>60+</v>
      </c>
      <c r="N950" t="str">
        <f t="shared" si="43"/>
        <v>Discounted</v>
      </c>
      <c r="O950" t="str">
        <f t="shared" si="44"/>
        <v>Returning</v>
      </c>
    </row>
    <row r="951" spans="1:15" x14ac:dyDescent="0.25">
      <c r="A951">
        <v>950</v>
      </c>
      <c r="B951">
        <v>57</v>
      </c>
      <c r="C951" t="s">
        <v>11</v>
      </c>
      <c r="D951" t="s">
        <v>22</v>
      </c>
      <c r="E951" t="s">
        <v>23</v>
      </c>
      <c r="F951" s="1">
        <v>57.08</v>
      </c>
      <c r="G951" t="s">
        <v>24</v>
      </c>
      <c r="H951" t="s">
        <v>37</v>
      </c>
      <c r="I951" s="2">
        <v>3.9</v>
      </c>
      <c r="J951" s="4">
        <v>10</v>
      </c>
      <c r="K951" s="3">
        <v>5</v>
      </c>
      <c r="L951" s="1">
        <f t="shared" si="42"/>
        <v>51.372</v>
      </c>
      <c r="M951" t="str" cm="1">
        <f t="array" ref="M951">_xlfn.IFS(B951&lt;18,"Under 18",B951 &lt;=25,"18-25",B951&lt;=35,"26-35",B951&lt;=45,"36-45",B951&lt;=60,"46-60",TRUE,"60+")</f>
        <v>46-60</v>
      </c>
      <c r="N951" t="str">
        <f t="shared" si="43"/>
        <v>Discounted</v>
      </c>
      <c r="O951" t="str">
        <f t="shared" si="44"/>
        <v>Returning</v>
      </c>
    </row>
    <row r="952" spans="1:15" x14ac:dyDescent="0.25">
      <c r="A952">
        <v>951</v>
      </c>
      <c r="B952">
        <v>44</v>
      </c>
      <c r="C952" t="s">
        <v>16</v>
      </c>
      <c r="D952" t="s">
        <v>22</v>
      </c>
      <c r="E952" t="s">
        <v>43</v>
      </c>
      <c r="F952" s="1">
        <v>157.74</v>
      </c>
      <c r="G952" t="s">
        <v>24</v>
      </c>
      <c r="H952" t="s">
        <v>15</v>
      </c>
      <c r="I952" s="2">
        <v>3.3</v>
      </c>
      <c r="J952" s="4">
        <v>17</v>
      </c>
      <c r="K952" s="3">
        <v>6</v>
      </c>
      <c r="L952" s="1">
        <f t="shared" si="42"/>
        <v>130.92420000000001</v>
      </c>
      <c r="M952" t="str" cm="1">
        <f t="array" ref="M952">_xlfn.IFS(B952&lt;18,"Under 18",B952 &lt;=25,"18-25",B952&lt;=35,"26-35",B952&lt;=45,"36-45",B952&lt;=60,"46-60",TRUE,"60+")</f>
        <v>36-45</v>
      </c>
      <c r="N952" t="str">
        <f t="shared" si="43"/>
        <v>Discounted</v>
      </c>
      <c r="O952" t="str">
        <f t="shared" si="44"/>
        <v>Returning</v>
      </c>
    </row>
    <row r="953" spans="1:15" x14ac:dyDescent="0.25">
      <c r="A953">
        <v>952</v>
      </c>
      <c r="B953">
        <v>25</v>
      </c>
      <c r="C953" t="s">
        <v>16</v>
      </c>
      <c r="D953" t="s">
        <v>25</v>
      </c>
      <c r="E953" t="s">
        <v>26</v>
      </c>
      <c r="F953" s="1">
        <v>77.760000000000005</v>
      </c>
      <c r="G953" t="s">
        <v>31</v>
      </c>
      <c r="H953" t="s">
        <v>15</v>
      </c>
      <c r="I953" s="2">
        <v>4.3</v>
      </c>
      <c r="J953" s="4">
        <v>27</v>
      </c>
      <c r="K953" s="3">
        <v>11</v>
      </c>
      <c r="L953" s="1">
        <f t="shared" si="42"/>
        <v>56.764800000000001</v>
      </c>
      <c r="M953" t="str" cm="1">
        <f t="array" ref="M953">_xlfn.IFS(B953&lt;18,"Under 18",B953 &lt;=25,"18-25",B953&lt;=35,"26-35",B953&lt;=45,"36-45",B953&lt;=60,"46-60",TRUE,"60+")</f>
        <v>18-25</v>
      </c>
      <c r="N953" t="str">
        <f t="shared" si="43"/>
        <v>Discounted</v>
      </c>
      <c r="O953" t="str">
        <f t="shared" si="44"/>
        <v>Returning</v>
      </c>
    </row>
    <row r="954" spans="1:15" x14ac:dyDescent="0.25">
      <c r="A954">
        <v>953</v>
      </c>
      <c r="B954">
        <v>48</v>
      </c>
      <c r="C954" t="s">
        <v>11</v>
      </c>
      <c r="D954" t="s">
        <v>22</v>
      </c>
      <c r="E954" t="s">
        <v>23</v>
      </c>
      <c r="F954" s="1">
        <v>243.65</v>
      </c>
      <c r="G954" t="s">
        <v>14</v>
      </c>
      <c r="H954" t="s">
        <v>15</v>
      </c>
      <c r="I954" s="2">
        <v>4.8</v>
      </c>
      <c r="J954" s="4">
        <v>15</v>
      </c>
      <c r="K954" s="3">
        <v>5</v>
      </c>
      <c r="L954" s="1">
        <f t="shared" si="42"/>
        <v>207.10249999999999</v>
      </c>
      <c r="M954" t="str" cm="1">
        <f t="array" ref="M954">_xlfn.IFS(B954&lt;18,"Under 18",B954 &lt;=25,"18-25",B954&lt;=35,"26-35",B954&lt;=45,"36-45",B954&lt;=60,"46-60",TRUE,"60+")</f>
        <v>46-60</v>
      </c>
      <c r="N954" t="str">
        <f t="shared" si="43"/>
        <v>Discounted</v>
      </c>
      <c r="O954" t="str">
        <f t="shared" si="44"/>
        <v>Returning</v>
      </c>
    </row>
    <row r="955" spans="1:15" x14ac:dyDescent="0.25">
      <c r="A955">
        <v>954</v>
      </c>
      <c r="B955">
        <v>28</v>
      </c>
      <c r="C955" t="s">
        <v>16</v>
      </c>
      <c r="D955" t="s">
        <v>20</v>
      </c>
      <c r="E955" t="s">
        <v>39</v>
      </c>
      <c r="F955" s="1">
        <v>73.599999999999994</v>
      </c>
      <c r="G955" t="s">
        <v>19</v>
      </c>
      <c r="H955" t="s">
        <v>15</v>
      </c>
      <c r="I955" s="2">
        <v>3.3</v>
      </c>
      <c r="J955" s="4">
        <v>14</v>
      </c>
      <c r="K955" s="3">
        <v>7</v>
      </c>
      <c r="L955" s="1">
        <f t="shared" si="42"/>
        <v>63.295999999999992</v>
      </c>
      <c r="M955" t="str" cm="1">
        <f t="array" ref="M955">_xlfn.IFS(B955&lt;18,"Under 18",B955 &lt;=25,"18-25",B955&lt;=35,"26-35",B955&lt;=45,"36-45",B955&lt;=60,"46-60",TRUE,"60+")</f>
        <v>26-35</v>
      </c>
      <c r="N955" t="str">
        <f t="shared" si="43"/>
        <v>Discounted</v>
      </c>
      <c r="O955" t="str">
        <f t="shared" si="44"/>
        <v>Returning</v>
      </c>
    </row>
    <row r="956" spans="1:15" x14ac:dyDescent="0.25">
      <c r="A956">
        <v>955</v>
      </c>
      <c r="B956">
        <v>51</v>
      </c>
      <c r="C956" t="s">
        <v>11</v>
      </c>
      <c r="D956" t="s">
        <v>33</v>
      </c>
      <c r="E956" t="s">
        <v>34</v>
      </c>
      <c r="F956" s="1">
        <v>187.41</v>
      </c>
      <c r="G956" t="s">
        <v>19</v>
      </c>
      <c r="H956" t="s">
        <v>15</v>
      </c>
      <c r="I956" s="2">
        <v>4.4000000000000004</v>
      </c>
      <c r="J956" s="4">
        <v>20</v>
      </c>
      <c r="K956" s="3">
        <v>5</v>
      </c>
      <c r="L956" s="1">
        <f t="shared" si="42"/>
        <v>149.928</v>
      </c>
      <c r="M956" t="str" cm="1">
        <f t="array" ref="M956">_xlfn.IFS(B956&lt;18,"Under 18",B956 &lt;=25,"18-25",B956&lt;=35,"26-35",B956&lt;=45,"36-45",B956&lt;=60,"46-60",TRUE,"60+")</f>
        <v>46-60</v>
      </c>
      <c r="N956" t="str">
        <f t="shared" si="43"/>
        <v>Discounted</v>
      </c>
      <c r="O956" t="str">
        <f t="shared" si="44"/>
        <v>Returning</v>
      </c>
    </row>
    <row r="957" spans="1:15" x14ac:dyDescent="0.25">
      <c r="A957">
        <v>956</v>
      </c>
      <c r="B957">
        <v>46</v>
      </c>
      <c r="C957" t="s">
        <v>11</v>
      </c>
      <c r="D957" t="s">
        <v>33</v>
      </c>
      <c r="E957" t="s">
        <v>40</v>
      </c>
      <c r="F957" s="1">
        <v>191.13</v>
      </c>
      <c r="G957" t="s">
        <v>19</v>
      </c>
      <c r="H957" t="s">
        <v>15</v>
      </c>
      <c r="I957" s="2">
        <v>3.9</v>
      </c>
      <c r="J957" s="4">
        <v>12</v>
      </c>
      <c r="K957" s="3">
        <v>6</v>
      </c>
      <c r="L957" s="1">
        <f t="shared" si="42"/>
        <v>168.1944</v>
      </c>
      <c r="M957" t="str" cm="1">
        <f t="array" ref="M957">_xlfn.IFS(B957&lt;18,"Under 18",B957 &lt;=25,"18-25",B957&lt;=35,"26-35",B957&lt;=45,"36-45",B957&lt;=60,"46-60",TRUE,"60+")</f>
        <v>46-60</v>
      </c>
      <c r="N957" t="str">
        <f t="shared" si="43"/>
        <v>Discounted</v>
      </c>
      <c r="O957" t="str">
        <f t="shared" si="44"/>
        <v>Returning</v>
      </c>
    </row>
    <row r="958" spans="1:15" x14ac:dyDescent="0.25">
      <c r="A958">
        <v>957</v>
      </c>
      <c r="B958">
        <v>24</v>
      </c>
      <c r="C958" t="s">
        <v>16</v>
      </c>
      <c r="D958" t="s">
        <v>27</v>
      </c>
      <c r="E958" t="s">
        <v>32</v>
      </c>
      <c r="F958" s="1">
        <v>2923.37</v>
      </c>
      <c r="G958" t="s">
        <v>24</v>
      </c>
      <c r="H958" t="s">
        <v>15</v>
      </c>
      <c r="I958" s="2">
        <v>3.5</v>
      </c>
      <c r="J958" s="4">
        <v>15</v>
      </c>
      <c r="K958" s="3">
        <v>5</v>
      </c>
      <c r="L958" s="1">
        <f t="shared" si="42"/>
        <v>2484.8644999999997</v>
      </c>
      <c r="M958" t="str" cm="1">
        <f t="array" ref="M958">_xlfn.IFS(B958&lt;18,"Under 18",B958 &lt;=25,"18-25",B958&lt;=35,"26-35",B958&lt;=45,"36-45",B958&lt;=60,"46-60",TRUE,"60+")</f>
        <v>18-25</v>
      </c>
      <c r="N958" t="str">
        <f t="shared" si="43"/>
        <v>Discounted</v>
      </c>
      <c r="O958" t="str">
        <f t="shared" si="44"/>
        <v>Returning</v>
      </c>
    </row>
    <row r="959" spans="1:15" x14ac:dyDescent="0.25">
      <c r="A959">
        <v>958</v>
      </c>
      <c r="B959">
        <v>66</v>
      </c>
      <c r="C959" t="s">
        <v>11</v>
      </c>
      <c r="D959" t="s">
        <v>25</v>
      </c>
      <c r="E959" t="s">
        <v>26</v>
      </c>
      <c r="F959" s="1">
        <v>56.64</v>
      </c>
      <c r="G959" t="s">
        <v>31</v>
      </c>
      <c r="H959" t="s">
        <v>37</v>
      </c>
      <c r="I959" s="2">
        <v>4</v>
      </c>
      <c r="J959" s="4">
        <v>18</v>
      </c>
      <c r="K959" s="3">
        <v>9</v>
      </c>
      <c r="L959" s="1">
        <f t="shared" si="42"/>
        <v>46.444800000000001</v>
      </c>
      <c r="M959" t="str" cm="1">
        <f t="array" ref="M959">_xlfn.IFS(B959&lt;18,"Under 18",B959 &lt;=25,"18-25",B959&lt;=35,"26-35",B959&lt;=45,"36-45",B959&lt;=60,"46-60",TRUE,"60+")</f>
        <v>60+</v>
      </c>
      <c r="N959" t="str">
        <f t="shared" si="43"/>
        <v>Discounted</v>
      </c>
      <c r="O959" t="str">
        <f t="shared" si="44"/>
        <v>Returning</v>
      </c>
    </row>
    <row r="960" spans="1:15" x14ac:dyDescent="0.25">
      <c r="A960">
        <v>959</v>
      </c>
      <c r="B960">
        <v>47</v>
      </c>
      <c r="C960" t="s">
        <v>16</v>
      </c>
      <c r="D960" t="s">
        <v>25</v>
      </c>
      <c r="E960" t="s">
        <v>54</v>
      </c>
      <c r="F960" s="1">
        <v>54.21</v>
      </c>
      <c r="G960" t="s">
        <v>31</v>
      </c>
      <c r="H960" t="s">
        <v>37</v>
      </c>
      <c r="I960" s="2">
        <v>3.7</v>
      </c>
      <c r="J960" s="4">
        <v>15</v>
      </c>
      <c r="K960" s="3">
        <v>5</v>
      </c>
      <c r="L960" s="1">
        <f t="shared" si="42"/>
        <v>46.078499999999998</v>
      </c>
      <c r="M960" t="str" cm="1">
        <f t="array" ref="M960">_xlfn.IFS(B960&lt;18,"Under 18",B960 &lt;=25,"18-25",B960&lt;=35,"26-35",B960&lt;=45,"36-45",B960&lt;=60,"46-60",TRUE,"60+")</f>
        <v>46-60</v>
      </c>
      <c r="N960" t="str">
        <f t="shared" si="43"/>
        <v>Discounted</v>
      </c>
      <c r="O960" t="str">
        <f t="shared" si="44"/>
        <v>Returning</v>
      </c>
    </row>
    <row r="961" spans="1:15" x14ac:dyDescent="0.25">
      <c r="A961">
        <v>960</v>
      </c>
      <c r="B961">
        <v>60</v>
      </c>
      <c r="C961" t="s">
        <v>11</v>
      </c>
      <c r="D961" t="s">
        <v>12</v>
      </c>
      <c r="E961" t="s">
        <v>13</v>
      </c>
      <c r="F961" s="1">
        <v>117.39</v>
      </c>
      <c r="G961" t="s">
        <v>31</v>
      </c>
      <c r="H961" t="s">
        <v>15</v>
      </c>
      <c r="I961" s="2">
        <v>2.9</v>
      </c>
      <c r="J961" s="4">
        <v>10</v>
      </c>
      <c r="K961" s="3">
        <v>5</v>
      </c>
      <c r="L961" s="1">
        <f t="shared" si="42"/>
        <v>105.651</v>
      </c>
      <c r="M961" t="str" cm="1">
        <f t="array" ref="M961">_xlfn.IFS(B961&lt;18,"Under 18",B961 &lt;=25,"18-25",B961&lt;=35,"26-35",B961&lt;=45,"36-45",B961&lt;=60,"46-60",TRUE,"60+")</f>
        <v>46-60</v>
      </c>
      <c r="N961" t="str">
        <f t="shared" si="43"/>
        <v>Discounted</v>
      </c>
      <c r="O961" t="str">
        <f t="shared" si="44"/>
        <v>Returning</v>
      </c>
    </row>
    <row r="962" spans="1:15" x14ac:dyDescent="0.25">
      <c r="A962">
        <v>961</v>
      </c>
      <c r="B962">
        <v>40</v>
      </c>
      <c r="C962" t="s">
        <v>11</v>
      </c>
      <c r="D962" t="s">
        <v>33</v>
      </c>
      <c r="E962" t="s">
        <v>40</v>
      </c>
      <c r="F962" s="1">
        <v>197.69</v>
      </c>
      <c r="G962" t="s">
        <v>24</v>
      </c>
      <c r="H962" t="s">
        <v>15</v>
      </c>
      <c r="I962" s="2">
        <v>1.8</v>
      </c>
      <c r="J962" s="4">
        <v>20</v>
      </c>
      <c r="K962" s="3">
        <v>5</v>
      </c>
      <c r="L962" s="1">
        <f t="shared" si="42"/>
        <v>158.15200000000002</v>
      </c>
      <c r="M962" t="str" cm="1">
        <f t="array" ref="M962">_xlfn.IFS(B962&lt;18,"Under 18",B962 &lt;=25,"18-25",B962&lt;=35,"26-35",B962&lt;=45,"36-45",B962&lt;=60,"46-60",TRUE,"60+")</f>
        <v>36-45</v>
      </c>
      <c r="N962" t="str">
        <f t="shared" si="43"/>
        <v>Discounted</v>
      </c>
      <c r="O962" t="str">
        <f t="shared" si="44"/>
        <v>Returning</v>
      </c>
    </row>
    <row r="963" spans="1:15" x14ac:dyDescent="0.25">
      <c r="A963">
        <v>962</v>
      </c>
      <c r="B963">
        <v>47</v>
      </c>
      <c r="C963" t="s">
        <v>16</v>
      </c>
      <c r="D963" t="s">
        <v>20</v>
      </c>
      <c r="E963" t="s">
        <v>21</v>
      </c>
      <c r="F963" s="1">
        <v>178.62</v>
      </c>
      <c r="G963" t="s">
        <v>24</v>
      </c>
      <c r="H963" t="s">
        <v>15</v>
      </c>
      <c r="I963" s="2">
        <v>3.3</v>
      </c>
      <c r="J963" s="4">
        <v>16</v>
      </c>
      <c r="K963" s="3">
        <v>8</v>
      </c>
      <c r="L963" s="1">
        <f t="shared" ref="L963:L1026" si="45">F963 * (1 - J963 / 100)</f>
        <v>150.04079999999999</v>
      </c>
      <c r="M963" t="str" cm="1">
        <f t="array" ref="M963">_xlfn.IFS(B963&lt;18,"Under 18",B963 &lt;=25,"18-25",B963&lt;=35,"26-35",B963&lt;=45,"36-45",B963&lt;=60,"46-60",TRUE,"60+")</f>
        <v>46-60</v>
      </c>
      <c r="N963" t="str">
        <f t="shared" ref="N963:N1026" si="46">IF(J963&gt;0,"Discounted","No Discount")</f>
        <v>Discounted</v>
      </c>
      <c r="O963" t="str">
        <f t="shared" ref="O963:O1026" si="47">IF(K963&gt;0,"Returning","New")</f>
        <v>Returning</v>
      </c>
    </row>
    <row r="964" spans="1:15" x14ac:dyDescent="0.25">
      <c r="A964">
        <v>963</v>
      </c>
      <c r="B964">
        <v>54</v>
      </c>
      <c r="C964" t="s">
        <v>16</v>
      </c>
      <c r="D964" t="s">
        <v>17</v>
      </c>
      <c r="E964" t="s">
        <v>42</v>
      </c>
      <c r="F964" s="1">
        <v>199.78</v>
      </c>
      <c r="G964" t="s">
        <v>14</v>
      </c>
      <c r="H964" t="s">
        <v>15</v>
      </c>
      <c r="I964" s="2">
        <v>3</v>
      </c>
      <c r="J964" s="4">
        <v>2</v>
      </c>
      <c r="K964" s="3">
        <v>1</v>
      </c>
      <c r="L964" s="1">
        <f t="shared" si="45"/>
        <v>195.78440000000001</v>
      </c>
      <c r="M964" t="str" cm="1">
        <f t="array" ref="M964">_xlfn.IFS(B964&lt;18,"Under 18",B964 &lt;=25,"18-25",B964&lt;=35,"26-35",B964&lt;=45,"36-45",B964&lt;=60,"46-60",TRUE,"60+")</f>
        <v>46-60</v>
      </c>
      <c r="N964" t="str">
        <f t="shared" si="46"/>
        <v>Discounted</v>
      </c>
      <c r="O964" t="str">
        <f t="shared" si="47"/>
        <v>Returning</v>
      </c>
    </row>
    <row r="965" spans="1:15" x14ac:dyDescent="0.25">
      <c r="A965">
        <v>964</v>
      </c>
      <c r="B965">
        <v>31</v>
      </c>
      <c r="C965" t="s">
        <v>16</v>
      </c>
      <c r="D965" t="s">
        <v>20</v>
      </c>
      <c r="E965" t="s">
        <v>36</v>
      </c>
      <c r="F965" s="1">
        <v>243.71</v>
      </c>
      <c r="G965" t="s">
        <v>24</v>
      </c>
      <c r="H965" t="s">
        <v>15</v>
      </c>
      <c r="I965" s="2">
        <v>3.8</v>
      </c>
      <c r="J965" s="4">
        <v>4</v>
      </c>
      <c r="K965" s="3">
        <v>2</v>
      </c>
      <c r="L965" s="1">
        <f t="shared" si="45"/>
        <v>233.9616</v>
      </c>
      <c r="M965" t="str" cm="1">
        <f t="array" ref="M965">_xlfn.IFS(B965&lt;18,"Under 18",B965 &lt;=25,"18-25",B965&lt;=35,"26-35",B965&lt;=45,"36-45",B965&lt;=60,"46-60",TRUE,"60+")</f>
        <v>26-35</v>
      </c>
      <c r="N965" t="str">
        <f t="shared" si="46"/>
        <v>Discounted</v>
      </c>
      <c r="O965" t="str">
        <f t="shared" si="47"/>
        <v>Returning</v>
      </c>
    </row>
    <row r="966" spans="1:15" x14ac:dyDescent="0.25">
      <c r="A966">
        <v>965</v>
      </c>
      <c r="B966">
        <v>37</v>
      </c>
      <c r="C966" t="s">
        <v>16</v>
      </c>
      <c r="D966" t="s">
        <v>27</v>
      </c>
      <c r="E966" t="s">
        <v>49</v>
      </c>
      <c r="F966" s="1">
        <v>2839.22</v>
      </c>
      <c r="G966" t="s">
        <v>31</v>
      </c>
      <c r="H966" t="s">
        <v>15</v>
      </c>
      <c r="I966" s="2">
        <v>3.9</v>
      </c>
      <c r="J966" s="4">
        <v>16</v>
      </c>
      <c r="K966" s="3">
        <v>8</v>
      </c>
      <c r="L966" s="1">
        <f t="shared" si="45"/>
        <v>2384.9447999999998</v>
      </c>
      <c r="M966" t="str" cm="1">
        <f t="array" ref="M966">_xlfn.IFS(B966&lt;18,"Under 18",B966 &lt;=25,"18-25",B966&lt;=35,"26-35",B966&lt;=45,"36-45",B966&lt;=60,"46-60",TRUE,"60+")</f>
        <v>36-45</v>
      </c>
      <c r="N966" t="str">
        <f t="shared" si="46"/>
        <v>Discounted</v>
      </c>
      <c r="O966" t="str">
        <f t="shared" si="47"/>
        <v>Returning</v>
      </c>
    </row>
    <row r="967" spans="1:15" x14ac:dyDescent="0.25">
      <c r="A967">
        <v>966</v>
      </c>
      <c r="B967">
        <v>55</v>
      </c>
      <c r="C967" t="s">
        <v>11</v>
      </c>
      <c r="D967" t="s">
        <v>33</v>
      </c>
      <c r="E967" t="s">
        <v>34</v>
      </c>
      <c r="F967" s="1">
        <v>103.82</v>
      </c>
      <c r="G967" t="s">
        <v>14</v>
      </c>
      <c r="H967" t="s">
        <v>15</v>
      </c>
      <c r="I967" s="2">
        <v>4.5</v>
      </c>
      <c r="J967" s="4">
        <v>16</v>
      </c>
      <c r="K967" s="3">
        <v>3</v>
      </c>
      <c r="L967" s="1">
        <f t="shared" si="45"/>
        <v>87.208799999999997</v>
      </c>
      <c r="M967" t="str" cm="1">
        <f t="array" ref="M967">_xlfn.IFS(B967&lt;18,"Under 18",B967 &lt;=25,"18-25",B967&lt;=35,"26-35",B967&lt;=45,"36-45",B967&lt;=60,"46-60",TRUE,"60+")</f>
        <v>46-60</v>
      </c>
      <c r="N967" t="str">
        <f t="shared" si="46"/>
        <v>Discounted</v>
      </c>
      <c r="O967" t="str">
        <f t="shared" si="47"/>
        <v>Returning</v>
      </c>
    </row>
    <row r="968" spans="1:15" x14ac:dyDescent="0.25">
      <c r="A968">
        <v>967</v>
      </c>
      <c r="B968">
        <v>60</v>
      </c>
      <c r="C968" t="s">
        <v>11</v>
      </c>
      <c r="D968" t="s">
        <v>12</v>
      </c>
      <c r="E968" t="s">
        <v>13</v>
      </c>
      <c r="F968" s="1">
        <v>131.19</v>
      </c>
      <c r="G968" t="s">
        <v>14</v>
      </c>
      <c r="H968" t="s">
        <v>15</v>
      </c>
      <c r="I968" s="2">
        <v>3.8</v>
      </c>
      <c r="J968" s="4">
        <v>6</v>
      </c>
      <c r="K968" s="3">
        <v>3</v>
      </c>
      <c r="L968" s="1">
        <f t="shared" si="45"/>
        <v>123.31859999999999</v>
      </c>
      <c r="M968" t="str" cm="1">
        <f t="array" ref="M968">_xlfn.IFS(B968&lt;18,"Under 18",B968 &lt;=25,"18-25",B968&lt;=35,"26-35",B968&lt;=45,"36-45",B968&lt;=60,"46-60",TRUE,"60+")</f>
        <v>46-60</v>
      </c>
      <c r="N968" t="str">
        <f t="shared" si="46"/>
        <v>Discounted</v>
      </c>
      <c r="O968" t="str">
        <f t="shared" si="47"/>
        <v>Returning</v>
      </c>
    </row>
    <row r="969" spans="1:15" x14ac:dyDescent="0.25">
      <c r="A969">
        <v>968</v>
      </c>
      <c r="B969">
        <v>52</v>
      </c>
      <c r="C969" t="s">
        <v>16</v>
      </c>
      <c r="D969" t="s">
        <v>17</v>
      </c>
      <c r="E969" t="s">
        <v>48</v>
      </c>
      <c r="F969" s="1">
        <v>194.91</v>
      </c>
      <c r="G969" t="s">
        <v>31</v>
      </c>
      <c r="H969" t="s">
        <v>15</v>
      </c>
      <c r="I969" s="2">
        <v>4.9000000000000004</v>
      </c>
      <c r="J969" s="4">
        <v>23</v>
      </c>
      <c r="K969" s="3">
        <v>9</v>
      </c>
      <c r="L969" s="1">
        <f t="shared" si="45"/>
        <v>150.08070000000001</v>
      </c>
      <c r="M969" t="str" cm="1">
        <f t="array" ref="M969">_xlfn.IFS(B969&lt;18,"Under 18",B969 &lt;=25,"18-25",B969&lt;=35,"26-35",B969&lt;=45,"36-45",B969&lt;=60,"46-60",TRUE,"60+")</f>
        <v>46-60</v>
      </c>
      <c r="N969" t="str">
        <f t="shared" si="46"/>
        <v>Discounted</v>
      </c>
      <c r="O969" t="str">
        <f t="shared" si="47"/>
        <v>Returning</v>
      </c>
    </row>
    <row r="970" spans="1:15" x14ac:dyDescent="0.25">
      <c r="A970">
        <v>969</v>
      </c>
      <c r="B970">
        <v>48</v>
      </c>
      <c r="C970" t="s">
        <v>16</v>
      </c>
      <c r="D970" t="s">
        <v>33</v>
      </c>
      <c r="E970" t="s">
        <v>34</v>
      </c>
      <c r="F970" s="1">
        <v>113.38</v>
      </c>
      <c r="G970" t="s">
        <v>19</v>
      </c>
      <c r="H970" t="s">
        <v>15</v>
      </c>
      <c r="I970" s="2">
        <v>2.6</v>
      </c>
      <c r="J970" s="4">
        <v>11</v>
      </c>
      <c r="K970" s="3">
        <v>3</v>
      </c>
      <c r="L970" s="1">
        <f t="shared" si="45"/>
        <v>100.90819999999999</v>
      </c>
      <c r="M970" t="str" cm="1">
        <f t="array" ref="M970">_xlfn.IFS(B970&lt;18,"Under 18",B970 &lt;=25,"18-25",B970&lt;=35,"26-35",B970&lt;=45,"36-45",B970&lt;=60,"46-60",TRUE,"60+")</f>
        <v>46-60</v>
      </c>
      <c r="N970" t="str">
        <f t="shared" si="46"/>
        <v>Discounted</v>
      </c>
      <c r="O970" t="str">
        <f t="shared" si="47"/>
        <v>Returning</v>
      </c>
    </row>
    <row r="971" spans="1:15" x14ac:dyDescent="0.25">
      <c r="A971">
        <v>970</v>
      </c>
      <c r="B971">
        <v>55</v>
      </c>
      <c r="C971" t="s">
        <v>11</v>
      </c>
      <c r="D971" t="s">
        <v>33</v>
      </c>
      <c r="E971" t="s">
        <v>34</v>
      </c>
      <c r="F971" s="1">
        <v>122.62</v>
      </c>
      <c r="G971" t="s">
        <v>19</v>
      </c>
      <c r="H971" t="s">
        <v>15</v>
      </c>
      <c r="I971" s="2">
        <v>2.7</v>
      </c>
      <c r="J971" s="4">
        <v>13</v>
      </c>
      <c r="K971" s="3">
        <v>4</v>
      </c>
      <c r="L971" s="1">
        <f t="shared" si="45"/>
        <v>106.6794</v>
      </c>
      <c r="M971" t="str" cm="1">
        <f t="array" ref="M971">_xlfn.IFS(B971&lt;18,"Under 18",B971 &lt;=25,"18-25",B971&lt;=35,"26-35",B971&lt;=45,"36-45",B971&lt;=60,"46-60",TRUE,"60+")</f>
        <v>46-60</v>
      </c>
      <c r="N971" t="str">
        <f t="shared" si="46"/>
        <v>Discounted</v>
      </c>
      <c r="O971" t="str">
        <f t="shared" si="47"/>
        <v>Returning</v>
      </c>
    </row>
    <row r="972" spans="1:15" x14ac:dyDescent="0.25">
      <c r="A972">
        <v>971</v>
      </c>
      <c r="B972">
        <v>39</v>
      </c>
      <c r="C972" t="s">
        <v>11</v>
      </c>
      <c r="D972" t="s">
        <v>29</v>
      </c>
      <c r="E972" t="s">
        <v>55</v>
      </c>
      <c r="F972" s="1">
        <v>126.77</v>
      </c>
      <c r="G972" t="s">
        <v>19</v>
      </c>
      <c r="H972" t="s">
        <v>15</v>
      </c>
      <c r="I972" s="2">
        <v>3.7</v>
      </c>
      <c r="J972" s="4">
        <v>24</v>
      </c>
      <c r="K972" s="3">
        <v>7</v>
      </c>
      <c r="L972" s="1">
        <f t="shared" si="45"/>
        <v>96.345199999999991</v>
      </c>
      <c r="M972" t="str" cm="1">
        <f t="array" ref="M972">_xlfn.IFS(B972&lt;18,"Under 18",B972 &lt;=25,"18-25",B972&lt;=35,"26-35",B972&lt;=45,"36-45",B972&lt;=60,"46-60",TRUE,"60+")</f>
        <v>36-45</v>
      </c>
      <c r="N972" t="str">
        <f t="shared" si="46"/>
        <v>Discounted</v>
      </c>
      <c r="O972" t="str">
        <f t="shared" si="47"/>
        <v>Returning</v>
      </c>
    </row>
    <row r="973" spans="1:15" x14ac:dyDescent="0.25">
      <c r="A973">
        <v>972</v>
      </c>
      <c r="B973">
        <v>56</v>
      </c>
      <c r="C973" t="s">
        <v>16</v>
      </c>
      <c r="D973" t="s">
        <v>33</v>
      </c>
      <c r="E973" t="s">
        <v>38</v>
      </c>
      <c r="F973" s="1">
        <v>247.66</v>
      </c>
      <c r="G973" t="s">
        <v>24</v>
      </c>
      <c r="H973" t="s">
        <v>15</v>
      </c>
      <c r="I973" s="2">
        <v>4.5</v>
      </c>
      <c r="J973" s="4">
        <v>22</v>
      </c>
      <c r="K973" s="3">
        <v>6</v>
      </c>
      <c r="L973" s="1">
        <f t="shared" si="45"/>
        <v>193.1748</v>
      </c>
      <c r="M973" t="str" cm="1">
        <f t="array" ref="M973">_xlfn.IFS(B973&lt;18,"Under 18",B973 &lt;=25,"18-25",B973&lt;=35,"26-35",B973&lt;=45,"36-45",B973&lt;=60,"46-60",TRUE,"60+")</f>
        <v>46-60</v>
      </c>
      <c r="N973" t="str">
        <f t="shared" si="46"/>
        <v>Discounted</v>
      </c>
      <c r="O973" t="str">
        <f t="shared" si="47"/>
        <v>Returning</v>
      </c>
    </row>
    <row r="974" spans="1:15" x14ac:dyDescent="0.25">
      <c r="A974">
        <v>973</v>
      </c>
      <c r="B974">
        <v>55</v>
      </c>
      <c r="C974" t="s">
        <v>16</v>
      </c>
      <c r="D974" t="s">
        <v>20</v>
      </c>
      <c r="E974" t="s">
        <v>39</v>
      </c>
      <c r="F974" s="1">
        <v>245.63</v>
      </c>
      <c r="G974" t="s">
        <v>24</v>
      </c>
      <c r="H974" t="s">
        <v>15</v>
      </c>
      <c r="I974" s="2">
        <v>4</v>
      </c>
      <c r="J974" s="4">
        <v>15</v>
      </c>
      <c r="K974" s="3">
        <v>5</v>
      </c>
      <c r="L974" s="1">
        <f t="shared" si="45"/>
        <v>208.78549999999998</v>
      </c>
      <c r="M974" t="str" cm="1">
        <f t="array" ref="M974">_xlfn.IFS(B974&lt;18,"Under 18",B974 &lt;=25,"18-25",B974&lt;=35,"26-35",B974&lt;=45,"36-45",B974&lt;=60,"46-60",TRUE,"60+")</f>
        <v>46-60</v>
      </c>
      <c r="N974" t="str">
        <f t="shared" si="46"/>
        <v>Discounted</v>
      </c>
      <c r="O974" t="str">
        <f t="shared" si="47"/>
        <v>Returning</v>
      </c>
    </row>
    <row r="975" spans="1:15" x14ac:dyDescent="0.25">
      <c r="A975">
        <v>974</v>
      </c>
      <c r="B975">
        <v>59</v>
      </c>
      <c r="C975" t="s">
        <v>16</v>
      </c>
      <c r="D975" t="s">
        <v>20</v>
      </c>
      <c r="E975" t="s">
        <v>21</v>
      </c>
      <c r="F975" s="1">
        <v>42.7</v>
      </c>
      <c r="G975" t="s">
        <v>24</v>
      </c>
      <c r="H975" t="s">
        <v>15</v>
      </c>
      <c r="I975" s="2">
        <v>2.9</v>
      </c>
      <c r="J975" s="4">
        <v>8</v>
      </c>
      <c r="K975" s="3">
        <v>4</v>
      </c>
      <c r="L975" s="1">
        <f t="shared" si="45"/>
        <v>39.284000000000006</v>
      </c>
      <c r="M975" t="str" cm="1">
        <f t="array" ref="M975">_xlfn.IFS(B975&lt;18,"Under 18",B975 &lt;=25,"18-25",B975&lt;=35,"26-35",B975&lt;=45,"36-45",B975&lt;=60,"46-60",TRUE,"60+")</f>
        <v>46-60</v>
      </c>
      <c r="N975" t="str">
        <f t="shared" si="46"/>
        <v>Discounted</v>
      </c>
      <c r="O975" t="str">
        <f t="shared" si="47"/>
        <v>Returning</v>
      </c>
    </row>
    <row r="976" spans="1:15" x14ac:dyDescent="0.25">
      <c r="A976">
        <v>975</v>
      </c>
      <c r="B976">
        <v>32</v>
      </c>
      <c r="C976" t="s">
        <v>11</v>
      </c>
      <c r="D976" t="s">
        <v>20</v>
      </c>
      <c r="E976" t="s">
        <v>21</v>
      </c>
      <c r="F976" s="1">
        <v>143.21</v>
      </c>
      <c r="G976" t="s">
        <v>24</v>
      </c>
      <c r="H976" t="s">
        <v>15</v>
      </c>
      <c r="I976" s="2">
        <v>3.4</v>
      </c>
      <c r="J976" s="4">
        <v>22</v>
      </c>
      <c r="K976" s="3">
        <v>6</v>
      </c>
      <c r="L976" s="1">
        <f t="shared" si="45"/>
        <v>111.70380000000002</v>
      </c>
      <c r="M976" t="str" cm="1">
        <f t="array" ref="M976">_xlfn.IFS(B976&lt;18,"Under 18",B976 &lt;=25,"18-25",B976&lt;=35,"26-35",B976&lt;=45,"36-45",B976&lt;=60,"46-60",TRUE,"60+")</f>
        <v>26-35</v>
      </c>
      <c r="N976" t="str">
        <f t="shared" si="46"/>
        <v>Discounted</v>
      </c>
      <c r="O976" t="str">
        <f t="shared" si="47"/>
        <v>Returning</v>
      </c>
    </row>
    <row r="977" spans="1:15" x14ac:dyDescent="0.25">
      <c r="A977">
        <v>976</v>
      </c>
      <c r="B977">
        <v>20</v>
      </c>
      <c r="C977" t="s">
        <v>16</v>
      </c>
      <c r="D977" t="s">
        <v>17</v>
      </c>
      <c r="E977" t="s">
        <v>35</v>
      </c>
      <c r="F977" s="1">
        <v>182.98</v>
      </c>
      <c r="G977" t="s">
        <v>14</v>
      </c>
      <c r="H977" t="s">
        <v>15</v>
      </c>
      <c r="I977" s="2">
        <v>4.5</v>
      </c>
      <c r="J977" s="4">
        <v>20</v>
      </c>
      <c r="K977" s="3">
        <v>5</v>
      </c>
      <c r="L977" s="1">
        <f t="shared" si="45"/>
        <v>146.38399999999999</v>
      </c>
      <c r="M977" t="str" cm="1">
        <f t="array" ref="M977">_xlfn.IFS(B977&lt;18,"Under 18",B977 &lt;=25,"18-25",B977&lt;=35,"26-35",B977&lt;=45,"36-45",B977&lt;=60,"46-60",TRUE,"60+")</f>
        <v>18-25</v>
      </c>
      <c r="N977" t="str">
        <f t="shared" si="46"/>
        <v>Discounted</v>
      </c>
      <c r="O977" t="str">
        <f t="shared" si="47"/>
        <v>Returning</v>
      </c>
    </row>
    <row r="978" spans="1:15" x14ac:dyDescent="0.25">
      <c r="A978">
        <v>977</v>
      </c>
      <c r="B978">
        <v>50</v>
      </c>
      <c r="C978" t="s">
        <v>16</v>
      </c>
      <c r="D978" t="s">
        <v>27</v>
      </c>
      <c r="E978" t="s">
        <v>49</v>
      </c>
      <c r="F978" s="1">
        <v>1854.1</v>
      </c>
      <c r="G978" t="s">
        <v>14</v>
      </c>
      <c r="H978" t="s">
        <v>15</v>
      </c>
      <c r="I978" s="2">
        <v>4.2</v>
      </c>
      <c r="J978" s="4">
        <v>12</v>
      </c>
      <c r="K978" s="3">
        <v>6</v>
      </c>
      <c r="L978" s="1">
        <f t="shared" si="45"/>
        <v>1631.6079999999999</v>
      </c>
      <c r="M978" t="str" cm="1">
        <f t="array" ref="M978">_xlfn.IFS(B978&lt;18,"Under 18",B978 &lt;=25,"18-25",B978&lt;=35,"26-35",B978&lt;=45,"36-45",B978&lt;=60,"46-60",TRUE,"60+")</f>
        <v>46-60</v>
      </c>
      <c r="N978" t="str">
        <f t="shared" si="46"/>
        <v>Discounted</v>
      </c>
      <c r="O978" t="str">
        <f t="shared" si="47"/>
        <v>Returning</v>
      </c>
    </row>
    <row r="979" spans="1:15" x14ac:dyDescent="0.25">
      <c r="A979">
        <v>978</v>
      </c>
      <c r="B979">
        <v>32</v>
      </c>
      <c r="C979" t="s">
        <v>16</v>
      </c>
      <c r="D979" t="s">
        <v>33</v>
      </c>
      <c r="E979" t="s">
        <v>34</v>
      </c>
      <c r="F979" s="1">
        <v>122.08</v>
      </c>
      <c r="G979" t="s">
        <v>14</v>
      </c>
      <c r="H979" t="s">
        <v>15</v>
      </c>
      <c r="I979" s="2">
        <v>3.4</v>
      </c>
      <c r="J979" s="4">
        <v>18</v>
      </c>
      <c r="K979" s="3">
        <v>4</v>
      </c>
      <c r="L979" s="1">
        <f t="shared" si="45"/>
        <v>100.10560000000001</v>
      </c>
      <c r="M979" t="str" cm="1">
        <f t="array" ref="M979">_xlfn.IFS(B979&lt;18,"Under 18",B979 &lt;=25,"18-25",B979&lt;=35,"26-35",B979&lt;=45,"36-45",B979&lt;=60,"46-60",TRUE,"60+")</f>
        <v>26-35</v>
      </c>
      <c r="N979" t="str">
        <f t="shared" si="46"/>
        <v>Discounted</v>
      </c>
      <c r="O979" t="str">
        <f t="shared" si="47"/>
        <v>Returning</v>
      </c>
    </row>
    <row r="980" spans="1:15" x14ac:dyDescent="0.25">
      <c r="A980">
        <v>979</v>
      </c>
      <c r="B980">
        <v>52</v>
      </c>
      <c r="C980" t="s">
        <v>11</v>
      </c>
      <c r="D980" t="s">
        <v>12</v>
      </c>
      <c r="E980" t="s">
        <v>56</v>
      </c>
      <c r="F980" s="1">
        <v>81.599999999999994</v>
      </c>
      <c r="G980" t="s">
        <v>14</v>
      </c>
      <c r="H980" t="s">
        <v>15</v>
      </c>
      <c r="I980" s="2">
        <v>4.3</v>
      </c>
      <c r="J980" s="4">
        <v>22</v>
      </c>
      <c r="K980" s="3">
        <v>6</v>
      </c>
      <c r="L980" s="1">
        <f t="shared" si="45"/>
        <v>63.647999999999996</v>
      </c>
      <c r="M980" t="str" cm="1">
        <f t="array" ref="M980">_xlfn.IFS(B980&lt;18,"Under 18",B980 &lt;=25,"18-25",B980&lt;=35,"26-35",B980&lt;=45,"36-45",B980&lt;=60,"46-60",TRUE,"60+")</f>
        <v>46-60</v>
      </c>
      <c r="N980" t="str">
        <f t="shared" si="46"/>
        <v>Discounted</v>
      </c>
      <c r="O980" t="str">
        <f t="shared" si="47"/>
        <v>Returning</v>
      </c>
    </row>
    <row r="981" spans="1:15" x14ac:dyDescent="0.25">
      <c r="A981">
        <v>980</v>
      </c>
      <c r="B981">
        <v>20</v>
      </c>
      <c r="C981" t="s">
        <v>11</v>
      </c>
      <c r="D981" t="s">
        <v>33</v>
      </c>
      <c r="E981" t="s">
        <v>40</v>
      </c>
      <c r="F981" s="1">
        <v>191.41</v>
      </c>
      <c r="G981" t="s">
        <v>24</v>
      </c>
      <c r="H981" t="s">
        <v>15</v>
      </c>
      <c r="I981" s="2">
        <v>3.6</v>
      </c>
      <c r="J981" s="4">
        <v>15</v>
      </c>
      <c r="K981" s="3">
        <v>5</v>
      </c>
      <c r="L981" s="1">
        <f t="shared" si="45"/>
        <v>162.6985</v>
      </c>
      <c r="M981" t="str" cm="1">
        <f t="array" ref="M981">_xlfn.IFS(B981&lt;18,"Under 18",B981 &lt;=25,"18-25",B981&lt;=35,"26-35",B981&lt;=45,"36-45",B981&lt;=60,"46-60",TRUE,"60+")</f>
        <v>18-25</v>
      </c>
      <c r="N981" t="str">
        <f t="shared" si="46"/>
        <v>Discounted</v>
      </c>
      <c r="O981" t="str">
        <f t="shared" si="47"/>
        <v>Returning</v>
      </c>
    </row>
    <row r="982" spans="1:15" x14ac:dyDescent="0.25">
      <c r="A982">
        <v>981</v>
      </c>
      <c r="B982">
        <v>24</v>
      </c>
      <c r="C982" t="s">
        <v>16</v>
      </c>
      <c r="D982" t="s">
        <v>20</v>
      </c>
      <c r="E982" t="s">
        <v>36</v>
      </c>
      <c r="F982" s="1">
        <v>31.49</v>
      </c>
      <c r="G982" t="s">
        <v>24</v>
      </c>
      <c r="H982" t="s">
        <v>15</v>
      </c>
      <c r="I982" s="2">
        <v>3.5</v>
      </c>
      <c r="J982" s="4">
        <v>16</v>
      </c>
      <c r="K982" s="3">
        <v>3</v>
      </c>
      <c r="L982" s="1">
        <f t="shared" si="45"/>
        <v>26.451599999999999</v>
      </c>
      <c r="M982" t="str" cm="1">
        <f t="array" ref="M982">_xlfn.IFS(B982&lt;18,"Under 18",B982 &lt;=25,"18-25",B982&lt;=35,"26-35",B982&lt;=45,"36-45",B982&lt;=60,"46-60",TRUE,"60+")</f>
        <v>18-25</v>
      </c>
      <c r="N982" t="str">
        <f t="shared" si="46"/>
        <v>Discounted</v>
      </c>
      <c r="O982" t="str">
        <f t="shared" si="47"/>
        <v>Returning</v>
      </c>
    </row>
    <row r="983" spans="1:15" x14ac:dyDescent="0.25">
      <c r="A983">
        <v>982</v>
      </c>
      <c r="B983">
        <v>28</v>
      </c>
      <c r="C983" t="s">
        <v>11</v>
      </c>
      <c r="D983" t="s">
        <v>33</v>
      </c>
      <c r="E983" t="s">
        <v>40</v>
      </c>
      <c r="F983" s="1">
        <v>50.93</v>
      </c>
      <c r="G983" t="s">
        <v>14</v>
      </c>
      <c r="H983" t="s">
        <v>37</v>
      </c>
      <c r="I983" s="2">
        <v>4.3</v>
      </c>
      <c r="J983" s="4">
        <v>11</v>
      </c>
      <c r="K983" s="3">
        <v>3</v>
      </c>
      <c r="L983" s="1">
        <f t="shared" si="45"/>
        <v>45.3277</v>
      </c>
      <c r="M983" t="str" cm="1">
        <f t="array" ref="M983">_xlfn.IFS(B983&lt;18,"Under 18",B983 &lt;=25,"18-25",B983&lt;=35,"26-35",B983&lt;=45,"36-45",B983&lt;=60,"46-60",TRUE,"60+")</f>
        <v>26-35</v>
      </c>
      <c r="N983" t="str">
        <f t="shared" si="46"/>
        <v>Discounted</v>
      </c>
      <c r="O983" t="str">
        <f t="shared" si="47"/>
        <v>Returning</v>
      </c>
    </row>
    <row r="984" spans="1:15" x14ac:dyDescent="0.25">
      <c r="A984">
        <v>983</v>
      </c>
      <c r="B984">
        <v>52</v>
      </c>
      <c r="C984" t="s">
        <v>11</v>
      </c>
      <c r="D984" t="s">
        <v>12</v>
      </c>
      <c r="E984" t="s">
        <v>50</v>
      </c>
      <c r="F984" s="1">
        <v>167.87</v>
      </c>
      <c r="G984" t="s">
        <v>24</v>
      </c>
      <c r="H984" t="s">
        <v>15</v>
      </c>
      <c r="I984" s="2">
        <v>3.5</v>
      </c>
      <c r="J984" s="4">
        <v>26</v>
      </c>
      <c r="K984" s="3">
        <v>8</v>
      </c>
      <c r="L984" s="1">
        <f t="shared" si="45"/>
        <v>124.2238</v>
      </c>
      <c r="M984" t="str" cm="1">
        <f t="array" ref="M984">_xlfn.IFS(B984&lt;18,"Under 18",B984 &lt;=25,"18-25",B984&lt;=35,"26-35",B984&lt;=45,"36-45",B984&lt;=60,"46-60",TRUE,"60+")</f>
        <v>46-60</v>
      </c>
      <c r="N984" t="str">
        <f t="shared" si="46"/>
        <v>Discounted</v>
      </c>
      <c r="O984" t="str">
        <f t="shared" si="47"/>
        <v>Returning</v>
      </c>
    </row>
    <row r="985" spans="1:15" x14ac:dyDescent="0.25">
      <c r="A985">
        <v>984</v>
      </c>
      <c r="B985">
        <v>50</v>
      </c>
      <c r="C985" t="s">
        <v>16</v>
      </c>
      <c r="D985" t="s">
        <v>33</v>
      </c>
      <c r="E985" t="s">
        <v>34</v>
      </c>
      <c r="F985" s="1">
        <v>119.8</v>
      </c>
      <c r="G985" t="s">
        <v>14</v>
      </c>
      <c r="H985" t="s">
        <v>15</v>
      </c>
      <c r="I985" s="2">
        <v>4.7</v>
      </c>
      <c r="J985" s="4">
        <v>22</v>
      </c>
      <c r="K985" s="3">
        <v>6</v>
      </c>
      <c r="L985" s="1">
        <f t="shared" si="45"/>
        <v>93.444000000000003</v>
      </c>
      <c r="M985" t="str" cm="1">
        <f t="array" ref="M985">_xlfn.IFS(B985&lt;18,"Under 18",B985 &lt;=25,"18-25",B985&lt;=35,"26-35",B985&lt;=45,"36-45",B985&lt;=60,"46-60",TRUE,"60+")</f>
        <v>46-60</v>
      </c>
      <c r="N985" t="str">
        <f t="shared" si="46"/>
        <v>Discounted</v>
      </c>
      <c r="O985" t="str">
        <f t="shared" si="47"/>
        <v>Returning</v>
      </c>
    </row>
    <row r="986" spans="1:15" x14ac:dyDescent="0.25">
      <c r="A986">
        <v>985</v>
      </c>
      <c r="B986">
        <v>34</v>
      </c>
      <c r="C986" t="s">
        <v>16</v>
      </c>
      <c r="D986" t="s">
        <v>17</v>
      </c>
      <c r="E986" t="s">
        <v>48</v>
      </c>
      <c r="F986" s="1">
        <v>93.54</v>
      </c>
      <c r="G986" t="s">
        <v>19</v>
      </c>
      <c r="H986" t="s">
        <v>37</v>
      </c>
      <c r="I986" s="2">
        <v>3.4</v>
      </c>
      <c r="J986" s="4">
        <v>16</v>
      </c>
      <c r="K986" s="3">
        <v>8</v>
      </c>
      <c r="L986" s="1">
        <f t="shared" si="45"/>
        <v>78.573599999999999</v>
      </c>
      <c r="M986" t="str" cm="1">
        <f t="array" ref="M986">_xlfn.IFS(B986&lt;18,"Under 18",B986 &lt;=25,"18-25",B986&lt;=35,"26-35",B986&lt;=45,"36-45",B986&lt;=60,"46-60",TRUE,"60+")</f>
        <v>26-35</v>
      </c>
      <c r="N986" t="str">
        <f t="shared" si="46"/>
        <v>Discounted</v>
      </c>
      <c r="O986" t="str">
        <f t="shared" si="47"/>
        <v>Returning</v>
      </c>
    </row>
    <row r="987" spans="1:15" x14ac:dyDescent="0.25">
      <c r="A987">
        <v>986</v>
      </c>
      <c r="B987">
        <v>47</v>
      </c>
      <c r="C987" t="s">
        <v>16</v>
      </c>
      <c r="D987" t="s">
        <v>20</v>
      </c>
      <c r="E987" t="s">
        <v>39</v>
      </c>
      <c r="F987" s="1">
        <v>194.21</v>
      </c>
      <c r="G987" t="s">
        <v>14</v>
      </c>
      <c r="H987" t="s">
        <v>15</v>
      </c>
      <c r="I987" s="2">
        <v>3.5</v>
      </c>
      <c r="J987" s="4">
        <v>16</v>
      </c>
      <c r="K987" s="3">
        <v>3</v>
      </c>
      <c r="L987" s="1">
        <f t="shared" si="45"/>
        <v>163.13640000000001</v>
      </c>
      <c r="M987" t="str" cm="1">
        <f t="array" ref="M987">_xlfn.IFS(B987&lt;18,"Under 18",B987 &lt;=25,"18-25",B987&lt;=35,"26-35",B987&lt;=45,"36-45",B987&lt;=60,"46-60",TRUE,"60+")</f>
        <v>46-60</v>
      </c>
      <c r="N987" t="str">
        <f t="shared" si="46"/>
        <v>Discounted</v>
      </c>
      <c r="O987" t="str">
        <f t="shared" si="47"/>
        <v>Returning</v>
      </c>
    </row>
    <row r="988" spans="1:15" x14ac:dyDescent="0.25">
      <c r="A988">
        <v>987</v>
      </c>
      <c r="B988">
        <v>46</v>
      </c>
      <c r="C988" t="s">
        <v>16</v>
      </c>
      <c r="D988" t="s">
        <v>20</v>
      </c>
      <c r="E988" t="s">
        <v>36</v>
      </c>
      <c r="F988" s="1">
        <v>96.22</v>
      </c>
      <c r="G988" t="s">
        <v>14</v>
      </c>
      <c r="H988" t="s">
        <v>37</v>
      </c>
      <c r="I988" s="2">
        <v>3.1</v>
      </c>
      <c r="J988" s="4">
        <v>20</v>
      </c>
      <c r="K988" s="3">
        <v>5</v>
      </c>
      <c r="L988" s="1">
        <f t="shared" si="45"/>
        <v>76.975999999999999</v>
      </c>
      <c r="M988" t="str" cm="1">
        <f t="array" ref="M988">_xlfn.IFS(B988&lt;18,"Under 18",B988 &lt;=25,"18-25",B988&lt;=35,"26-35",B988&lt;=45,"36-45",B988&lt;=60,"46-60",TRUE,"60+")</f>
        <v>46-60</v>
      </c>
      <c r="N988" t="str">
        <f t="shared" si="46"/>
        <v>Discounted</v>
      </c>
      <c r="O988" t="str">
        <f t="shared" si="47"/>
        <v>Returning</v>
      </c>
    </row>
    <row r="989" spans="1:15" x14ac:dyDescent="0.25">
      <c r="A989">
        <v>988</v>
      </c>
      <c r="B989">
        <v>60</v>
      </c>
      <c r="C989" t="s">
        <v>16</v>
      </c>
      <c r="D989" t="s">
        <v>27</v>
      </c>
      <c r="E989" t="s">
        <v>53</v>
      </c>
      <c r="F989" s="1">
        <v>802.1</v>
      </c>
      <c r="G989" t="s">
        <v>14</v>
      </c>
      <c r="H989" t="s">
        <v>15</v>
      </c>
      <c r="I989" s="2">
        <v>4.0999999999999996</v>
      </c>
      <c r="J989" s="4">
        <v>16</v>
      </c>
      <c r="K989" s="3">
        <v>3</v>
      </c>
      <c r="L989" s="1">
        <f t="shared" si="45"/>
        <v>673.76400000000001</v>
      </c>
      <c r="M989" t="str" cm="1">
        <f t="array" ref="M989">_xlfn.IFS(B989&lt;18,"Under 18",B989 &lt;=25,"18-25",B989&lt;=35,"26-35",B989&lt;=45,"36-45",B989&lt;=60,"46-60",TRUE,"60+")</f>
        <v>46-60</v>
      </c>
      <c r="N989" t="str">
        <f t="shared" si="46"/>
        <v>Discounted</v>
      </c>
      <c r="O989" t="str">
        <f t="shared" si="47"/>
        <v>Returning</v>
      </c>
    </row>
    <row r="990" spans="1:15" x14ac:dyDescent="0.25">
      <c r="A990">
        <v>989</v>
      </c>
      <c r="B990">
        <v>42</v>
      </c>
      <c r="C990" t="s">
        <v>11</v>
      </c>
      <c r="D990" t="s">
        <v>41</v>
      </c>
      <c r="E990" t="s">
        <v>42</v>
      </c>
      <c r="F990" s="1">
        <v>126.92</v>
      </c>
      <c r="G990" t="s">
        <v>19</v>
      </c>
      <c r="H990" t="s">
        <v>15</v>
      </c>
      <c r="I990" s="2">
        <v>3.6</v>
      </c>
      <c r="J990" s="4">
        <v>16</v>
      </c>
      <c r="K990" s="3">
        <v>3</v>
      </c>
      <c r="L990" s="1">
        <f t="shared" si="45"/>
        <v>106.61279999999999</v>
      </c>
      <c r="M990" t="str" cm="1">
        <f t="array" ref="M990">_xlfn.IFS(B990&lt;18,"Under 18",B990 &lt;=25,"18-25",B990&lt;=35,"26-35",B990&lt;=45,"36-45",B990&lt;=60,"46-60",TRUE,"60+")</f>
        <v>36-45</v>
      </c>
      <c r="N990" t="str">
        <f t="shared" si="46"/>
        <v>Discounted</v>
      </c>
      <c r="O990" t="str">
        <f t="shared" si="47"/>
        <v>Returning</v>
      </c>
    </row>
    <row r="991" spans="1:15" x14ac:dyDescent="0.25">
      <c r="A991">
        <v>990</v>
      </c>
      <c r="B991">
        <v>68</v>
      </c>
      <c r="C991" t="s">
        <v>16</v>
      </c>
      <c r="D991" t="s">
        <v>17</v>
      </c>
      <c r="E991" t="s">
        <v>35</v>
      </c>
      <c r="F991" s="1">
        <v>46.11</v>
      </c>
      <c r="G991" t="s">
        <v>24</v>
      </c>
      <c r="H991" t="s">
        <v>15</v>
      </c>
      <c r="I991" s="2">
        <v>5</v>
      </c>
      <c r="J991" s="4">
        <v>12</v>
      </c>
      <c r="K991" s="3">
        <v>1</v>
      </c>
      <c r="L991" s="1">
        <f t="shared" si="45"/>
        <v>40.576799999999999</v>
      </c>
      <c r="M991" t="str" cm="1">
        <f t="array" ref="M991">_xlfn.IFS(B991&lt;18,"Under 18",B991 &lt;=25,"18-25",B991&lt;=35,"26-35",B991&lt;=45,"36-45",B991&lt;=60,"46-60",TRUE,"60+")</f>
        <v>60+</v>
      </c>
      <c r="N991" t="str">
        <f t="shared" si="46"/>
        <v>Discounted</v>
      </c>
      <c r="O991" t="str">
        <f t="shared" si="47"/>
        <v>Returning</v>
      </c>
    </row>
    <row r="992" spans="1:15" x14ac:dyDescent="0.25">
      <c r="A992">
        <v>991</v>
      </c>
      <c r="B992">
        <v>66</v>
      </c>
      <c r="C992" t="s">
        <v>16</v>
      </c>
      <c r="D992" t="s">
        <v>20</v>
      </c>
      <c r="E992" t="s">
        <v>21</v>
      </c>
      <c r="F992" s="1">
        <v>172.75</v>
      </c>
      <c r="G992" t="s">
        <v>14</v>
      </c>
      <c r="H992" t="s">
        <v>15</v>
      </c>
      <c r="I992" s="2">
        <v>4.2</v>
      </c>
      <c r="J992" s="4">
        <v>20</v>
      </c>
      <c r="K992" s="3">
        <v>5</v>
      </c>
      <c r="L992" s="1">
        <f t="shared" si="45"/>
        <v>138.20000000000002</v>
      </c>
      <c r="M992" t="str" cm="1">
        <f t="array" ref="M992">_xlfn.IFS(B992&lt;18,"Under 18",B992 &lt;=25,"18-25",B992&lt;=35,"26-35",B992&lt;=45,"36-45",B992&lt;=60,"46-60",TRUE,"60+")</f>
        <v>60+</v>
      </c>
      <c r="N992" t="str">
        <f t="shared" si="46"/>
        <v>Discounted</v>
      </c>
      <c r="O992" t="str">
        <f t="shared" si="47"/>
        <v>Returning</v>
      </c>
    </row>
    <row r="993" spans="1:15" x14ac:dyDescent="0.25">
      <c r="A993">
        <v>992</v>
      </c>
      <c r="B993">
        <v>43</v>
      </c>
      <c r="C993" t="s">
        <v>16</v>
      </c>
      <c r="D993" t="s">
        <v>27</v>
      </c>
      <c r="E993" t="s">
        <v>53</v>
      </c>
      <c r="F993" s="1">
        <v>1247.6600000000001</v>
      </c>
      <c r="G993" t="s">
        <v>19</v>
      </c>
      <c r="H993" t="s">
        <v>15</v>
      </c>
      <c r="I993" s="2">
        <v>2.5</v>
      </c>
      <c r="J993" s="4">
        <v>15</v>
      </c>
      <c r="K993" s="3">
        <v>5</v>
      </c>
      <c r="L993" s="1">
        <f t="shared" si="45"/>
        <v>1060.511</v>
      </c>
      <c r="M993" t="str" cm="1">
        <f t="array" ref="M993">_xlfn.IFS(B993&lt;18,"Under 18",B993 &lt;=25,"18-25",B993&lt;=35,"26-35",B993&lt;=45,"36-45",B993&lt;=60,"46-60",TRUE,"60+")</f>
        <v>36-45</v>
      </c>
      <c r="N993" t="str">
        <f t="shared" si="46"/>
        <v>Discounted</v>
      </c>
      <c r="O993" t="str">
        <f t="shared" si="47"/>
        <v>Returning</v>
      </c>
    </row>
    <row r="994" spans="1:15" x14ac:dyDescent="0.25">
      <c r="A994">
        <v>993</v>
      </c>
      <c r="B994">
        <v>61</v>
      </c>
      <c r="C994" t="s">
        <v>16</v>
      </c>
      <c r="D994" t="s">
        <v>33</v>
      </c>
      <c r="E994" t="s">
        <v>40</v>
      </c>
      <c r="F994" s="1">
        <v>70.459999999999994</v>
      </c>
      <c r="G994" t="s">
        <v>31</v>
      </c>
      <c r="H994" t="s">
        <v>15</v>
      </c>
      <c r="I994" s="2">
        <v>4.5999999999999996</v>
      </c>
      <c r="J994" s="4">
        <v>4</v>
      </c>
      <c r="K994" s="3">
        <v>2</v>
      </c>
      <c r="L994" s="1">
        <f t="shared" si="45"/>
        <v>67.641599999999997</v>
      </c>
      <c r="M994" t="str" cm="1">
        <f t="array" ref="M994">_xlfn.IFS(B994&lt;18,"Under 18",B994 &lt;=25,"18-25",B994&lt;=35,"26-35",B994&lt;=45,"36-45",B994&lt;=60,"46-60",TRUE,"60+")</f>
        <v>60+</v>
      </c>
      <c r="N994" t="str">
        <f t="shared" si="46"/>
        <v>Discounted</v>
      </c>
      <c r="O994" t="str">
        <f t="shared" si="47"/>
        <v>Returning</v>
      </c>
    </row>
    <row r="995" spans="1:15" x14ac:dyDescent="0.25">
      <c r="A995">
        <v>994</v>
      </c>
      <c r="B995">
        <v>33</v>
      </c>
      <c r="C995" t="s">
        <v>16</v>
      </c>
      <c r="D995" t="s">
        <v>20</v>
      </c>
      <c r="E995" t="s">
        <v>36</v>
      </c>
      <c r="F995" s="1">
        <v>90.86</v>
      </c>
      <c r="G995" t="s">
        <v>14</v>
      </c>
      <c r="H995" t="s">
        <v>15</v>
      </c>
      <c r="I995" s="2">
        <v>4</v>
      </c>
      <c r="J995" s="4">
        <v>16</v>
      </c>
      <c r="K995" s="3">
        <v>8</v>
      </c>
      <c r="L995" s="1">
        <f t="shared" si="45"/>
        <v>76.322400000000002</v>
      </c>
      <c r="M995" t="str" cm="1">
        <f t="array" ref="M995">_xlfn.IFS(B995&lt;18,"Under 18",B995 &lt;=25,"18-25",B995&lt;=35,"26-35",B995&lt;=45,"36-45",B995&lt;=60,"46-60",TRUE,"60+")</f>
        <v>26-35</v>
      </c>
      <c r="N995" t="str">
        <f t="shared" si="46"/>
        <v>Discounted</v>
      </c>
      <c r="O995" t="str">
        <f t="shared" si="47"/>
        <v>Returning</v>
      </c>
    </row>
    <row r="996" spans="1:15" x14ac:dyDescent="0.25">
      <c r="A996">
        <v>995</v>
      </c>
      <c r="B996">
        <v>36</v>
      </c>
      <c r="C996" t="s">
        <v>16</v>
      </c>
      <c r="D996" t="s">
        <v>17</v>
      </c>
      <c r="E996" t="s">
        <v>35</v>
      </c>
      <c r="F996" s="1">
        <v>56.95</v>
      </c>
      <c r="G996" t="s">
        <v>24</v>
      </c>
      <c r="H996" t="s">
        <v>15</v>
      </c>
      <c r="I996" s="2">
        <v>3.9</v>
      </c>
      <c r="J996" s="4">
        <v>12</v>
      </c>
      <c r="K996" s="3">
        <v>6</v>
      </c>
      <c r="L996" s="1">
        <f t="shared" si="45"/>
        <v>50.116</v>
      </c>
      <c r="M996" t="str" cm="1">
        <f t="array" ref="M996">_xlfn.IFS(B996&lt;18,"Under 18",B996 &lt;=25,"18-25",B996&lt;=35,"26-35",B996&lt;=45,"36-45",B996&lt;=60,"46-60",TRUE,"60+")</f>
        <v>36-45</v>
      </c>
      <c r="N996" t="str">
        <f t="shared" si="46"/>
        <v>Discounted</v>
      </c>
      <c r="O996" t="str">
        <f t="shared" si="47"/>
        <v>Returning</v>
      </c>
    </row>
    <row r="997" spans="1:15" x14ac:dyDescent="0.25">
      <c r="A997">
        <v>996</v>
      </c>
      <c r="B997">
        <v>65</v>
      </c>
      <c r="C997" t="s">
        <v>16</v>
      </c>
      <c r="D997" t="s">
        <v>17</v>
      </c>
      <c r="E997" t="s">
        <v>48</v>
      </c>
      <c r="F997" s="1">
        <v>100.4</v>
      </c>
      <c r="G997" t="s">
        <v>14</v>
      </c>
      <c r="H997" t="s">
        <v>15</v>
      </c>
      <c r="I997" s="2">
        <v>3.8</v>
      </c>
      <c r="J997" s="4">
        <v>17</v>
      </c>
      <c r="K997" s="3">
        <v>6</v>
      </c>
      <c r="L997" s="1">
        <f t="shared" si="45"/>
        <v>83.331999999999994</v>
      </c>
      <c r="M997" t="str" cm="1">
        <f t="array" ref="M997">_xlfn.IFS(B997&lt;18,"Under 18",B997 &lt;=25,"18-25",B997&lt;=35,"26-35",B997&lt;=45,"36-45",B997&lt;=60,"46-60",TRUE,"60+")</f>
        <v>60+</v>
      </c>
      <c r="N997" t="str">
        <f t="shared" si="46"/>
        <v>Discounted</v>
      </c>
      <c r="O997" t="str">
        <f t="shared" si="47"/>
        <v>Returning</v>
      </c>
    </row>
    <row r="998" spans="1:15" x14ac:dyDescent="0.25">
      <c r="A998">
        <v>997</v>
      </c>
      <c r="B998">
        <v>42</v>
      </c>
      <c r="C998" t="s">
        <v>11</v>
      </c>
      <c r="D998" t="s">
        <v>22</v>
      </c>
      <c r="E998" t="s">
        <v>43</v>
      </c>
      <c r="F998" s="1">
        <v>142.72999999999999</v>
      </c>
      <c r="G998" t="s">
        <v>14</v>
      </c>
      <c r="H998" t="s">
        <v>15</v>
      </c>
      <c r="I998" s="2">
        <v>4.0999999999999996</v>
      </c>
      <c r="J998" s="4">
        <v>15</v>
      </c>
      <c r="K998" s="3">
        <v>5</v>
      </c>
      <c r="L998" s="1">
        <f t="shared" si="45"/>
        <v>121.32049999999998</v>
      </c>
      <c r="M998" t="str" cm="1">
        <f t="array" ref="M998">_xlfn.IFS(B998&lt;18,"Under 18",B998 &lt;=25,"18-25",B998&lt;=35,"26-35",B998&lt;=45,"36-45",B998&lt;=60,"46-60",TRUE,"60+")</f>
        <v>36-45</v>
      </c>
      <c r="N998" t="str">
        <f t="shared" si="46"/>
        <v>Discounted</v>
      </c>
      <c r="O998" t="str">
        <f t="shared" si="47"/>
        <v>Returning</v>
      </c>
    </row>
    <row r="999" spans="1:15" x14ac:dyDescent="0.25">
      <c r="A999">
        <v>998</v>
      </c>
      <c r="B999">
        <v>34</v>
      </c>
      <c r="C999" t="s">
        <v>16</v>
      </c>
      <c r="D999" t="s">
        <v>27</v>
      </c>
      <c r="E999" t="s">
        <v>49</v>
      </c>
      <c r="F999" s="1">
        <v>2857.91</v>
      </c>
      <c r="G999" t="s">
        <v>31</v>
      </c>
      <c r="H999" t="s">
        <v>15</v>
      </c>
      <c r="I999" s="2">
        <v>3.5</v>
      </c>
      <c r="J999" s="4">
        <v>8</v>
      </c>
      <c r="K999" s="3">
        <v>4</v>
      </c>
      <c r="L999" s="1">
        <f t="shared" si="45"/>
        <v>2629.2772</v>
      </c>
      <c r="M999" t="str" cm="1">
        <f t="array" ref="M999">_xlfn.IFS(B999&lt;18,"Under 18",B999 &lt;=25,"18-25",B999&lt;=35,"26-35",B999&lt;=45,"36-45",B999&lt;=60,"46-60",TRUE,"60+")</f>
        <v>26-35</v>
      </c>
      <c r="N999" t="str">
        <f t="shared" si="46"/>
        <v>Discounted</v>
      </c>
      <c r="O999" t="str">
        <f t="shared" si="47"/>
        <v>Returning</v>
      </c>
    </row>
    <row r="1000" spans="1:15" x14ac:dyDescent="0.25">
      <c r="A1000">
        <v>999</v>
      </c>
      <c r="B1000">
        <v>62</v>
      </c>
      <c r="C1000" t="s">
        <v>16</v>
      </c>
      <c r="D1000" t="s">
        <v>17</v>
      </c>
      <c r="E1000" t="s">
        <v>48</v>
      </c>
      <c r="F1000" s="1">
        <v>79.55</v>
      </c>
      <c r="G1000" t="s">
        <v>31</v>
      </c>
      <c r="H1000" t="s">
        <v>15</v>
      </c>
      <c r="I1000" s="2">
        <v>3.9</v>
      </c>
      <c r="J1000" s="4">
        <v>12</v>
      </c>
      <c r="K1000" s="3">
        <v>6</v>
      </c>
      <c r="L1000" s="1">
        <f t="shared" si="45"/>
        <v>70.004000000000005</v>
      </c>
      <c r="M1000" t="str" cm="1">
        <f t="array" ref="M1000">_xlfn.IFS(B1000&lt;18,"Under 18",B1000 &lt;=25,"18-25",B1000&lt;=35,"26-35",B1000&lt;=45,"36-45",B1000&lt;=60,"46-60",TRUE,"60+")</f>
        <v>60+</v>
      </c>
      <c r="N1000" t="str">
        <f t="shared" si="46"/>
        <v>Discounted</v>
      </c>
      <c r="O1000" t="str">
        <f t="shared" si="47"/>
        <v>Returning</v>
      </c>
    </row>
    <row r="1001" spans="1:15" x14ac:dyDescent="0.25">
      <c r="A1001">
        <v>1000</v>
      </c>
      <c r="B1001">
        <v>46</v>
      </c>
      <c r="C1001" t="s">
        <v>11</v>
      </c>
      <c r="D1001" t="s">
        <v>25</v>
      </c>
      <c r="E1001" t="s">
        <v>47</v>
      </c>
      <c r="F1001" s="1">
        <v>17.850000000000001</v>
      </c>
      <c r="G1001" t="s">
        <v>24</v>
      </c>
      <c r="H1001" t="s">
        <v>37</v>
      </c>
      <c r="I1001" s="2">
        <v>5</v>
      </c>
      <c r="J1001" s="4">
        <v>26</v>
      </c>
      <c r="K1001" s="3">
        <v>8</v>
      </c>
      <c r="L1001" s="1">
        <f t="shared" si="45"/>
        <v>13.209000000000001</v>
      </c>
      <c r="M1001" t="str" cm="1">
        <f t="array" ref="M1001">_xlfn.IFS(B1001&lt;18,"Under 18",B1001 &lt;=25,"18-25",B1001&lt;=35,"26-35",B1001&lt;=45,"36-45",B1001&lt;=60,"46-60",TRUE,"60+")</f>
        <v>46-60</v>
      </c>
      <c r="N1001" t="str">
        <f t="shared" si="46"/>
        <v>Discounted</v>
      </c>
      <c r="O1001" t="str">
        <f t="shared" si="47"/>
        <v>Returning</v>
      </c>
    </row>
    <row r="1002" spans="1:15" x14ac:dyDescent="0.25">
      <c r="A1002">
        <v>1001</v>
      </c>
      <c r="B1002">
        <v>21</v>
      </c>
      <c r="C1002" t="s">
        <v>16</v>
      </c>
      <c r="D1002" t="s">
        <v>22</v>
      </c>
      <c r="E1002" t="s">
        <v>43</v>
      </c>
      <c r="F1002" s="1">
        <v>113.93</v>
      </c>
      <c r="G1002" t="s">
        <v>14</v>
      </c>
      <c r="H1002" t="s">
        <v>15</v>
      </c>
      <c r="I1002" s="2">
        <v>3.7</v>
      </c>
      <c r="J1002" s="4">
        <v>19</v>
      </c>
      <c r="K1002" s="3">
        <v>7</v>
      </c>
      <c r="L1002" s="1">
        <f t="shared" si="45"/>
        <v>92.283300000000011</v>
      </c>
      <c r="M1002" t="str" cm="1">
        <f t="array" ref="M1002">_xlfn.IFS(B1002&lt;18,"Under 18",B1002 &lt;=25,"18-25",B1002&lt;=35,"26-35",B1002&lt;=45,"36-45",B1002&lt;=60,"46-60",TRUE,"60+")</f>
        <v>18-25</v>
      </c>
      <c r="N1002" t="str">
        <f t="shared" si="46"/>
        <v>Discounted</v>
      </c>
      <c r="O1002" t="str">
        <f t="shared" si="47"/>
        <v>Returning</v>
      </c>
    </row>
    <row r="1003" spans="1:15" x14ac:dyDescent="0.25">
      <c r="A1003">
        <v>1002</v>
      </c>
      <c r="B1003">
        <v>29</v>
      </c>
      <c r="C1003" t="s">
        <v>16</v>
      </c>
      <c r="D1003" t="s">
        <v>33</v>
      </c>
      <c r="E1003" t="s">
        <v>34</v>
      </c>
      <c r="F1003" s="1">
        <v>48.18</v>
      </c>
      <c r="G1003" t="s">
        <v>31</v>
      </c>
      <c r="H1003" t="s">
        <v>15</v>
      </c>
      <c r="I1003" s="2">
        <v>4.9000000000000004</v>
      </c>
      <c r="J1003" s="4">
        <v>34</v>
      </c>
      <c r="K1003" s="3">
        <v>12</v>
      </c>
      <c r="L1003" s="1">
        <f t="shared" si="45"/>
        <v>31.798799999999996</v>
      </c>
      <c r="M1003" t="str" cm="1">
        <f t="array" ref="M1003">_xlfn.IFS(B1003&lt;18,"Under 18",B1003 &lt;=25,"18-25",B1003&lt;=35,"26-35",B1003&lt;=45,"36-45",B1003&lt;=60,"46-60",TRUE,"60+")</f>
        <v>26-35</v>
      </c>
      <c r="N1003" t="str">
        <f t="shared" si="46"/>
        <v>Discounted</v>
      </c>
      <c r="O1003" t="str">
        <f t="shared" si="47"/>
        <v>Returning</v>
      </c>
    </row>
    <row r="1004" spans="1:15" x14ac:dyDescent="0.25">
      <c r="A1004">
        <v>1003</v>
      </c>
      <c r="B1004">
        <v>57</v>
      </c>
      <c r="C1004" t="s">
        <v>11</v>
      </c>
      <c r="D1004" t="s">
        <v>12</v>
      </c>
      <c r="E1004" t="s">
        <v>13</v>
      </c>
      <c r="F1004" s="1">
        <v>54.15</v>
      </c>
      <c r="G1004" t="s">
        <v>14</v>
      </c>
      <c r="H1004" t="s">
        <v>37</v>
      </c>
      <c r="I1004" s="2">
        <v>2.6</v>
      </c>
      <c r="J1004" s="4">
        <v>26</v>
      </c>
      <c r="K1004" s="3">
        <v>8</v>
      </c>
      <c r="L1004" s="1">
        <f t="shared" si="45"/>
        <v>40.070999999999998</v>
      </c>
      <c r="M1004" t="str" cm="1">
        <f t="array" ref="M1004">_xlfn.IFS(B1004&lt;18,"Under 18",B1004 &lt;=25,"18-25",B1004&lt;=35,"26-35",B1004&lt;=45,"36-45",B1004&lt;=60,"46-60",TRUE,"60+")</f>
        <v>46-60</v>
      </c>
      <c r="N1004" t="str">
        <f t="shared" si="46"/>
        <v>Discounted</v>
      </c>
      <c r="O1004" t="str">
        <f t="shared" si="47"/>
        <v>Returning</v>
      </c>
    </row>
    <row r="1005" spans="1:15" x14ac:dyDescent="0.25">
      <c r="A1005">
        <v>1004</v>
      </c>
      <c r="B1005">
        <v>41</v>
      </c>
      <c r="C1005" t="s">
        <v>11</v>
      </c>
      <c r="D1005" t="s">
        <v>41</v>
      </c>
      <c r="E1005" t="s">
        <v>42</v>
      </c>
      <c r="F1005" s="1">
        <v>58.88</v>
      </c>
      <c r="G1005" t="s">
        <v>31</v>
      </c>
      <c r="H1005" t="s">
        <v>37</v>
      </c>
      <c r="I1005" s="2">
        <v>4</v>
      </c>
      <c r="J1005" s="4">
        <v>11</v>
      </c>
      <c r="K1005" s="3">
        <v>3</v>
      </c>
      <c r="L1005" s="1">
        <f t="shared" si="45"/>
        <v>52.403200000000005</v>
      </c>
      <c r="M1005" t="str" cm="1">
        <f t="array" ref="M1005">_xlfn.IFS(B1005&lt;18,"Under 18",B1005 &lt;=25,"18-25",B1005&lt;=35,"26-35",B1005&lt;=45,"36-45",B1005&lt;=60,"46-60",TRUE,"60+")</f>
        <v>36-45</v>
      </c>
      <c r="N1005" t="str">
        <f t="shared" si="46"/>
        <v>Discounted</v>
      </c>
      <c r="O1005" t="str">
        <f t="shared" si="47"/>
        <v>Returning</v>
      </c>
    </row>
    <row r="1006" spans="1:15" x14ac:dyDescent="0.25">
      <c r="A1006">
        <v>1005</v>
      </c>
      <c r="B1006">
        <v>63</v>
      </c>
      <c r="C1006" t="s">
        <v>16</v>
      </c>
      <c r="D1006" t="s">
        <v>17</v>
      </c>
      <c r="E1006" t="s">
        <v>35</v>
      </c>
      <c r="F1006" s="1">
        <v>127.76</v>
      </c>
      <c r="G1006" t="s">
        <v>31</v>
      </c>
      <c r="H1006" t="s">
        <v>15</v>
      </c>
      <c r="I1006" s="2">
        <v>3.2</v>
      </c>
      <c r="J1006" s="4">
        <v>4</v>
      </c>
      <c r="K1006" s="3">
        <v>2</v>
      </c>
      <c r="L1006" s="1">
        <f t="shared" si="45"/>
        <v>122.64960000000001</v>
      </c>
      <c r="M1006" t="str" cm="1">
        <f t="array" ref="M1006">_xlfn.IFS(B1006&lt;18,"Under 18",B1006 &lt;=25,"18-25",B1006&lt;=35,"26-35",B1006&lt;=45,"36-45",B1006&lt;=60,"46-60",TRUE,"60+")</f>
        <v>60+</v>
      </c>
      <c r="N1006" t="str">
        <f t="shared" si="46"/>
        <v>Discounted</v>
      </c>
      <c r="O1006" t="str">
        <f t="shared" si="47"/>
        <v>Returning</v>
      </c>
    </row>
    <row r="1007" spans="1:15" x14ac:dyDescent="0.25">
      <c r="A1007">
        <v>1006</v>
      </c>
      <c r="B1007">
        <v>45</v>
      </c>
      <c r="C1007" t="s">
        <v>16</v>
      </c>
      <c r="D1007" t="s">
        <v>17</v>
      </c>
      <c r="E1007" t="s">
        <v>48</v>
      </c>
      <c r="F1007" s="1">
        <v>88.21</v>
      </c>
      <c r="G1007" t="s">
        <v>14</v>
      </c>
      <c r="H1007" t="s">
        <v>37</v>
      </c>
      <c r="I1007" s="2">
        <v>2.2000000000000002</v>
      </c>
      <c r="J1007" s="4">
        <v>2</v>
      </c>
      <c r="K1007" s="3">
        <v>1</v>
      </c>
      <c r="L1007" s="1">
        <f t="shared" si="45"/>
        <v>86.445799999999991</v>
      </c>
      <c r="M1007" t="str" cm="1">
        <f t="array" ref="M1007">_xlfn.IFS(B1007&lt;18,"Under 18",B1007 &lt;=25,"18-25",B1007&lt;=35,"26-35",B1007&lt;=45,"36-45",B1007&lt;=60,"46-60",TRUE,"60+")</f>
        <v>36-45</v>
      </c>
      <c r="N1007" t="str">
        <f t="shared" si="46"/>
        <v>Discounted</v>
      </c>
      <c r="O1007" t="str">
        <f t="shared" si="47"/>
        <v>Returning</v>
      </c>
    </row>
    <row r="1008" spans="1:15" x14ac:dyDescent="0.25">
      <c r="A1008">
        <v>1007</v>
      </c>
      <c r="B1008">
        <v>65</v>
      </c>
      <c r="C1008" t="s">
        <v>11</v>
      </c>
      <c r="D1008" t="s">
        <v>41</v>
      </c>
      <c r="E1008" t="s">
        <v>44</v>
      </c>
      <c r="F1008" s="1">
        <v>154.19999999999999</v>
      </c>
      <c r="G1008" t="s">
        <v>31</v>
      </c>
      <c r="H1008" t="s">
        <v>15</v>
      </c>
      <c r="I1008" s="2">
        <v>3.8</v>
      </c>
      <c r="J1008" s="4">
        <v>16</v>
      </c>
      <c r="K1008" s="3">
        <v>8</v>
      </c>
      <c r="L1008" s="1">
        <f t="shared" si="45"/>
        <v>129.52799999999999</v>
      </c>
      <c r="M1008" t="str" cm="1">
        <f t="array" ref="M1008">_xlfn.IFS(B1008&lt;18,"Under 18",B1008 &lt;=25,"18-25",B1008&lt;=35,"26-35",B1008&lt;=45,"36-45",B1008&lt;=60,"46-60",TRUE,"60+")</f>
        <v>60+</v>
      </c>
      <c r="N1008" t="str">
        <f t="shared" si="46"/>
        <v>Discounted</v>
      </c>
      <c r="O1008" t="str">
        <f t="shared" si="47"/>
        <v>Returning</v>
      </c>
    </row>
    <row r="1009" spans="1:15" x14ac:dyDescent="0.25">
      <c r="A1009">
        <v>1008</v>
      </c>
      <c r="B1009">
        <v>53</v>
      </c>
      <c r="C1009" t="s">
        <v>16</v>
      </c>
      <c r="D1009" t="s">
        <v>17</v>
      </c>
      <c r="E1009" t="s">
        <v>48</v>
      </c>
      <c r="F1009" s="1">
        <v>186.55</v>
      </c>
      <c r="G1009" t="s">
        <v>14</v>
      </c>
      <c r="H1009" t="s">
        <v>15</v>
      </c>
      <c r="I1009" s="2">
        <v>3.7</v>
      </c>
      <c r="J1009" s="4">
        <v>16</v>
      </c>
      <c r="K1009" s="3">
        <v>3</v>
      </c>
      <c r="L1009" s="1">
        <f t="shared" si="45"/>
        <v>156.702</v>
      </c>
      <c r="M1009" t="str" cm="1">
        <f t="array" ref="M1009">_xlfn.IFS(B1009&lt;18,"Under 18",B1009 &lt;=25,"18-25",B1009&lt;=35,"26-35",B1009&lt;=45,"36-45",B1009&lt;=60,"46-60",TRUE,"60+")</f>
        <v>46-60</v>
      </c>
      <c r="N1009" t="str">
        <f t="shared" si="46"/>
        <v>Discounted</v>
      </c>
      <c r="O1009" t="str">
        <f t="shared" si="47"/>
        <v>Returning</v>
      </c>
    </row>
    <row r="1010" spans="1:15" x14ac:dyDescent="0.25">
      <c r="A1010">
        <v>1009</v>
      </c>
      <c r="B1010">
        <v>63</v>
      </c>
      <c r="C1010" t="s">
        <v>16</v>
      </c>
      <c r="D1010" t="s">
        <v>33</v>
      </c>
      <c r="E1010" t="s">
        <v>34</v>
      </c>
      <c r="F1010" s="1">
        <v>55.74</v>
      </c>
      <c r="G1010" t="s">
        <v>19</v>
      </c>
      <c r="H1010" t="s">
        <v>37</v>
      </c>
      <c r="I1010" s="2">
        <v>4.8</v>
      </c>
      <c r="J1010" s="4">
        <v>22</v>
      </c>
      <c r="K1010" s="3">
        <v>6</v>
      </c>
      <c r="L1010" s="1">
        <f t="shared" si="45"/>
        <v>43.477200000000003</v>
      </c>
      <c r="M1010" t="str" cm="1">
        <f t="array" ref="M1010">_xlfn.IFS(B1010&lt;18,"Under 18",B1010 &lt;=25,"18-25",B1010&lt;=35,"26-35",B1010&lt;=45,"36-45",B1010&lt;=60,"46-60",TRUE,"60+")</f>
        <v>60+</v>
      </c>
      <c r="N1010" t="str">
        <f t="shared" si="46"/>
        <v>Discounted</v>
      </c>
      <c r="O1010" t="str">
        <f t="shared" si="47"/>
        <v>Returning</v>
      </c>
    </row>
    <row r="1011" spans="1:15" x14ac:dyDescent="0.25">
      <c r="A1011">
        <v>1010</v>
      </c>
      <c r="B1011">
        <v>41</v>
      </c>
      <c r="C1011" t="s">
        <v>11</v>
      </c>
      <c r="D1011" t="s">
        <v>29</v>
      </c>
      <c r="E1011" t="s">
        <v>51</v>
      </c>
      <c r="F1011" s="1">
        <v>149.31</v>
      </c>
      <c r="G1011" t="s">
        <v>24</v>
      </c>
      <c r="H1011" t="s">
        <v>15</v>
      </c>
      <c r="I1011" s="2">
        <v>4</v>
      </c>
      <c r="J1011" s="4">
        <v>8</v>
      </c>
      <c r="K1011" s="3">
        <v>4</v>
      </c>
      <c r="L1011" s="1">
        <f t="shared" si="45"/>
        <v>137.36520000000002</v>
      </c>
      <c r="M1011" t="str" cm="1">
        <f t="array" ref="M1011">_xlfn.IFS(B1011&lt;18,"Under 18",B1011 &lt;=25,"18-25",B1011&lt;=35,"26-35",B1011&lt;=45,"36-45",B1011&lt;=60,"46-60",TRUE,"60+")</f>
        <v>36-45</v>
      </c>
      <c r="N1011" t="str">
        <f t="shared" si="46"/>
        <v>Discounted</v>
      </c>
      <c r="O1011" t="str">
        <f t="shared" si="47"/>
        <v>Returning</v>
      </c>
    </row>
    <row r="1012" spans="1:15" x14ac:dyDescent="0.25">
      <c r="A1012">
        <v>1011</v>
      </c>
      <c r="B1012">
        <v>65</v>
      </c>
      <c r="C1012" t="s">
        <v>16</v>
      </c>
      <c r="D1012" t="s">
        <v>17</v>
      </c>
      <c r="E1012" t="s">
        <v>48</v>
      </c>
      <c r="F1012" s="1">
        <v>71.91</v>
      </c>
      <c r="G1012" t="s">
        <v>24</v>
      </c>
      <c r="H1012" t="s">
        <v>37</v>
      </c>
      <c r="I1012" s="2">
        <v>3.5</v>
      </c>
      <c r="J1012" s="4">
        <v>19</v>
      </c>
      <c r="K1012" s="3">
        <v>7</v>
      </c>
      <c r="L1012" s="1">
        <f t="shared" si="45"/>
        <v>58.247100000000003</v>
      </c>
      <c r="M1012" t="str" cm="1">
        <f t="array" ref="M1012">_xlfn.IFS(B1012&lt;18,"Under 18",B1012 &lt;=25,"18-25",B1012&lt;=35,"26-35",B1012&lt;=45,"36-45",B1012&lt;=60,"46-60",TRUE,"60+")</f>
        <v>60+</v>
      </c>
      <c r="N1012" t="str">
        <f t="shared" si="46"/>
        <v>Discounted</v>
      </c>
      <c r="O1012" t="str">
        <f t="shared" si="47"/>
        <v>Returning</v>
      </c>
    </row>
    <row r="1013" spans="1:15" x14ac:dyDescent="0.25">
      <c r="A1013">
        <v>1012</v>
      </c>
      <c r="B1013">
        <v>20</v>
      </c>
      <c r="C1013" t="s">
        <v>11</v>
      </c>
      <c r="D1013" t="s">
        <v>29</v>
      </c>
      <c r="E1013" t="s">
        <v>55</v>
      </c>
      <c r="F1013" s="1">
        <v>25.51</v>
      </c>
      <c r="G1013" t="s">
        <v>19</v>
      </c>
      <c r="H1013" t="s">
        <v>15</v>
      </c>
      <c r="I1013" s="2">
        <v>3.6</v>
      </c>
      <c r="J1013" s="4">
        <v>30</v>
      </c>
      <c r="K1013" s="3">
        <v>10</v>
      </c>
      <c r="L1013" s="1">
        <f t="shared" si="45"/>
        <v>17.856999999999999</v>
      </c>
      <c r="M1013" t="str" cm="1">
        <f t="array" ref="M1013">_xlfn.IFS(B1013&lt;18,"Under 18",B1013 &lt;=25,"18-25",B1013&lt;=35,"26-35",B1013&lt;=45,"36-45",B1013&lt;=60,"46-60",TRUE,"60+")</f>
        <v>18-25</v>
      </c>
      <c r="N1013" t="str">
        <f t="shared" si="46"/>
        <v>Discounted</v>
      </c>
      <c r="O1013" t="str">
        <f t="shared" si="47"/>
        <v>Returning</v>
      </c>
    </row>
    <row r="1014" spans="1:15" x14ac:dyDescent="0.25">
      <c r="A1014">
        <v>1013</v>
      </c>
      <c r="B1014">
        <v>57</v>
      </c>
      <c r="C1014" t="s">
        <v>11</v>
      </c>
      <c r="D1014" t="s">
        <v>29</v>
      </c>
      <c r="E1014" t="s">
        <v>51</v>
      </c>
      <c r="F1014" s="1">
        <v>140</v>
      </c>
      <c r="G1014" t="s">
        <v>14</v>
      </c>
      <c r="H1014" t="s">
        <v>15</v>
      </c>
      <c r="I1014" s="2">
        <v>3.5</v>
      </c>
      <c r="J1014" s="4">
        <v>20</v>
      </c>
      <c r="K1014" s="3">
        <v>5</v>
      </c>
      <c r="L1014" s="1">
        <f t="shared" si="45"/>
        <v>112</v>
      </c>
      <c r="M1014" t="str" cm="1">
        <f t="array" ref="M1014">_xlfn.IFS(B1014&lt;18,"Under 18",B1014 &lt;=25,"18-25",B1014&lt;=35,"26-35",B1014&lt;=45,"36-45",B1014&lt;=60,"46-60",TRUE,"60+")</f>
        <v>46-60</v>
      </c>
      <c r="N1014" t="str">
        <f t="shared" si="46"/>
        <v>Discounted</v>
      </c>
      <c r="O1014" t="str">
        <f t="shared" si="47"/>
        <v>Returning</v>
      </c>
    </row>
    <row r="1015" spans="1:15" x14ac:dyDescent="0.25">
      <c r="A1015">
        <v>1014</v>
      </c>
      <c r="B1015">
        <v>45</v>
      </c>
      <c r="C1015" t="s">
        <v>16</v>
      </c>
      <c r="D1015" t="s">
        <v>25</v>
      </c>
      <c r="E1015" t="s">
        <v>54</v>
      </c>
      <c r="F1015" s="1">
        <v>22.48</v>
      </c>
      <c r="G1015" t="s">
        <v>14</v>
      </c>
      <c r="H1015" t="s">
        <v>15</v>
      </c>
      <c r="I1015" s="2">
        <v>4.2</v>
      </c>
      <c r="J1015" s="4">
        <v>8</v>
      </c>
      <c r="K1015" s="3">
        <v>4</v>
      </c>
      <c r="L1015" s="1">
        <f t="shared" si="45"/>
        <v>20.6816</v>
      </c>
      <c r="M1015" t="str" cm="1">
        <f t="array" ref="M1015">_xlfn.IFS(B1015&lt;18,"Under 18",B1015 &lt;=25,"18-25",B1015&lt;=35,"26-35",B1015&lt;=45,"36-45",B1015&lt;=60,"46-60",TRUE,"60+")</f>
        <v>36-45</v>
      </c>
      <c r="N1015" t="str">
        <f t="shared" si="46"/>
        <v>Discounted</v>
      </c>
      <c r="O1015" t="str">
        <f t="shared" si="47"/>
        <v>Returning</v>
      </c>
    </row>
    <row r="1016" spans="1:15" x14ac:dyDescent="0.25">
      <c r="A1016">
        <v>1015</v>
      </c>
      <c r="B1016">
        <v>69</v>
      </c>
      <c r="C1016" t="s">
        <v>11</v>
      </c>
      <c r="D1016" t="s">
        <v>12</v>
      </c>
      <c r="E1016" t="s">
        <v>56</v>
      </c>
      <c r="F1016" s="1">
        <v>63.27</v>
      </c>
      <c r="G1016" t="s">
        <v>14</v>
      </c>
      <c r="H1016" t="s">
        <v>37</v>
      </c>
      <c r="I1016" s="2">
        <v>2.9</v>
      </c>
      <c r="J1016" s="4">
        <v>12</v>
      </c>
      <c r="K1016" s="3">
        <v>6</v>
      </c>
      <c r="L1016" s="1">
        <f t="shared" si="45"/>
        <v>55.677600000000005</v>
      </c>
      <c r="M1016" t="str" cm="1">
        <f t="array" ref="M1016">_xlfn.IFS(B1016&lt;18,"Under 18",B1016 &lt;=25,"18-25",B1016&lt;=35,"26-35",B1016&lt;=45,"36-45",B1016&lt;=60,"46-60",TRUE,"60+")</f>
        <v>60+</v>
      </c>
      <c r="N1016" t="str">
        <f t="shared" si="46"/>
        <v>Discounted</v>
      </c>
      <c r="O1016" t="str">
        <f t="shared" si="47"/>
        <v>Returning</v>
      </c>
    </row>
    <row r="1017" spans="1:15" x14ac:dyDescent="0.25">
      <c r="A1017">
        <v>1016</v>
      </c>
      <c r="B1017">
        <v>32</v>
      </c>
      <c r="C1017" t="s">
        <v>16</v>
      </c>
      <c r="D1017" t="s">
        <v>25</v>
      </c>
      <c r="E1017" t="s">
        <v>47</v>
      </c>
      <c r="F1017" s="1">
        <v>79.819999999999993</v>
      </c>
      <c r="G1017" t="s">
        <v>14</v>
      </c>
      <c r="H1017" t="s">
        <v>15</v>
      </c>
      <c r="I1017" s="2">
        <v>3.5</v>
      </c>
      <c r="J1017" s="4">
        <v>14</v>
      </c>
      <c r="K1017" s="3">
        <v>2</v>
      </c>
      <c r="L1017" s="1">
        <f t="shared" si="45"/>
        <v>68.645199999999988</v>
      </c>
      <c r="M1017" t="str" cm="1">
        <f t="array" ref="M1017">_xlfn.IFS(B1017&lt;18,"Under 18",B1017 &lt;=25,"18-25",B1017&lt;=35,"26-35",B1017&lt;=45,"36-45",B1017&lt;=60,"46-60",TRUE,"60+")</f>
        <v>26-35</v>
      </c>
      <c r="N1017" t="str">
        <f t="shared" si="46"/>
        <v>Discounted</v>
      </c>
      <c r="O1017" t="str">
        <f t="shared" si="47"/>
        <v>Returning</v>
      </c>
    </row>
    <row r="1018" spans="1:15" x14ac:dyDescent="0.25">
      <c r="A1018">
        <v>1017</v>
      </c>
      <c r="B1018">
        <v>69</v>
      </c>
      <c r="C1018" t="s">
        <v>11</v>
      </c>
      <c r="D1018" t="s">
        <v>29</v>
      </c>
      <c r="E1018" t="s">
        <v>30</v>
      </c>
      <c r="F1018" s="1">
        <v>68.75</v>
      </c>
      <c r="G1018" t="s">
        <v>19</v>
      </c>
      <c r="H1018" t="s">
        <v>15</v>
      </c>
      <c r="I1018" s="2">
        <v>3.8</v>
      </c>
      <c r="J1018" s="4">
        <v>8</v>
      </c>
      <c r="K1018" s="3">
        <v>4</v>
      </c>
      <c r="L1018" s="1">
        <f t="shared" si="45"/>
        <v>63.25</v>
      </c>
      <c r="M1018" t="str" cm="1">
        <f t="array" ref="M1018">_xlfn.IFS(B1018&lt;18,"Under 18",B1018 &lt;=25,"18-25",B1018&lt;=35,"26-35",B1018&lt;=45,"36-45",B1018&lt;=60,"46-60",TRUE,"60+")</f>
        <v>60+</v>
      </c>
      <c r="N1018" t="str">
        <f t="shared" si="46"/>
        <v>Discounted</v>
      </c>
      <c r="O1018" t="str">
        <f t="shared" si="47"/>
        <v>Returning</v>
      </c>
    </row>
    <row r="1019" spans="1:15" x14ac:dyDescent="0.25">
      <c r="A1019">
        <v>1018</v>
      </c>
      <c r="B1019">
        <v>43</v>
      </c>
      <c r="C1019" t="s">
        <v>16</v>
      </c>
      <c r="D1019" t="s">
        <v>27</v>
      </c>
      <c r="E1019" t="s">
        <v>32</v>
      </c>
      <c r="F1019" s="1">
        <v>1327.27</v>
      </c>
      <c r="G1019" t="s">
        <v>31</v>
      </c>
      <c r="H1019" t="s">
        <v>15</v>
      </c>
      <c r="I1019" s="2">
        <v>2.7</v>
      </c>
      <c r="J1019" s="4">
        <v>13</v>
      </c>
      <c r="K1019" s="3">
        <v>4</v>
      </c>
      <c r="L1019" s="1">
        <f t="shared" si="45"/>
        <v>1154.7248999999999</v>
      </c>
      <c r="M1019" t="str" cm="1">
        <f t="array" ref="M1019">_xlfn.IFS(B1019&lt;18,"Under 18",B1019 &lt;=25,"18-25",B1019&lt;=35,"26-35",B1019&lt;=45,"36-45",B1019&lt;=60,"46-60",TRUE,"60+")</f>
        <v>36-45</v>
      </c>
      <c r="N1019" t="str">
        <f t="shared" si="46"/>
        <v>Discounted</v>
      </c>
      <c r="O1019" t="str">
        <f t="shared" si="47"/>
        <v>Returning</v>
      </c>
    </row>
    <row r="1020" spans="1:15" x14ac:dyDescent="0.25">
      <c r="A1020">
        <v>1019</v>
      </c>
      <c r="B1020">
        <v>28</v>
      </c>
      <c r="C1020" t="s">
        <v>16</v>
      </c>
      <c r="D1020" t="s">
        <v>20</v>
      </c>
      <c r="E1020" t="s">
        <v>36</v>
      </c>
      <c r="F1020" s="1">
        <v>220.03</v>
      </c>
      <c r="G1020" t="s">
        <v>31</v>
      </c>
      <c r="H1020" t="s">
        <v>15</v>
      </c>
      <c r="I1020" s="2">
        <v>3.2</v>
      </c>
      <c r="J1020" s="4">
        <v>10</v>
      </c>
      <c r="K1020" s="3">
        <v>5</v>
      </c>
      <c r="L1020" s="1">
        <f t="shared" si="45"/>
        <v>198.02700000000002</v>
      </c>
      <c r="M1020" t="str" cm="1">
        <f t="array" ref="M1020">_xlfn.IFS(B1020&lt;18,"Under 18",B1020 &lt;=25,"18-25",B1020&lt;=35,"26-35",B1020&lt;=45,"36-45",B1020&lt;=60,"46-60",TRUE,"60+")</f>
        <v>26-35</v>
      </c>
      <c r="N1020" t="str">
        <f t="shared" si="46"/>
        <v>Discounted</v>
      </c>
      <c r="O1020" t="str">
        <f t="shared" si="47"/>
        <v>Returning</v>
      </c>
    </row>
    <row r="1021" spans="1:15" x14ac:dyDescent="0.25">
      <c r="A1021">
        <v>1020</v>
      </c>
      <c r="B1021">
        <v>53</v>
      </c>
      <c r="C1021" t="s">
        <v>11</v>
      </c>
      <c r="D1021" t="s">
        <v>20</v>
      </c>
      <c r="E1021" t="s">
        <v>21</v>
      </c>
      <c r="F1021" s="1">
        <v>233.03</v>
      </c>
      <c r="G1021" t="s">
        <v>19</v>
      </c>
      <c r="H1021" t="s">
        <v>15</v>
      </c>
      <c r="I1021" s="2">
        <v>3.7</v>
      </c>
      <c r="J1021" s="4">
        <v>18</v>
      </c>
      <c r="K1021" s="3">
        <v>4</v>
      </c>
      <c r="L1021" s="1">
        <f t="shared" si="45"/>
        <v>191.08460000000002</v>
      </c>
      <c r="M1021" t="str" cm="1">
        <f t="array" ref="M1021">_xlfn.IFS(B1021&lt;18,"Under 18",B1021 &lt;=25,"18-25",B1021&lt;=35,"26-35",B1021&lt;=45,"36-45",B1021&lt;=60,"46-60",TRUE,"60+")</f>
        <v>46-60</v>
      </c>
      <c r="N1021" t="str">
        <f t="shared" si="46"/>
        <v>Discounted</v>
      </c>
      <c r="O1021" t="str">
        <f t="shared" si="47"/>
        <v>Returning</v>
      </c>
    </row>
    <row r="1022" spans="1:15" x14ac:dyDescent="0.25">
      <c r="A1022">
        <v>1021</v>
      </c>
      <c r="B1022">
        <v>25</v>
      </c>
      <c r="C1022" t="s">
        <v>11</v>
      </c>
      <c r="D1022" t="s">
        <v>12</v>
      </c>
      <c r="E1022" t="s">
        <v>13</v>
      </c>
      <c r="F1022" s="1">
        <v>106.02</v>
      </c>
      <c r="G1022" t="s">
        <v>31</v>
      </c>
      <c r="H1022" t="s">
        <v>15</v>
      </c>
      <c r="I1022" s="2">
        <v>4.8</v>
      </c>
      <c r="J1022" s="4">
        <v>13</v>
      </c>
      <c r="K1022" s="3">
        <v>4</v>
      </c>
      <c r="L1022" s="1">
        <f t="shared" si="45"/>
        <v>92.237399999999994</v>
      </c>
      <c r="M1022" t="str" cm="1">
        <f t="array" ref="M1022">_xlfn.IFS(B1022&lt;18,"Under 18",B1022 &lt;=25,"18-25",B1022&lt;=35,"26-35",B1022&lt;=45,"36-45",B1022&lt;=60,"46-60",TRUE,"60+")</f>
        <v>18-25</v>
      </c>
      <c r="N1022" t="str">
        <f t="shared" si="46"/>
        <v>Discounted</v>
      </c>
      <c r="O1022" t="str">
        <f t="shared" si="47"/>
        <v>Returning</v>
      </c>
    </row>
    <row r="1023" spans="1:15" x14ac:dyDescent="0.25">
      <c r="A1023">
        <v>1022</v>
      </c>
      <c r="B1023">
        <v>30</v>
      </c>
      <c r="C1023" t="s">
        <v>16</v>
      </c>
      <c r="D1023" t="s">
        <v>20</v>
      </c>
      <c r="E1023" t="s">
        <v>21</v>
      </c>
      <c r="F1023" s="1">
        <v>74.36</v>
      </c>
      <c r="G1023" t="s">
        <v>24</v>
      </c>
      <c r="H1023" t="s">
        <v>15</v>
      </c>
      <c r="I1023" s="2">
        <v>5</v>
      </c>
      <c r="J1023" s="4">
        <v>15</v>
      </c>
      <c r="K1023" s="3">
        <v>5</v>
      </c>
      <c r="L1023" s="1">
        <f t="shared" si="45"/>
        <v>63.205999999999996</v>
      </c>
      <c r="M1023" t="str" cm="1">
        <f t="array" ref="M1023">_xlfn.IFS(B1023&lt;18,"Under 18",B1023 &lt;=25,"18-25",B1023&lt;=35,"26-35",B1023&lt;=45,"36-45",B1023&lt;=60,"46-60",TRUE,"60+")</f>
        <v>26-35</v>
      </c>
      <c r="N1023" t="str">
        <f t="shared" si="46"/>
        <v>Discounted</v>
      </c>
      <c r="O1023" t="str">
        <f t="shared" si="47"/>
        <v>Returning</v>
      </c>
    </row>
    <row r="1024" spans="1:15" x14ac:dyDescent="0.25">
      <c r="A1024">
        <v>1023</v>
      </c>
      <c r="B1024">
        <v>59</v>
      </c>
      <c r="C1024" t="s">
        <v>11</v>
      </c>
      <c r="D1024" t="s">
        <v>29</v>
      </c>
      <c r="E1024" t="s">
        <v>55</v>
      </c>
      <c r="F1024" s="1">
        <v>28.72</v>
      </c>
      <c r="G1024" t="s">
        <v>31</v>
      </c>
      <c r="H1024" t="s">
        <v>37</v>
      </c>
      <c r="I1024" s="2">
        <v>4.5</v>
      </c>
      <c r="J1024" s="4">
        <v>12</v>
      </c>
      <c r="K1024" s="3">
        <v>6</v>
      </c>
      <c r="L1024" s="1">
        <f t="shared" si="45"/>
        <v>25.273599999999998</v>
      </c>
      <c r="M1024" t="str" cm="1">
        <f t="array" ref="M1024">_xlfn.IFS(B1024&lt;18,"Under 18",B1024 &lt;=25,"18-25",B1024&lt;=35,"26-35",B1024&lt;=45,"36-45",B1024&lt;=60,"46-60",TRUE,"60+")</f>
        <v>46-60</v>
      </c>
      <c r="N1024" t="str">
        <f t="shared" si="46"/>
        <v>Discounted</v>
      </c>
      <c r="O1024" t="str">
        <f t="shared" si="47"/>
        <v>Returning</v>
      </c>
    </row>
    <row r="1025" spans="1:15" x14ac:dyDescent="0.25">
      <c r="A1025">
        <v>1024</v>
      </c>
      <c r="B1025">
        <v>53</v>
      </c>
      <c r="C1025" t="s">
        <v>16</v>
      </c>
      <c r="D1025" t="s">
        <v>27</v>
      </c>
      <c r="E1025" t="s">
        <v>49</v>
      </c>
      <c r="F1025" s="1">
        <v>512</v>
      </c>
      <c r="G1025" t="s">
        <v>24</v>
      </c>
      <c r="H1025" t="s">
        <v>15</v>
      </c>
      <c r="I1025" s="2">
        <v>4</v>
      </c>
      <c r="J1025" s="4">
        <v>18</v>
      </c>
      <c r="K1025" s="3">
        <v>9</v>
      </c>
      <c r="L1025" s="1">
        <f t="shared" si="45"/>
        <v>419.84000000000003</v>
      </c>
      <c r="M1025" t="str" cm="1">
        <f t="array" ref="M1025">_xlfn.IFS(B1025&lt;18,"Under 18",B1025 &lt;=25,"18-25",B1025&lt;=35,"26-35",B1025&lt;=45,"36-45",B1025&lt;=60,"46-60",TRUE,"60+")</f>
        <v>46-60</v>
      </c>
      <c r="N1025" t="str">
        <f t="shared" si="46"/>
        <v>Discounted</v>
      </c>
      <c r="O1025" t="str">
        <f t="shared" si="47"/>
        <v>Returning</v>
      </c>
    </row>
    <row r="1026" spans="1:15" x14ac:dyDescent="0.25">
      <c r="A1026">
        <v>1025</v>
      </c>
      <c r="B1026">
        <v>60</v>
      </c>
      <c r="C1026" t="s">
        <v>11</v>
      </c>
      <c r="D1026" t="s">
        <v>41</v>
      </c>
      <c r="E1026" t="s">
        <v>45</v>
      </c>
      <c r="F1026" s="1">
        <v>108.63</v>
      </c>
      <c r="G1026" t="s">
        <v>14</v>
      </c>
      <c r="H1026" t="s">
        <v>15</v>
      </c>
      <c r="I1026" s="2">
        <v>3.5</v>
      </c>
      <c r="J1026" s="4">
        <v>28</v>
      </c>
      <c r="K1026" s="3">
        <v>9</v>
      </c>
      <c r="L1026" s="1">
        <f t="shared" si="45"/>
        <v>78.2136</v>
      </c>
      <c r="M1026" t="str" cm="1">
        <f t="array" ref="M1026">_xlfn.IFS(B1026&lt;18,"Under 18",B1026 &lt;=25,"18-25",B1026&lt;=35,"26-35",B1026&lt;=45,"36-45",B1026&lt;=60,"46-60",TRUE,"60+")</f>
        <v>46-60</v>
      </c>
      <c r="N1026" t="str">
        <f t="shared" si="46"/>
        <v>Discounted</v>
      </c>
      <c r="O1026" t="str">
        <f t="shared" si="47"/>
        <v>Returning</v>
      </c>
    </row>
    <row r="1027" spans="1:15" x14ac:dyDescent="0.25">
      <c r="A1027">
        <v>1026</v>
      </c>
      <c r="B1027">
        <v>25</v>
      </c>
      <c r="C1027" t="s">
        <v>16</v>
      </c>
      <c r="D1027" t="s">
        <v>17</v>
      </c>
      <c r="E1027" t="s">
        <v>42</v>
      </c>
      <c r="F1027" s="1">
        <v>34.19</v>
      </c>
      <c r="G1027" t="s">
        <v>24</v>
      </c>
      <c r="H1027" t="s">
        <v>37</v>
      </c>
      <c r="I1027" s="2">
        <v>3.1</v>
      </c>
      <c r="J1027" s="4">
        <v>19</v>
      </c>
      <c r="K1027" s="3">
        <v>7</v>
      </c>
      <c r="L1027" s="1">
        <f t="shared" ref="L1027:L1090" si="48">F1027 * (1 - J1027 / 100)</f>
        <v>27.693899999999999</v>
      </c>
      <c r="M1027" t="str" cm="1">
        <f t="array" ref="M1027">_xlfn.IFS(B1027&lt;18,"Under 18",B1027 &lt;=25,"18-25",B1027&lt;=35,"26-35",B1027&lt;=45,"36-45",B1027&lt;=60,"46-60",TRUE,"60+")</f>
        <v>18-25</v>
      </c>
      <c r="N1027" t="str">
        <f t="shared" ref="N1027:N1090" si="49">IF(J1027&gt;0,"Discounted","No Discount")</f>
        <v>Discounted</v>
      </c>
      <c r="O1027" t="str">
        <f t="shared" ref="O1027:O1090" si="50">IF(K1027&gt;0,"Returning","New")</f>
        <v>Returning</v>
      </c>
    </row>
    <row r="1028" spans="1:15" x14ac:dyDescent="0.25">
      <c r="A1028">
        <v>1027</v>
      </c>
      <c r="B1028">
        <v>21</v>
      </c>
      <c r="C1028" t="s">
        <v>11</v>
      </c>
      <c r="D1028" t="s">
        <v>12</v>
      </c>
      <c r="E1028" t="s">
        <v>56</v>
      </c>
      <c r="F1028" s="1">
        <v>121.23</v>
      </c>
      <c r="G1028" t="s">
        <v>19</v>
      </c>
      <c r="H1028" t="s">
        <v>15</v>
      </c>
      <c r="I1028" s="2">
        <v>2.9</v>
      </c>
      <c r="J1028" s="4">
        <v>16</v>
      </c>
      <c r="K1028" s="3">
        <v>3</v>
      </c>
      <c r="L1028" s="1">
        <f t="shared" si="48"/>
        <v>101.83320000000001</v>
      </c>
      <c r="M1028" t="str" cm="1">
        <f t="array" ref="M1028">_xlfn.IFS(B1028&lt;18,"Under 18",B1028 &lt;=25,"18-25",B1028&lt;=35,"26-35",B1028&lt;=45,"36-45",B1028&lt;=60,"46-60",TRUE,"60+")</f>
        <v>18-25</v>
      </c>
      <c r="N1028" t="str">
        <f t="shared" si="49"/>
        <v>Discounted</v>
      </c>
      <c r="O1028" t="str">
        <f t="shared" si="50"/>
        <v>Returning</v>
      </c>
    </row>
    <row r="1029" spans="1:15" x14ac:dyDescent="0.25">
      <c r="A1029">
        <v>1028</v>
      </c>
      <c r="B1029">
        <v>31</v>
      </c>
      <c r="C1029" t="s">
        <v>16</v>
      </c>
      <c r="D1029" t="s">
        <v>22</v>
      </c>
      <c r="E1029" t="s">
        <v>23</v>
      </c>
      <c r="F1029" s="1">
        <v>39.869999999999997</v>
      </c>
      <c r="G1029" t="s">
        <v>14</v>
      </c>
      <c r="H1029" t="s">
        <v>37</v>
      </c>
      <c r="I1029" s="2">
        <v>3.1</v>
      </c>
      <c r="J1029" s="4">
        <v>14</v>
      </c>
      <c r="K1029" s="3">
        <v>7</v>
      </c>
      <c r="L1029" s="1">
        <f t="shared" si="48"/>
        <v>34.288199999999996</v>
      </c>
      <c r="M1029" t="str" cm="1">
        <f t="array" ref="M1029">_xlfn.IFS(B1029&lt;18,"Under 18",B1029 &lt;=25,"18-25",B1029&lt;=35,"26-35",B1029&lt;=45,"36-45",B1029&lt;=60,"46-60",TRUE,"60+")</f>
        <v>26-35</v>
      </c>
      <c r="N1029" t="str">
        <f t="shared" si="49"/>
        <v>Discounted</v>
      </c>
      <c r="O1029" t="str">
        <f t="shared" si="50"/>
        <v>Returning</v>
      </c>
    </row>
    <row r="1030" spans="1:15" x14ac:dyDescent="0.25">
      <c r="A1030">
        <v>1029</v>
      </c>
      <c r="B1030">
        <v>65</v>
      </c>
      <c r="C1030" t="s">
        <v>11</v>
      </c>
      <c r="D1030" t="s">
        <v>41</v>
      </c>
      <c r="E1030" t="s">
        <v>42</v>
      </c>
      <c r="F1030" s="1">
        <v>194.79</v>
      </c>
      <c r="G1030" t="s">
        <v>24</v>
      </c>
      <c r="H1030" t="s">
        <v>15</v>
      </c>
      <c r="I1030" s="2">
        <v>4.0999999999999996</v>
      </c>
      <c r="J1030" s="4">
        <v>15</v>
      </c>
      <c r="K1030" s="3">
        <v>5</v>
      </c>
      <c r="L1030" s="1">
        <f t="shared" si="48"/>
        <v>165.57149999999999</v>
      </c>
      <c r="M1030" t="str" cm="1">
        <f t="array" ref="M1030">_xlfn.IFS(B1030&lt;18,"Under 18",B1030 &lt;=25,"18-25",B1030&lt;=35,"26-35",B1030&lt;=45,"36-45",B1030&lt;=60,"46-60",TRUE,"60+")</f>
        <v>60+</v>
      </c>
      <c r="N1030" t="str">
        <f t="shared" si="49"/>
        <v>Discounted</v>
      </c>
      <c r="O1030" t="str">
        <f t="shared" si="50"/>
        <v>Returning</v>
      </c>
    </row>
    <row r="1031" spans="1:15" x14ac:dyDescent="0.25">
      <c r="A1031">
        <v>1030</v>
      </c>
      <c r="B1031">
        <v>45</v>
      </c>
      <c r="C1031" t="s">
        <v>11</v>
      </c>
      <c r="D1031" t="s">
        <v>41</v>
      </c>
      <c r="E1031" t="s">
        <v>46</v>
      </c>
      <c r="F1031" s="1">
        <v>192.67</v>
      </c>
      <c r="G1031" t="s">
        <v>19</v>
      </c>
      <c r="H1031" t="s">
        <v>15</v>
      </c>
      <c r="I1031" s="2">
        <v>4.3</v>
      </c>
      <c r="J1031" s="4">
        <v>20</v>
      </c>
      <c r="K1031" s="3">
        <v>5</v>
      </c>
      <c r="L1031" s="1">
        <f t="shared" si="48"/>
        <v>154.136</v>
      </c>
      <c r="M1031" t="str" cm="1">
        <f t="array" ref="M1031">_xlfn.IFS(B1031&lt;18,"Under 18",B1031 &lt;=25,"18-25",B1031&lt;=35,"26-35",B1031&lt;=45,"36-45",B1031&lt;=60,"46-60",TRUE,"60+")</f>
        <v>36-45</v>
      </c>
      <c r="N1031" t="str">
        <f t="shared" si="49"/>
        <v>Discounted</v>
      </c>
      <c r="O1031" t="str">
        <f t="shared" si="50"/>
        <v>Returning</v>
      </c>
    </row>
    <row r="1032" spans="1:15" x14ac:dyDescent="0.25">
      <c r="A1032">
        <v>1031</v>
      </c>
      <c r="B1032">
        <v>33</v>
      </c>
      <c r="C1032" t="s">
        <v>11</v>
      </c>
      <c r="D1032" t="s">
        <v>33</v>
      </c>
      <c r="E1032" t="s">
        <v>40</v>
      </c>
      <c r="F1032" s="1">
        <v>119.68</v>
      </c>
      <c r="G1032" t="s">
        <v>14</v>
      </c>
      <c r="H1032" t="s">
        <v>15</v>
      </c>
      <c r="I1032" s="2">
        <v>2.5</v>
      </c>
      <c r="J1032" s="4">
        <v>19</v>
      </c>
      <c r="K1032" s="3">
        <v>7</v>
      </c>
      <c r="L1032" s="1">
        <f t="shared" si="48"/>
        <v>96.94080000000001</v>
      </c>
      <c r="M1032" t="str" cm="1">
        <f t="array" ref="M1032">_xlfn.IFS(B1032&lt;18,"Under 18",B1032 &lt;=25,"18-25",B1032&lt;=35,"26-35",B1032&lt;=45,"36-45",B1032&lt;=60,"46-60",TRUE,"60+")</f>
        <v>26-35</v>
      </c>
      <c r="N1032" t="str">
        <f t="shared" si="49"/>
        <v>Discounted</v>
      </c>
      <c r="O1032" t="str">
        <f t="shared" si="50"/>
        <v>Returning</v>
      </c>
    </row>
    <row r="1033" spans="1:15" x14ac:dyDescent="0.25">
      <c r="A1033">
        <v>1032</v>
      </c>
      <c r="B1033">
        <v>40</v>
      </c>
      <c r="C1033" t="s">
        <v>11</v>
      </c>
      <c r="D1033" t="s">
        <v>25</v>
      </c>
      <c r="E1033" t="s">
        <v>54</v>
      </c>
      <c r="F1033" s="1">
        <v>12.42</v>
      </c>
      <c r="G1033" t="s">
        <v>19</v>
      </c>
      <c r="H1033" t="s">
        <v>15</v>
      </c>
      <c r="I1033" s="2">
        <v>4</v>
      </c>
      <c r="J1033" s="4">
        <v>20</v>
      </c>
      <c r="K1033" s="3">
        <v>5</v>
      </c>
      <c r="L1033" s="1">
        <f t="shared" si="48"/>
        <v>9.9359999999999999</v>
      </c>
      <c r="M1033" t="str" cm="1">
        <f t="array" ref="M1033">_xlfn.IFS(B1033&lt;18,"Under 18",B1033 &lt;=25,"18-25",B1033&lt;=35,"26-35",B1033&lt;=45,"36-45",B1033&lt;=60,"46-60",TRUE,"60+")</f>
        <v>36-45</v>
      </c>
      <c r="N1033" t="str">
        <f t="shared" si="49"/>
        <v>Discounted</v>
      </c>
      <c r="O1033" t="str">
        <f t="shared" si="50"/>
        <v>Returning</v>
      </c>
    </row>
    <row r="1034" spans="1:15" x14ac:dyDescent="0.25">
      <c r="A1034">
        <v>1033</v>
      </c>
      <c r="B1034">
        <v>55</v>
      </c>
      <c r="C1034" t="s">
        <v>11</v>
      </c>
      <c r="D1034" t="s">
        <v>20</v>
      </c>
      <c r="E1034" t="s">
        <v>39</v>
      </c>
      <c r="F1034" s="1">
        <v>91.6</v>
      </c>
      <c r="G1034" t="s">
        <v>31</v>
      </c>
      <c r="H1034" t="s">
        <v>37</v>
      </c>
      <c r="I1034" s="2">
        <v>3.7</v>
      </c>
      <c r="J1034" s="4">
        <v>17</v>
      </c>
      <c r="K1034" s="3">
        <v>6</v>
      </c>
      <c r="L1034" s="1">
        <f t="shared" si="48"/>
        <v>76.027999999999992</v>
      </c>
      <c r="M1034" t="str" cm="1">
        <f t="array" ref="M1034">_xlfn.IFS(B1034&lt;18,"Under 18",B1034 &lt;=25,"18-25",B1034&lt;=35,"26-35",B1034&lt;=45,"36-45",B1034&lt;=60,"46-60",TRUE,"60+")</f>
        <v>46-60</v>
      </c>
      <c r="N1034" t="str">
        <f t="shared" si="49"/>
        <v>Discounted</v>
      </c>
      <c r="O1034" t="str">
        <f t="shared" si="50"/>
        <v>Returning</v>
      </c>
    </row>
    <row r="1035" spans="1:15" x14ac:dyDescent="0.25">
      <c r="A1035">
        <v>1034</v>
      </c>
      <c r="B1035">
        <v>28</v>
      </c>
      <c r="C1035" t="s">
        <v>11</v>
      </c>
      <c r="D1035" t="s">
        <v>25</v>
      </c>
      <c r="E1035" t="s">
        <v>57</v>
      </c>
      <c r="F1035" s="1">
        <v>78.81</v>
      </c>
      <c r="G1035" t="s">
        <v>31</v>
      </c>
      <c r="H1035" t="s">
        <v>15</v>
      </c>
      <c r="I1035" s="2">
        <v>4.0999999999999996</v>
      </c>
      <c r="J1035" s="4">
        <v>15</v>
      </c>
      <c r="K1035" s="3">
        <v>5</v>
      </c>
      <c r="L1035" s="1">
        <f t="shared" si="48"/>
        <v>66.988500000000002</v>
      </c>
      <c r="M1035" t="str" cm="1">
        <f t="array" ref="M1035">_xlfn.IFS(B1035&lt;18,"Under 18",B1035 &lt;=25,"18-25",B1035&lt;=35,"26-35",B1035&lt;=45,"36-45",B1035&lt;=60,"46-60",TRUE,"60+")</f>
        <v>26-35</v>
      </c>
      <c r="N1035" t="str">
        <f t="shared" si="49"/>
        <v>Discounted</v>
      </c>
      <c r="O1035" t="str">
        <f t="shared" si="50"/>
        <v>Returning</v>
      </c>
    </row>
    <row r="1036" spans="1:15" x14ac:dyDescent="0.25">
      <c r="A1036">
        <v>1035</v>
      </c>
      <c r="B1036">
        <v>36</v>
      </c>
      <c r="C1036" t="s">
        <v>16</v>
      </c>
      <c r="D1036" t="s">
        <v>22</v>
      </c>
      <c r="E1036" t="s">
        <v>43</v>
      </c>
      <c r="F1036" s="1">
        <v>299.29000000000002</v>
      </c>
      <c r="G1036" t="s">
        <v>19</v>
      </c>
      <c r="H1036" t="s">
        <v>15</v>
      </c>
      <c r="I1036" s="2">
        <v>4.5999999999999996</v>
      </c>
      <c r="J1036" s="4">
        <v>10</v>
      </c>
      <c r="K1036" s="3">
        <v>5</v>
      </c>
      <c r="L1036" s="1">
        <f t="shared" si="48"/>
        <v>269.36100000000005</v>
      </c>
      <c r="M1036" t="str" cm="1">
        <f t="array" ref="M1036">_xlfn.IFS(B1036&lt;18,"Under 18",B1036 &lt;=25,"18-25",B1036&lt;=35,"26-35",B1036&lt;=45,"36-45",B1036&lt;=60,"46-60",TRUE,"60+")</f>
        <v>36-45</v>
      </c>
      <c r="N1036" t="str">
        <f t="shared" si="49"/>
        <v>Discounted</v>
      </c>
      <c r="O1036" t="str">
        <f t="shared" si="50"/>
        <v>Returning</v>
      </c>
    </row>
    <row r="1037" spans="1:15" x14ac:dyDescent="0.25">
      <c r="A1037">
        <v>1036</v>
      </c>
      <c r="B1037">
        <v>59</v>
      </c>
      <c r="C1037" t="s">
        <v>11</v>
      </c>
      <c r="D1037" t="s">
        <v>29</v>
      </c>
      <c r="E1037" t="s">
        <v>51</v>
      </c>
      <c r="F1037" s="1">
        <v>52.13</v>
      </c>
      <c r="G1037" t="s">
        <v>24</v>
      </c>
      <c r="H1037" t="s">
        <v>15</v>
      </c>
      <c r="I1037" s="2">
        <v>4.4000000000000004</v>
      </c>
      <c r="J1037" s="4">
        <v>14</v>
      </c>
      <c r="K1037" s="3">
        <v>2</v>
      </c>
      <c r="L1037" s="1">
        <f t="shared" si="48"/>
        <v>44.831800000000001</v>
      </c>
      <c r="M1037" t="str" cm="1">
        <f t="array" ref="M1037">_xlfn.IFS(B1037&lt;18,"Under 18",B1037 &lt;=25,"18-25",B1037&lt;=35,"26-35",B1037&lt;=45,"36-45",B1037&lt;=60,"46-60",TRUE,"60+")</f>
        <v>46-60</v>
      </c>
      <c r="N1037" t="str">
        <f t="shared" si="49"/>
        <v>Discounted</v>
      </c>
      <c r="O1037" t="str">
        <f t="shared" si="50"/>
        <v>Returning</v>
      </c>
    </row>
    <row r="1038" spans="1:15" x14ac:dyDescent="0.25">
      <c r="A1038">
        <v>1037</v>
      </c>
      <c r="B1038">
        <v>42</v>
      </c>
      <c r="C1038" t="s">
        <v>11</v>
      </c>
      <c r="D1038" t="s">
        <v>12</v>
      </c>
      <c r="E1038" t="s">
        <v>13</v>
      </c>
      <c r="F1038" s="1">
        <v>73.709999999999994</v>
      </c>
      <c r="G1038" t="s">
        <v>14</v>
      </c>
      <c r="H1038" t="s">
        <v>15</v>
      </c>
      <c r="I1038" s="2">
        <v>2.8</v>
      </c>
      <c r="J1038" s="4">
        <v>8</v>
      </c>
      <c r="K1038" s="3">
        <v>4</v>
      </c>
      <c r="L1038" s="1">
        <f t="shared" si="48"/>
        <v>67.813199999999995</v>
      </c>
      <c r="M1038" t="str" cm="1">
        <f t="array" ref="M1038">_xlfn.IFS(B1038&lt;18,"Under 18",B1038 &lt;=25,"18-25",B1038&lt;=35,"26-35",B1038&lt;=45,"36-45",B1038&lt;=60,"46-60",TRUE,"60+")</f>
        <v>36-45</v>
      </c>
      <c r="N1038" t="str">
        <f t="shared" si="49"/>
        <v>Discounted</v>
      </c>
      <c r="O1038" t="str">
        <f t="shared" si="50"/>
        <v>Returning</v>
      </c>
    </row>
    <row r="1039" spans="1:15" x14ac:dyDescent="0.25">
      <c r="A1039">
        <v>1038</v>
      </c>
      <c r="B1039">
        <v>21</v>
      </c>
      <c r="C1039" t="s">
        <v>11</v>
      </c>
      <c r="D1039" t="s">
        <v>12</v>
      </c>
      <c r="E1039" t="s">
        <v>56</v>
      </c>
      <c r="F1039" s="1">
        <v>108.59</v>
      </c>
      <c r="G1039" t="s">
        <v>24</v>
      </c>
      <c r="H1039" t="s">
        <v>15</v>
      </c>
      <c r="I1039" s="2">
        <v>4.3</v>
      </c>
      <c r="J1039" s="4">
        <v>26</v>
      </c>
      <c r="K1039" s="3">
        <v>8</v>
      </c>
      <c r="L1039" s="1">
        <f t="shared" si="48"/>
        <v>80.3566</v>
      </c>
      <c r="M1039" t="str" cm="1">
        <f t="array" ref="M1039">_xlfn.IFS(B1039&lt;18,"Under 18",B1039 &lt;=25,"18-25",B1039&lt;=35,"26-35",B1039&lt;=45,"36-45",B1039&lt;=60,"46-60",TRUE,"60+")</f>
        <v>18-25</v>
      </c>
      <c r="N1039" t="str">
        <f t="shared" si="49"/>
        <v>Discounted</v>
      </c>
      <c r="O1039" t="str">
        <f t="shared" si="50"/>
        <v>Returning</v>
      </c>
    </row>
    <row r="1040" spans="1:15" x14ac:dyDescent="0.25">
      <c r="A1040">
        <v>1039</v>
      </c>
      <c r="B1040">
        <v>63</v>
      </c>
      <c r="C1040" t="s">
        <v>16</v>
      </c>
      <c r="D1040" t="s">
        <v>27</v>
      </c>
      <c r="E1040" t="s">
        <v>53</v>
      </c>
      <c r="F1040" s="1">
        <v>2738.93</v>
      </c>
      <c r="G1040" t="s">
        <v>31</v>
      </c>
      <c r="H1040" t="s">
        <v>15</v>
      </c>
      <c r="I1040" s="2">
        <v>4</v>
      </c>
      <c r="J1040" s="4">
        <v>12</v>
      </c>
      <c r="K1040" s="3">
        <v>6</v>
      </c>
      <c r="L1040" s="1">
        <f t="shared" si="48"/>
        <v>2410.2583999999997</v>
      </c>
      <c r="M1040" t="str" cm="1">
        <f t="array" ref="M1040">_xlfn.IFS(B1040&lt;18,"Under 18",B1040 &lt;=25,"18-25",B1040&lt;=35,"26-35",B1040&lt;=45,"36-45",B1040&lt;=60,"46-60",TRUE,"60+")</f>
        <v>60+</v>
      </c>
      <c r="N1040" t="str">
        <f t="shared" si="49"/>
        <v>Discounted</v>
      </c>
      <c r="O1040" t="str">
        <f t="shared" si="50"/>
        <v>Returning</v>
      </c>
    </row>
    <row r="1041" spans="1:15" x14ac:dyDescent="0.25">
      <c r="A1041">
        <v>1040</v>
      </c>
      <c r="B1041">
        <v>32</v>
      </c>
      <c r="C1041" t="s">
        <v>11</v>
      </c>
      <c r="D1041" t="s">
        <v>12</v>
      </c>
      <c r="E1041" t="s">
        <v>50</v>
      </c>
      <c r="F1041" s="1">
        <v>159.16</v>
      </c>
      <c r="G1041" t="s">
        <v>31</v>
      </c>
      <c r="H1041" t="s">
        <v>15</v>
      </c>
      <c r="I1041" s="2">
        <v>4.0999999999999996</v>
      </c>
      <c r="J1041" s="4">
        <v>10</v>
      </c>
      <c r="K1041" s="3">
        <v>5</v>
      </c>
      <c r="L1041" s="1">
        <f t="shared" si="48"/>
        <v>143.244</v>
      </c>
      <c r="M1041" t="str" cm="1">
        <f t="array" ref="M1041">_xlfn.IFS(B1041&lt;18,"Under 18",B1041 &lt;=25,"18-25",B1041&lt;=35,"26-35",B1041&lt;=45,"36-45",B1041&lt;=60,"46-60",TRUE,"60+")</f>
        <v>26-35</v>
      </c>
      <c r="N1041" t="str">
        <f t="shared" si="49"/>
        <v>Discounted</v>
      </c>
      <c r="O1041" t="str">
        <f t="shared" si="50"/>
        <v>Returning</v>
      </c>
    </row>
    <row r="1042" spans="1:15" x14ac:dyDescent="0.25">
      <c r="A1042">
        <v>1041</v>
      </c>
      <c r="B1042">
        <v>32</v>
      </c>
      <c r="C1042" t="s">
        <v>11</v>
      </c>
      <c r="D1042" t="s">
        <v>41</v>
      </c>
      <c r="E1042" t="s">
        <v>45</v>
      </c>
      <c r="F1042" s="1">
        <v>193.19</v>
      </c>
      <c r="G1042" t="s">
        <v>19</v>
      </c>
      <c r="H1042" t="s">
        <v>15</v>
      </c>
      <c r="I1042" s="2">
        <v>4.9000000000000004</v>
      </c>
      <c r="J1042" s="4">
        <v>26</v>
      </c>
      <c r="K1042" s="3">
        <v>8</v>
      </c>
      <c r="L1042" s="1">
        <f t="shared" si="48"/>
        <v>142.9606</v>
      </c>
      <c r="M1042" t="str" cm="1">
        <f t="array" ref="M1042">_xlfn.IFS(B1042&lt;18,"Under 18",B1042 &lt;=25,"18-25",B1042&lt;=35,"26-35",B1042&lt;=45,"36-45",B1042&lt;=60,"46-60",TRUE,"60+")</f>
        <v>26-35</v>
      </c>
      <c r="N1042" t="str">
        <f t="shared" si="49"/>
        <v>Discounted</v>
      </c>
      <c r="O1042" t="str">
        <f t="shared" si="50"/>
        <v>Returning</v>
      </c>
    </row>
    <row r="1043" spans="1:15" x14ac:dyDescent="0.25">
      <c r="A1043">
        <v>1042</v>
      </c>
      <c r="B1043">
        <v>45</v>
      </c>
      <c r="C1043" t="s">
        <v>16</v>
      </c>
      <c r="D1043" t="s">
        <v>33</v>
      </c>
      <c r="E1043" t="s">
        <v>38</v>
      </c>
      <c r="F1043" s="1">
        <v>143.72</v>
      </c>
      <c r="G1043" t="s">
        <v>31</v>
      </c>
      <c r="H1043" t="s">
        <v>15</v>
      </c>
      <c r="I1043" s="2">
        <v>2.6</v>
      </c>
      <c r="J1043" s="4">
        <v>20</v>
      </c>
      <c r="K1043" s="3">
        <v>5</v>
      </c>
      <c r="L1043" s="1">
        <f t="shared" si="48"/>
        <v>114.976</v>
      </c>
      <c r="M1043" t="str" cm="1">
        <f t="array" ref="M1043">_xlfn.IFS(B1043&lt;18,"Under 18",B1043 &lt;=25,"18-25",B1043&lt;=35,"26-35",B1043&lt;=45,"36-45",B1043&lt;=60,"46-60",TRUE,"60+")</f>
        <v>36-45</v>
      </c>
      <c r="N1043" t="str">
        <f t="shared" si="49"/>
        <v>Discounted</v>
      </c>
      <c r="O1043" t="str">
        <f t="shared" si="50"/>
        <v>Returning</v>
      </c>
    </row>
    <row r="1044" spans="1:15" x14ac:dyDescent="0.25">
      <c r="A1044">
        <v>1043</v>
      </c>
      <c r="B1044">
        <v>24</v>
      </c>
      <c r="C1044" t="s">
        <v>11</v>
      </c>
      <c r="D1044" t="s">
        <v>41</v>
      </c>
      <c r="E1044" t="s">
        <v>46</v>
      </c>
      <c r="F1044" s="1">
        <v>141.82</v>
      </c>
      <c r="G1044" t="s">
        <v>24</v>
      </c>
      <c r="H1044" t="s">
        <v>15</v>
      </c>
      <c r="I1044" s="2">
        <v>3.8</v>
      </c>
      <c r="J1044" s="4">
        <v>10</v>
      </c>
      <c r="K1044" s="3">
        <v>5</v>
      </c>
      <c r="L1044" s="1">
        <f t="shared" si="48"/>
        <v>127.63799999999999</v>
      </c>
      <c r="M1044" t="str" cm="1">
        <f t="array" ref="M1044">_xlfn.IFS(B1044&lt;18,"Under 18",B1044 &lt;=25,"18-25",B1044&lt;=35,"26-35",B1044&lt;=45,"36-45",B1044&lt;=60,"46-60",TRUE,"60+")</f>
        <v>18-25</v>
      </c>
      <c r="N1044" t="str">
        <f t="shared" si="49"/>
        <v>Discounted</v>
      </c>
      <c r="O1044" t="str">
        <f t="shared" si="50"/>
        <v>Returning</v>
      </c>
    </row>
    <row r="1045" spans="1:15" x14ac:dyDescent="0.25">
      <c r="A1045">
        <v>1044</v>
      </c>
      <c r="B1045">
        <v>44</v>
      </c>
      <c r="C1045" t="s">
        <v>11</v>
      </c>
      <c r="D1045" t="s">
        <v>41</v>
      </c>
      <c r="E1045" t="s">
        <v>45</v>
      </c>
      <c r="F1045" s="1">
        <v>177.01</v>
      </c>
      <c r="G1045" t="s">
        <v>19</v>
      </c>
      <c r="H1045" t="s">
        <v>15</v>
      </c>
      <c r="I1045" s="2">
        <v>1.9</v>
      </c>
      <c r="J1045" s="4">
        <v>7</v>
      </c>
      <c r="K1045" s="3">
        <v>1</v>
      </c>
      <c r="L1045" s="1">
        <f t="shared" si="48"/>
        <v>164.61929999999998</v>
      </c>
      <c r="M1045" t="str" cm="1">
        <f t="array" ref="M1045">_xlfn.IFS(B1045&lt;18,"Under 18",B1045 &lt;=25,"18-25",B1045&lt;=35,"26-35",B1045&lt;=45,"36-45",B1045&lt;=60,"46-60",TRUE,"60+")</f>
        <v>36-45</v>
      </c>
      <c r="N1045" t="str">
        <f t="shared" si="49"/>
        <v>Discounted</v>
      </c>
      <c r="O1045" t="str">
        <f t="shared" si="50"/>
        <v>Returning</v>
      </c>
    </row>
    <row r="1046" spans="1:15" x14ac:dyDescent="0.25">
      <c r="A1046">
        <v>1045</v>
      </c>
      <c r="B1046">
        <v>33</v>
      </c>
      <c r="C1046" t="s">
        <v>16</v>
      </c>
      <c r="D1046" t="s">
        <v>20</v>
      </c>
      <c r="E1046" t="s">
        <v>36</v>
      </c>
      <c r="F1046" s="1">
        <v>144.52000000000001</v>
      </c>
      <c r="G1046" t="s">
        <v>14</v>
      </c>
      <c r="H1046" t="s">
        <v>15</v>
      </c>
      <c r="I1046" s="2">
        <v>4.5999999999999996</v>
      </c>
      <c r="J1046" s="4">
        <v>10</v>
      </c>
      <c r="K1046" s="3">
        <v>5</v>
      </c>
      <c r="L1046" s="1">
        <f t="shared" si="48"/>
        <v>130.06800000000001</v>
      </c>
      <c r="M1046" t="str" cm="1">
        <f t="array" ref="M1046">_xlfn.IFS(B1046&lt;18,"Under 18",B1046 &lt;=25,"18-25",B1046&lt;=35,"26-35",B1046&lt;=45,"36-45",B1046&lt;=60,"46-60",TRUE,"60+")</f>
        <v>26-35</v>
      </c>
      <c r="N1046" t="str">
        <f t="shared" si="49"/>
        <v>Discounted</v>
      </c>
      <c r="O1046" t="str">
        <f t="shared" si="50"/>
        <v>Returning</v>
      </c>
    </row>
    <row r="1047" spans="1:15" x14ac:dyDescent="0.25">
      <c r="A1047">
        <v>1046</v>
      </c>
      <c r="B1047">
        <v>40</v>
      </c>
      <c r="C1047" t="s">
        <v>16</v>
      </c>
      <c r="D1047" t="s">
        <v>17</v>
      </c>
      <c r="E1047" t="s">
        <v>35</v>
      </c>
      <c r="F1047" s="1">
        <v>141.59</v>
      </c>
      <c r="G1047" t="s">
        <v>19</v>
      </c>
      <c r="H1047" t="s">
        <v>15</v>
      </c>
      <c r="I1047" s="2">
        <v>3.3</v>
      </c>
      <c r="J1047" s="4">
        <v>4</v>
      </c>
      <c r="K1047" s="3">
        <v>2</v>
      </c>
      <c r="L1047" s="1">
        <f t="shared" si="48"/>
        <v>135.9264</v>
      </c>
      <c r="M1047" t="str" cm="1">
        <f t="array" ref="M1047">_xlfn.IFS(B1047&lt;18,"Under 18",B1047 &lt;=25,"18-25",B1047&lt;=35,"26-35",B1047&lt;=45,"36-45",B1047&lt;=60,"46-60",TRUE,"60+")</f>
        <v>36-45</v>
      </c>
      <c r="N1047" t="str">
        <f t="shared" si="49"/>
        <v>Discounted</v>
      </c>
      <c r="O1047" t="str">
        <f t="shared" si="50"/>
        <v>Returning</v>
      </c>
    </row>
    <row r="1048" spans="1:15" x14ac:dyDescent="0.25">
      <c r="A1048">
        <v>1047</v>
      </c>
      <c r="B1048">
        <v>53</v>
      </c>
      <c r="C1048" t="s">
        <v>11</v>
      </c>
      <c r="D1048" t="s">
        <v>41</v>
      </c>
      <c r="E1048" t="s">
        <v>44</v>
      </c>
      <c r="F1048" s="1">
        <v>130.75</v>
      </c>
      <c r="G1048" t="s">
        <v>31</v>
      </c>
      <c r="H1048" t="s">
        <v>15</v>
      </c>
      <c r="I1048" s="2">
        <v>3.9</v>
      </c>
      <c r="J1048" s="4">
        <v>15</v>
      </c>
      <c r="K1048" s="3">
        <v>5</v>
      </c>
      <c r="L1048" s="1">
        <f t="shared" si="48"/>
        <v>111.1375</v>
      </c>
      <c r="M1048" t="str" cm="1">
        <f t="array" ref="M1048">_xlfn.IFS(B1048&lt;18,"Under 18",B1048 &lt;=25,"18-25",B1048&lt;=35,"26-35",B1048&lt;=45,"36-45",B1048&lt;=60,"46-60",TRUE,"60+")</f>
        <v>46-60</v>
      </c>
      <c r="N1048" t="str">
        <f t="shared" si="49"/>
        <v>Discounted</v>
      </c>
      <c r="O1048" t="str">
        <f t="shared" si="50"/>
        <v>Returning</v>
      </c>
    </row>
    <row r="1049" spans="1:15" x14ac:dyDescent="0.25">
      <c r="A1049">
        <v>1048</v>
      </c>
      <c r="B1049">
        <v>55</v>
      </c>
      <c r="C1049" t="s">
        <v>16</v>
      </c>
      <c r="D1049" t="s">
        <v>33</v>
      </c>
      <c r="E1049" t="s">
        <v>38</v>
      </c>
      <c r="F1049" s="1">
        <v>57.48</v>
      </c>
      <c r="G1049" t="s">
        <v>31</v>
      </c>
      <c r="H1049" t="s">
        <v>15</v>
      </c>
      <c r="I1049" s="2">
        <v>4.0999999999999996</v>
      </c>
      <c r="J1049" s="4">
        <v>15</v>
      </c>
      <c r="K1049" s="3">
        <v>5</v>
      </c>
      <c r="L1049" s="1">
        <f t="shared" si="48"/>
        <v>48.857999999999997</v>
      </c>
      <c r="M1049" t="str" cm="1">
        <f t="array" ref="M1049">_xlfn.IFS(B1049&lt;18,"Under 18",B1049 &lt;=25,"18-25",B1049&lt;=35,"26-35",B1049&lt;=45,"36-45",B1049&lt;=60,"46-60",TRUE,"60+")</f>
        <v>46-60</v>
      </c>
      <c r="N1049" t="str">
        <f t="shared" si="49"/>
        <v>Discounted</v>
      </c>
      <c r="O1049" t="str">
        <f t="shared" si="50"/>
        <v>Returning</v>
      </c>
    </row>
    <row r="1050" spans="1:15" x14ac:dyDescent="0.25">
      <c r="A1050">
        <v>1049</v>
      </c>
      <c r="B1050">
        <v>40</v>
      </c>
      <c r="C1050" t="s">
        <v>11</v>
      </c>
      <c r="D1050" t="s">
        <v>41</v>
      </c>
      <c r="E1050" t="s">
        <v>46</v>
      </c>
      <c r="F1050" s="1">
        <v>75.56</v>
      </c>
      <c r="G1050" t="s">
        <v>24</v>
      </c>
      <c r="H1050" t="s">
        <v>37</v>
      </c>
      <c r="I1050" s="2">
        <v>4.0999999999999996</v>
      </c>
      <c r="J1050" s="4">
        <v>10</v>
      </c>
      <c r="K1050" s="3">
        <v>5</v>
      </c>
      <c r="L1050" s="1">
        <f t="shared" si="48"/>
        <v>68.004000000000005</v>
      </c>
      <c r="M1050" t="str" cm="1">
        <f t="array" ref="M1050">_xlfn.IFS(B1050&lt;18,"Under 18",B1050 &lt;=25,"18-25",B1050&lt;=35,"26-35",B1050&lt;=45,"36-45",B1050&lt;=60,"46-60",TRUE,"60+")</f>
        <v>36-45</v>
      </c>
      <c r="N1050" t="str">
        <f t="shared" si="49"/>
        <v>Discounted</v>
      </c>
      <c r="O1050" t="str">
        <f t="shared" si="50"/>
        <v>Returning</v>
      </c>
    </row>
    <row r="1051" spans="1:15" x14ac:dyDescent="0.25">
      <c r="A1051">
        <v>1050</v>
      </c>
      <c r="B1051">
        <v>34</v>
      </c>
      <c r="C1051" t="s">
        <v>11</v>
      </c>
      <c r="D1051" t="s">
        <v>12</v>
      </c>
      <c r="E1051" t="s">
        <v>13</v>
      </c>
      <c r="F1051" s="1">
        <v>50.23</v>
      </c>
      <c r="G1051" t="s">
        <v>19</v>
      </c>
      <c r="H1051" t="s">
        <v>37</v>
      </c>
      <c r="I1051" s="2">
        <v>2.2000000000000002</v>
      </c>
      <c r="J1051" s="4">
        <v>6</v>
      </c>
      <c r="K1051" s="3">
        <v>3</v>
      </c>
      <c r="L1051" s="1">
        <f t="shared" si="48"/>
        <v>47.216199999999994</v>
      </c>
      <c r="M1051" t="str" cm="1">
        <f t="array" ref="M1051">_xlfn.IFS(B1051&lt;18,"Under 18",B1051 &lt;=25,"18-25",B1051&lt;=35,"26-35",B1051&lt;=45,"36-45",B1051&lt;=60,"46-60",TRUE,"60+")</f>
        <v>26-35</v>
      </c>
      <c r="N1051" t="str">
        <f t="shared" si="49"/>
        <v>Discounted</v>
      </c>
      <c r="O1051" t="str">
        <f t="shared" si="50"/>
        <v>Returning</v>
      </c>
    </row>
    <row r="1052" spans="1:15" x14ac:dyDescent="0.25">
      <c r="A1052">
        <v>1051</v>
      </c>
      <c r="B1052">
        <v>45</v>
      </c>
      <c r="C1052" t="s">
        <v>11</v>
      </c>
      <c r="D1052" t="s">
        <v>12</v>
      </c>
      <c r="E1052" t="s">
        <v>13</v>
      </c>
      <c r="F1052" s="1">
        <v>56.28</v>
      </c>
      <c r="G1052" t="s">
        <v>31</v>
      </c>
      <c r="H1052" t="s">
        <v>37</v>
      </c>
      <c r="I1052" s="2">
        <v>4.5</v>
      </c>
      <c r="J1052" s="4">
        <v>18</v>
      </c>
      <c r="K1052" s="3">
        <v>4</v>
      </c>
      <c r="L1052" s="1">
        <f t="shared" si="48"/>
        <v>46.149600000000007</v>
      </c>
      <c r="M1052" t="str" cm="1">
        <f t="array" ref="M1052">_xlfn.IFS(B1052&lt;18,"Under 18",B1052 &lt;=25,"18-25",B1052&lt;=35,"26-35",B1052&lt;=45,"36-45",B1052&lt;=60,"46-60",TRUE,"60+")</f>
        <v>36-45</v>
      </c>
      <c r="N1052" t="str">
        <f t="shared" si="49"/>
        <v>Discounted</v>
      </c>
      <c r="O1052" t="str">
        <f t="shared" si="50"/>
        <v>Returning</v>
      </c>
    </row>
    <row r="1053" spans="1:15" x14ac:dyDescent="0.25">
      <c r="A1053">
        <v>1052</v>
      </c>
      <c r="B1053">
        <v>31</v>
      </c>
      <c r="C1053" t="s">
        <v>16</v>
      </c>
      <c r="D1053" t="s">
        <v>22</v>
      </c>
      <c r="E1053" t="s">
        <v>23</v>
      </c>
      <c r="F1053" s="1">
        <v>211.48</v>
      </c>
      <c r="G1053" t="s">
        <v>19</v>
      </c>
      <c r="H1053" t="s">
        <v>15</v>
      </c>
      <c r="I1053" s="2">
        <v>2.8</v>
      </c>
      <c r="J1053" s="4">
        <v>9</v>
      </c>
      <c r="K1053" s="3">
        <v>2</v>
      </c>
      <c r="L1053" s="1">
        <f t="shared" si="48"/>
        <v>192.4468</v>
      </c>
      <c r="M1053" t="str" cm="1">
        <f t="array" ref="M1053">_xlfn.IFS(B1053&lt;18,"Under 18",B1053 &lt;=25,"18-25",B1053&lt;=35,"26-35",B1053&lt;=45,"36-45",B1053&lt;=60,"46-60",TRUE,"60+")</f>
        <v>26-35</v>
      </c>
      <c r="N1053" t="str">
        <f t="shared" si="49"/>
        <v>Discounted</v>
      </c>
      <c r="O1053" t="str">
        <f t="shared" si="50"/>
        <v>Returning</v>
      </c>
    </row>
    <row r="1054" spans="1:15" x14ac:dyDescent="0.25">
      <c r="A1054">
        <v>1053</v>
      </c>
      <c r="B1054">
        <v>37</v>
      </c>
      <c r="C1054" t="s">
        <v>11</v>
      </c>
      <c r="D1054" t="s">
        <v>22</v>
      </c>
      <c r="E1054" t="s">
        <v>43</v>
      </c>
      <c r="F1054" s="1">
        <v>75.819999999999993</v>
      </c>
      <c r="G1054" t="s">
        <v>24</v>
      </c>
      <c r="H1054" t="s">
        <v>15</v>
      </c>
      <c r="I1054" s="2">
        <v>4.3</v>
      </c>
      <c r="J1054" s="4">
        <v>12</v>
      </c>
      <c r="K1054" s="3">
        <v>1</v>
      </c>
      <c r="L1054" s="1">
        <f t="shared" si="48"/>
        <v>66.721599999999995</v>
      </c>
      <c r="M1054" t="str" cm="1">
        <f t="array" ref="M1054">_xlfn.IFS(B1054&lt;18,"Under 18",B1054 &lt;=25,"18-25",B1054&lt;=35,"26-35",B1054&lt;=45,"36-45",B1054&lt;=60,"46-60",TRUE,"60+")</f>
        <v>36-45</v>
      </c>
      <c r="N1054" t="str">
        <f t="shared" si="49"/>
        <v>Discounted</v>
      </c>
      <c r="O1054" t="str">
        <f t="shared" si="50"/>
        <v>Returning</v>
      </c>
    </row>
    <row r="1055" spans="1:15" x14ac:dyDescent="0.25">
      <c r="A1055">
        <v>1054</v>
      </c>
      <c r="B1055">
        <v>60</v>
      </c>
      <c r="C1055" t="s">
        <v>11</v>
      </c>
      <c r="D1055" t="s">
        <v>12</v>
      </c>
      <c r="E1055" t="s">
        <v>50</v>
      </c>
      <c r="F1055" s="1">
        <v>58.95</v>
      </c>
      <c r="G1055" t="s">
        <v>24</v>
      </c>
      <c r="H1055" t="s">
        <v>37</v>
      </c>
      <c r="I1055" s="2">
        <v>3.5</v>
      </c>
      <c r="J1055" s="4">
        <v>6</v>
      </c>
      <c r="K1055" s="3">
        <v>3</v>
      </c>
      <c r="L1055" s="1">
        <f t="shared" si="48"/>
        <v>55.412999999999997</v>
      </c>
      <c r="M1055" t="str" cm="1">
        <f t="array" ref="M1055">_xlfn.IFS(B1055&lt;18,"Under 18",B1055 &lt;=25,"18-25",B1055&lt;=35,"26-35",B1055&lt;=45,"36-45",B1055&lt;=60,"46-60",TRUE,"60+")</f>
        <v>46-60</v>
      </c>
      <c r="N1055" t="str">
        <f t="shared" si="49"/>
        <v>Discounted</v>
      </c>
      <c r="O1055" t="str">
        <f t="shared" si="50"/>
        <v>Returning</v>
      </c>
    </row>
    <row r="1056" spans="1:15" x14ac:dyDescent="0.25">
      <c r="A1056">
        <v>1055</v>
      </c>
      <c r="B1056">
        <v>38</v>
      </c>
      <c r="C1056" t="s">
        <v>16</v>
      </c>
      <c r="D1056" t="s">
        <v>27</v>
      </c>
      <c r="E1056" t="s">
        <v>53</v>
      </c>
      <c r="F1056" s="1">
        <v>1948.69</v>
      </c>
      <c r="G1056" t="s">
        <v>31</v>
      </c>
      <c r="H1056" t="s">
        <v>15</v>
      </c>
      <c r="I1056" s="2">
        <v>2.9</v>
      </c>
      <c r="J1056" s="4">
        <v>16</v>
      </c>
      <c r="K1056" s="3">
        <v>8</v>
      </c>
      <c r="L1056" s="1">
        <f t="shared" si="48"/>
        <v>1636.8996</v>
      </c>
      <c r="M1056" t="str" cm="1">
        <f t="array" ref="M1056">_xlfn.IFS(B1056&lt;18,"Under 18",B1056 &lt;=25,"18-25",B1056&lt;=35,"26-35",B1056&lt;=45,"36-45",B1056&lt;=60,"46-60",TRUE,"60+")</f>
        <v>36-45</v>
      </c>
      <c r="N1056" t="str">
        <f t="shared" si="49"/>
        <v>Discounted</v>
      </c>
      <c r="O1056" t="str">
        <f t="shared" si="50"/>
        <v>Returning</v>
      </c>
    </row>
    <row r="1057" spans="1:15" x14ac:dyDescent="0.25">
      <c r="A1057">
        <v>1056</v>
      </c>
      <c r="B1057">
        <v>60</v>
      </c>
      <c r="C1057" t="s">
        <v>16</v>
      </c>
      <c r="D1057" t="s">
        <v>20</v>
      </c>
      <c r="E1057" t="s">
        <v>36</v>
      </c>
      <c r="F1057" s="1">
        <v>221.58</v>
      </c>
      <c r="G1057" t="s">
        <v>31</v>
      </c>
      <c r="H1057" t="s">
        <v>15</v>
      </c>
      <c r="I1057" s="2">
        <v>3.2</v>
      </c>
      <c r="J1057" s="4">
        <v>10</v>
      </c>
      <c r="K1057" s="3">
        <v>5</v>
      </c>
      <c r="L1057" s="1">
        <f t="shared" si="48"/>
        <v>199.42200000000003</v>
      </c>
      <c r="M1057" t="str" cm="1">
        <f t="array" ref="M1057">_xlfn.IFS(B1057&lt;18,"Under 18",B1057 &lt;=25,"18-25",B1057&lt;=35,"26-35",B1057&lt;=45,"36-45",B1057&lt;=60,"46-60",TRUE,"60+")</f>
        <v>46-60</v>
      </c>
      <c r="N1057" t="str">
        <f t="shared" si="49"/>
        <v>Discounted</v>
      </c>
      <c r="O1057" t="str">
        <f t="shared" si="50"/>
        <v>Returning</v>
      </c>
    </row>
    <row r="1058" spans="1:15" x14ac:dyDescent="0.25">
      <c r="A1058">
        <v>1057</v>
      </c>
      <c r="B1058">
        <v>40</v>
      </c>
      <c r="C1058" t="s">
        <v>16</v>
      </c>
      <c r="D1058" t="s">
        <v>20</v>
      </c>
      <c r="E1058" t="s">
        <v>21</v>
      </c>
      <c r="F1058" s="1">
        <v>194.16</v>
      </c>
      <c r="G1058" t="s">
        <v>24</v>
      </c>
      <c r="H1058" t="s">
        <v>15</v>
      </c>
      <c r="I1058" s="2">
        <v>3.9</v>
      </c>
      <c r="J1058" s="4">
        <v>21</v>
      </c>
      <c r="K1058" s="3">
        <v>8</v>
      </c>
      <c r="L1058" s="1">
        <f t="shared" si="48"/>
        <v>153.38640000000001</v>
      </c>
      <c r="M1058" t="str" cm="1">
        <f t="array" ref="M1058">_xlfn.IFS(B1058&lt;18,"Under 18",B1058 &lt;=25,"18-25",B1058&lt;=35,"26-35",B1058&lt;=45,"36-45",B1058&lt;=60,"46-60",TRUE,"60+")</f>
        <v>36-45</v>
      </c>
      <c r="N1058" t="str">
        <f t="shared" si="49"/>
        <v>Discounted</v>
      </c>
      <c r="O1058" t="str">
        <f t="shared" si="50"/>
        <v>Returning</v>
      </c>
    </row>
    <row r="1059" spans="1:15" x14ac:dyDescent="0.25">
      <c r="A1059">
        <v>1058</v>
      </c>
      <c r="B1059">
        <v>33</v>
      </c>
      <c r="C1059" t="s">
        <v>11</v>
      </c>
      <c r="D1059" t="s">
        <v>33</v>
      </c>
      <c r="E1059" t="s">
        <v>40</v>
      </c>
      <c r="F1059" s="1">
        <v>40.299999999999997</v>
      </c>
      <c r="G1059" t="s">
        <v>24</v>
      </c>
      <c r="H1059" t="s">
        <v>15</v>
      </c>
      <c r="I1059" s="2">
        <v>2.5</v>
      </c>
      <c r="J1059" s="4">
        <v>22</v>
      </c>
      <c r="K1059" s="3">
        <v>6</v>
      </c>
      <c r="L1059" s="1">
        <f t="shared" si="48"/>
        <v>31.433999999999997</v>
      </c>
      <c r="M1059" t="str" cm="1">
        <f t="array" ref="M1059">_xlfn.IFS(B1059&lt;18,"Under 18",B1059 &lt;=25,"18-25",B1059&lt;=35,"26-35",B1059&lt;=45,"36-45",B1059&lt;=60,"46-60",TRUE,"60+")</f>
        <v>26-35</v>
      </c>
      <c r="N1059" t="str">
        <f t="shared" si="49"/>
        <v>Discounted</v>
      </c>
      <c r="O1059" t="str">
        <f t="shared" si="50"/>
        <v>Returning</v>
      </c>
    </row>
    <row r="1060" spans="1:15" x14ac:dyDescent="0.25">
      <c r="A1060">
        <v>1059</v>
      </c>
      <c r="B1060">
        <v>64</v>
      </c>
      <c r="C1060" t="s">
        <v>11</v>
      </c>
      <c r="D1060" t="s">
        <v>41</v>
      </c>
      <c r="E1060" t="s">
        <v>45</v>
      </c>
      <c r="F1060" s="1">
        <v>178.98</v>
      </c>
      <c r="G1060" t="s">
        <v>14</v>
      </c>
      <c r="H1060" t="s">
        <v>15</v>
      </c>
      <c r="I1060" s="2">
        <v>3.2</v>
      </c>
      <c r="J1060" s="4">
        <v>20</v>
      </c>
      <c r="K1060" s="3">
        <v>5</v>
      </c>
      <c r="L1060" s="1">
        <f t="shared" si="48"/>
        <v>143.184</v>
      </c>
      <c r="M1060" t="str" cm="1">
        <f t="array" ref="M1060">_xlfn.IFS(B1060&lt;18,"Under 18",B1060 &lt;=25,"18-25",B1060&lt;=35,"26-35",B1060&lt;=45,"36-45",B1060&lt;=60,"46-60",TRUE,"60+")</f>
        <v>60+</v>
      </c>
      <c r="N1060" t="str">
        <f t="shared" si="49"/>
        <v>Discounted</v>
      </c>
      <c r="O1060" t="str">
        <f t="shared" si="50"/>
        <v>Returning</v>
      </c>
    </row>
    <row r="1061" spans="1:15" x14ac:dyDescent="0.25">
      <c r="A1061">
        <v>1060</v>
      </c>
      <c r="B1061">
        <v>64</v>
      </c>
      <c r="C1061" t="s">
        <v>11</v>
      </c>
      <c r="D1061" t="s">
        <v>41</v>
      </c>
      <c r="E1061" t="s">
        <v>45</v>
      </c>
      <c r="F1061" s="1">
        <v>190.01</v>
      </c>
      <c r="G1061" t="s">
        <v>19</v>
      </c>
      <c r="H1061" t="s">
        <v>15</v>
      </c>
      <c r="I1061" s="2">
        <v>4.0999999999999996</v>
      </c>
      <c r="J1061" s="4">
        <v>18</v>
      </c>
      <c r="K1061" s="3">
        <v>9</v>
      </c>
      <c r="L1061" s="1">
        <f t="shared" si="48"/>
        <v>155.8082</v>
      </c>
      <c r="M1061" t="str" cm="1">
        <f t="array" ref="M1061">_xlfn.IFS(B1061&lt;18,"Under 18",B1061 &lt;=25,"18-25",B1061&lt;=35,"26-35",B1061&lt;=45,"36-45",B1061&lt;=60,"46-60",TRUE,"60+")</f>
        <v>60+</v>
      </c>
      <c r="N1061" t="str">
        <f t="shared" si="49"/>
        <v>Discounted</v>
      </c>
      <c r="O1061" t="str">
        <f t="shared" si="50"/>
        <v>Returning</v>
      </c>
    </row>
    <row r="1062" spans="1:15" x14ac:dyDescent="0.25">
      <c r="A1062">
        <v>1061</v>
      </c>
      <c r="B1062">
        <v>66</v>
      </c>
      <c r="C1062" t="s">
        <v>11</v>
      </c>
      <c r="D1062" t="s">
        <v>41</v>
      </c>
      <c r="E1062" t="s">
        <v>44</v>
      </c>
      <c r="F1062" s="1">
        <v>114.31</v>
      </c>
      <c r="G1062" t="s">
        <v>14</v>
      </c>
      <c r="H1062" t="s">
        <v>15</v>
      </c>
      <c r="I1062" s="2">
        <v>5</v>
      </c>
      <c r="J1062" s="4">
        <v>8</v>
      </c>
      <c r="K1062" s="3">
        <v>4</v>
      </c>
      <c r="L1062" s="1">
        <f t="shared" si="48"/>
        <v>105.16520000000001</v>
      </c>
      <c r="M1062" t="str" cm="1">
        <f t="array" ref="M1062">_xlfn.IFS(B1062&lt;18,"Under 18",B1062 &lt;=25,"18-25",B1062&lt;=35,"26-35",B1062&lt;=45,"36-45",B1062&lt;=60,"46-60",TRUE,"60+")</f>
        <v>60+</v>
      </c>
      <c r="N1062" t="str">
        <f t="shared" si="49"/>
        <v>Discounted</v>
      </c>
      <c r="O1062" t="str">
        <f t="shared" si="50"/>
        <v>Returning</v>
      </c>
    </row>
    <row r="1063" spans="1:15" x14ac:dyDescent="0.25">
      <c r="A1063">
        <v>1062</v>
      </c>
      <c r="B1063">
        <v>21</v>
      </c>
      <c r="C1063" t="s">
        <v>16</v>
      </c>
      <c r="D1063" t="s">
        <v>17</v>
      </c>
      <c r="E1063" t="s">
        <v>18</v>
      </c>
      <c r="F1063" s="1">
        <v>114.03</v>
      </c>
      <c r="G1063" t="s">
        <v>14</v>
      </c>
      <c r="H1063" t="s">
        <v>15</v>
      </c>
      <c r="I1063" s="2">
        <v>2.6</v>
      </c>
      <c r="J1063" s="4">
        <v>12</v>
      </c>
      <c r="K1063" s="3">
        <v>1</v>
      </c>
      <c r="L1063" s="1">
        <f t="shared" si="48"/>
        <v>100.3464</v>
      </c>
      <c r="M1063" t="str" cm="1">
        <f t="array" ref="M1063">_xlfn.IFS(B1063&lt;18,"Under 18",B1063 &lt;=25,"18-25",B1063&lt;=35,"26-35",B1063&lt;=45,"36-45",B1063&lt;=60,"46-60",TRUE,"60+")</f>
        <v>18-25</v>
      </c>
      <c r="N1063" t="str">
        <f t="shared" si="49"/>
        <v>Discounted</v>
      </c>
      <c r="O1063" t="str">
        <f t="shared" si="50"/>
        <v>Returning</v>
      </c>
    </row>
    <row r="1064" spans="1:15" x14ac:dyDescent="0.25">
      <c r="A1064">
        <v>1063</v>
      </c>
      <c r="B1064">
        <v>49</v>
      </c>
      <c r="C1064" t="s">
        <v>16</v>
      </c>
      <c r="D1064" t="s">
        <v>33</v>
      </c>
      <c r="E1064" t="s">
        <v>34</v>
      </c>
      <c r="F1064" s="1">
        <v>106.57</v>
      </c>
      <c r="G1064" t="s">
        <v>14</v>
      </c>
      <c r="H1064" t="s">
        <v>15</v>
      </c>
      <c r="I1064" s="2">
        <v>3.2</v>
      </c>
      <c r="J1064" s="4">
        <v>8</v>
      </c>
      <c r="K1064" s="3">
        <v>4</v>
      </c>
      <c r="L1064" s="1">
        <f t="shared" si="48"/>
        <v>98.044399999999996</v>
      </c>
      <c r="M1064" t="str" cm="1">
        <f t="array" ref="M1064">_xlfn.IFS(B1064&lt;18,"Under 18",B1064 &lt;=25,"18-25",B1064&lt;=35,"26-35",B1064&lt;=45,"36-45",B1064&lt;=60,"46-60",TRUE,"60+")</f>
        <v>46-60</v>
      </c>
      <c r="N1064" t="str">
        <f t="shared" si="49"/>
        <v>Discounted</v>
      </c>
      <c r="O1064" t="str">
        <f t="shared" si="50"/>
        <v>Returning</v>
      </c>
    </row>
    <row r="1065" spans="1:15" x14ac:dyDescent="0.25">
      <c r="A1065">
        <v>1064</v>
      </c>
      <c r="B1065">
        <v>40</v>
      </c>
      <c r="C1065" t="s">
        <v>11</v>
      </c>
      <c r="D1065" t="s">
        <v>29</v>
      </c>
      <c r="E1065" t="s">
        <v>51</v>
      </c>
      <c r="F1065" s="1">
        <v>44.46</v>
      </c>
      <c r="G1065" t="s">
        <v>31</v>
      </c>
      <c r="H1065" t="s">
        <v>15</v>
      </c>
      <c r="I1065" s="2">
        <v>3.5</v>
      </c>
      <c r="J1065" s="4">
        <v>22</v>
      </c>
      <c r="K1065" s="3">
        <v>6</v>
      </c>
      <c r="L1065" s="1">
        <f t="shared" si="48"/>
        <v>34.678800000000003</v>
      </c>
      <c r="M1065" t="str" cm="1">
        <f t="array" ref="M1065">_xlfn.IFS(B1065&lt;18,"Under 18",B1065 &lt;=25,"18-25",B1065&lt;=35,"26-35",B1065&lt;=45,"36-45",B1065&lt;=60,"46-60",TRUE,"60+")</f>
        <v>36-45</v>
      </c>
      <c r="N1065" t="str">
        <f t="shared" si="49"/>
        <v>Discounted</v>
      </c>
      <c r="O1065" t="str">
        <f t="shared" si="50"/>
        <v>Returning</v>
      </c>
    </row>
    <row r="1066" spans="1:15" x14ac:dyDescent="0.25">
      <c r="A1066">
        <v>1065</v>
      </c>
      <c r="B1066">
        <v>49</v>
      </c>
      <c r="C1066" t="s">
        <v>11</v>
      </c>
      <c r="D1066" t="s">
        <v>41</v>
      </c>
      <c r="E1066" t="s">
        <v>44</v>
      </c>
      <c r="F1066" s="1">
        <v>43.75</v>
      </c>
      <c r="G1066" t="s">
        <v>19</v>
      </c>
      <c r="H1066" t="s">
        <v>15</v>
      </c>
      <c r="I1066" s="2">
        <v>3.8</v>
      </c>
      <c r="J1066" s="4">
        <v>22</v>
      </c>
      <c r="K1066" s="3">
        <v>6</v>
      </c>
      <c r="L1066" s="1">
        <f t="shared" si="48"/>
        <v>34.125</v>
      </c>
      <c r="M1066" t="str" cm="1">
        <f t="array" ref="M1066">_xlfn.IFS(B1066&lt;18,"Under 18",B1066 &lt;=25,"18-25",B1066&lt;=35,"26-35",B1066&lt;=45,"36-45",B1066&lt;=60,"46-60",TRUE,"60+")</f>
        <v>46-60</v>
      </c>
      <c r="N1066" t="str">
        <f t="shared" si="49"/>
        <v>Discounted</v>
      </c>
      <c r="O1066" t="str">
        <f t="shared" si="50"/>
        <v>Returning</v>
      </c>
    </row>
    <row r="1067" spans="1:15" x14ac:dyDescent="0.25">
      <c r="A1067">
        <v>1066</v>
      </c>
      <c r="B1067">
        <v>20</v>
      </c>
      <c r="C1067" t="s">
        <v>16</v>
      </c>
      <c r="D1067" t="s">
        <v>20</v>
      </c>
      <c r="E1067" t="s">
        <v>36</v>
      </c>
      <c r="F1067" s="1">
        <v>98.82</v>
      </c>
      <c r="G1067" t="s">
        <v>24</v>
      </c>
      <c r="H1067" t="s">
        <v>15</v>
      </c>
      <c r="I1067" s="2">
        <v>3.5</v>
      </c>
      <c r="J1067" s="4">
        <v>16</v>
      </c>
      <c r="K1067" s="3">
        <v>3</v>
      </c>
      <c r="L1067" s="1">
        <f t="shared" si="48"/>
        <v>83.008799999999994</v>
      </c>
      <c r="M1067" t="str" cm="1">
        <f t="array" ref="M1067">_xlfn.IFS(B1067&lt;18,"Under 18",B1067 &lt;=25,"18-25",B1067&lt;=35,"26-35",B1067&lt;=45,"36-45",B1067&lt;=60,"46-60",TRUE,"60+")</f>
        <v>18-25</v>
      </c>
      <c r="N1067" t="str">
        <f t="shared" si="49"/>
        <v>Discounted</v>
      </c>
      <c r="O1067" t="str">
        <f t="shared" si="50"/>
        <v>Returning</v>
      </c>
    </row>
    <row r="1068" spans="1:15" x14ac:dyDescent="0.25">
      <c r="A1068">
        <v>1067</v>
      </c>
      <c r="B1068">
        <v>53</v>
      </c>
      <c r="C1068" t="s">
        <v>16</v>
      </c>
      <c r="D1068" t="s">
        <v>17</v>
      </c>
      <c r="E1068" t="s">
        <v>42</v>
      </c>
      <c r="F1068" s="1">
        <v>176.35</v>
      </c>
      <c r="G1068" t="s">
        <v>14</v>
      </c>
      <c r="H1068" t="s">
        <v>15</v>
      </c>
      <c r="I1068" s="2">
        <v>4</v>
      </c>
      <c r="J1068" s="4">
        <v>6</v>
      </c>
      <c r="K1068" s="3">
        <v>3</v>
      </c>
      <c r="L1068" s="1">
        <f t="shared" si="48"/>
        <v>165.76899999999998</v>
      </c>
      <c r="M1068" t="str" cm="1">
        <f t="array" ref="M1068">_xlfn.IFS(B1068&lt;18,"Under 18",B1068 &lt;=25,"18-25",B1068&lt;=35,"26-35",B1068&lt;=45,"36-45",B1068&lt;=60,"46-60",TRUE,"60+")</f>
        <v>46-60</v>
      </c>
      <c r="N1068" t="str">
        <f t="shared" si="49"/>
        <v>Discounted</v>
      </c>
      <c r="O1068" t="str">
        <f t="shared" si="50"/>
        <v>Returning</v>
      </c>
    </row>
    <row r="1069" spans="1:15" x14ac:dyDescent="0.25">
      <c r="A1069">
        <v>1068</v>
      </c>
      <c r="B1069">
        <v>20</v>
      </c>
      <c r="C1069" t="s">
        <v>16</v>
      </c>
      <c r="D1069" t="s">
        <v>27</v>
      </c>
      <c r="E1069" t="s">
        <v>49</v>
      </c>
      <c r="F1069" s="1">
        <v>768.38</v>
      </c>
      <c r="G1069" t="s">
        <v>14</v>
      </c>
      <c r="H1069" t="s">
        <v>15</v>
      </c>
      <c r="I1069" s="2">
        <v>4.3</v>
      </c>
      <c r="J1069" s="4">
        <v>15</v>
      </c>
      <c r="K1069" s="3">
        <v>5</v>
      </c>
      <c r="L1069" s="1">
        <f t="shared" si="48"/>
        <v>653.12299999999993</v>
      </c>
      <c r="M1069" t="str" cm="1">
        <f t="array" ref="M1069">_xlfn.IFS(B1069&lt;18,"Under 18",B1069 &lt;=25,"18-25",B1069&lt;=35,"26-35",B1069&lt;=45,"36-45",B1069&lt;=60,"46-60",TRUE,"60+")</f>
        <v>18-25</v>
      </c>
      <c r="N1069" t="str">
        <f t="shared" si="49"/>
        <v>Discounted</v>
      </c>
      <c r="O1069" t="str">
        <f t="shared" si="50"/>
        <v>Returning</v>
      </c>
    </row>
    <row r="1070" spans="1:15" x14ac:dyDescent="0.25">
      <c r="A1070">
        <v>1069</v>
      </c>
      <c r="B1070">
        <v>58</v>
      </c>
      <c r="C1070" t="s">
        <v>16</v>
      </c>
      <c r="D1070" t="s">
        <v>27</v>
      </c>
      <c r="E1070" t="s">
        <v>49</v>
      </c>
      <c r="F1070" s="1">
        <v>2823.73</v>
      </c>
      <c r="G1070" t="s">
        <v>19</v>
      </c>
      <c r="H1070" t="s">
        <v>15</v>
      </c>
      <c r="I1070" s="2">
        <v>4.5</v>
      </c>
      <c r="J1070" s="4">
        <v>20</v>
      </c>
      <c r="K1070" s="3">
        <v>5</v>
      </c>
      <c r="L1070" s="1">
        <f t="shared" si="48"/>
        <v>2258.9839999999999</v>
      </c>
      <c r="M1070" t="str" cm="1">
        <f t="array" ref="M1070">_xlfn.IFS(B1070&lt;18,"Under 18",B1070 &lt;=25,"18-25",B1070&lt;=35,"26-35",B1070&lt;=45,"36-45",B1070&lt;=60,"46-60",TRUE,"60+")</f>
        <v>46-60</v>
      </c>
      <c r="N1070" t="str">
        <f t="shared" si="49"/>
        <v>Discounted</v>
      </c>
      <c r="O1070" t="str">
        <f t="shared" si="50"/>
        <v>Returning</v>
      </c>
    </row>
    <row r="1071" spans="1:15" x14ac:dyDescent="0.25">
      <c r="A1071">
        <v>1070</v>
      </c>
      <c r="B1071">
        <v>53</v>
      </c>
      <c r="C1071" t="s">
        <v>16</v>
      </c>
      <c r="D1071" t="s">
        <v>20</v>
      </c>
      <c r="E1071" t="s">
        <v>36</v>
      </c>
      <c r="F1071" s="1">
        <v>33.24</v>
      </c>
      <c r="G1071" t="s">
        <v>14</v>
      </c>
      <c r="H1071" t="s">
        <v>37</v>
      </c>
      <c r="I1071" s="2">
        <v>4.0999999999999996</v>
      </c>
      <c r="J1071" s="4">
        <v>22</v>
      </c>
      <c r="K1071" s="3">
        <v>6</v>
      </c>
      <c r="L1071" s="1">
        <f t="shared" si="48"/>
        <v>25.927200000000003</v>
      </c>
      <c r="M1071" t="str" cm="1">
        <f t="array" ref="M1071">_xlfn.IFS(B1071&lt;18,"Under 18",B1071 &lt;=25,"18-25",B1071&lt;=35,"26-35",B1071&lt;=45,"36-45",B1071&lt;=60,"46-60",TRUE,"60+")</f>
        <v>46-60</v>
      </c>
      <c r="N1071" t="str">
        <f t="shared" si="49"/>
        <v>Discounted</v>
      </c>
      <c r="O1071" t="str">
        <f t="shared" si="50"/>
        <v>Returning</v>
      </c>
    </row>
    <row r="1072" spans="1:15" x14ac:dyDescent="0.25">
      <c r="A1072">
        <v>1071</v>
      </c>
      <c r="B1072">
        <v>38</v>
      </c>
      <c r="C1072" t="s">
        <v>11</v>
      </c>
      <c r="D1072" t="s">
        <v>12</v>
      </c>
      <c r="E1072" t="s">
        <v>56</v>
      </c>
      <c r="F1072" s="1">
        <v>150.79</v>
      </c>
      <c r="G1072" t="s">
        <v>14</v>
      </c>
      <c r="H1072" t="s">
        <v>15</v>
      </c>
      <c r="I1072" s="2">
        <v>2.7</v>
      </c>
      <c r="J1072" s="4">
        <v>10</v>
      </c>
      <c r="K1072" s="3">
        <v>5</v>
      </c>
      <c r="L1072" s="1">
        <f t="shared" si="48"/>
        <v>135.71099999999998</v>
      </c>
      <c r="M1072" t="str" cm="1">
        <f t="array" ref="M1072">_xlfn.IFS(B1072&lt;18,"Under 18",B1072 &lt;=25,"18-25",B1072&lt;=35,"26-35",B1072&lt;=45,"36-45",B1072&lt;=60,"46-60",TRUE,"60+")</f>
        <v>36-45</v>
      </c>
      <c r="N1072" t="str">
        <f t="shared" si="49"/>
        <v>Discounted</v>
      </c>
      <c r="O1072" t="str">
        <f t="shared" si="50"/>
        <v>Returning</v>
      </c>
    </row>
    <row r="1073" spans="1:15" x14ac:dyDescent="0.25">
      <c r="A1073">
        <v>1072</v>
      </c>
      <c r="B1073">
        <v>65</v>
      </c>
      <c r="C1073" t="s">
        <v>16</v>
      </c>
      <c r="D1073" t="s">
        <v>20</v>
      </c>
      <c r="E1073" t="s">
        <v>36</v>
      </c>
      <c r="F1073" s="1">
        <v>208.78</v>
      </c>
      <c r="G1073" t="s">
        <v>14</v>
      </c>
      <c r="H1073" t="s">
        <v>15</v>
      </c>
      <c r="I1073" s="2">
        <v>4.3</v>
      </c>
      <c r="J1073" s="4">
        <v>20</v>
      </c>
      <c r="K1073" s="3">
        <v>5</v>
      </c>
      <c r="L1073" s="1">
        <f t="shared" si="48"/>
        <v>167.024</v>
      </c>
      <c r="M1073" t="str" cm="1">
        <f t="array" ref="M1073">_xlfn.IFS(B1073&lt;18,"Under 18",B1073 &lt;=25,"18-25",B1073&lt;=35,"26-35",B1073&lt;=45,"36-45",B1073&lt;=60,"46-60",TRUE,"60+")</f>
        <v>60+</v>
      </c>
      <c r="N1073" t="str">
        <f t="shared" si="49"/>
        <v>Discounted</v>
      </c>
      <c r="O1073" t="str">
        <f t="shared" si="50"/>
        <v>Returning</v>
      </c>
    </row>
    <row r="1074" spans="1:15" x14ac:dyDescent="0.25">
      <c r="A1074">
        <v>1073</v>
      </c>
      <c r="B1074">
        <v>22</v>
      </c>
      <c r="C1074" t="s">
        <v>11</v>
      </c>
      <c r="D1074" t="s">
        <v>12</v>
      </c>
      <c r="E1074" t="s">
        <v>13</v>
      </c>
      <c r="F1074" s="1">
        <v>80.5</v>
      </c>
      <c r="G1074" t="s">
        <v>31</v>
      </c>
      <c r="H1074" t="s">
        <v>15</v>
      </c>
      <c r="I1074" s="2">
        <v>4</v>
      </c>
      <c r="J1074" s="4">
        <v>16</v>
      </c>
      <c r="K1074" s="3">
        <v>3</v>
      </c>
      <c r="L1074" s="1">
        <f t="shared" si="48"/>
        <v>67.62</v>
      </c>
      <c r="M1074" t="str" cm="1">
        <f t="array" ref="M1074">_xlfn.IFS(B1074&lt;18,"Under 18",B1074 &lt;=25,"18-25",B1074&lt;=35,"26-35",B1074&lt;=45,"36-45",B1074&lt;=60,"46-60",TRUE,"60+")</f>
        <v>18-25</v>
      </c>
      <c r="N1074" t="str">
        <f t="shared" si="49"/>
        <v>Discounted</v>
      </c>
      <c r="O1074" t="str">
        <f t="shared" si="50"/>
        <v>Returning</v>
      </c>
    </row>
    <row r="1075" spans="1:15" x14ac:dyDescent="0.25">
      <c r="A1075">
        <v>1074</v>
      </c>
      <c r="B1075">
        <v>60</v>
      </c>
      <c r="C1075" t="s">
        <v>16</v>
      </c>
      <c r="D1075" t="s">
        <v>20</v>
      </c>
      <c r="E1075" t="s">
        <v>39</v>
      </c>
      <c r="F1075" s="1">
        <v>139.63999999999999</v>
      </c>
      <c r="G1075" t="s">
        <v>14</v>
      </c>
      <c r="H1075" t="s">
        <v>15</v>
      </c>
      <c r="I1075" s="2">
        <v>4</v>
      </c>
      <c r="J1075" s="4">
        <v>26</v>
      </c>
      <c r="K1075" s="3">
        <v>8</v>
      </c>
      <c r="L1075" s="1">
        <f t="shared" si="48"/>
        <v>103.33359999999999</v>
      </c>
      <c r="M1075" t="str" cm="1">
        <f t="array" ref="M1075">_xlfn.IFS(B1075&lt;18,"Under 18",B1075 &lt;=25,"18-25",B1075&lt;=35,"26-35",B1075&lt;=45,"36-45",B1075&lt;=60,"46-60",TRUE,"60+")</f>
        <v>46-60</v>
      </c>
      <c r="N1075" t="str">
        <f t="shared" si="49"/>
        <v>Discounted</v>
      </c>
      <c r="O1075" t="str">
        <f t="shared" si="50"/>
        <v>Returning</v>
      </c>
    </row>
    <row r="1076" spans="1:15" x14ac:dyDescent="0.25">
      <c r="A1076">
        <v>1075</v>
      </c>
      <c r="B1076">
        <v>32</v>
      </c>
      <c r="C1076" t="s">
        <v>11</v>
      </c>
      <c r="D1076" t="s">
        <v>29</v>
      </c>
      <c r="E1076" t="s">
        <v>55</v>
      </c>
      <c r="F1076" s="1">
        <v>105.08</v>
      </c>
      <c r="G1076" t="s">
        <v>19</v>
      </c>
      <c r="H1076" t="s">
        <v>15</v>
      </c>
      <c r="I1076" s="2">
        <v>3</v>
      </c>
      <c r="J1076" s="4">
        <v>13</v>
      </c>
      <c r="K1076" s="3">
        <v>4</v>
      </c>
      <c r="L1076" s="1">
        <f t="shared" si="48"/>
        <v>91.419600000000003</v>
      </c>
      <c r="M1076" t="str" cm="1">
        <f t="array" ref="M1076">_xlfn.IFS(B1076&lt;18,"Under 18",B1076 &lt;=25,"18-25",B1076&lt;=35,"26-35",B1076&lt;=45,"36-45",B1076&lt;=60,"46-60",TRUE,"60+")</f>
        <v>26-35</v>
      </c>
      <c r="N1076" t="str">
        <f t="shared" si="49"/>
        <v>Discounted</v>
      </c>
      <c r="O1076" t="str">
        <f t="shared" si="50"/>
        <v>Returning</v>
      </c>
    </row>
    <row r="1077" spans="1:15" x14ac:dyDescent="0.25">
      <c r="A1077">
        <v>1076</v>
      </c>
      <c r="B1077">
        <v>47</v>
      </c>
      <c r="C1077" t="s">
        <v>16</v>
      </c>
      <c r="D1077" t="s">
        <v>25</v>
      </c>
      <c r="E1077" t="s">
        <v>54</v>
      </c>
      <c r="F1077" s="1">
        <v>73.92</v>
      </c>
      <c r="G1077" t="s">
        <v>19</v>
      </c>
      <c r="H1077" t="s">
        <v>37</v>
      </c>
      <c r="I1077" s="2">
        <v>3.5</v>
      </c>
      <c r="J1077" s="4">
        <v>9</v>
      </c>
      <c r="K1077" s="3">
        <v>2</v>
      </c>
      <c r="L1077" s="1">
        <f t="shared" si="48"/>
        <v>67.267200000000003</v>
      </c>
      <c r="M1077" t="str" cm="1">
        <f t="array" ref="M1077">_xlfn.IFS(B1077&lt;18,"Under 18",B1077 &lt;=25,"18-25",B1077&lt;=35,"26-35",B1077&lt;=45,"36-45",B1077&lt;=60,"46-60",TRUE,"60+")</f>
        <v>46-60</v>
      </c>
      <c r="N1077" t="str">
        <f t="shared" si="49"/>
        <v>Discounted</v>
      </c>
      <c r="O1077" t="str">
        <f t="shared" si="50"/>
        <v>Returning</v>
      </c>
    </row>
    <row r="1078" spans="1:15" x14ac:dyDescent="0.25">
      <c r="A1078">
        <v>1077</v>
      </c>
      <c r="B1078">
        <v>48</v>
      </c>
      <c r="C1078" t="s">
        <v>16</v>
      </c>
      <c r="D1078" t="s">
        <v>27</v>
      </c>
      <c r="E1078" t="s">
        <v>32</v>
      </c>
      <c r="F1078" s="1">
        <v>2738.51</v>
      </c>
      <c r="G1078" t="s">
        <v>31</v>
      </c>
      <c r="H1078" t="s">
        <v>15</v>
      </c>
      <c r="I1078" s="2">
        <v>3.5</v>
      </c>
      <c r="J1078" s="4">
        <v>11</v>
      </c>
      <c r="K1078" s="3">
        <v>3</v>
      </c>
      <c r="L1078" s="1">
        <f t="shared" si="48"/>
        <v>2437.2739000000001</v>
      </c>
      <c r="M1078" t="str" cm="1">
        <f t="array" ref="M1078">_xlfn.IFS(B1078&lt;18,"Under 18",B1078 &lt;=25,"18-25",B1078&lt;=35,"26-35",B1078&lt;=45,"36-45",B1078&lt;=60,"46-60",TRUE,"60+")</f>
        <v>46-60</v>
      </c>
      <c r="N1078" t="str">
        <f t="shared" si="49"/>
        <v>Discounted</v>
      </c>
      <c r="O1078" t="str">
        <f t="shared" si="50"/>
        <v>Returning</v>
      </c>
    </row>
    <row r="1079" spans="1:15" x14ac:dyDescent="0.25">
      <c r="A1079">
        <v>1078</v>
      </c>
      <c r="B1079">
        <v>69</v>
      </c>
      <c r="C1079" t="s">
        <v>16</v>
      </c>
      <c r="D1079" t="s">
        <v>27</v>
      </c>
      <c r="E1079" t="s">
        <v>32</v>
      </c>
      <c r="F1079" s="1">
        <v>1627.36</v>
      </c>
      <c r="G1079" t="s">
        <v>19</v>
      </c>
      <c r="H1079" t="s">
        <v>15</v>
      </c>
      <c r="I1079" s="2">
        <v>3.5</v>
      </c>
      <c r="J1079" s="4">
        <v>18</v>
      </c>
      <c r="K1079" s="3">
        <v>4</v>
      </c>
      <c r="L1079" s="1">
        <f t="shared" si="48"/>
        <v>1334.4352000000001</v>
      </c>
      <c r="M1079" t="str" cm="1">
        <f t="array" ref="M1079">_xlfn.IFS(B1079&lt;18,"Under 18",B1079 &lt;=25,"18-25",B1079&lt;=35,"26-35",B1079&lt;=45,"36-45",B1079&lt;=60,"46-60",TRUE,"60+")</f>
        <v>60+</v>
      </c>
      <c r="N1079" t="str">
        <f t="shared" si="49"/>
        <v>Discounted</v>
      </c>
      <c r="O1079" t="str">
        <f t="shared" si="50"/>
        <v>Returning</v>
      </c>
    </row>
    <row r="1080" spans="1:15" x14ac:dyDescent="0.25">
      <c r="A1080">
        <v>1079</v>
      </c>
      <c r="B1080">
        <v>64</v>
      </c>
      <c r="C1080" t="s">
        <v>16</v>
      </c>
      <c r="D1080" t="s">
        <v>25</v>
      </c>
      <c r="E1080" t="s">
        <v>26</v>
      </c>
      <c r="F1080" s="1">
        <v>44.35</v>
      </c>
      <c r="G1080" t="s">
        <v>19</v>
      </c>
      <c r="H1080" t="s">
        <v>37</v>
      </c>
      <c r="I1080" s="2">
        <v>3.4</v>
      </c>
      <c r="J1080" s="4">
        <v>15</v>
      </c>
      <c r="K1080" s="3">
        <v>5</v>
      </c>
      <c r="L1080" s="1">
        <f t="shared" si="48"/>
        <v>37.697499999999998</v>
      </c>
      <c r="M1080" t="str" cm="1">
        <f t="array" ref="M1080">_xlfn.IFS(B1080&lt;18,"Under 18",B1080 &lt;=25,"18-25",B1080&lt;=35,"26-35",B1080&lt;=45,"36-45",B1080&lt;=60,"46-60",TRUE,"60+")</f>
        <v>60+</v>
      </c>
      <c r="N1080" t="str">
        <f t="shared" si="49"/>
        <v>Discounted</v>
      </c>
      <c r="O1080" t="str">
        <f t="shared" si="50"/>
        <v>Returning</v>
      </c>
    </row>
    <row r="1081" spans="1:15" x14ac:dyDescent="0.25">
      <c r="A1081">
        <v>1080</v>
      </c>
      <c r="B1081">
        <v>51</v>
      </c>
      <c r="C1081" t="s">
        <v>16</v>
      </c>
      <c r="D1081" t="s">
        <v>25</v>
      </c>
      <c r="E1081" t="s">
        <v>57</v>
      </c>
      <c r="F1081" s="1">
        <v>67.37</v>
      </c>
      <c r="G1081" t="s">
        <v>24</v>
      </c>
      <c r="H1081" t="s">
        <v>37</v>
      </c>
      <c r="I1081" s="2">
        <v>3.6</v>
      </c>
      <c r="J1081" s="4">
        <v>22</v>
      </c>
      <c r="K1081" s="3">
        <v>6</v>
      </c>
      <c r="L1081" s="1">
        <f t="shared" si="48"/>
        <v>52.548600000000008</v>
      </c>
      <c r="M1081" t="str" cm="1">
        <f t="array" ref="M1081">_xlfn.IFS(B1081&lt;18,"Under 18",B1081 &lt;=25,"18-25",B1081&lt;=35,"26-35",B1081&lt;=45,"36-45",B1081&lt;=60,"46-60",TRUE,"60+")</f>
        <v>46-60</v>
      </c>
      <c r="N1081" t="str">
        <f t="shared" si="49"/>
        <v>Discounted</v>
      </c>
      <c r="O1081" t="str">
        <f t="shared" si="50"/>
        <v>Returning</v>
      </c>
    </row>
    <row r="1082" spans="1:15" x14ac:dyDescent="0.25">
      <c r="A1082">
        <v>1081</v>
      </c>
      <c r="B1082">
        <v>55</v>
      </c>
      <c r="C1082" t="s">
        <v>11</v>
      </c>
      <c r="D1082" t="s">
        <v>29</v>
      </c>
      <c r="E1082" t="s">
        <v>30</v>
      </c>
      <c r="F1082" s="1">
        <v>51.63</v>
      </c>
      <c r="G1082" t="s">
        <v>14</v>
      </c>
      <c r="H1082" t="s">
        <v>15</v>
      </c>
      <c r="I1082" s="2">
        <v>4.5999999999999996</v>
      </c>
      <c r="J1082" s="4">
        <v>18</v>
      </c>
      <c r="K1082" s="3">
        <v>4</v>
      </c>
      <c r="L1082" s="1">
        <f t="shared" si="48"/>
        <v>42.336600000000004</v>
      </c>
      <c r="M1082" t="str" cm="1">
        <f t="array" ref="M1082">_xlfn.IFS(B1082&lt;18,"Under 18",B1082 &lt;=25,"18-25",B1082&lt;=35,"26-35",B1082&lt;=45,"36-45",B1082&lt;=60,"46-60",TRUE,"60+")</f>
        <v>46-60</v>
      </c>
      <c r="N1082" t="str">
        <f t="shared" si="49"/>
        <v>Discounted</v>
      </c>
      <c r="O1082" t="str">
        <f t="shared" si="50"/>
        <v>Returning</v>
      </c>
    </row>
    <row r="1083" spans="1:15" x14ac:dyDescent="0.25">
      <c r="A1083">
        <v>1082</v>
      </c>
      <c r="B1083">
        <v>62</v>
      </c>
      <c r="C1083" t="s">
        <v>16</v>
      </c>
      <c r="D1083" t="s">
        <v>20</v>
      </c>
      <c r="E1083" t="s">
        <v>21</v>
      </c>
      <c r="F1083" s="1">
        <v>202.1</v>
      </c>
      <c r="G1083" t="s">
        <v>31</v>
      </c>
      <c r="H1083" t="s">
        <v>15</v>
      </c>
      <c r="I1083" s="2">
        <v>2.2000000000000002</v>
      </c>
      <c r="J1083" s="4">
        <v>20</v>
      </c>
      <c r="K1083" s="3">
        <v>5</v>
      </c>
      <c r="L1083" s="1">
        <f t="shared" si="48"/>
        <v>161.68</v>
      </c>
      <c r="M1083" t="str" cm="1">
        <f t="array" ref="M1083">_xlfn.IFS(B1083&lt;18,"Under 18",B1083 &lt;=25,"18-25",B1083&lt;=35,"26-35",B1083&lt;=45,"36-45",B1083&lt;=60,"46-60",TRUE,"60+")</f>
        <v>60+</v>
      </c>
      <c r="N1083" t="str">
        <f t="shared" si="49"/>
        <v>Discounted</v>
      </c>
      <c r="O1083" t="str">
        <f t="shared" si="50"/>
        <v>Returning</v>
      </c>
    </row>
    <row r="1084" spans="1:15" x14ac:dyDescent="0.25">
      <c r="A1084">
        <v>1083</v>
      </c>
      <c r="B1084">
        <v>52</v>
      </c>
      <c r="C1084" t="s">
        <v>11</v>
      </c>
      <c r="D1084" t="s">
        <v>33</v>
      </c>
      <c r="E1084" t="s">
        <v>40</v>
      </c>
      <c r="F1084" s="1">
        <v>86.78</v>
      </c>
      <c r="G1084" t="s">
        <v>19</v>
      </c>
      <c r="H1084" t="s">
        <v>37</v>
      </c>
      <c r="I1084" s="2">
        <v>4</v>
      </c>
      <c r="J1084" s="4">
        <v>20</v>
      </c>
      <c r="K1084" s="3">
        <v>5</v>
      </c>
      <c r="L1084" s="1">
        <f t="shared" si="48"/>
        <v>69.424000000000007</v>
      </c>
      <c r="M1084" t="str" cm="1">
        <f t="array" ref="M1084">_xlfn.IFS(B1084&lt;18,"Under 18",B1084 &lt;=25,"18-25",B1084&lt;=35,"26-35",B1084&lt;=45,"36-45",B1084&lt;=60,"46-60",TRUE,"60+")</f>
        <v>46-60</v>
      </c>
      <c r="N1084" t="str">
        <f t="shared" si="49"/>
        <v>Discounted</v>
      </c>
      <c r="O1084" t="str">
        <f t="shared" si="50"/>
        <v>Returning</v>
      </c>
    </row>
    <row r="1085" spans="1:15" x14ac:dyDescent="0.25">
      <c r="A1085">
        <v>1084</v>
      </c>
      <c r="B1085">
        <v>41</v>
      </c>
      <c r="C1085" t="s">
        <v>16</v>
      </c>
      <c r="D1085" t="s">
        <v>33</v>
      </c>
      <c r="E1085" t="s">
        <v>34</v>
      </c>
      <c r="F1085" s="1">
        <v>82.05</v>
      </c>
      <c r="G1085" t="s">
        <v>31</v>
      </c>
      <c r="H1085" t="s">
        <v>15</v>
      </c>
      <c r="I1085" s="2">
        <v>4.0999999999999996</v>
      </c>
      <c r="J1085" s="4">
        <v>20</v>
      </c>
      <c r="K1085" s="3">
        <v>5</v>
      </c>
      <c r="L1085" s="1">
        <f t="shared" si="48"/>
        <v>65.64</v>
      </c>
      <c r="M1085" t="str" cm="1">
        <f t="array" ref="M1085">_xlfn.IFS(B1085&lt;18,"Under 18",B1085 &lt;=25,"18-25",B1085&lt;=35,"26-35",B1085&lt;=45,"36-45",B1085&lt;=60,"46-60",TRUE,"60+")</f>
        <v>36-45</v>
      </c>
      <c r="N1085" t="str">
        <f t="shared" si="49"/>
        <v>Discounted</v>
      </c>
      <c r="O1085" t="str">
        <f t="shared" si="50"/>
        <v>Returning</v>
      </c>
    </row>
    <row r="1086" spans="1:15" x14ac:dyDescent="0.25">
      <c r="A1086">
        <v>1085</v>
      </c>
      <c r="B1086">
        <v>27</v>
      </c>
      <c r="C1086" t="s">
        <v>11</v>
      </c>
      <c r="D1086" t="s">
        <v>29</v>
      </c>
      <c r="E1086" t="s">
        <v>30</v>
      </c>
      <c r="F1086" s="1">
        <v>24.02</v>
      </c>
      <c r="G1086" t="s">
        <v>24</v>
      </c>
      <c r="H1086" t="s">
        <v>37</v>
      </c>
      <c r="I1086" s="2">
        <v>4.3</v>
      </c>
      <c r="J1086" s="4">
        <v>14</v>
      </c>
      <c r="K1086" s="3">
        <v>2</v>
      </c>
      <c r="L1086" s="1">
        <f t="shared" si="48"/>
        <v>20.6572</v>
      </c>
      <c r="M1086" t="str" cm="1">
        <f t="array" ref="M1086">_xlfn.IFS(B1086&lt;18,"Under 18",B1086 &lt;=25,"18-25",B1086&lt;=35,"26-35",B1086&lt;=45,"36-45",B1086&lt;=60,"46-60",TRUE,"60+")</f>
        <v>26-35</v>
      </c>
      <c r="N1086" t="str">
        <f t="shared" si="49"/>
        <v>Discounted</v>
      </c>
      <c r="O1086" t="str">
        <f t="shared" si="50"/>
        <v>Returning</v>
      </c>
    </row>
    <row r="1087" spans="1:15" x14ac:dyDescent="0.25">
      <c r="A1087">
        <v>1086</v>
      </c>
      <c r="B1087">
        <v>29</v>
      </c>
      <c r="C1087" t="s">
        <v>11</v>
      </c>
      <c r="D1087" t="s">
        <v>41</v>
      </c>
      <c r="E1087" t="s">
        <v>45</v>
      </c>
      <c r="F1087" s="1">
        <v>45.21</v>
      </c>
      <c r="G1087" t="s">
        <v>19</v>
      </c>
      <c r="H1087" t="s">
        <v>15</v>
      </c>
      <c r="I1087" s="2">
        <v>3.9</v>
      </c>
      <c r="J1087" s="4">
        <v>25</v>
      </c>
      <c r="K1087" s="3">
        <v>10</v>
      </c>
      <c r="L1087" s="1">
        <f t="shared" si="48"/>
        <v>33.907499999999999</v>
      </c>
      <c r="M1087" t="str" cm="1">
        <f t="array" ref="M1087">_xlfn.IFS(B1087&lt;18,"Under 18",B1087 &lt;=25,"18-25",B1087&lt;=35,"26-35",B1087&lt;=45,"36-45",B1087&lt;=60,"46-60",TRUE,"60+")</f>
        <v>26-35</v>
      </c>
      <c r="N1087" t="str">
        <f t="shared" si="49"/>
        <v>Discounted</v>
      </c>
      <c r="O1087" t="str">
        <f t="shared" si="50"/>
        <v>Returning</v>
      </c>
    </row>
    <row r="1088" spans="1:15" x14ac:dyDescent="0.25">
      <c r="A1088">
        <v>1087</v>
      </c>
      <c r="B1088">
        <v>66</v>
      </c>
      <c r="C1088" t="s">
        <v>16</v>
      </c>
      <c r="D1088" t="s">
        <v>33</v>
      </c>
      <c r="E1088" t="s">
        <v>38</v>
      </c>
      <c r="F1088" s="1">
        <v>239.97</v>
      </c>
      <c r="G1088" t="s">
        <v>19</v>
      </c>
      <c r="H1088" t="s">
        <v>15</v>
      </c>
      <c r="I1088" s="2">
        <v>4.7</v>
      </c>
      <c r="J1088" s="4">
        <v>17</v>
      </c>
      <c r="K1088" s="3">
        <v>6</v>
      </c>
      <c r="L1088" s="1">
        <f t="shared" si="48"/>
        <v>199.17509999999999</v>
      </c>
      <c r="M1088" t="str" cm="1">
        <f t="array" ref="M1088">_xlfn.IFS(B1088&lt;18,"Under 18",B1088 &lt;=25,"18-25",B1088&lt;=35,"26-35",B1088&lt;=45,"36-45",B1088&lt;=60,"46-60",TRUE,"60+")</f>
        <v>60+</v>
      </c>
      <c r="N1088" t="str">
        <f t="shared" si="49"/>
        <v>Discounted</v>
      </c>
      <c r="O1088" t="str">
        <f t="shared" si="50"/>
        <v>Returning</v>
      </c>
    </row>
    <row r="1089" spans="1:15" x14ac:dyDescent="0.25">
      <c r="A1089">
        <v>1088</v>
      </c>
      <c r="B1089">
        <v>67</v>
      </c>
      <c r="C1089" t="s">
        <v>16</v>
      </c>
      <c r="D1089" t="s">
        <v>20</v>
      </c>
      <c r="E1089" t="s">
        <v>21</v>
      </c>
      <c r="F1089" s="1">
        <v>117.03</v>
      </c>
      <c r="G1089" t="s">
        <v>19</v>
      </c>
      <c r="H1089" t="s">
        <v>15</v>
      </c>
      <c r="I1089" s="2">
        <v>3.4</v>
      </c>
      <c r="J1089" s="4">
        <v>4</v>
      </c>
      <c r="K1089" s="3">
        <v>2</v>
      </c>
      <c r="L1089" s="1">
        <f t="shared" si="48"/>
        <v>112.3488</v>
      </c>
      <c r="M1089" t="str" cm="1">
        <f t="array" ref="M1089">_xlfn.IFS(B1089&lt;18,"Under 18",B1089 &lt;=25,"18-25",B1089&lt;=35,"26-35",B1089&lt;=45,"36-45",B1089&lt;=60,"46-60",TRUE,"60+")</f>
        <v>60+</v>
      </c>
      <c r="N1089" t="str">
        <f t="shared" si="49"/>
        <v>Discounted</v>
      </c>
      <c r="O1089" t="str">
        <f t="shared" si="50"/>
        <v>Returning</v>
      </c>
    </row>
    <row r="1090" spans="1:15" x14ac:dyDescent="0.25">
      <c r="A1090">
        <v>1089</v>
      </c>
      <c r="B1090">
        <v>44</v>
      </c>
      <c r="C1090" t="s">
        <v>11</v>
      </c>
      <c r="D1090" t="s">
        <v>22</v>
      </c>
      <c r="E1090" t="s">
        <v>52</v>
      </c>
      <c r="F1090" s="1">
        <v>121.22</v>
      </c>
      <c r="G1090" t="s">
        <v>24</v>
      </c>
      <c r="H1090" t="s">
        <v>15</v>
      </c>
      <c r="I1090" s="2">
        <v>4.7</v>
      </c>
      <c r="J1090" s="4">
        <v>6</v>
      </c>
      <c r="K1090" s="3">
        <v>3</v>
      </c>
      <c r="L1090" s="1">
        <f t="shared" si="48"/>
        <v>113.9468</v>
      </c>
      <c r="M1090" t="str" cm="1">
        <f t="array" ref="M1090">_xlfn.IFS(B1090&lt;18,"Under 18",B1090 &lt;=25,"18-25",B1090&lt;=35,"26-35",B1090&lt;=45,"36-45",B1090&lt;=60,"46-60",TRUE,"60+")</f>
        <v>36-45</v>
      </c>
      <c r="N1090" t="str">
        <f t="shared" si="49"/>
        <v>Discounted</v>
      </c>
      <c r="O1090" t="str">
        <f t="shared" si="50"/>
        <v>Returning</v>
      </c>
    </row>
    <row r="1091" spans="1:15" x14ac:dyDescent="0.25">
      <c r="A1091">
        <v>1090</v>
      </c>
      <c r="B1091">
        <v>26</v>
      </c>
      <c r="C1091" t="s">
        <v>16</v>
      </c>
      <c r="D1091" t="s">
        <v>22</v>
      </c>
      <c r="E1091" t="s">
        <v>52</v>
      </c>
      <c r="F1091" s="1">
        <v>155.63</v>
      </c>
      <c r="G1091" t="s">
        <v>14</v>
      </c>
      <c r="H1091" t="s">
        <v>15</v>
      </c>
      <c r="I1091" s="2">
        <v>3.2</v>
      </c>
      <c r="J1091" s="4">
        <v>20</v>
      </c>
      <c r="K1091" s="3">
        <v>5</v>
      </c>
      <c r="L1091" s="1">
        <f t="shared" ref="L1091:L1154" si="51">F1091 * (1 - J1091 / 100)</f>
        <v>124.504</v>
      </c>
      <c r="M1091" t="str" cm="1">
        <f t="array" ref="M1091">_xlfn.IFS(B1091&lt;18,"Under 18",B1091 &lt;=25,"18-25",B1091&lt;=35,"26-35",B1091&lt;=45,"36-45",B1091&lt;=60,"46-60",TRUE,"60+")</f>
        <v>26-35</v>
      </c>
      <c r="N1091" t="str">
        <f t="shared" ref="N1091:N1154" si="52">IF(J1091&gt;0,"Discounted","No Discount")</f>
        <v>Discounted</v>
      </c>
      <c r="O1091" t="str">
        <f t="shared" ref="O1091:O1154" si="53">IF(K1091&gt;0,"Returning","New")</f>
        <v>Returning</v>
      </c>
    </row>
    <row r="1092" spans="1:15" x14ac:dyDescent="0.25">
      <c r="A1092">
        <v>1091</v>
      </c>
      <c r="B1092">
        <v>64</v>
      </c>
      <c r="C1092" t="s">
        <v>16</v>
      </c>
      <c r="D1092" t="s">
        <v>33</v>
      </c>
      <c r="E1092" t="s">
        <v>40</v>
      </c>
      <c r="F1092" s="1">
        <v>133.61000000000001</v>
      </c>
      <c r="G1092" t="s">
        <v>31</v>
      </c>
      <c r="H1092" t="s">
        <v>15</v>
      </c>
      <c r="I1092" s="2">
        <v>4.5999999999999996</v>
      </c>
      <c r="J1092" s="4">
        <v>10</v>
      </c>
      <c r="K1092" s="3">
        <v>5</v>
      </c>
      <c r="L1092" s="1">
        <f t="shared" si="51"/>
        <v>120.24900000000001</v>
      </c>
      <c r="M1092" t="str" cm="1">
        <f t="array" ref="M1092">_xlfn.IFS(B1092&lt;18,"Under 18",B1092 &lt;=25,"18-25",B1092&lt;=35,"26-35",B1092&lt;=45,"36-45",B1092&lt;=60,"46-60",TRUE,"60+")</f>
        <v>60+</v>
      </c>
      <c r="N1092" t="str">
        <f t="shared" si="52"/>
        <v>Discounted</v>
      </c>
      <c r="O1092" t="str">
        <f t="shared" si="53"/>
        <v>Returning</v>
      </c>
    </row>
    <row r="1093" spans="1:15" x14ac:dyDescent="0.25">
      <c r="A1093">
        <v>1092</v>
      </c>
      <c r="B1093">
        <v>39</v>
      </c>
      <c r="C1093" t="s">
        <v>16</v>
      </c>
      <c r="D1093" t="s">
        <v>17</v>
      </c>
      <c r="E1093" t="s">
        <v>35</v>
      </c>
      <c r="F1093" s="1">
        <v>136.87</v>
      </c>
      <c r="G1093" t="s">
        <v>24</v>
      </c>
      <c r="H1093" t="s">
        <v>15</v>
      </c>
      <c r="I1093" s="2">
        <v>5</v>
      </c>
      <c r="J1093" s="4">
        <v>17</v>
      </c>
      <c r="K1093" s="3">
        <v>6</v>
      </c>
      <c r="L1093" s="1">
        <f t="shared" si="51"/>
        <v>113.60209999999999</v>
      </c>
      <c r="M1093" t="str" cm="1">
        <f t="array" ref="M1093">_xlfn.IFS(B1093&lt;18,"Under 18",B1093 &lt;=25,"18-25",B1093&lt;=35,"26-35",B1093&lt;=45,"36-45",B1093&lt;=60,"46-60",TRUE,"60+")</f>
        <v>36-45</v>
      </c>
      <c r="N1093" t="str">
        <f t="shared" si="52"/>
        <v>Discounted</v>
      </c>
      <c r="O1093" t="str">
        <f t="shared" si="53"/>
        <v>Returning</v>
      </c>
    </row>
    <row r="1094" spans="1:15" x14ac:dyDescent="0.25">
      <c r="A1094">
        <v>1093</v>
      </c>
      <c r="B1094">
        <v>24</v>
      </c>
      <c r="C1094" t="s">
        <v>11</v>
      </c>
      <c r="D1094" t="s">
        <v>29</v>
      </c>
      <c r="E1094" t="s">
        <v>51</v>
      </c>
      <c r="F1094" s="1">
        <v>61.18</v>
      </c>
      <c r="G1094" t="s">
        <v>19</v>
      </c>
      <c r="H1094" t="s">
        <v>37</v>
      </c>
      <c r="I1094" s="2">
        <v>3.1</v>
      </c>
      <c r="J1094" s="4">
        <v>12</v>
      </c>
      <c r="K1094" s="3">
        <v>6</v>
      </c>
      <c r="L1094" s="1">
        <f t="shared" si="51"/>
        <v>53.8384</v>
      </c>
      <c r="M1094" t="str" cm="1">
        <f t="array" ref="M1094">_xlfn.IFS(B1094&lt;18,"Under 18",B1094 &lt;=25,"18-25",B1094&lt;=35,"26-35",B1094&lt;=45,"36-45",B1094&lt;=60,"46-60",TRUE,"60+")</f>
        <v>18-25</v>
      </c>
      <c r="N1094" t="str">
        <f t="shared" si="52"/>
        <v>Discounted</v>
      </c>
      <c r="O1094" t="str">
        <f t="shared" si="53"/>
        <v>Returning</v>
      </c>
    </row>
    <row r="1095" spans="1:15" x14ac:dyDescent="0.25">
      <c r="A1095">
        <v>1094</v>
      </c>
      <c r="B1095">
        <v>22</v>
      </c>
      <c r="C1095" t="s">
        <v>11</v>
      </c>
      <c r="D1095" t="s">
        <v>29</v>
      </c>
      <c r="E1095" t="s">
        <v>51</v>
      </c>
      <c r="F1095" s="1">
        <v>52.42</v>
      </c>
      <c r="G1095" t="s">
        <v>31</v>
      </c>
      <c r="H1095" t="s">
        <v>37</v>
      </c>
      <c r="I1095" s="2">
        <v>4.4000000000000004</v>
      </c>
      <c r="J1095" s="4">
        <v>10</v>
      </c>
      <c r="K1095" s="3">
        <v>5</v>
      </c>
      <c r="L1095" s="1">
        <f t="shared" si="51"/>
        <v>47.178000000000004</v>
      </c>
      <c r="M1095" t="str" cm="1">
        <f t="array" ref="M1095">_xlfn.IFS(B1095&lt;18,"Under 18",B1095 &lt;=25,"18-25",B1095&lt;=35,"26-35",B1095&lt;=45,"36-45",B1095&lt;=60,"46-60",TRUE,"60+")</f>
        <v>18-25</v>
      </c>
      <c r="N1095" t="str">
        <f t="shared" si="52"/>
        <v>Discounted</v>
      </c>
      <c r="O1095" t="str">
        <f t="shared" si="53"/>
        <v>Returning</v>
      </c>
    </row>
    <row r="1096" spans="1:15" x14ac:dyDescent="0.25">
      <c r="A1096">
        <v>1095</v>
      </c>
      <c r="B1096">
        <v>64</v>
      </c>
      <c r="C1096" t="s">
        <v>11</v>
      </c>
      <c r="D1096" t="s">
        <v>20</v>
      </c>
      <c r="E1096" t="s">
        <v>21</v>
      </c>
      <c r="F1096" s="1">
        <v>64.47</v>
      </c>
      <c r="G1096" t="s">
        <v>14</v>
      </c>
      <c r="H1096" t="s">
        <v>15</v>
      </c>
      <c r="I1096" s="2">
        <v>2.8</v>
      </c>
      <c r="J1096" s="4">
        <v>16</v>
      </c>
      <c r="K1096" s="3">
        <v>3</v>
      </c>
      <c r="L1096" s="1">
        <f t="shared" si="51"/>
        <v>54.154799999999994</v>
      </c>
      <c r="M1096" t="str" cm="1">
        <f t="array" ref="M1096">_xlfn.IFS(B1096&lt;18,"Under 18",B1096 &lt;=25,"18-25",B1096&lt;=35,"26-35",B1096&lt;=45,"36-45",B1096&lt;=60,"46-60",TRUE,"60+")</f>
        <v>60+</v>
      </c>
      <c r="N1096" t="str">
        <f t="shared" si="52"/>
        <v>Discounted</v>
      </c>
      <c r="O1096" t="str">
        <f t="shared" si="53"/>
        <v>Returning</v>
      </c>
    </row>
    <row r="1097" spans="1:15" x14ac:dyDescent="0.25">
      <c r="A1097">
        <v>1096</v>
      </c>
      <c r="B1097">
        <v>41</v>
      </c>
      <c r="C1097" t="s">
        <v>16</v>
      </c>
      <c r="D1097" t="s">
        <v>17</v>
      </c>
      <c r="E1097" t="s">
        <v>42</v>
      </c>
      <c r="F1097" s="1">
        <v>72.23</v>
      </c>
      <c r="G1097" t="s">
        <v>14</v>
      </c>
      <c r="H1097" t="s">
        <v>37</v>
      </c>
      <c r="I1097" s="2">
        <v>3.6</v>
      </c>
      <c r="J1097" s="4">
        <v>11</v>
      </c>
      <c r="K1097" s="3">
        <v>3</v>
      </c>
      <c r="L1097" s="1">
        <f t="shared" si="51"/>
        <v>64.284700000000001</v>
      </c>
      <c r="M1097" t="str" cm="1">
        <f t="array" ref="M1097">_xlfn.IFS(B1097&lt;18,"Under 18",B1097 &lt;=25,"18-25",B1097&lt;=35,"26-35",B1097&lt;=45,"36-45",B1097&lt;=60,"46-60",TRUE,"60+")</f>
        <v>36-45</v>
      </c>
      <c r="N1097" t="str">
        <f t="shared" si="52"/>
        <v>Discounted</v>
      </c>
      <c r="O1097" t="str">
        <f t="shared" si="53"/>
        <v>Returning</v>
      </c>
    </row>
    <row r="1098" spans="1:15" x14ac:dyDescent="0.25">
      <c r="A1098">
        <v>1097</v>
      </c>
      <c r="B1098">
        <v>55</v>
      </c>
      <c r="C1098" t="s">
        <v>16</v>
      </c>
      <c r="D1098" t="s">
        <v>17</v>
      </c>
      <c r="E1098" t="s">
        <v>42</v>
      </c>
      <c r="F1098" s="1">
        <v>121.35</v>
      </c>
      <c r="G1098" t="s">
        <v>31</v>
      </c>
      <c r="H1098" t="s">
        <v>15</v>
      </c>
      <c r="I1098" s="2">
        <v>3.4</v>
      </c>
      <c r="J1098" s="4">
        <v>10</v>
      </c>
      <c r="K1098" s="3">
        <v>5</v>
      </c>
      <c r="L1098" s="1">
        <f t="shared" si="51"/>
        <v>109.215</v>
      </c>
      <c r="M1098" t="str" cm="1">
        <f t="array" ref="M1098">_xlfn.IFS(B1098&lt;18,"Under 18",B1098 &lt;=25,"18-25",B1098&lt;=35,"26-35",B1098&lt;=45,"36-45",B1098&lt;=60,"46-60",TRUE,"60+")</f>
        <v>46-60</v>
      </c>
      <c r="N1098" t="str">
        <f t="shared" si="52"/>
        <v>Discounted</v>
      </c>
      <c r="O1098" t="str">
        <f t="shared" si="53"/>
        <v>Returning</v>
      </c>
    </row>
    <row r="1099" spans="1:15" x14ac:dyDescent="0.25">
      <c r="A1099">
        <v>1098</v>
      </c>
      <c r="B1099">
        <v>23</v>
      </c>
      <c r="C1099" t="s">
        <v>11</v>
      </c>
      <c r="D1099" t="s">
        <v>12</v>
      </c>
      <c r="E1099" t="s">
        <v>50</v>
      </c>
      <c r="F1099" s="1">
        <v>117.09</v>
      </c>
      <c r="G1099" t="s">
        <v>19</v>
      </c>
      <c r="H1099" t="s">
        <v>15</v>
      </c>
      <c r="I1099" s="2">
        <v>3.4</v>
      </c>
      <c r="J1099" s="4">
        <v>4</v>
      </c>
      <c r="K1099" s="3">
        <v>2</v>
      </c>
      <c r="L1099" s="1">
        <f t="shared" si="51"/>
        <v>112.4064</v>
      </c>
      <c r="M1099" t="str" cm="1">
        <f t="array" ref="M1099">_xlfn.IFS(B1099&lt;18,"Under 18",B1099 &lt;=25,"18-25",B1099&lt;=35,"26-35",B1099&lt;=45,"36-45",B1099&lt;=60,"46-60",TRUE,"60+")</f>
        <v>18-25</v>
      </c>
      <c r="N1099" t="str">
        <f t="shared" si="52"/>
        <v>Discounted</v>
      </c>
      <c r="O1099" t="str">
        <f t="shared" si="53"/>
        <v>Returning</v>
      </c>
    </row>
    <row r="1100" spans="1:15" x14ac:dyDescent="0.25">
      <c r="A1100">
        <v>1099</v>
      </c>
      <c r="B1100">
        <v>70</v>
      </c>
      <c r="C1100" t="s">
        <v>16</v>
      </c>
      <c r="D1100" t="s">
        <v>17</v>
      </c>
      <c r="E1100" t="s">
        <v>48</v>
      </c>
      <c r="F1100" s="1">
        <v>190.63</v>
      </c>
      <c r="G1100" t="s">
        <v>31</v>
      </c>
      <c r="H1100" t="s">
        <v>15</v>
      </c>
      <c r="I1100" s="2">
        <v>3.7</v>
      </c>
      <c r="J1100" s="4">
        <v>2</v>
      </c>
      <c r="K1100" s="3">
        <v>1</v>
      </c>
      <c r="L1100" s="1">
        <f t="shared" si="51"/>
        <v>186.81739999999999</v>
      </c>
      <c r="M1100" t="str" cm="1">
        <f t="array" ref="M1100">_xlfn.IFS(B1100&lt;18,"Under 18",B1100 &lt;=25,"18-25",B1100&lt;=35,"26-35",B1100&lt;=45,"36-45",B1100&lt;=60,"46-60",TRUE,"60+")</f>
        <v>60+</v>
      </c>
      <c r="N1100" t="str">
        <f t="shared" si="52"/>
        <v>Discounted</v>
      </c>
      <c r="O1100" t="str">
        <f t="shared" si="53"/>
        <v>Returning</v>
      </c>
    </row>
    <row r="1101" spans="1:15" x14ac:dyDescent="0.25">
      <c r="A1101">
        <v>1100</v>
      </c>
      <c r="B1101">
        <v>57</v>
      </c>
      <c r="C1101" t="s">
        <v>16</v>
      </c>
      <c r="D1101" t="s">
        <v>17</v>
      </c>
      <c r="E1101" t="s">
        <v>48</v>
      </c>
      <c r="F1101" s="1">
        <v>53.94</v>
      </c>
      <c r="G1101" t="s">
        <v>31</v>
      </c>
      <c r="H1101" t="s">
        <v>37</v>
      </c>
      <c r="I1101" s="2">
        <v>3.7</v>
      </c>
      <c r="J1101" s="4">
        <v>17</v>
      </c>
      <c r="K1101" s="3">
        <v>6</v>
      </c>
      <c r="L1101" s="1">
        <f t="shared" si="51"/>
        <v>44.770199999999996</v>
      </c>
      <c r="M1101" t="str" cm="1">
        <f t="array" ref="M1101">_xlfn.IFS(B1101&lt;18,"Under 18",B1101 &lt;=25,"18-25",B1101&lt;=35,"26-35",B1101&lt;=45,"36-45",B1101&lt;=60,"46-60",TRUE,"60+")</f>
        <v>46-60</v>
      </c>
      <c r="N1101" t="str">
        <f t="shared" si="52"/>
        <v>Discounted</v>
      </c>
      <c r="O1101" t="str">
        <f t="shared" si="53"/>
        <v>Returning</v>
      </c>
    </row>
    <row r="1102" spans="1:15" x14ac:dyDescent="0.25">
      <c r="A1102">
        <v>1101</v>
      </c>
      <c r="B1102">
        <v>26</v>
      </c>
      <c r="C1102" t="s">
        <v>11</v>
      </c>
      <c r="D1102" t="s">
        <v>12</v>
      </c>
      <c r="E1102" t="s">
        <v>13</v>
      </c>
      <c r="F1102" s="1">
        <v>158.79</v>
      </c>
      <c r="G1102" t="s">
        <v>31</v>
      </c>
      <c r="H1102" t="s">
        <v>15</v>
      </c>
      <c r="I1102" s="2">
        <v>4.5999999999999996</v>
      </c>
      <c r="J1102" s="4">
        <v>7</v>
      </c>
      <c r="K1102" s="3">
        <v>1</v>
      </c>
      <c r="L1102" s="1">
        <f t="shared" si="51"/>
        <v>147.67469999999997</v>
      </c>
      <c r="M1102" t="str" cm="1">
        <f t="array" ref="M1102">_xlfn.IFS(B1102&lt;18,"Under 18",B1102 &lt;=25,"18-25",B1102&lt;=35,"26-35",B1102&lt;=45,"36-45",B1102&lt;=60,"46-60",TRUE,"60+")</f>
        <v>26-35</v>
      </c>
      <c r="N1102" t="str">
        <f t="shared" si="52"/>
        <v>Discounted</v>
      </c>
      <c r="O1102" t="str">
        <f t="shared" si="53"/>
        <v>Returning</v>
      </c>
    </row>
    <row r="1103" spans="1:15" x14ac:dyDescent="0.25">
      <c r="A1103">
        <v>1102</v>
      </c>
      <c r="B1103">
        <v>62</v>
      </c>
      <c r="C1103" t="s">
        <v>16</v>
      </c>
      <c r="D1103" t="s">
        <v>20</v>
      </c>
      <c r="E1103" t="s">
        <v>36</v>
      </c>
      <c r="F1103" s="1">
        <v>77.56</v>
      </c>
      <c r="G1103" t="s">
        <v>19</v>
      </c>
      <c r="H1103" t="s">
        <v>37</v>
      </c>
      <c r="I1103" s="2">
        <v>3.8</v>
      </c>
      <c r="J1103" s="4">
        <v>15</v>
      </c>
      <c r="K1103" s="3">
        <v>5</v>
      </c>
      <c r="L1103" s="1">
        <f t="shared" si="51"/>
        <v>65.926000000000002</v>
      </c>
      <c r="M1103" t="str" cm="1">
        <f t="array" ref="M1103">_xlfn.IFS(B1103&lt;18,"Under 18",B1103 &lt;=25,"18-25",B1103&lt;=35,"26-35",B1103&lt;=45,"36-45",B1103&lt;=60,"46-60",TRUE,"60+")</f>
        <v>60+</v>
      </c>
      <c r="N1103" t="str">
        <f t="shared" si="52"/>
        <v>Discounted</v>
      </c>
      <c r="O1103" t="str">
        <f t="shared" si="53"/>
        <v>Returning</v>
      </c>
    </row>
    <row r="1104" spans="1:15" x14ac:dyDescent="0.25">
      <c r="A1104">
        <v>1103</v>
      </c>
      <c r="B1104">
        <v>23</v>
      </c>
      <c r="C1104" t="s">
        <v>16</v>
      </c>
      <c r="D1104" t="s">
        <v>27</v>
      </c>
      <c r="E1104" t="s">
        <v>49</v>
      </c>
      <c r="F1104" s="1">
        <v>559.52</v>
      </c>
      <c r="G1104" t="s">
        <v>14</v>
      </c>
      <c r="H1104" t="s">
        <v>15</v>
      </c>
      <c r="I1104" s="2">
        <v>4</v>
      </c>
      <c r="J1104" s="4">
        <v>18</v>
      </c>
      <c r="K1104" s="3">
        <v>4</v>
      </c>
      <c r="L1104" s="1">
        <f t="shared" si="51"/>
        <v>458.8064</v>
      </c>
      <c r="M1104" t="str" cm="1">
        <f t="array" ref="M1104">_xlfn.IFS(B1104&lt;18,"Under 18",B1104 &lt;=25,"18-25",B1104&lt;=35,"26-35",B1104&lt;=45,"36-45",B1104&lt;=60,"46-60",TRUE,"60+")</f>
        <v>18-25</v>
      </c>
      <c r="N1104" t="str">
        <f t="shared" si="52"/>
        <v>Discounted</v>
      </c>
      <c r="O1104" t="str">
        <f t="shared" si="53"/>
        <v>Returning</v>
      </c>
    </row>
    <row r="1105" spans="1:15" x14ac:dyDescent="0.25">
      <c r="A1105">
        <v>1104</v>
      </c>
      <c r="B1105">
        <v>44</v>
      </c>
      <c r="C1105" t="s">
        <v>16</v>
      </c>
      <c r="D1105" t="s">
        <v>27</v>
      </c>
      <c r="E1105" t="s">
        <v>49</v>
      </c>
      <c r="F1105" s="1">
        <v>2966</v>
      </c>
      <c r="G1105" t="s">
        <v>19</v>
      </c>
      <c r="H1105" t="s">
        <v>15</v>
      </c>
      <c r="I1105" s="2">
        <v>2.9</v>
      </c>
      <c r="J1105" s="4">
        <v>10</v>
      </c>
      <c r="K1105" s="3">
        <v>5</v>
      </c>
      <c r="L1105" s="1">
        <f t="shared" si="51"/>
        <v>2669.4</v>
      </c>
      <c r="M1105" t="str" cm="1">
        <f t="array" ref="M1105">_xlfn.IFS(B1105&lt;18,"Under 18",B1105 &lt;=25,"18-25",B1105&lt;=35,"26-35",B1105&lt;=45,"36-45",B1105&lt;=60,"46-60",TRUE,"60+")</f>
        <v>36-45</v>
      </c>
      <c r="N1105" t="str">
        <f t="shared" si="52"/>
        <v>Discounted</v>
      </c>
      <c r="O1105" t="str">
        <f t="shared" si="53"/>
        <v>Returning</v>
      </c>
    </row>
    <row r="1106" spans="1:15" x14ac:dyDescent="0.25">
      <c r="A1106">
        <v>1105</v>
      </c>
      <c r="B1106">
        <v>57</v>
      </c>
      <c r="C1106" t="s">
        <v>11</v>
      </c>
      <c r="D1106" t="s">
        <v>25</v>
      </c>
      <c r="E1106" t="s">
        <v>26</v>
      </c>
      <c r="F1106" s="1">
        <v>20.37</v>
      </c>
      <c r="G1106" t="s">
        <v>31</v>
      </c>
      <c r="H1106" t="s">
        <v>15</v>
      </c>
      <c r="I1106" s="2">
        <v>4</v>
      </c>
      <c r="J1106" s="4">
        <v>30</v>
      </c>
      <c r="K1106" s="3">
        <v>10</v>
      </c>
      <c r="L1106" s="1">
        <f t="shared" si="51"/>
        <v>14.259</v>
      </c>
      <c r="M1106" t="str" cm="1">
        <f t="array" ref="M1106">_xlfn.IFS(B1106&lt;18,"Under 18",B1106 &lt;=25,"18-25",B1106&lt;=35,"26-35",B1106&lt;=45,"36-45",B1106&lt;=60,"46-60",TRUE,"60+")</f>
        <v>46-60</v>
      </c>
      <c r="N1106" t="str">
        <f t="shared" si="52"/>
        <v>Discounted</v>
      </c>
      <c r="O1106" t="str">
        <f t="shared" si="53"/>
        <v>Returning</v>
      </c>
    </row>
    <row r="1107" spans="1:15" x14ac:dyDescent="0.25">
      <c r="A1107">
        <v>1106</v>
      </c>
      <c r="B1107">
        <v>26</v>
      </c>
      <c r="C1107" t="s">
        <v>11</v>
      </c>
      <c r="D1107" t="s">
        <v>41</v>
      </c>
      <c r="E1107" t="s">
        <v>44</v>
      </c>
      <c r="F1107" s="1">
        <v>175.46</v>
      </c>
      <c r="G1107" t="s">
        <v>14</v>
      </c>
      <c r="H1107" t="s">
        <v>15</v>
      </c>
      <c r="I1107" s="2">
        <v>3.4</v>
      </c>
      <c r="J1107" s="4">
        <v>24</v>
      </c>
      <c r="K1107" s="3">
        <v>7</v>
      </c>
      <c r="L1107" s="1">
        <f t="shared" si="51"/>
        <v>133.34960000000001</v>
      </c>
      <c r="M1107" t="str" cm="1">
        <f t="array" ref="M1107">_xlfn.IFS(B1107&lt;18,"Under 18",B1107 &lt;=25,"18-25",B1107&lt;=35,"26-35",B1107&lt;=45,"36-45",B1107&lt;=60,"46-60",TRUE,"60+")</f>
        <v>26-35</v>
      </c>
      <c r="N1107" t="str">
        <f t="shared" si="52"/>
        <v>Discounted</v>
      </c>
      <c r="O1107" t="str">
        <f t="shared" si="53"/>
        <v>Returning</v>
      </c>
    </row>
    <row r="1108" spans="1:15" x14ac:dyDescent="0.25">
      <c r="A1108">
        <v>1107</v>
      </c>
      <c r="B1108">
        <v>42</v>
      </c>
      <c r="C1108" t="s">
        <v>11</v>
      </c>
      <c r="D1108" t="s">
        <v>33</v>
      </c>
      <c r="E1108" t="s">
        <v>40</v>
      </c>
      <c r="F1108" s="1">
        <v>193.23</v>
      </c>
      <c r="G1108" t="s">
        <v>14</v>
      </c>
      <c r="H1108" t="s">
        <v>15</v>
      </c>
      <c r="I1108" s="2">
        <v>4.5999999999999996</v>
      </c>
      <c r="J1108" s="4">
        <v>8</v>
      </c>
      <c r="K1108" s="3">
        <v>4</v>
      </c>
      <c r="L1108" s="1">
        <f t="shared" si="51"/>
        <v>177.77160000000001</v>
      </c>
      <c r="M1108" t="str" cm="1">
        <f t="array" ref="M1108">_xlfn.IFS(B1108&lt;18,"Under 18",B1108 &lt;=25,"18-25",B1108&lt;=35,"26-35",B1108&lt;=45,"36-45",B1108&lt;=60,"46-60",TRUE,"60+")</f>
        <v>36-45</v>
      </c>
      <c r="N1108" t="str">
        <f t="shared" si="52"/>
        <v>Discounted</v>
      </c>
      <c r="O1108" t="str">
        <f t="shared" si="53"/>
        <v>Returning</v>
      </c>
    </row>
    <row r="1109" spans="1:15" x14ac:dyDescent="0.25">
      <c r="A1109">
        <v>1108</v>
      </c>
      <c r="B1109">
        <v>26</v>
      </c>
      <c r="C1109" t="s">
        <v>16</v>
      </c>
      <c r="D1109" t="s">
        <v>20</v>
      </c>
      <c r="E1109" t="s">
        <v>36</v>
      </c>
      <c r="F1109" s="1">
        <v>67.09</v>
      </c>
      <c r="G1109" t="s">
        <v>31</v>
      </c>
      <c r="H1109" t="s">
        <v>15</v>
      </c>
      <c r="I1109" s="2">
        <v>3.5</v>
      </c>
      <c r="J1109" s="4">
        <v>18</v>
      </c>
      <c r="K1109" s="3">
        <v>9</v>
      </c>
      <c r="L1109" s="1">
        <f t="shared" si="51"/>
        <v>55.01380000000001</v>
      </c>
      <c r="M1109" t="str" cm="1">
        <f t="array" ref="M1109">_xlfn.IFS(B1109&lt;18,"Under 18",B1109 &lt;=25,"18-25",B1109&lt;=35,"26-35",B1109&lt;=45,"36-45",B1109&lt;=60,"46-60",TRUE,"60+")</f>
        <v>26-35</v>
      </c>
      <c r="N1109" t="str">
        <f t="shared" si="52"/>
        <v>Discounted</v>
      </c>
      <c r="O1109" t="str">
        <f t="shared" si="53"/>
        <v>Returning</v>
      </c>
    </row>
    <row r="1110" spans="1:15" x14ac:dyDescent="0.25">
      <c r="A1110">
        <v>1109</v>
      </c>
      <c r="B1110">
        <v>28</v>
      </c>
      <c r="C1110" t="s">
        <v>11</v>
      </c>
      <c r="D1110" t="s">
        <v>12</v>
      </c>
      <c r="E1110" t="s">
        <v>56</v>
      </c>
      <c r="F1110" s="1">
        <v>57.75</v>
      </c>
      <c r="G1110" t="s">
        <v>19</v>
      </c>
      <c r="H1110" t="s">
        <v>37</v>
      </c>
      <c r="I1110" s="2">
        <v>5</v>
      </c>
      <c r="J1110" s="4">
        <v>9</v>
      </c>
      <c r="K1110" s="3">
        <v>2</v>
      </c>
      <c r="L1110" s="1">
        <f t="shared" si="51"/>
        <v>52.552500000000002</v>
      </c>
      <c r="M1110" t="str" cm="1">
        <f t="array" ref="M1110">_xlfn.IFS(B1110&lt;18,"Under 18",B1110 &lt;=25,"18-25",B1110&lt;=35,"26-35",B1110&lt;=45,"36-45",B1110&lt;=60,"46-60",TRUE,"60+")</f>
        <v>26-35</v>
      </c>
      <c r="N1110" t="str">
        <f t="shared" si="52"/>
        <v>Discounted</v>
      </c>
      <c r="O1110" t="str">
        <f t="shared" si="53"/>
        <v>Returning</v>
      </c>
    </row>
    <row r="1111" spans="1:15" x14ac:dyDescent="0.25">
      <c r="A1111">
        <v>1110</v>
      </c>
      <c r="B1111">
        <v>46</v>
      </c>
      <c r="C1111" t="s">
        <v>16</v>
      </c>
      <c r="D1111" t="s">
        <v>17</v>
      </c>
      <c r="E1111" t="s">
        <v>42</v>
      </c>
      <c r="F1111" s="1">
        <v>60.83</v>
      </c>
      <c r="G1111" t="s">
        <v>14</v>
      </c>
      <c r="H1111" t="s">
        <v>15</v>
      </c>
      <c r="I1111" s="2">
        <v>3.9</v>
      </c>
      <c r="J1111" s="4">
        <v>8</v>
      </c>
      <c r="K1111" s="3">
        <v>4</v>
      </c>
      <c r="L1111" s="1">
        <f t="shared" si="51"/>
        <v>55.9636</v>
      </c>
      <c r="M1111" t="str" cm="1">
        <f t="array" ref="M1111">_xlfn.IFS(B1111&lt;18,"Under 18",B1111 &lt;=25,"18-25",B1111&lt;=35,"26-35",B1111&lt;=45,"36-45",B1111&lt;=60,"46-60",TRUE,"60+")</f>
        <v>46-60</v>
      </c>
      <c r="N1111" t="str">
        <f t="shared" si="52"/>
        <v>Discounted</v>
      </c>
      <c r="O1111" t="str">
        <f t="shared" si="53"/>
        <v>Returning</v>
      </c>
    </row>
    <row r="1112" spans="1:15" x14ac:dyDescent="0.25">
      <c r="A1112">
        <v>1111</v>
      </c>
      <c r="B1112">
        <v>28</v>
      </c>
      <c r="C1112" t="s">
        <v>16</v>
      </c>
      <c r="D1112" t="s">
        <v>17</v>
      </c>
      <c r="E1112" t="s">
        <v>42</v>
      </c>
      <c r="F1112" s="1">
        <v>153.1</v>
      </c>
      <c r="G1112" t="s">
        <v>31</v>
      </c>
      <c r="H1112" t="s">
        <v>15</v>
      </c>
      <c r="I1112" s="2">
        <v>4.5</v>
      </c>
      <c r="J1112" s="4">
        <v>8</v>
      </c>
      <c r="K1112" s="3">
        <v>4</v>
      </c>
      <c r="L1112" s="1">
        <f t="shared" si="51"/>
        <v>140.852</v>
      </c>
      <c r="M1112" t="str" cm="1">
        <f t="array" ref="M1112">_xlfn.IFS(B1112&lt;18,"Under 18",B1112 &lt;=25,"18-25",B1112&lt;=35,"26-35",B1112&lt;=45,"36-45",B1112&lt;=60,"46-60",TRUE,"60+")</f>
        <v>26-35</v>
      </c>
      <c r="N1112" t="str">
        <f t="shared" si="52"/>
        <v>Discounted</v>
      </c>
      <c r="O1112" t="str">
        <f t="shared" si="53"/>
        <v>Returning</v>
      </c>
    </row>
    <row r="1113" spans="1:15" x14ac:dyDescent="0.25">
      <c r="A1113">
        <v>1112</v>
      </c>
      <c r="B1113">
        <v>49</v>
      </c>
      <c r="C1113" t="s">
        <v>11</v>
      </c>
      <c r="D1113" t="s">
        <v>25</v>
      </c>
      <c r="E1113" t="s">
        <v>57</v>
      </c>
      <c r="F1113" s="1">
        <v>29.32</v>
      </c>
      <c r="G1113" t="s">
        <v>19</v>
      </c>
      <c r="H1113" t="s">
        <v>15</v>
      </c>
      <c r="I1113" s="2">
        <v>5</v>
      </c>
      <c r="J1113" s="4">
        <v>23</v>
      </c>
      <c r="K1113" s="3">
        <v>9</v>
      </c>
      <c r="L1113" s="1">
        <f t="shared" si="51"/>
        <v>22.5764</v>
      </c>
      <c r="M1113" t="str" cm="1">
        <f t="array" ref="M1113">_xlfn.IFS(B1113&lt;18,"Under 18",B1113 &lt;=25,"18-25",B1113&lt;=35,"26-35",B1113&lt;=45,"36-45",B1113&lt;=60,"46-60",TRUE,"60+")</f>
        <v>46-60</v>
      </c>
      <c r="N1113" t="str">
        <f t="shared" si="52"/>
        <v>Discounted</v>
      </c>
      <c r="O1113" t="str">
        <f t="shared" si="53"/>
        <v>Returning</v>
      </c>
    </row>
    <row r="1114" spans="1:15" x14ac:dyDescent="0.25">
      <c r="A1114">
        <v>1113</v>
      </c>
      <c r="B1114">
        <v>67</v>
      </c>
      <c r="C1114" t="s">
        <v>11</v>
      </c>
      <c r="D1114" t="s">
        <v>12</v>
      </c>
      <c r="E1114" t="s">
        <v>50</v>
      </c>
      <c r="F1114" s="1">
        <v>133.57</v>
      </c>
      <c r="G1114" t="s">
        <v>24</v>
      </c>
      <c r="H1114" t="s">
        <v>15</v>
      </c>
      <c r="I1114" s="2">
        <v>3.9</v>
      </c>
      <c r="J1114" s="4">
        <v>26</v>
      </c>
      <c r="K1114" s="3">
        <v>8</v>
      </c>
      <c r="L1114" s="1">
        <f t="shared" si="51"/>
        <v>98.841799999999992</v>
      </c>
      <c r="M1114" t="str" cm="1">
        <f t="array" ref="M1114">_xlfn.IFS(B1114&lt;18,"Under 18",B1114 &lt;=25,"18-25",B1114&lt;=35,"26-35",B1114&lt;=45,"36-45",B1114&lt;=60,"46-60",TRUE,"60+")</f>
        <v>60+</v>
      </c>
      <c r="N1114" t="str">
        <f t="shared" si="52"/>
        <v>Discounted</v>
      </c>
      <c r="O1114" t="str">
        <f t="shared" si="53"/>
        <v>Returning</v>
      </c>
    </row>
    <row r="1115" spans="1:15" x14ac:dyDescent="0.25">
      <c r="A1115">
        <v>1114</v>
      </c>
      <c r="B1115">
        <v>69</v>
      </c>
      <c r="C1115" t="s">
        <v>11</v>
      </c>
      <c r="D1115" t="s">
        <v>12</v>
      </c>
      <c r="E1115" t="s">
        <v>56</v>
      </c>
      <c r="F1115" s="1">
        <v>26.45</v>
      </c>
      <c r="G1115" t="s">
        <v>14</v>
      </c>
      <c r="H1115" t="s">
        <v>15</v>
      </c>
      <c r="I1115" s="2">
        <v>3.2</v>
      </c>
      <c r="J1115" s="4">
        <v>14</v>
      </c>
      <c r="K1115" s="3">
        <v>7</v>
      </c>
      <c r="L1115" s="1">
        <f t="shared" si="51"/>
        <v>22.747</v>
      </c>
      <c r="M1115" t="str" cm="1">
        <f t="array" ref="M1115">_xlfn.IFS(B1115&lt;18,"Under 18",B1115 &lt;=25,"18-25",B1115&lt;=35,"26-35",B1115&lt;=45,"36-45",B1115&lt;=60,"46-60",TRUE,"60+")</f>
        <v>60+</v>
      </c>
      <c r="N1115" t="str">
        <f t="shared" si="52"/>
        <v>Discounted</v>
      </c>
      <c r="O1115" t="str">
        <f t="shared" si="53"/>
        <v>Returning</v>
      </c>
    </row>
    <row r="1116" spans="1:15" x14ac:dyDescent="0.25">
      <c r="A1116">
        <v>1115</v>
      </c>
      <c r="B1116">
        <v>56</v>
      </c>
      <c r="C1116" t="s">
        <v>11</v>
      </c>
      <c r="D1116" t="s">
        <v>25</v>
      </c>
      <c r="E1116" t="s">
        <v>26</v>
      </c>
      <c r="F1116" s="1">
        <v>66.52</v>
      </c>
      <c r="G1116" t="s">
        <v>24</v>
      </c>
      <c r="H1116" t="s">
        <v>15</v>
      </c>
      <c r="I1116" s="2">
        <v>3.9</v>
      </c>
      <c r="J1116" s="4">
        <v>13</v>
      </c>
      <c r="K1116" s="3">
        <v>4</v>
      </c>
      <c r="L1116" s="1">
        <f t="shared" si="51"/>
        <v>57.872399999999999</v>
      </c>
      <c r="M1116" t="str" cm="1">
        <f t="array" ref="M1116">_xlfn.IFS(B1116&lt;18,"Under 18",B1116 &lt;=25,"18-25",B1116&lt;=35,"26-35",B1116&lt;=45,"36-45",B1116&lt;=60,"46-60",TRUE,"60+")</f>
        <v>46-60</v>
      </c>
      <c r="N1116" t="str">
        <f t="shared" si="52"/>
        <v>Discounted</v>
      </c>
      <c r="O1116" t="str">
        <f t="shared" si="53"/>
        <v>Returning</v>
      </c>
    </row>
    <row r="1117" spans="1:15" x14ac:dyDescent="0.25">
      <c r="A1117">
        <v>1116</v>
      </c>
      <c r="B1117">
        <v>66</v>
      </c>
      <c r="C1117" t="s">
        <v>11</v>
      </c>
      <c r="D1117" t="s">
        <v>29</v>
      </c>
      <c r="E1117" t="s">
        <v>30</v>
      </c>
      <c r="F1117" s="1">
        <v>125.89</v>
      </c>
      <c r="G1117" t="s">
        <v>14</v>
      </c>
      <c r="H1117" t="s">
        <v>15</v>
      </c>
      <c r="I1117" s="2">
        <v>4.3</v>
      </c>
      <c r="J1117" s="4">
        <v>16</v>
      </c>
      <c r="K1117" s="3">
        <v>3</v>
      </c>
      <c r="L1117" s="1">
        <f t="shared" si="51"/>
        <v>105.74759999999999</v>
      </c>
      <c r="M1117" t="str" cm="1">
        <f t="array" ref="M1117">_xlfn.IFS(B1117&lt;18,"Under 18",B1117 &lt;=25,"18-25",B1117&lt;=35,"26-35",B1117&lt;=45,"36-45",B1117&lt;=60,"46-60",TRUE,"60+")</f>
        <v>60+</v>
      </c>
      <c r="N1117" t="str">
        <f t="shared" si="52"/>
        <v>Discounted</v>
      </c>
      <c r="O1117" t="str">
        <f t="shared" si="53"/>
        <v>Returning</v>
      </c>
    </row>
    <row r="1118" spans="1:15" x14ac:dyDescent="0.25">
      <c r="A1118">
        <v>1117</v>
      </c>
      <c r="B1118">
        <v>26</v>
      </c>
      <c r="C1118" t="s">
        <v>11</v>
      </c>
      <c r="D1118" t="s">
        <v>12</v>
      </c>
      <c r="E1118" t="s">
        <v>13</v>
      </c>
      <c r="F1118" s="1">
        <v>177.36</v>
      </c>
      <c r="G1118" t="s">
        <v>14</v>
      </c>
      <c r="H1118" t="s">
        <v>15</v>
      </c>
      <c r="I1118" s="2">
        <v>4.8</v>
      </c>
      <c r="J1118" s="4">
        <v>20</v>
      </c>
      <c r="K1118" s="3">
        <v>5</v>
      </c>
      <c r="L1118" s="1">
        <f t="shared" si="51"/>
        <v>141.88800000000001</v>
      </c>
      <c r="M1118" t="str" cm="1">
        <f t="array" ref="M1118">_xlfn.IFS(B1118&lt;18,"Under 18",B1118 &lt;=25,"18-25",B1118&lt;=35,"26-35",B1118&lt;=45,"36-45",B1118&lt;=60,"46-60",TRUE,"60+")</f>
        <v>26-35</v>
      </c>
      <c r="N1118" t="str">
        <f t="shared" si="52"/>
        <v>Discounted</v>
      </c>
      <c r="O1118" t="str">
        <f t="shared" si="53"/>
        <v>Returning</v>
      </c>
    </row>
    <row r="1119" spans="1:15" x14ac:dyDescent="0.25">
      <c r="A1119">
        <v>1118</v>
      </c>
      <c r="B1119">
        <v>31</v>
      </c>
      <c r="C1119" t="s">
        <v>16</v>
      </c>
      <c r="D1119" t="s">
        <v>33</v>
      </c>
      <c r="E1119" t="s">
        <v>40</v>
      </c>
      <c r="F1119" s="1">
        <v>168.74</v>
      </c>
      <c r="G1119" t="s">
        <v>31</v>
      </c>
      <c r="H1119" t="s">
        <v>15</v>
      </c>
      <c r="I1119" s="2">
        <v>4.0999999999999996</v>
      </c>
      <c r="J1119" s="4">
        <v>16</v>
      </c>
      <c r="K1119" s="3">
        <v>8</v>
      </c>
      <c r="L1119" s="1">
        <f t="shared" si="51"/>
        <v>141.74160000000001</v>
      </c>
      <c r="M1119" t="str" cm="1">
        <f t="array" ref="M1119">_xlfn.IFS(B1119&lt;18,"Under 18",B1119 &lt;=25,"18-25",B1119&lt;=35,"26-35",B1119&lt;=45,"36-45",B1119&lt;=60,"46-60",TRUE,"60+")</f>
        <v>26-35</v>
      </c>
      <c r="N1119" t="str">
        <f t="shared" si="52"/>
        <v>Discounted</v>
      </c>
      <c r="O1119" t="str">
        <f t="shared" si="53"/>
        <v>Returning</v>
      </c>
    </row>
    <row r="1120" spans="1:15" x14ac:dyDescent="0.25">
      <c r="A1120">
        <v>1119</v>
      </c>
      <c r="B1120">
        <v>63</v>
      </c>
      <c r="C1120" t="s">
        <v>11</v>
      </c>
      <c r="D1120" t="s">
        <v>41</v>
      </c>
      <c r="E1120" t="s">
        <v>42</v>
      </c>
      <c r="F1120" s="1">
        <v>61.35</v>
      </c>
      <c r="G1120" t="s">
        <v>31</v>
      </c>
      <c r="H1120" t="s">
        <v>37</v>
      </c>
      <c r="I1120" s="2">
        <v>3.6</v>
      </c>
      <c r="J1120" s="4">
        <v>20</v>
      </c>
      <c r="K1120" s="3">
        <v>5</v>
      </c>
      <c r="L1120" s="1">
        <f t="shared" si="51"/>
        <v>49.080000000000005</v>
      </c>
      <c r="M1120" t="str" cm="1">
        <f t="array" ref="M1120">_xlfn.IFS(B1120&lt;18,"Under 18",B1120 &lt;=25,"18-25",B1120&lt;=35,"26-35",B1120&lt;=45,"36-45",B1120&lt;=60,"46-60",TRUE,"60+")</f>
        <v>60+</v>
      </c>
      <c r="N1120" t="str">
        <f t="shared" si="52"/>
        <v>Discounted</v>
      </c>
      <c r="O1120" t="str">
        <f t="shared" si="53"/>
        <v>Returning</v>
      </c>
    </row>
    <row r="1121" spans="1:15" x14ac:dyDescent="0.25">
      <c r="A1121">
        <v>1120</v>
      </c>
      <c r="B1121">
        <v>44</v>
      </c>
      <c r="C1121" t="s">
        <v>11</v>
      </c>
      <c r="D1121" t="s">
        <v>29</v>
      </c>
      <c r="E1121" t="s">
        <v>30</v>
      </c>
      <c r="F1121" s="1">
        <v>128.72999999999999</v>
      </c>
      <c r="G1121" t="s">
        <v>24</v>
      </c>
      <c r="H1121" t="s">
        <v>15</v>
      </c>
      <c r="I1121" s="2">
        <v>4.9000000000000004</v>
      </c>
      <c r="J1121" s="4">
        <v>12</v>
      </c>
      <c r="K1121" s="3">
        <v>6</v>
      </c>
      <c r="L1121" s="1">
        <f t="shared" si="51"/>
        <v>113.2824</v>
      </c>
      <c r="M1121" t="str" cm="1">
        <f t="array" ref="M1121">_xlfn.IFS(B1121&lt;18,"Under 18",B1121 &lt;=25,"18-25",B1121&lt;=35,"26-35",B1121&lt;=45,"36-45",B1121&lt;=60,"46-60",TRUE,"60+")</f>
        <v>36-45</v>
      </c>
      <c r="N1121" t="str">
        <f t="shared" si="52"/>
        <v>Discounted</v>
      </c>
      <c r="O1121" t="str">
        <f t="shared" si="53"/>
        <v>Returning</v>
      </c>
    </row>
    <row r="1122" spans="1:15" x14ac:dyDescent="0.25">
      <c r="A1122">
        <v>1121</v>
      </c>
      <c r="B1122">
        <v>20</v>
      </c>
      <c r="C1122" t="s">
        <v>11</v>
      </c>
      <c r="D1122" t="s">
        <v>20</v>
      </c>
      <c r="E1122" t="s">
        <v>39</v>
      </c>
      <c r="F1122" s="1">
        <v>144.69999999999999</v>
      </c>
      <c r="G1122" t="s">
        <v>31</v>
      </c>
      <c r="H1122" t="s">
        <v>15</v>
      </c>
      <c r="I1122" s="2">
        <v>4.2</v>
      </c>
      <c r="J1122" s="4">
        <v>16</v>
      </c>
      <c r="K1122" s="3">
        <v>3</v>
      </c>
      <c r="L1122" s="1">
        <f t="shared" si="51"/>
        <v>121.54799999999999</v>
      </c>
      <c r="M1122" t="str" cm="1">
        <f t="array" ref="M1122">_xlfn.IFS(B1122&lt;18,"Under 18",B1122 &lt;=25,"18-25",B1122&lt;=35,"26-35",B1122&lt;=45,"36-45",B1122&lt;=60,"46-60",TRUE,"60+")</f>
        <v>18-25</v>
      </c>
      <c r="N1122" t="str">
        <f t="shared" si="52"/>
        <v>Discounted</v>
      </c>
      <c r="O1122" t="str">
        <f t="shared" si="53"/>
        <v>Returning</v>
      </c>
    </row>
    <row r="1123" spans="1:15" x14ac:dyDescent="0.25">
      <c r="A1123">
        <v>1122</v>
      </c>
      <c r="B1123">
        <v>41</v>
      </c>
      <c r="C1123" t="s">
        <v>11</v>
      </c>
      <c r="D1123" t="s">
        <v>12</v>
      </c>
      <c r="E1123" t="s">
        <v>56</v>
      </c>
      <c r="F1123" s="1">
        <v>107.04</v>
      </c>
      <c r="G1123" t="s">
        <v>14</v>
      </c>
      <c r="H1123" t="s">
        <v>15</v>
      </c>
      <c r="I1123" s="2">
        <v>3.5</v>
      </c>
      <c r="J1123" s="4">
        <v>8</v>
      </c>
      <c r="K1123" s="3">
        <v>4</v>
      </c>
      <c r="L1123" s="1">
        <f t="shared" si="51"/>
        <v>98.476800000000011</v>
      </c>
      <c r="M1123" t="str" cm="1">
        <f t="array" ref="M1123">_xlfn.IFS(B1123&lt;18,"Under 18",B1123 &lt;=25,"18-25",B1123&lt;=35,"26-35",B1123&lt;=45,"36-45",B1123&lt;=60,"46-60",TRUE,"60+")</f>
        <v>36-45</v>
      </c>
      <c r="N1123" t="str">
        <f t="shared" si="52"/>
        <v>Discounted</v>
      </c>
      <c r="O1123" t="str">
        <f t="shared" si="53"/>
        <v>Returning</v>
      </c>
    </row>
    <row r="1124" spans="1:15" x14ac:dyDescent="0.25">
      <c r="A1124">
        <v>1123</v>
      </c>
      <c r="B1124">
        <v>36</v>
      </c>
      <c r="C1124" t="s">
        <v>11</v>
      </c>
      <c r="D1124" t="s">
        <v>12</v>
      </c>
      <c r="E1124" t="s">
        <v>50</v>
      </c>
      <c r="F1124" s="1">
        <v>31.74</v>
      </c>
      <c r="G1124" t="s">
        <v>19</v>
      </c>
      <c r="H1124" t="s">
        <v>37</v>
      </c>
      <c r="I1124" s="2">
        <v>3.9</v>
      </c>
      <c r="J1124" s="4">
        <v>6</v>
      </c>
      <c r="K1124" s="3">
        <v>3</v>
      </c>
      <c r="L1124" s="1">
        <f t="shared" si="51"/>
        <v>29.835599999999996</v>
      </c>
      <c r="M1124" t="str" cm="1">
        <f t="array" ref="M1124">_xlfn.IFS(B1124&lt;18,"Under 18",B1124 &lt;=25,"18-25",B1124&lt;=35,"26-35",B1124&lt;=45,"36-45",B1124&lt;=60,"46-60",TRUE,"60+")</f>
        <v>36-45</v>
      </c>
      <c r="N1124" t="str">
        <f t="shared" si="52"/>
        <v>Discounted</v>
      </c>
      <c r="O1124" t="str">
        <f t="shared" si="53"/>
        <v>Returning</v>
      </c>
    </row>
    <row r="1125" spans="1:15" x14ac:dyDescent="0.25">
      <c r="A1125">
        <v>1124</v>
      </c>
      <c r="B1125">
        <v>38</v>
      </c>
      <c r="C1125" t="s">
        <v>16</v>
      </c>
      <c r="D1125" t="s">
        <v>27</v>
      </c>
      <c r="E1125" t="s">
        <v>49</v>
      </c>
      <c r="F1125" s="1">
        <v>2415.1999999999998</v>
      </c>
      <c r="G1125" t="s">
        <v>31</v>
      </c>
      <c r="H1125" t="s">
        <v>15</v>
      </c>
      <c r="I1125" s="2">
        <v>4.3</v>
      </c>
      <c r="J1125" s="4">
        <v>20</v>
      </c>
      <c r="K1125" s="3">
        <v>5</v>
      </c>
      <c r="L1125" s="1">
        <f t="shared" si="51"/>
        <v>1932.1599999999999</v>
      </c>
      <c r="M1125" t="str" cm="1">
        <f t="array" ref="M1125">_xlfn.IFS(B1125&lt;18,"Under 18",B1125 &lt;=25,"18-25",B1125&lt;=35,"26-35",B1125&lt;=45,"36-45",B1125&lt;=60,"46-60",TRUE,"60+")</f>
        <v>36-45</v>
      </c>
      <c r="N1125" t="str">
        <f t="shared" si="52"/>
        <v>Discounted</v>
      </c>
      <c r="O1125" t="str">
        <f t="shared" si="53"/>
        <v>Returning</v>
      </c>
    </row>
    <row r="1126" spans="1:15" x14ac:dyDescent="0.25">
      <c r="A1126">
        <v>1125</v>
      </c>
      <c r="B1126">
        <v>44</v>
      </c>
      <c r="C1126" t="s">
        <v>16</v>
      </c>
      <c r="D1126" t="s">
        <v>17</v>
      </c>
      <c r="E1126" t="s">
        <v>48</v>
      </c>
      <c r="F1126" s="1">
        <v>91.47</v>
      </c>
      <c r="G1126" t="s">
        <v>24</v>
      </c>
      <c r="H1126" t="s">
        <v>37</v>
      </c>
      <c r="I1126" s="2">
        <v>3.5</v>
      </c>
      <c r="J1126" s="4">
        <v>17</v>
      </c>
      <c r="K1126" s="3">
        <v>6</v>
      </c>
      <c r="L1126" s="1">
        <f t="shared" si="51"/>
        <v>75.920099999999991</v>
      </c>
      <c r="M1126" t="str" cm="1">
        <f t="array" ref="M1126">_xlfn.IFS(B1126&lt;18,"Under 18",B1126 &lt;=25,"18-25",B1126&lt;=35,"26-35",B1126&lt;=45,"36-45",B1126&lt;=60,"46-60",TRUE,"60+")</f>
        <v>36-45</v>
      </c>
      <c r="N1126" t="str">
        <f t="shared" si="52"/>
        <v>Discounted</v>
      </c>
      <c r="O1126" t="str">
        <f t="shared" si="53"/>
        <v>Returning</v>
      </c>
    </row>
    <row r="1127" spans="1:15" x14ac:dyDescent="0.25">
      <c r="A1127">
        <v>1126</v>
      </c>
      <c r="B1127">
        <v>40</v>
      </c>
      <c r="C1127" t="s">
        <v>11</v>
      </c>
      <c r="D1127" t="s">
        <v>33</v>
      </c>
      <c r="E1127" t="s">
        <v>38</v>
      </c>
      <c r="F1127" s="1">
        <v>118.69</v>
      </c>
      <c r="G1127" t="s">
        <v>14</v>
      </c>
      <c r="H1127" t="s">
        <v>15</v>
      </c>
      <c r="I1127" s="2">
        <v>3.5</v>
      </c>
      <c r="J1127" s="4">
        <v>14</v>
      </c>
      <c r="K1127" s="3">
        <v>7</v>
      </c>
      <c r="L1127" s="1">
        <f t="shared" si="51"/>
        <v>102.07339999999999</v>
      </c>
      <c r="M1127" t="str" cm="1">
        <f t="array" ref="M1127">_xlfn.IFS(B1127&lt;18,"Under 18",B1127 &lt;=25,"18-25",B1127&lt;=35,"26-35",B1127&lt;=45,"36-45",B1127&lt;=60,"46-60",TRUE,"60+")</f>
        <v>36-45</v>
      </c>
      <c r="N1127" t="str">
        <f t="shared" si="52"/>
        <v>Discounted</v>
      </c>
      <c r="O1127" t="str">
        <f t="shared" si="53"/>
        <v>Returning</v>
      </c>
    </row>
    <row r="1128" spans="1:15" x14ac:dyDescent="0.25">
      <c r="A1128">
        <v>1127</v>
      </c>
      <c r="B1128">
        <v>33</v>
      </c>
      <c r="C1128" t="s">
        <v>16</v>
      </c>
      <c r="D1128" t="s">
        <v>33</v>
      </c>
      <c r="E1128" t="s">
        <v>40</v>
      </c>
      <c r="F1128" s="1">
        <v>163.49</v>
      </c>
      <c r="G1128" t="s">
        <v>24</v>
      </c>
      <c r="H1128" t="s">
        <v>15</v>
      </c>
      <c r="I1128" s="2">
        <v>2.7</v>
      </c>
      <c r="J1128" s="4">
        <v>22</v>
      </c>
      <c r="K1128" s="3">
        <v>6</v>
      </c>
      <c r="L1128" s="1">
        <f t="shared" si="51"/>
        <v>127.52220000000001</v>
      </c>
      <c r="M1128" t="str" cm="1">
        <f t="array" ref="M1128">_xlfn.IFS(B1128&lt;18,"Under 18",B1128 &lt;=25,"18-25",B1128&lt;=35,"26-35",B1128&lt;=45,"36-45",B1128&lt;=60,"46-60",TRUE,"60+")</f>
        <v>26-35</v>
      </c>
      <c r="N1128" t="str">
        <f t="shared" si="52"/>
        <v>Discounted</v>
      </c>
      <c r="O1128" t="str">
        <f t="shared" si="53"/>
        <v>Returning</v>
      </c>
    </row>
    <row r="1129" spans="1:15" x14ac:dyDescent="0.25">
      <c r="A1129">
        <v>1128</v>
      </c>
      <c r="B1129">
        <v>55</v>
      </c>
      <c r="C1129" t="s">
        <v>11</v>
      </c>
      <c r="D1129" t="s">
        <v>33</v>
      </c>
      <c r="E1129" t="s">
        <v>38</v>
      </c>
      <c r="F1129" s="1">
        <v>104.63</v>
      </c>
      <c r="G1129" t="s">
        <v>19</v>
      </c>
      <c r="H1129" t="s">
        <v>15</v>
      </c>
      <c r="I1129" s="2">
        <v>3.2</v>
      </c>
      <c r="J1129" s="4">
        <v>20</v>
      </c>
      <c r="K1129" s="3">
        <v>5</v>
      </c>
      <c r="L1129" s="1">
        <f t="shared" si="51"/>
        <v>83.704000000000008</v>
      </c>
      <c r="M1129" t="str" cm="1">
        <f t="array" ref="M1129">_xlfn.IFS(B1129&lt;18,"Under 18",B1129 &lt;=25,"18-25",B1129&lt;=35,"26-35",B1129&lt;=45,"36-45",B1129&lt;=60,"46-60",TRUE,"60+")</f>
        <v>46-60</v>
      </c>
      <c r="N1129" t="str">
        <f t="shared" si="52"/>
        <v>Discounted</v>
      </c>
      <c r="O1129" t="str">
        <f t="shared" si="53"/>
        <v>Returning</v>
      </c>
    </row>
    <row r="1130" spans="1:15" x14ac:dyDescent="0.25">
      <c r="A1130">
        <v>1129</v>
      </c>
      <c r="B1130">
        <v>43</v>
      </c>
      <c r="C1130" t="s">
        <v>16</v>
      </c>
      <c r="D1130" t="s">
        <v>20</v>
      </c>
      <c r="E1130" t="s">
        <v>36</v>
      </c>
      <c r="F1130" s="1">
        <v>195.7</v>
      </c>
      <c r="G1130" t="s">
        <v>14</v>
      </c>
      <c r="H1130" t="s">
        <v>15</v>
      </c>
      <c r="I1130" s="2">
        <v>2.8</v>
      </c>
      <c r="J1130" s="4">
        <v>10</v>
      </c>
      <c r="K1130" s="3">
        <v>5</v>
      </c>
      <c r="L1130" s="1">
        <f t="shared" si="51"/>
        <v>176.13</v>
      </c>
      <c r="M1130" t="str" cm="1">
        <f t="array" ref="M1130">_xlfn.IFS(B1130&lt;18,"Under 18",B1130 &lt;=25,"18-25",B1130&lt;=35,"26-35",B1130&lt;=45,"36-45",B1130&lt;=60,"46-60",TRUE,"60+")</f>
        <v>36-45</v>
      </c>
      <c r="N1130" t="str">
        <f t="shared" si="52"/>
        <v>Discounted</v>
      </c>
      <c r="O1130" t="str">
        <f t="shared" si="53"/>
        <v>Returning</v>
      </c>
    </row>
    <row r="1131" spans="1:15" x14ac:dyDescent="0.25">
      <c r="A1131">
        <v>1130</v>
      </c>
      <c r="B1131">
        <v>67</v>
      </c>
      <c r="C1131" t="s">
        <v>11</v>
      </c>
      <c r="D1131" t="s">
        <v>12</v>
      </c>
      <c r="E1131" t="s">
        <v>56</v>
      </c>
      <c r="F1131" s="1">
        <v>42.94</v>
      </c>
      <c r="G1131" t="s">
        <v>19</v>
      </c>
      <c r="H1131" t="s">
        <v>15</v>
      </c>
      <c r="I1131" s="2">
        <v>3.4</v>
      </c>
      <c r="J1131" s="4">
        <v>9</v>
      </c>
      <c r="K1131" s="3">
        <v>2</v>
      </c>
      <c r="L1131" s="1">
        <f t="shared" si="51"/>
        <v>39.075400000000002</v>
      </c>
      <c r="M1131" t="str" cm="1">
        <f t="array" ref="M1131">_xlfn.IFS(B1131&lt;18,"Under 18",B1131 &lt;=25,"18-25",B1131&lt;=35,"26-35",B1131&lt;=45,"36-45",B1131&lt;=60,"46-60",TRUE,"60+")</f>
        <v>60+</v>
      </c>
      <c r="N1131" t="str">
        <f t="shared" si="52"/>
        <v>Discounted</v>
      </c>
      <c r="O1131" t="str">
        <f t="shared" si="53"/>
        <v>Returning</v>
      </c>
    </row>
    <row r="1132" spans="1:15" x14ac:dyDescent="0.25">
      <c r="A1132">
        <v>1131</v>
      </c>
      <c r="B1132">
        <v>33</v>
      </c>
      <c r="C1132" t="s">
        <v>16</v>
      </c>
      <c r="D1132" t="s">
        <v>27</v>
      </c>
      <c r="E1132" t="s">
        <v>28</v>
      </c>
      <c r="F1132" s="1">
        <v>2697.97</v>
      </c>
      <c r="G1132" t="s">
        <v>31</v>
      </c>
      <c r="H1132" t="s">
        <v>15</v>
      </c>
      <c r="I1132" s="2">
        <v>3.8</v>
      </c>
      <c r="J1132" s="4">
        <v>6</v>
      </c>
      <c r="K1132" s="3">
        <v>3</v>
      </c>
      <c r="L1132" s="1">
        <f t="shared" si="51"/>
        <v>2536.0917999999997</v>
      </c>
      <c r="M1132" t="str" cm="1">
        <f t="array" ref="M1132">_xlfn.IFS(B1132&lt;18,"Under 18",B1132 &lt;=25,"18-25",B1132&lt;=35,"26-35",B1132&lt;=45,"36-45",B1132&lt;=60,"46-60",TRUE,"60+")</f>
        <v>26-35</v>
      </c>
      <c r="N1132" t="str">
        <f t="shared" si="52"/>
        <v>Discounted</v>
      </c>
      <c r="O1132" t="str">
        <f t="shared" si="53"/>
        <v>Returning</v>
      </c>
    </row>
    <row r="1133" spans="1:15" x14ac:dyDescent="0.25">
      <c r="A1133">
        <v>1132</v>
      </c>
      <c r="B1133">
        <v>34</v>
      </c>
      <c r="C1133" t="s">
        <v>11</v>
      </c>
      <c r="D1133" t="s">
        <v>12</v>
      </c>
      <c r="E1133" t="s">
        <v>13</v>
      </c>
      <c r="F1133" s="1">
        <v>86.46</v>
      </c>
      <c r="G1133" t="s">
        <v>24</v>
      </c>
      <c r="H1133" t="s">
        <v>37</v>
      </c>
      <c r="I1133" s="2">
        <v>4.5</v>
      </c>
      <c r="J1133" s="4">
        <v>4</v>
      </c>
      <c r="K1133" s="3">
        <v>2</v>
      </c>
      <c r="L1133" s="1">
        <f t="shared" si="51"/>
        <v>83.001599999999996</v>
      </c>
      <c r="M1133" t="str" cm="1">
        <f t="array" ref="M1133">_xlfn.IFS(B1133&lt;18,"Under 18",B1133 &lt;=25,"18-25",B1133&lt;=35,"26-35",B1133&lt;=45,"36-45",B1133&lt;=60,"46-60",TRUE,"60+")</f>
        <v>26-35</v>
      </c>
      <c r="N1133" t="str">
        <f t="shared" si="52"/>
        <v>Discounted</v>
      </c>
      <c r="O1133" t="str">
        <f t="shared" si="53"/>
        <v>Returning</v>
      </c>
    </row>
    <row r="1134" spans="1:15" x14ac:dyDescent="0.25">
      <c r="A1134">
        <v>1133</v>
      </c>
      <c r="B1134">
        <v>50</v>
      </c>
      <c r="C1134" t="s">
        <v>16</v>
      </c>
      <c r="D1134" t="s">
        <v>20</v>
      </c>
      <c r="E1134" t="s">
        <v>39</v>
      </c>
      <c r="F1134" s="1">
        <v>166.99</v>
      </c>
      <c r="G1134" t="s">
        <v>24</v>
      </c>
      <c r="H1134" t="s">
        <v>15</v>
      </c>
      <c r="I1134" s="2">
        <v>4.5</v>
      </c>
      <c r="J1134" s="4">
        <v>23</v>
      </c>
      <c r="K1134" s="3">
        <v>9</v>
      </c>
      <c r="L1134" s="1">
        <f t="shared" si="51"/>
        <v>128.5823</v>
      </c>
      <c r="M1134" t="str" cm="1">
        <f t="array" ref="M1134">_xlfn.IFS(B1134&lt;18,"Under 18",B1134 &lt;=25,"18-25",B1134&lt;=35,"26-35",B1134&lt;=45,"36-45",B1134&lt;=60,"46-60",TRUE,"60+")</f>
        <v>46-60</v>
      </c>
      <c r="N1134" t="str">
        <f t="shared" si="52"/>
        <v>Discounted</v>
      </c>
      <c r="O1134" t="str">
        <f t="shared" si="53"/>
        <v>Returning</v>
      </c>
    </row>
    <row r="1135" spans="1:15" x14ac:dyDescent="0.25">
      <c r="A1135">
        <v>1134</v>
      </c>
      <c r="B1135">
        <v>50</v>
      </c>
      <c r="C1135" t="s">
        <v>16</v>
      </c>
      <c r="D1135" t="s">
        <v>27</v>
      </c>
      <c r="E1135" t="s">
        <v>28</v>
      </c>
      <c r="F1135" s="1">
        <v>1790.31</v>
      </c>
      <c r="G1135" t="s">
        <v>31</v>
      </c>
      <c r="H1135" t="s">
        <v>15</v>
      </c>
      <c r="I1135" s="2">
        <v>2.7</v>
      </c>
      <c r="J1135" s="4">
        <v>18</v>
      </c>
      <c r="K1135" s="3">
        <v>4</v>
      </c>
      <c r="L1135" s="1">
        <f t="shared" si="51"/>
        <v>1468.0542</v>
      </c>
      <c r="M1135" t="str" cm="1">
        <f t="array" ref="M1135">_xlfn.IFS(B1135&lt;18,"Under 18",B1135 &lt;=25,"18-25",B1135&lt;=35,"26-35",B1135&lt;=45,"36-45",B1135&lt;=60,"46-60",TRUE,"60+")</f>
        <v>46-60</v>
      </c>
      <c r="N1135" t="str">
        <f t="shared" si="52"/>
        <v>Discounted</v>
      </c>
      <c r="O1135" t="str">
        <f t="shared" si="53"/>
        <v>Returning</v>
      </c>
    </row>
    <row r="1136" spans="1:15" x14ac:dyDescent="0.25">
      <c r="A1136">
        <v>1135</v>
      </c>
      <c r="B1136">
        <v>43</v>
      </c>
      <c r="C1136" t="s">
        <v>16</v>
      </c>
      <c r="D1136" t="s">
        <v>20</v>
      </c>
      <c r="E1136" t="s">
        <v>21</v>
      </c>
      <c r="F1136" s="1">
        <v>86.47</v>
      </c>
      <c r="G1136" t="s">
        <v>24</v>
      </c>
      <c r="H1136" t="s">
        <v>15</v>
      </c>
      <c r="I1136" s="2">
        <v>3</v>
      </c>
      <c r="J1136" s="4">
        <v>25</v>
      </c>
      <c r="K1136" s="3">
        <v>10</v>
      </c>
      <c r="L1136" s="1">
        <f t="shared" si="51"/>
        <v>64.852499999999992</v>
      </c>
      <c r="M1136" t="str" cm="1">
        <f t="array" ref="M1136">_xlfn.IFS(B1136&lt;18,"Under 18",B1136 &lt;=25,"18-25",B1136&lt;=35,"26-35",B1136&lt;=45,"36-45",B1136&lt;=60,"46-60",TRUE,"60+")</f>
        <v>36-45</v>
      </c>
      <c r="N1136" t="str">
        <f t="shared" si="52"/>
        <v>Discounted</v>
      </c>
      <c r="O1136" t="str">
        <f t="shared" si="53"/>
        <v>Returning</v>
      </c>
    </row>
    <row r="1137" spans="1:15" x14ac:dyDescent="0.25">
      <c r="A1137">
        <v>1136</v>
      </c>
      <c r="B1137">
        <v>41</v>
      </c>
      <c r="C1137" t="s">
        <v>11</v>
      </c>
      <c r="D1137" t="s">
        <v>33</v>
      </c>
      <c r="E1137" t="s">
        <v>40</v>
      </c>
      <c r="F1137" s="1">
        <v>215.58</v>
      </c>
      <c r="G1137" t="s">
        <v>14</v>
      </c>
      <c r="H1137" t="s">
        <v>15</v>
      </c>
      <c r="I1137" s="2">
        <v>4.0999999999999996</v>
      </c>
      <c r="J1137" s="4">
        <v>21</v>
      </c>
      <c r="K1137" s="3">
        <v>8</v>
      </c>
      <c r="L1137" s="1">
        <f t="shared" si="51"/>
        <v>170.30820000000003</v>
      </c>
      <c r="M1137" t="str" cm="1">
        <f t="array" ref="M1137">_xlfn.IFS(B1137&lt;18,"Under 18",B1137 &lt;=25,"18-25",B1137&lt;=35,"26-35",B1137&lt;=45,"36-45",B1137&lt;=60,"46-60",TRUE,"60+")</f>
        <v>36-45</v>
      </c>
      <c r="N1137" t="str">
        <f t="shared" si="52"/>
        <v>Discounted</v>
      </c>
      <c r="O1137" t="str">
        <f t="shared" si="53"/>
        <v>Returning</v>
      </c>
    </row>
    <row r="1138" spans="1:15" x14ac:dyDescent="0.25">
      <c r="A1138">
        <v>1137</v>
      </c>
      <c r="B1138">
        <v>52</v>
      </c>
      <c r="C1138" t="s">
        <v>11</v>
      </c>
      <c r="D1138" t="s">
        <v>12</v>
      </c>
      <c r="E1138" t="s">
        <v>50</v>
      </c>
      <c r="F1138" s="1">
        <v>51.85</v>
      </c>
      <c r="G1138" t="s">
        <v>31</v>
      </c>
      <c r="H1138" t="s">
        <v>15</v>
      </c>
      <c r="I1138" s="2">
        <v>3.5</v>
      </c>
      <c r="J1138" s="4">
        <v>20</v>
      </c>
      <c r="K1138" s="3">
        <v>5</v>
      </c>
      <c r="L1138" s="1">
        <f t="shared" si="51"/>
        <v>41.480000000000004</v>
      </c>
      <c r="M1138" t="str" cm="1">
        <f t="array" ref="M1138">_xlfn.IFS(B1138&lt;18,"Under 18",B1138 &lt;=25,"18-25",B1138&lt;=35,"26-35",B1138&lt;=45,"36-45",B1138&lt;=60,"46-60",TRUE,"60+")</f>
        <v>46-60</v>
      </c>
      <c r="N1138" t="str">
        <f t="shared" si="52"/>
        <v>Discounted</v>
      </c>
      <c r="O1138" t="str">
        <f t="shared" si="53"/>
        <v>Returning</v>
      </c>
    </row>
    <row r="1139" spans="1:15" x14ac:dyDescent="0.25">
      <c r="A1139">
        <v>1138</v>
      </c>
      <c r="B1139">
        <v>45</v>
      </c>
      <c r="C1139" t="s">
        <v>16</v>
      </c>
      <c r="D1139" t="s">
        <v>25</v>
      </c>
      <c r="E1139" t="s">
        <v>26</v>
      </c>
      <c r="F1139" s="1">
        <v>13.27</v>
      </c>
      <c r="G1139" t="s">
        <v>31</v>
      </c>
      <c r="H1139" t="s">
        <v>37</v>
      </c>
      <c r="I1139" s="2">
        <v>5</v>
      </c>
      <c r="J1139" s="4">
        <v>24</v>
      </c>
      <c r="K1139" s="3">
        <v>7</v>
      </c>
      <c r="L1139" s="1">
        <f t="shared" si="51"/>
        <v>10.0852</v>
      </c>
      <c r="M1139" t="str" cm="1">
        <f t="array" ref="M1139">_xlfn.IFS(B1139&lt;18,"Under 18",B1139 &lt;=25,"18-25",B1139&lt;=35,"26-35",B1139&lt;=45,"36-45",B1139&lt;=60,"46-60",TRUE,"60+")</f>
        <v>36-45</v>
      </c>
      <c r="N1139" t="str">
        <f t="shared" si="52"/>
        <v>Discounted</v>
      </c>
      <c r="O1139" t="str">
        <f t="shared" si="53"/>
        <v>Returning</v>
      </c>
    </row>
    <row r="1140" spans="1:15" x14ac:dyDescent="0.25">
      <c r="A1140">
        <v>1139</v>
      </c>
      <c r="B1140">
        <v>66</v>
      </c>
      <c r="C1140" t="s">
        <v>16</v>
      </c>
      <c r="D1140" t="s">
        <v>27</v>
      </c>
      <c r="E1140" t="s">
        <v>32</v>
      </c>
      <c r="F1140" s="1">
        <v>1457.42</v>
      </c>
      <c r="G1140" t="s">
        <v>24</v>
      </c>
      <c r="H1140" t="s">
        <v>15</v>
      </c>
      <c r="I1140" s="2">
        <v>2.7</v>
      </c>
      <c r="J1140" s="4">
        <v>11</v>
      </c>
      <c r="K1140" s="3">
        <v>3</v>
      </c>
      <c r="L1140" s="1">
        <f t="shared" si="51"/>
        <v>1297.1038000000001</v>
      </c>
      <c r="M1140" t="str" cm="1">
        <f t="array" ref="M1140">_xlfn.IFS(B1140&lt;18,"Under 18",B1140 &lt;=25,"18-25",B1140&lt;=35,"26-35",B1140&lt;=45,"36-45",B1140&lt;=60,"46-60",TRUE,"60+")</f>
        <v>60+</v>
      </c>
      <c r="N1140" t="str">
        <f t="shared" si="52"/>
        <v>Discounted</v>
      </c>
      <c r="O1140" t="str">
        <f t="shared" si="53"/>
        <v>Returning</v>
      </c>
    </row>
    <row r="1141" spans="1:15" x14ac:dyDescent="0.25">
      <c r="A1141">
        <v>1140</v>
      </c>
      <c r="B1141">
        <v>20</v>
      </c>
      <c r="C1141" t="s">
        <v>16</v>
      </c>
      <c r="D1141" t="s">
        <v>27</v>
      </c>
      <c r="E1141" t="s">
        <v>53</v>
      </c>
      <c r="F1141" s="1">
        <v>1172.26</v>
      </c>
      <c r="G1141" t="s">
        <v>14</v>
      </c>
      <c r="H1141" t="s">
        <v>15</v>
      </c>
      <c r="I1141" s="2">
        <v>2.9</v>
      </c>
      <c r="J1141" s="4">
        <v>14</v>
      </c>
      <c r="K1141" s="3">
        <v>2</v>
      </c>
      <c r="L1141" s="1">
        <f t="shared" si="51"/>
        <v>1008.1436</v>
      </c>
      <c r="M1141" t="str" cm="1">
        <f t="array" ref="M1141">_xlfn.IFS(B1141&lt;18,"Under 18",B1141 &lt;=25,"18-25",B1141&lt;=35,"26-35",B1141&lt;=45,"36-45",B1141&lt;=60,"46-60",TRUE,"60+")</f>
        <v>18-25</v>
      </c>
      <c r="N1141" t="str">
        <f t="shared" si="52"/>
        <v>Discounted</v>
      </c>
      <c r="O1141" t="str">
        <f t="shared" si="53"/>
        <v>Returning</v>
      </c>
    </row>
    <row r="1142" spans="1:15" x14ac:dyDescent="0.25">
      <c r="A1142">
        <v>1141</v>
      </c>
      <c r="B1142">
        <v>48</v>
      </c>
      <c r="C1142" t="s">
        <v>11</v>
      </c>
      <c r="D1142" t="s">
        <v>41</v>
      </c>
      <c r="E1142" t="s">
        <v>46</v>
      </c>
      <c r="F1142" s="1">
        <v>188.55</v>
      </c>
      <c r="G1142" t="s">
        <v>14</v>
      </c>
      <c r="H1142" t="s">
        <v>15</v>
      </c>
      <c r="I1142" s="2">
        <v>4.7</v>
      </c>
      <c r="J1142" s="4">
        <v>13</v>
      </c>
      <c r="K1142" s="3">
        <v>4</v>
      </c>
      <c r="L1142" s="1">
        <f t="shared" si="51"/>
        <v>164.0385</v>
      </c>
      <c r="M1142" t="str" cm="1">
        <f t="array" ref="M1142">_xlfn.IFS(B1142&lt;18,"Under 18",B1142 &lt;=25,"18-25",B1142&lt;=35,"26-35",B1142&lt;=45,"36-45",B1142&lt;=60,"46-60",TRUE,"60+")</f>
        <v>46-60</v>
      </c>
      <c r="N1142" t="str">
        <f t="shared" si="52"/>
        <v>Discounted</v>
      </c>
      <c r="O1142" t="str">
        <f t="shared" si="53"/>
        <v>Returning</v>
      </c>
    </row>
    <row r="1143" spans="1:15" x14ac:dyDescent="0.25">
      <c r="A1143">
        <v>1142</v>
      </c>
      <c r="B1143">
        <v>48</v>
      </c>
      <c r="C1143" t="s">
        <v>11</v>
      </c>
      <c r="D1143" t="s">
        <v>41</v>
      </c>
      <c r="E1143" t="s">
        <v>44</v>
      </c>
      <c r="F1143" s="1">
        <v>188.22</v>
      </c>
      <c r="G1143" t="s">
        <v>24</v>
      </c>
      <c r="H1143" t="s">
        <v>15</v>
      </c>
      <c r="I1143" s="2">
        <v>2.7</v>
      </c>
      <c r="J1143" s="4">
        <v>15</v>
      </c>
      <c r="K1143" s="3">
        <v>5</v>
      </c>
      <c r="L1143" s="1">
        <f t="shared" si="51"/>
        <v>159.98699999999999</v>
      </c>
      <c r="M1143" t="str" cm="1">
        <f t="array" ref="M1143">_xlfn.IFS(B1143&lt;18,"Under 18",B1143 &lt;=25,"18-25",B1143&lt;=35,"26-35",B1143&lt;=45,"36-45",B1143&lt;=60,"46-60",TRUE,"60+")</f>
        <v>46-60</v>
      </c>
      <c r="N1143" t="str">
        <f t="shared" si="52"/>
        <v>Discounted</v>
      </c>
      <c r="O1143" t="str">
        <f t="shared" si="53"/>
        <v>Returning</v>
      </c>
    </row>
    <row r="1144" spans="1:15" x14ac:dyDescent="0.25">
      <c r="A1144">
        <v>1143</v>
      </c>
      <c r="B1144">
        <v>27</v>
      </c>
      <c r="C1144" t="s">
        <v>11</v>
      </c>
      <c r="D1144" t="s">
        <v>41</v>
      </c>
      <c r="E1144" t="s">
        <v>45</v>
      </c>
      <c r="F1144" s="1">
        <v>90.74</v>
      </c>
      <c r="G1144" t="s">
        <v>24</v>
      </c>
      <c r="H1144" t="s">
        <v>37</v>
      </c>
      <c r="I1144" s="2">
        <v>2.8</v>
      </c>
      <c r="J1144" s="4">
        <v>22</v>
      </c>
      <c r="K1144" s="3">
        <v>6</v>
      </c>
      <c r="L1144" s="1">
        <f t="shared" si="51"/>
        <v>70.777199999999993</v>
      </c>
      <c r="M1144" t="str" cm="1">
        <f t="array" ref="M1144">_xlfn.IFS(B1144&lt;18,"Under 18",B1144 &lt;=25,"18-25",B1144&lt;=35,"26-35",B1144&lt;=45,"36-45",B1144&lt;=60,"46-60",TRUE,"60+")</f>
        <v>26-35</v>
      </c>
      <c r="N1144" t="str">
        <f t="shared" si="52"/>
        <v>Discounted</v>
      </c>
      <c r="O1144" t="str">
        <f t="shared" si="53"/>
        <v>Returning</v>
      </c>
    </row>
    <row r="1145" spans="1:15" x14ac:dyDescent="0.25">
      <c r="A1145">
        <v>1144</v>
      </c>
      <c r="B1145">
        <v>59</v>
      </c>
      <c r="C1145" t="s">
        <v>11</v>
      </c>
      <c r="D1145" t="s">
        <v>33</v>
      </c>
      <c r="E1145" t="s">
        <v>34</v>
      </c>
      <c r="F1145" s="1">
        <v>69.569999999999993</v>
      </c>
      <c r="G1145" t="s">
        <v>19</v>
      </c>
      <c r="H1145" t="s">
        <v>37</v>
      </c>
      <c r="I1145" s="2">
        <v>5</v>
      </c>
      <c r="J1145" s="4">
        <v>20</v>
      </c>
      <c r="K1145" s="3">
        <v>5</v>
      </c>
      <c r="L1145" s="1">
        <f t="shared" si="51"/>
        <v>55.655999999999999</v>
      </c>
      <c r="M1145" t="str" cm="1">
        <f t="array" ref="M1145">_xlfn.IFS(B1145&lt;18,"Under 18",B1145 &lt;=25,"18-25",B1145&lt;=35,"26-35",B1145&lt;=45,"36-45",B1145&lt;=60,"46-60",TRUE,"60+")</f>
        <v>46-60</v>
      </c>
      <c r="N1145" t="str">
        <f t="shared" si="52"/>
        <v>Discounted</v>
      </c>
      <c r="O1145" t="str">
        <f t="shared" si="53"/>
        <v>Returning</v>
      </c>
    </row>
    <row r="1146" spans="1:15" x14ac:dyDescent="0.25">
      <c r="A1146">
        <v>1145</v>
      </c>
      <c r="B1146">
        <v>56</v>
      </c>
      <c r="C1146" t="s">
        <v>16</v>
      </c>
      <c r="D1146" t="s">
        <v>27</v>
      </c>
      <c r="E1146" t="s">
        <v>28</v>
      </c>
      <c r="F1146" s="1">
        <v>2953.85</v>
      </c>
      <c r="G1146" t="s">
        <v>24</v>
      </c>
      <c r="H1146" t="s">
        <v>15</v>
      </c>
      <c r="I1146" s="2">
        <v>4.2</v>
      </c>
      <c r="J1146" s="4">
        <v>18</v>
      </c>
      <c r="K1146" s="3">
        <v>4</v>
      </c>
      <c r="L1146" s="1">
        <f t="shared" si="51"/>
        <v>2422.1570000000002</v>
      </c>
      <c r="M1146" t="str" cm="1">
        <f t="array" ref="M1146">_xlfn.IFS(B1146&lt;18,"Under 18",B1146 &lt;=25,"18-25",B1146&lt;=35,"26-35",B1146&lt;=45,"36-45",B1146&lt;=60,"46-60",TRUE,"60+")</f>
        <v>46-60</v>
      </c>
      <c r="N1146" t="str">
        <f t="shared" si="52"/>
        <v>Discounted</v>
      </c>
      <c r="O1146" t="str">
        <f t="shared" si="53"/>
        <v>Returning</v>
      </c>
    </row>
    <row r="1147" spans="1:15" x14ac:dyDescent="0.25">
      <c r="A1147">
        <v>1146</v>
      </c>
      <c r="B1147">
        <v>23</v>
      </c>
      <c r="C1147" t="s">
        <v>16</v>
      </c>
      <c r="D1147" t="s">
        <v>33</v>
      </c>
      <c r="E1147" t="s">
        <v>40</v>
      </c>
      <c r="F1147" s="1">
        <v>224.71</v>
      </c>
      <c r="G1147" t="s">
        <v>24</v>
      </c>
      <c r="H1147" t="s">
        <v>15</v>
      </c>
      <c r="I1147" s="2">
        <v>4.5999999999999996</v>
      </c>
      <c r="J1147" s="4">
        <v>22</v>
      </c>
      <c r="K1147" s="3">
        <v>6</v>
      </c>
      <c r="L1147" s="1">
        <f t="shared" si="51"/>
        <v>175.27380000000002</v>
      </c>
      <c r="M1147" t="str" cm="1">
        <f t="array" ref="M1147">_xlfn.IFS(B1147&lt;18,"Under 18",B1147 &lt;=25,"18-25",B1147&lt;=35,"26-35",B1147&lt;=45,"36-45",B1147&lt;=60,"46-60",TRUE,"60+")</f>
        <v>18-25</v>
      </c>
      <c r="N1147" t="str">
        <f t="shared" si="52"/>
        <v>Discounted</v>
      </c>
      <c r="O1147" t="str">
        <f t="shared" si="53"/>
        <v>Returning</v>
      </c>
    </row>
    <row r="1148" spans="1:15" x14ac:dyDescent="0.25">
      <c r="A1148">
        <v>1147</v>
      </c>
      <c r="B1148">
        <v>32</v>
      </c>
      <c r="C1148" t="s">
        <v>11</v>
      </c>
      <c r="D1148" t="s">
        <v>12</v>
      </c>
      <c r="E1148" t="s">
        <v>56</v>
      </c>
      <c r="F1148" s="1">
        <v>53.71</v>
      </c>
      <c r="G1148" t="s">
        <v>14</v>
      </c>
      <c r="H1148" t="s">
        <v>37</v>
      </c>
      <c r="I1148" s="2">
        <v>3.2</v>
      </c>
      <c r="J1148" s="4">
        <v>21</v>
      </c>
      <c r="K1148" s="3">
        <v>8</v>
      </c>
      <c r="L1148" s="1">
        <f t="shared" si="51"/>
        <v>42.430900000000001</v>
      </c>
      <c r="M1148" t="str" cm="1">
        <f t="array" ref="M1148">_xlfn.IFS(B1148&lt;18,"Under 18",B1148 &lt;=25,"18-25",B1148&lt;=35,"26-35",B1148&lt;=45,"36-45",B1148&lt;=60,"46-60",TRUE,"60+")</f>
        <v>26-35</v>
      </c>
      <c r="N1148" t="str">
        <f t="shared" si="52"/>
        <v>Discounted</v>
      </c>
      <c r="O1148" t="str">
        <f t="shared" si="53"/>
        <v>Returning</v>
      </c>
    </row>
    <row r="1149" spans="1:15" x14ac:dyDescent="0.25">
      <c r="A1149">
        <v>1148</v>
      </c>
      <c r="B1149">
        <v>43</v>
      </c>
      <c r="C1149" t="s">
        <v>11</v>
      </c>
      <c r="D1149" t="s">
        <v>20</v>
      </c>
      <c r="E1149" t="s">
        <v>39</v>
      </c>
      <c r="F1149" s="1">
        <v>38.869999999999997</v>
      </c>
      <c r="G1149" t="s">
        <v>24</v>
      </c>
      <c r="H1149" t="s">
        <v>37</v>
      </c>
      <c r="I1149" s="2">
        <v>4</v>
      </c>
      <c r="J1149" s="4">
        <v>16</v>
      </c>
      <c r="K1149" s="3">
        <v>8</v>
      </c>
      <c r="L1149" s="1">
        <f t="shared" si="51"/>
        <v>32.650799999999997</v>
      </c>
      <c r="M1149" t="str" cm="1">
        <f t="array" ref="M1149">_xlfn.IFS(B1149&lt;18,"Under 18",B1149 &lt;=25,"18-25",B1149&lt;=35,"26-35",B1149&lt;=45,"36-45",B1149&lt;=60,"46-60",TRUE,"60+")</f>
        <v>36-45</v>
      </c>
      <c r="N1149" t="str">
        <f t="shared" si="52"/>
        <v>Discounted</v>
      </c>
      <c r="O1149" t="str">
        <f t="shared" si="53"/>
        <v>Returning</v>
      </c>
    </row>
    <row r="1150" spans="1:15" x14ac:dyDescent="0.25">
      <c r="A1150">
        <v>1149</v>
      </c>
      <c r="B1150">
        <v>55</v>
      </c>
      <c r="C1150" t="s">
        <v>11</v>
      </c>
      <c r="D1150" t="s">
        <v>22</v>
      </c>
      <c r="E1150" t="s">
        <v>23</v>
      </c>
      <c r="F1150" s="1">
        <v>200.15</v>
      </c>
      <c r="G1150" t="s">
        <v>31</v>
      </c>
      <c r="H1150" t="s">
        <v>15</v>
      </c>
      <c r="I1150" s="2">
        <v>4.7</v>
      </c>
      <c r="J1150" s="4">
        <v>26</v>
      </c>
      <c r="K1150" s="3">
        <v>8</v>
      </c>
      <c r="L1150" s="1">
        <f t="shared" si="51"/>
        <v>148.11099999999999</v>
      </c>
      <c r="M1150" t="str" cm="1">
        <f t="array" ref="M1150">_xlfn.IFS(B1150&lt;18,"Under 18",B1150 &lt;=25,"18-25",B1150&lt;=35,"26-35",B1150&lt;=45,"36-45",B1150&lt;=60,"46-60",TRUE,"60+")</f>
        <v>46-60</v>
      </c>
      <c r="N1150" t="str">
        <f t="shared" si="52"/>
        <v>Discounted</v>
      </c>
      <c r="O1150" t="str">
        <f t="shared" si="53"/>
        <v>Returning</v>
      </c>
    </row>
    <row r="1151" spans="1:15" x14ac:dyDescent="0.25">
      <c r="A1151">
        <v>1150</v>
      </c>
      <c r="B1151">
        <v>36</v>
      </c>
      <c r="C1151" t="s">
        <v>11</v>
      </c>
      <c r="D1151" t="s">
        <v>33</v>
      </c>
      <c r="E1151" t="s">
        <v>40</v>
      </c>
      <c r="F1151" s="1">
        <v>207.62</v>
      </c>
      <c r="G1151" t="s">
        <v>31</v>
      </c>
      <c r="H1151" t="s">
        <v>15</v>
      </c>
      <c r="I1151" s="2">
        <v>4</v>
      </c>
      <c r="J1151" s="4">
        <v>21</v>
      </c>
      <c r="K1151" s="3">
        <v>8</v>
      </c>
      <c r="L1151" s="1">
        <f t="shared" si="51"/>
        <v>164.0198</v>
      </c>
      <c r="M1151" t="str" cm="1">
        <f t="array" ref="M1151">_xlfn.IFS(B1151&lt;18,"Under 18",B1151 &lt;=25,"18-25",B1151&lt;=35,"26-35",B1151&lt;=45,"36-45",B1151&lt;=60,"46-60",TRUE,"60+")</f>
        <v>36-45</v>
      </c>
      <c r="N1151" t="str">
        <f t="shared" si="52"/>
        <v>Discounted</v>
      </c>
      <c r="O1151" t="str">
        <f t="shared" si="53"/>
        <v>Returning</v>
      </c>
    </row>
    <row r="1152" spans="1:15" x14ac:dyDescent="0.25">
      <c r="A1152">
        <v>1151</v>
      </c>
      <c r="B1152">
        <v>24</v>
      </c>
      <c r="C1152" t="s">
        <v>16</v>
      </c>
      <c r="D1152" t="s">
        <v>33</v>
      </c>
      <c r="E1152" t="s">
        <v>40</v>
      </c>
      <c r="F1152" s="1">
        <v>221.11</v>
      </c>
      <c r="G1152" t="s">
        <v>31</v>
      </c>
      <c r="H1152" t="s">
        <v>15</v>
      </c>
      <c r="I1152" s="2">
        <v>3.1</v>
      </c>
      <c r="J1152" s="4">
        <v>11</v>
      </c>
      <c r="K1152" s="3">
        <v>3</v>
      </c>
      <c r="L1152" s="1">
        <f t="shared" si="51"/>
        <v>196.78790000000001</v>
      </c>
      <c r="M1152" t="str" cm="1">
        <f t="array" ref="M1152">_xlfn.IFS(B1152&lt;18,"Under 18",B1152 &lt;=25,"18-25",B1152&lt;=35,"26-35",B1152&lt;=45,"36-45",B1152&lt;=60,"46-60",TRUE,"60+")</f>
        <v>18-25</v>
      </c>
      <c r="N1152" t="str">
        <f t="shared" si="52"/>
        <v>Discounted</v>
      </c>
      <c r="O1152" t="str">
        <f t="shared" si="53"/>
        <v>Returning</v>
      </c>
    </row>
    <row r="1153" spans="1:15" x14ac:dyDescent="0.25">
      <c r="A1153">
        <v>1152</v>
      </c>
      <c r="B1153">
        <v>42</v>
      </c>
      <c r="C1153" t="s">
        <v>11</v>
      </c>
      <c r="D1153" t="s">
        <v>41</v>
      </c>
      <c r="E1153" t="s">
        <v>46</v>
      </c>
      <c r="F1153" s="1">
        <v>49.43</v>
      </c>
      <c r="G1153" t="s">
        <v>24</v>
      </c>
      <c r="H1153" t="s">
        <v>37</v>
      </c>
      <c r="I1153" s="2">
        <v>4.9000000000000004</v>
      </c>
      <c r="J1153" s="4">
        <v>8</v>
      </c>
      <c r="K1153" s="3">
        <v>4</v>
      </c>
      <c r="L1153" s="1">
        <f t="shared" si="51"/>
        <v>45.4756</v>
      </c>
      <c r="M1153" t="str" cm="1">
        <f t="array" ref="M1153">_xlfn.IFS(B1153&lt;18,"Under 18",B1153 &lt;=25,"18-25",B1153&lt;=35,"26-35",B1153&lt;=45,"36-45",B1153&lt;=60,"46-60",TRUE,"60+")</f>
        <v>36-45</v>
      </c>
      <c r="N1153" t="str">
        <f t="shared" si="52"/>
        <v>Discounted</v>
      </c>
      <c r="O1153" t="str">
        <f t="shared" si="53"/>
        <v>Returning</v>
      </c>
    </row>
    <row r="1154" spans="1:15" x14ac:dyDescent="0.25">
      <c r="A1154">
        <v>1153</v>
      </c>
      <c r="B1154">
        <v>44</v>
      </c>
      <c r="C1154" t="s">
        <v>16</v>
      </c>
      <c r="D1154" t="s">
        <v>27</v>
      </c>
      <c r="E1154" t="s">
        <v>53</v>
      </c>
      <c r="F1154" s="1">
        <v>1549.6</v>
      </c>
      <c r="G1154" t="s">
        <v>24</v>
      </c>
      <c r="H1154" t="s">
        <v>15</v>
      </c>
      <c r="I1154" s="2">
        <v>3.1</v>
      </c>
      <c r="J1154" s="4">
        <v>14</v>
      </c>
      <c r="K1154" s="3">
        <v>7</v>
      </c>
      <c r="L1154" s="1">
        <f t="shared" si="51"/>
        <v>1332.6559999999999</v>
      </c>
      <c r="M1154" t="str" cm="1">
        <f t="array" ref="M1154">_xlfn.IFS(B1154&lt;18,"Under 18",B1154 &lt;=25,"18-25",B1154&lt;=35,"26-35",B1154&lt;=45,"36-45",B1154&lt;=60,"46-60",TRUE,"60+")</f>
        <v>36-45</v>
      </c>
      <c r="N1154" t="str">
        <f t="shared" si="52"/>
        <v>Discounted</v>
      </c>
      <c r="O1154" t="str">
        <f t="shared" si="53"/>
        <v>Returning</v>
      </c>
    </row>
    <row r="1155" spans="1:15" x14ac:dyDescent="0.25">
      <c r="A1155">
        <v>1154</v>
      </c>
      <c r="B1155">
        <v>48</v>
      </c>
      <c r="C1155" t="s">
        <v>11</v>
      </c>
      <c r="D1155" t="s">
        <v>33</v>
      </c>
      <c r="E1155" t="s">
        <v>40</v>
      </c>
      <c r="F1155" s="1">
        <v>113.07</v>
      </c>
      <c r="G1155" t="s">
        <v>14</v>
      </c>
      <c r="H1155" t="s">
        <v>15</v>
      </c>
      <c r="I1155" s="2">
        <v>2.5</v>
      </c>
      <c r="J1155" s="4">
        <v>9</v>
      </c>
      <c r="K1155" s="3">
        <v>2</v>
      </c>
      <c r="L1155" s="1">
        <f t="shared" ref="L1155:L1218" si="54">F1155 * (1 - J1155 / 100)</f>
        <v>102.8937</v>
      </c>
      <c r="M1155" t="str" cm="1">
        <f t="array" ref="M1155">_xlfn.IFS(B1155&lt;18,"Under 18",B1155 &lt;=25,"18-25",B1155&lt;=35,"26-35",B1155&lt;=45,"36-45",B1155&lt;=60,"46-60",TRUE,"60+")</f>
        <v>46-60</v>
      </c>
      <c r="N1155" t="str">
        <f t="shared" ref="N1155:N1218" si="55">IF(J1155&gt;0,"Discounted","No Discount")</f>
        <v>Discounted</v>
      </c>
      <c r="O1155" t="str">
        <f t="shared" ref="O1155:O1218" si="56">IF(K1155&gt;0,"Returning","New")</f>
        <v>Returning</v>
      </c>
    </row>
    <row r="1156" spans="1:15" x14ac:dyDescent="0.25">
      <c r="A1156">
        <v>1155</v>
      </c>
      <c r="B1156">
        <v>52</v>
      </c>
      <c r="C1156" t="s">
        <v>11</v>
      </c>
      <c r="D1156" t="s">
        <v>29</v>
      </c>
      <c r="E1156" t="s">
        <v>51</v>
      </c>
      <c r="F1156" s="1">
        <v>53.48</v>
      </c>
      <c r="G1156" t="s">
        <v>31</v>
      </c>
      <c r="H1156" t="s">
        <v>37</v>
      </c>
      <c r="I1156" s="2">
        <v>5</v>
      </c>
      <c r="J1156" s="4">
        <v>12</v>
      </c>
      <c r="K1156" s="3">
        <v>6</v>
      </c>
      <c r="L1156" s="1">
        <f t="shared" si="54"/>
        <v>47.062399999999997</v>
      </c>
      <c r="M1156" t="str" cm="1">
        <f t="array" ref="M1156">_xlfn.IFS(B1156&lt;18,"Under 18",B1156 &lt;=25,"18-25",B1156&lt;=35,"26-35",B1156&lt;=45,"36-45",B1156&lt;=60,"46-60",TRUE,"60+")</f>
        <v>46-60</v>
      </c>
      <c r="N1156" t="str">
        <f t="shared" si="55"/>
        <v>Discounted</v>
      </c>
      <c r="O1156" t="str">
        <f t="shared" si="56"/>
        <v>Returning</v>
      </c>
    </row>
    <row r="1157" spans="1:15" x14ac:dyDescent="0.25">
      <c r="A1157">
        <v>1156</v>
      </c>
      <c r="B1157">
        <v>56</v>
      </c>
      <c r="C1157" t="s">
        <v>16</v>
      </c>
      <c r="D1157" t="s">
        <v>17</v>
      </c>
      <c r="E1157" t="s">
        <v>35</v>
      </c>
      <c r="F1157" s="1">
        <v>75.17</v>
      </c>
      <c r="G1157" t="s">
        <v>19</v>
      </c>
      <c r="H1157" t="s">
        <v>37</v>
      </c>
      <c r="I1157" s="2">
        <v>3.7</v>
      </c>
      <c r="J1157" s="4">
        <v>8</v>
      </c>
      <c r="K1157" s="3">
        <v>4</v>
      </c>
      <c r="L1157" s="1">
        <f t="shared" si="54"/>
        <v>69.156400000000005</v>
      </c>
      <c r="M1157" t="str" cm="1">
        <f t="array" ref="M1157">_xlfn.IFS(B1157&lt;18,"Under 18",B1157 &lt;=25,"18-25",B1157&lt;=35,"26-35",B1157&lt;=45,"36-45",B1157&lt;=60,"46-60",TRUE,"60+")</f>
        <v>46-60</v>
      </c>
      <c r="N1157" t="str">
        <f t="shared" si="55"/>
        <v>Discounted</v>
      </c>
      <c r="O1157" t="str">
        <f t="shared" si="56"/>
        <v>Returning</v>
      </c>
    </row>
    <row r="1158" spans="1:15" x14ac:dyDescent="0.25">
      <c r="A1158">
        <v>1157</v>
      </c>
      <c r="B1158">
        <v>33</v>
      </c>
      <c r="C1158" t="s">
        <v>11</v>
      </c>
      <c r="D1158" t="s">
        <v>12</v>
      </c>
      <c r="E1158" t="s">
        <v>56</v>
      </c>
      <c r="F1158" s="1">
        <v>166.03</v>
      </c>
      <c r="G1158" t="s">
        <v>19</v>
      </c>
      <c r="H1158" t="s">
        <v>15</v>
      </c>
      <c r="I1158" s="2">
        <v>3.8</v>
      </c>
      <c r="J1158" s="4">
        <v>16</v>
      </c>
      <c r="K1158" s="3">
        <v>8</v>
      </c>
      <c r="L1158" s="1">
        <f t="shared" si="54"/>
        <v>139.46519999999998</v>
      </c>
      <c r="M1158" t="str" cm="1">
        <f t="array" ref="M1158">_xlfn.IFS(B1158&lt;18,"Under 18",B1158 &lt;=25,"18-25",B1158&lt;=35,"26-35",B1158&lt;=45,"36-45",B1158&lt;=60,"46-60",TRUE,"60+")</f>
        <v>26-35</v>
      </c>
      <c r="N1158" t="str">
        <f t="shared" si="55"/>
        <v>Discounted</v>
      </c>
      <c r="O1158" t="str">
        <f t="shared" si="56"/>
        <v>Returning</v>
      </c>
    </row>
    <row r="1159" spans="1:15" x14ac:dyDescent="0.25">
      <c r="A1159">
        <v>1158</v>
      </c>
      <c r="B1159">
        <v>58</v>
      </c>
      <c r="C1159" t="s">
        <v>16</v>
      </c>
      <c r="D1159" t="s">
        <v>17</v>
      </c>
      <c r="E1159" t="s">
        <v>18</v>
      </c>
      <c r="F1159" s="1">
        <v>103.75</v>
      </c>
      <c r="G1159" t="s">
        <v>14</v>
      </c>
      <c r="H1159" t="s">
        <v>15</v>
      </c>
      <c r="I1159" s="2">
        <v>3.4</v>
      </c>
      <c r="J1159" s="4">
        <v>17</v>
      </c>
      <c r="K1159" s="3">
        <v>6</v>
      </c>
      <c r="L1159" s="1">
        <f t="shared" si="54"/>
        <v>86.112499999999997</v>
      </c>
      <c r="M1159" t="str" cm="1">
        <f t="array" ref="M1159">_xlfn.IFS(B1159&lt;18,"Under 18",B1159 &lt;=25,"18-25",B1159&lt;=35,"26-35",B1159&lt;=45,"36-45",B1159&lt;=60,"46-60",TRUE,"60+")</f>
        <v>46-60</v>
      </c>
      <c r="N1159" t="str">
        <f t="shared" si="55"/>
        <v>Discounted</v>
      </c>
      <c r="O1159" t="str">
        <f t="shared" si="56"/>
        <v>Returning</v>
      </c>
    </row>
    <row r="1160" spans="1:15" x14ac:dyDescent="0.25">
      <c r="A1160">
        <v>1159</v>
      </c>
      <c r="B1160">
        <v>31</v>
      </c>
      <c r="C1160" t="s">
        <v>11</v>
      </c>
      <c r="D1160" t="s">
        <v>12</v>
      </c>
      <c r="E1160" t="s">
        <v>13</v>
      </c>
      <c r="F1160" s="1">
        <v>45.34</v>
      </c>
      <c r="G1160" t="s">
        <v>31</v>
      </c>
      <c r="H1160" t="s">
        <v>37</v>
      </c>
      <c r="I1160" s="2">
        <v>3.2</v>
      </c>
      <c r="J1160" s="4">
        <v>20</v>
      </c>
      <c r="K1160" s="3">
        <v>10</v>
      </c>
      <c r="L1160" s="1">
        <f t="shared" si="54"/>
        <v>36.272000000000006</v>
      </c>
      <c r="M1160" t="str" cm="1">
        <f t="array" ref="M1160">_xlfn.IFS(B1160&lt;18,"Under 18",B1160 &lt;=25,"18-25",B1160&lt;=35,"26-35",B1160&lt;=45,"36-45",B1160&lt;=60,"46-60",TRUE,"60+")</f>
        <v>26-35</v>
      </c>
      <c r="N1160" t="str">
        <f t="shared" si="55"/>
        <v>Discounted</v>
      </c>
      <c r="O1160" t="str">
        <f t="shared" si="56"/>
        <v>Returning</v>
      </c>
    </row>
    <row r="1161" spans="1:15" x14ac:dyDescent="0.25">
      <c r="A1161">
        <v>1160</v>
      </c>
      <c r="B1161">
        <v>41</v>
      </c>
      <c r="C1161" t="s">
        <v>16</v>
      </c>
      <c r="D1161" t="s">
        <v>17</v>
      </c>
      <c r="E1161" t="s">
        <v>48</v>
      </c>
      <c r="F1161" s="1">
        <v>122.83</v>
      </c>
      <c r="G1161" t="s">
        <v>24</v>
      </c>
      <c r="H1161" t="s">
        <v>15</v>
      </c>
      <c r="I1161" s="2">
        <v>3.7</v>
      </c>
      <c r="J1161" s="4">
        <v>22</v>
      </c>
      <c r="K1161" s="3">
        <v>6</v>
      </c>
      <c r="L1161" s="1">
        <f t="shared" si="54"/>
        <v>95.807400000000001</v>
      </c>
      <c r="M1161" t="str" cm="1">
        <f t="array" ref="M1161">_xlfn.IFS(B1161&lt;18,"Under 18",B1161 &lt;=25,"18-25",B1161&lt;=35,"26-35",B1161&lt;=45,"36-45",B1161&lt;=60,"46-60",TRUE,"60+")</f>
        <v>36-45</v>
      </c>
      <c r="N1161" t="str">
        <f t="shared" si="55"/>
        <v>Discounted</v>
      </c>
      <c r="O1161" t="str">
        <f t="shared" si="56"/>
        <v>Returning</v>
      </c>
    </row>
    <row r="1162" spans="1:15" x14ac:dyDescent="0.25">
      <c r="A1162">
        <v>1161</v>
      </c>
      <c r="B1162">
        <v>65</v>
      </c>
      <c r="C1162" t="s">
        <v>16</v>
      </c>
      <c r="D1162" t="s">
        <v>33</v>
      </c>
      <c r="E1162" t="s">
        <v>34</v>
      </c>
      <c r="F1162" s="1">
        <v>77.34</v>
      </c>
      <c r="G1162" t="s">
        <v>31</v>
      </c>
      <c r="H1162" t="s">
        <v>37</v>
      </c>
      <c r="I1162" s="2">
        <v>4.8</v>
      </c>
      <c r="J1162" s="4">
        <v>6</v>
      </c>
      <c r="K1162" s="3">
        <v>3</v>
      </c>
      <c r="L1162" s="1">
        <f t="shared" si="54"/>
        <v>72.699600000000004</v>
      </c>
      <c r="M1162" t="str" cm="1">
        <f t="array" ref="M1162">_xlfn.IFS(B1162&lt;18,"Under 18",B1162 &lt;=25,"18-25",B1162&lt;=35,"26-35",B1162&lt;=45,"36-45",B1162&lt;=60,"46-60",TRUE,"60+")</f>
        <v>60+</v>
      </c>
      <c r="N1162" t="str">
        <f t="shared" si="55"/>
        <v>Discounted</v>
      </c>
      <c r="O1162" t="str">
        <f t="shared" si="56"/>
        <v>Returning</v>
      </c>
    </row>
    <row r="1163" spans="1:15" x14ac:dyDescent="0.25">
      <c r="A1163">
        <v>1162</v>
      </c>
      <c r="B1163">
        <v>46</v>
      </c>
      <c r="C1163" t="s">
        <v>16</v>
      </c>
      <c r="D1163" t="s">
        <v>27</v>
      </c>
      <c r="E1163" t="s">
        <v>49</v>
      </c>
      <c r="F1163" s="1">
        <v>2424.09</v>
      </c>
      <c r="G1163" t="s">
        <v>24</v>
      </c>
      <c r="H1163" t="s">
        <v>15</v>
      </c>
      <c r="I1163" s="2">
        <v>3.6</v>
      </c>
      <c r="J1163" s="4">
        <v>18</v>
      </c>
      <c r="K1163" s="3">
        <v>4</v>
      </c>
      <c r="L1163" s="1">
        <f t="shared" si="54"/>
        <v>1987.7538000000002</v>
      </c>
      <c r="M1163" t="str" cm="1">
        <f t="array" ref="M1163">_xlfn.IFS(B1163&lt;18,"Under 18",B1163 &lt;=25,"18-25",B1163&lt;=35,"26-35",B1163&lt;=45,"36-45",B1163&lt;=60,"46-60",TRUE,"60+")</f>
        <v>46-60</v>
      </c>
      <c r="N1163" t="str">
        <f t="shared" si="55"/>
        <v>Discounted</v>
      </c>
      <c r="O1163" t="str">
        <f t="shared" si="56"/>
        <v>Returning</v>
      </c>
    </row>
    <row r="1164" spans="1:15" x14ac:dyDescent="0.25">
      <c r="A1164">
        <v>1163</v>
      </c>
      <c r="B1164">
        <v>30</v>
      </c>
      <c r="C1164" t="s">
        <v>16</v>
      </c>
      <c r="D1164" t="s">
        <v>25</v>
      </c>
      <c r="E1164" t="s">
        <v>54</v>
      </c>
      <c r="F1164" s="1">
        <v>25.43</v>
      </c>
      <c r="G1164" t="s">
        <v>19</v>
      </c>
      <c r="H1164" t="s">
        <v>37</v>
      </c>
      <c r="I1164" s="2">
        <v>4.3</v>
      </c>
      <c r="J1164" s="4">
        <v>6</v>
      </c>
      <c r="K1164" s="3">
        <v>3</v>
      </c>
      <c r="L1164" s="1">
        <f t="shared" si="54"/>
        <v>23.904199999999999</v>
      </c>
      <c r="M1164" t="str" cm="1">
        <f t="array" ref="M1164">_xlfn.IFS(B1164&lt;18,"Under 18",B1164 &lt;=25,"18-25",B1164&lt;=35,"26-35",B1164&lt;=45,"36-45",B1164&lt;=60,"46-60",TRUE,"60+")</f>
        <v>26-35</v>
      </c>
      <c r="N1164" t="str">
        <f t="shared" si="55"/>
        <v>Discounted</v>
      </c>
      <c r="O1164" t="str">
        <f t="shared" si="56"/>
        <v>Returning</v>
      </c>
    </row>
    <row r="1165" spans="1:15" x14ac:dyDescent="0.25">
      <c r="A1165">
        <v>1164</v>
      </c>
      <c r="B1165">
        <v>62</v>
      </c>
      <c r="C1165" t="s">
        <v>16</v>
      </c>
      <c r="D1165" t="s">
        <v>27</v>
      </c>
      <c r="E1165" t="s">
        <v>53</v>
      </c>
      <c r="F1165" s="1">
        <v>603.16999999999996</v>
      </c>
      <c r="G1165" t="s">
        <v>19</v>
      </c>
      <c r="H1165" t="s">
        <v>15</v>
      </c>
      <c r="I1165" s="2">
        <v>2.9</v>
      </c>
      <c r="J1165" s="4">
        <v>16</v>
      </c>
      <c r="K1165" s="3">
        <v>8</v>
      </c>
      <c r="L1165" s="1">
        <f t="shared" si="54"/>
        <v>506.66279999999995</v>
      </c>
      <c r="M1165" t="str" cm="1">
        <f t="array" ref="M1165">_xlfn.IFS(B1165&lt;18,"Under 18",B1165 &lt;=25,"18-25",B1165&lt;=35,"26-35",B1165&lt;=45,"36-45",B1165&lt;=60,"46-60",TRUE,"60+")</f>
        <v>60+</v>
      </c>
      <c r="N1165" t="str">
        <f t="shared" si="55"/>
        <v>Discounted</v>
      </c>
      <c r="O1165" t="str">
        <f t="shared" si="56"/>
        <v>Returning</v>
      </c>
    </row>
    <row r="1166" spans="1:15" x14ac:dyDescent="0.25">
      <c r="A1166">
        <v>1165</v>
      </c>
      <c r="B1166">
        <v>22</v>
      </c>
      <c r="C1166" t="s">
        <v>11</v>
      </c>
      <c r="D1166" t="s">
        <v>29</v>
      </c>
      <c r="E1166" t="s">
        <v>30</v>
      </c>
      <c r="F1166" s="1">
        <v>80.91</v>
      </c>
      <c r="G1166" t="s">
        <v>14</v>
      </c>
      <c r="H1166" t="s">
        <v>15</v>
      </c>
      <c r="I1166" s="2">
        <v>5</v>
      </c>
      <c r="J1166" s="4">
        <v>20</v>
      </c>
      <c r="K1166" s="3">
        <v>5</v>
      </c>
      <c r="L1166" s="1">
        <f t="shared" si="54"/>
        <v>64.727999999999994</v>
      </c>
      <c r="M1166" t="str" cm="1">
        <f t="array" ref="M1166">_xlfn.IFS(B1166&lt;18,"Under 18",B1166 &lt;=25,"18-25",B1166&lt;=35,"26-35",B1166&lt;=45,"36-45",B1166&lt;=60,"46-60",TRUE,"60+")</f>
        <v>18-25</v>
      </c>
      <c r="N1166" t="str">
        <f t="shared" si="55"/>
        <v>Discounted</v>
      </c>
      <c r="O1166" t="str">
        <f t="shared" si="56"/>
        <v>Returning</v>
      </c>
    </row>
    <row r="1167" spans="1:15" x14ac:dyDescent="0.25">
      <c r="A1167">
        <v>1166</v>
      </c>
      <c r="B1167">
        <v>22</v>
      </c>
      <c r="C1167" t="s">
        <v>16</v>
      </c>
      <c r="D1167" t="s">
        <v>27</v>
      </c>
      <c r="E1167" t="s">
        <v>28</v>
      </c>
      <c r="F1167" s="1">
        <v>542.16</v>
      </c>
      <c r="G1167" t="s">
        <v>14</v>
      </c>
      <c r="H1167" t="s">
        <v>15</v>
      </c>
      <c r="I1167" s="2">
        <v>3.5</v>
      </c>
      <c r="J1167" s="4">
        <v>9</v>
      </c>
      <c r="K1167" s="3">
        <v>2</v>
      </c>
      <c r="L1167" s="1">
        <f t="shared" si="54"/>
        <v>493.36559999999997</v>
      </c>
      <c r="M1167" t="str" cm="1">
        <f t="array" ref="M1167">_xlfn.IFS(B1167&lt;18,"Under 18",B1167 &lt;=25,"18-25",B1167&lt;=35,"26-35",B1167&lt;=45,"36-45",B1167&lt;=60,"46-60",TRUE,"60+")</f>
        <v>18-25</v>
      </c>
      <c r="N1167" t="str">
        <f t="shared" si="55"/>
        <v>Discounted</v>
      </c>
      <c r="O1167" t="str">
        <f t="shared" si="56"/>
        <v>Returning</v>
      </c>
    </row>
    <row r="1168" spans="1:15" x14ac:dyDescent="0.25">
      <c r="A1168">
        <v>1167</v>
      </c>
      <c r="B1168">
        <v>51</v>
      </c>
      <c r="C1168" t="s">
        <v>16</v>
      </c>
      <c r="D1168" t="s">
        <v>27</v>
      </c>
      <c r="E1168" t="s">
        <v>49</v>
      </c>
      <c r="F1168" s="1">
        <v>1413.04</v>
      </c>
      <c r="G1168" t="s">
        <v>14</v>
      </c>
      <c r="H1168" t="s">
        <v>15</v>
      </c>
      <c r="I1168" s="2">
        <v>3.3</v>
      </c>
      <c r="J1168" s="4">
        <v>13</v>
      </c>
      <c r="K1168" s="3">
        <v>4</v>
      </c>
      <c r="L1168" s="1">
        <f t="shared" si="54"/>
        <v>1229.3447999999999</v>
      </c>
      <c r="M1168" t="str" cm="1">
        <f t="array" ref="M1168">_xlfn.IFS(B1168&lt;18,"Under 18",B1168 &lt;=25,"18-25",B1168&lt;=35,"26-35",B1168&lt;=45,"36-45",B1168&lt;=60,"46-60",TRUE,"60+")</f>
        <v>46-60</v>
      </c>
      <c r="N1168" t="str">
        <f t="shared" si="55"/>
        <v>Discounted</v>
      </c>
      <c r="O1168" t="str">
        <f t="shared" si="56"/>
        <v>Returning</v>
      </c>
    </row>
    <row r="1169" spans="1:15" x14ac:dyDescent="0.25">
      <c r="A1169">
        <v>1168</v>
      </c>
      <c r="B1169">
        <v>37</v>
      </c>
      <c r="C1169" t="s">
        <v>11</v>
      </c>
      <c r="D1169" t="s">
        <v>25</v>
      </c>
      <c r="E1169" t="s">
        <v>26</v>
      </c>
      <c r="F1169" s="1">
        <v>47.92</v>
      </c>
      <c r="G1169" t="s">
        <v>31</v>
      </c>
      <c r="H1169" t="s">
        <v>37</v>
      </c>
      <c r="I1169" s="2">
        <v>3.9</v>
      </c>
      <c r="J1169" s="4">
        <v>20</v>
      </c>
      <c r="K1169" s="3">
        <v>5</v>
      </c>
      <c r="L1169" s="1">
        <f t="shared" si="54"/>
        <v>38.336000000000006</v>
      </c>
      <c r="M1169" t="str" cm="1">
        <f t="array" ref="M1169">_xlfn.IFS(B1169&lt;18,"Under 18",B1169 &lt;=25,"18-25",B1169&lt;=35,"26-35",B1169&lt;=45,"36-45",B1169&lt;=60,"46-60",TRUE,"60+")</f>
        <v>36-45</v>
      </c>
      <c r="N1169" t="str">
        <f t="shared" si="55"/>
        <v>Discounted</v>
      </c>
      <c r="O1169" t="str">
        <f t="shared" si="56"/>
        <v>Returning</v>
      </c>
    </row>
    <row r="1170" spans="1:15" x14ac:dyDescent="0.25">
      <c r="A1170">
        <v>1169</v>
      </c>
      <c r="B1170">
        <v>59</v>
      </c>
      <c r="C1170" t="s">
        <v>11</v>
      </c>
      <c r="D1170" t="s">
        <v>12</v>
      </c>
      <c r="E1170" t="s">
        <v>56</v>
      </c>
      <c r="F1170" s="1">
        <v>93.12</v>
      </c>
      <c r="G1170" t="s">
        <v>31</v>
      </c>
      <c r="H1170" t="s">
        <v>37</v>
      </c>
      <c r="I1170" s="2">
        <v>4.2</v>
      </c>
      <c r="J1170" s="4">
        <v>22</v>
      </c>
      <c r="K1170" s="3">
        <v>6</v>
      </c>
      <c r="L1170" s="1">
        <f t="shared" si="54"/>
        <v>72.633600000000001</v>
      </c>
      <c r="M1170" t="str" cm="1">
        <f t="array" ref="M1170">_xlfn.IFS(B1170&lt;18,"Under 18",B1170 &lt;=25,"18-25",B1170&lt;=35,"26-35",B1170&lt;=45,"36-45",B1170&lt;=60,"46-60",TRUE,"60+")</f>
        <v>46-60</v>
      </c>
      <c r="N1170" t="str">
        <f t="shared" si="55"/>
        <v>Discounted</v>
      </c>
      <c r="O1170" t="str">
        <f t="shared" si="56"/>
        <v>Returning</v>
      </c>
    </row>
    <row r="1171" spans="1:15" x14ac:dyDescent="0.25">
      <c r="A1171">
        <v>1170</v>
      </c>
      <c r="B1171">
        <v>48</v>
      </c>
      <c r="C1171" t="s">
        <v>11</v>
      </c>
      <c r="D1171" t="s">
        <v>20</v>
      </c>
      <c r="E1171" t="s">
        <v>21</v>
      </c>
      <c r="F1171" s="1">
        <v>58.09</v>
      </c>
      <c r="G1171" t="s">
        <v>14</v>
      </c>
      <c r="H1171" t="s">
        <v>15</v>
      </c>
      <c r="I1171" s="2">
        <v>3.4</v>
      </c>
      <c r="J1171" s="4">
        <v>11</v>
      </c>
      <c r="K1171" s="3">
        <v>3</v>
      </c>
      <c r="L1171" s="1">
        <f t="shared" si="54"/>
        <v>51.700100000000006</v>
      </c>
      <c r="M1171" t="str" cm="1">
        <f t="array" ref="M1171">_xlfn.IFS(B1171&lt;18,"Under 18",B1171 &lt;=25,"18-25",B1171&lt;=35,"26-35",B1171&lt;=45,"36-45",B1171&lt;=60,"46-60",TRUE,"60+")</f>
        <v>46-60</v>
      </c>
      <c r="N1171" t="str">
        <f t="shared" si="55"/>
        <v>Discounted</v>
      </c>
      <c r="O1171" t="str">
        <f t="shared" si="56"/>
        <v>Returning</v>
      </c>
    </row>
    <row r="1172" spans="1:15" x14ac:dyDescent="0.25">
      <c r="A1172">
        <v>1171</v>
      </c>
      <c r="B1172">
        <v>48</v>
      </c>
      <c r="C1172" t="s">
        <v>16</v>
      </c>
      <c r="D1172" t="s">
        <v>27</v>
      </c>
      <c r="E1172" t="s">
        <v>49</v>
      </c>
      <c r="F1172" s="1">
        <v>1992.41</v>
      </c>
      <c r="G1172" t="s">
        <v>31</v>
      </c>
      <c r="H1172" t="s">
        <v>15</v>
      </c>
      <c r="I1172" s="2">
        <v>4.4000000000000004</v>
      </c>
      <c r="J1172" s="4">
        <v>16</v>
      </c>
      <c r="K1172" s="3">
        <v>3</v>
      </c>
      <c r="L1172" s="1">
        <f t="shared" si="54"/>
        <v>1673.6243999999999</v>
      </c>
      <c r="M1172" t="str" cm="1">
        <f t="array" ref="M1172">_xlfn.IFS(B1172&lt;18,"Under 18",B1172 &lt;=25,"18-25",B1172&lt;=35,"26-35",B1172&lt;=45,"36-45",B1172&lt;=60,"46-60",TRUE,"60+")</f>
        <v>46-60</v>
      </c>
      <c r="N1172" t="str">
        <f t="shared" si="55"/>
        <v>Discounted</v>
      </c>
      <c r="O1172" t="str">
        <f t="shared" si="56"/>
        <v>Returning</v>
      </c>
    </row>
    <row r="1173" spans="1:15" x14ac:dyDescent="0.25">
      <c r="A1173">
        <v>1172</v>
      </c>
      <c r="B1173">
        <v>58</v>
      </c>
      <c r="C1173" t="s">
        <v>16</v>
      </c>
      <c r="D1173" t="s">
        <v>20</v>
      </c>
      <c r="E1173" t="s">
        <v>39</v>
      </c>
      <c r="F1173" s="1">
        <v>137.08000000000001</v>
      </c>
      <c r="G1173" t="s">
        <v>24</v>
      </c>
      <c r="H1173" t="s">
        <v>15</v>
      </c>
      <c r="I1173" s="2">
        <v>3.1</v>
      </c>
      <c r="J1173" s="4">
        <v>28</v>
      </c>
      <c r="K1173" s="3">
        <v>9</v>
      </c>
      <c r="L1173" s="1">
        <f t="shared" si="54"/>
        <v>98.697600000000008</v>
      </c>
      <c r="M1173" t="str" cm="1">
        <f t="array" ref="M1173">_xlfn.IFS(B1173&lt;18,"Under 18",B1173 &lt;=25,"18-25",B1173&lt;=35,"26-35",B1173&lt;=45,"36-45",B1173&lt;=60,"46-60",TRUE,"60+")</f>
        <v>46-60</v>
      </c>
      <c r="N1173" t="str">
        <f t="shared" si="55"/>
        <v>Discounted</v>
      </c>
      <c r="O1173" t="str">
        <f t="shared" si="56"/>
        <v>Returning</v>
      </c>
    </row>
    <row r="1174" spans="1:15" x14ac:dyDescent="0.25">
      <c r="A1174">
        <v>1173</v>
      </c>
      <c r="B1174">
        <v>33</v>
      </c>
      <c r="C1174" t="s">
        <v>16</v>
      </c>
      <c r="D1174" t="s">
        <v>25</v>
      </c>
      <c r="E1174" t="s">
        <v>47</v>
      </c>
      <c r="F1174" s="1">
        <v>7.64</v>
      </c>
      <c r="G1174" t="s">
        <v>19</v>
      </c>
      <c r="H1174" t="s">
        <v>15</v>
      </c>
      <c r="I1174" s="2">
        <v>3.6</v>
      </c>
      <c r="J1174" s="4">
        <v>4</v>
      </c>
      <c r="K1174" s="3">
        <v>2</v>
      </c>
      <c r="L1174" s="1">
        <f t="shared" si="54"/>
        <v>7.3343999999999996</v>
      </c>
      <c r="M1174" t="str" cm="1">
        <f t="array" ref="M1174">_xlfn.IFS(B1174&lt;18,"Under 18",B1174 &lt;=25,"18-25",B1174&lt;=35,"26-35",B1174&lt;=45,"36-45",B1174&lt;=60,"46-60",TRUE,"60+")</f>
        <v>26-35</v>
      </c>
      <c r="N1174" t="str">
        <f t="shared" si="55"/>
        <v>Discounted</v>
      </c>
      <c r="O1174" t="str">
        <f t="shared" si="56"/>
        <v>Returning</v>
      </c>
    </row>
    <row r="1175" spans="1:15" x14ac:dyDescent="0.25">
      <c r="A1175">
        <v>1174</v>
      </c>
      <c r="B1175">
        <v>20</v>
      </c>
      <c r="C1175" t="s">
        <v>16</v>
      </c>
      <c r="D1175" t="s">
        <v>27</v>
      </c>
      <c r="E1175" t="s">
        <v>49</v>
      </c>
      <c r="F1175" s="1">
        <v>1333.64</v>
      </c>
      <c r="G1175" t="s">
        <v>31</v>
      </c>
      <c r="H1175" t="s">
        <v>15</v>
      </c>
      <c r="I1175" s="2">
        <v>2.7</v>
      </c>
      <c r="J1175" s="4">
        <v>10</v>
      </c>
      <c r="K1175" s="3">
        <v>5</v>
      </c>
      <c r="L1175" s="1">
        <f t="shared" si="54"/>
        <v>1200.2760000000001</v>
      </c>
      <c r="M1175" t="str" cm="1">
        <f t="array" ref="M1175">_xlfn.IFS(B1175&lt;18,"Under 18",B1175 &lt;=25,"18-25",B1175&lt;=35,"26-35",B1175&lt;=45,"36-45",B1175&lt;=60,"46-60",TRUE,"60+")</f>
        <v>18-25</v>
      </c>
      <c r="N1175" t="str">
        <f t="shared" si="55"/>
        <v>Discounted</v>
      </c>
      <c r="O1175" t="str">
        <f t="shared" si="56"/>
        <v>Returning</v>
      </c>
    </row>
    <row r="1176" spans="1:15" x14ac:dyDescent="0.25">
      <c r="A1176">
        <v>1175</v>
      </c>
      <c r="B1176">
        <v>23</v>
      </c>
      <c r="C1176" t="s">
        <v>16</v>
      </c>
      <c r="D1176" t="s">
        <v>17</v>
      </c>
      <c r="E1176" t="s">
        <v>48</v>
      </c>
      <c r="F1176" s="1">
        <v>58.77</v>
      </c>
      <c r="G1176" t="s">
        <v>24</v>
      </c>
      <c r="H1176" t="s">
        <v>37</v>
      </c>
      <c r="I1176" s="2">
        <v>3.1</v>
      </c>
      <c r="J1176" s="4">
        <v>10</v>
      </c>
      <c r="K1176" s="3">
        <v>5</v>
      </c>
      <c r="L1176" s="1">
        <f t="shared" si="54"/>
        <v>52.893000000000001</v>
      </c>
      <c r="M1176" t="str" cm="1">
        <f t="array" ref="M1176">_xlfn.IFS(B1176&lt;18,"Under 18",B1176 &lt;=25,"18-25",B1176&lt;=35,"26-35",B1176&lt;=45,"36-45",B1176&lt;=60,"46-60",TRUE,"60+")</f>
        <v>18-25</v>
      </c>
      <c r="N1176" t="str">
        <f t="shared" si="55"/>
        <v>Discounted</v>
      </c>
      <c r="O1176" t="str">
        <f t="shared" si="56"/>
        <v>Returning</v>
      </c>
    </row>
    <row r="1177" spans="1:15" x14ac:dyDescent="0.25">
      <c r="A1177">
        <v>1176</v>
      </c>
      <c r="B1177">
        <v>64</v>
      </c>
      <c r="C1177" t="s">
        <v>11</v>
      </c>
      <c r="D1177" t="s">
        <v>33</v>
      </c>
      <c r="E1177" t="s">
        <v>34</v>
      </c>
      <c r="F1177" s="1">
        <v>42.22</v>
      </c>
      <c r="G1177" t="s">
        <v>19</v>
      </c>
      <c r="H1177" t="s">
        <v>15</v>
      </c>
      <c r="I1177" s="2">
        <v>3.9</v>
      </c>
      <c r="J1177" s="4">
        <v>17</v>
      </c>
      <c r="K1177" s="3">
        <v>6</v>
      </c>
      <c r="L1177" s="1">
        <f t="shared" si="54"/>
        <v>35.0426</v>
      </c>
      <c r="M1177" t="str" cm="1">
        <f t="array" ref="M1177">_xlfn.IFS(B1177&lt;18,"Under 18",B1177 &lt;=25,"18-25",B1177&lt;=35,"26-35",B1177&lt;=45,"36-45",B1177&lt;=60,"46-60",TRUE,"60+")</f>
        <v>60+</v>
      </c>
      <c r="N1177" t="str">
        <f t="shared" si="55"/>
        <v>Discounted</v>
      </c>
      <c r="O1177" t="str">
        <f t="shared" si="56"/>
        <v>Returning</v>
      </c>
    </row>
    <row r="1178" spans="1:15" x14ac:dyDescent="0.25">
      <c r="A1178">
        <v>1177</v>
      </c>
      <c r="B1178">
        <v>66</v>
      </c>
      <c r="C1178" t="s">
        <v>16</v>
      </c>
      <c r="D1178" t="s">
        <v>33</v>
      </c>
      <c r="E1178" t="s">
        <v>34</v>
      </c>
      <c r="F1178" s="1">
        <v>158.22</v>
      </c>
      <c r="G1178" t="s">
        <v>31</v>
      </c>
      <c r="H1178" t="s">
        <v>15</v>
      </c>
      <c r="I1178" s="2">
        <v>2.8</v>
      </c>
      <c r="J1178" s="4">
        <v>11</v>
      </c>
      <c r="K1178" s="3">
        <v>3</v>
      </c>
      <c r="L1178" s="1">
        <f t="shared" si="54"/>
        <v>140.8158</v>
      </c>
      <c r="M1178" t="str" cm="1">
        <f t="array" ref="M1178">_xlfn.IFS(B1178&lt;18,"Under 18",B1178 &lt;=25,"18-25",B1178&lt;=35,"26-35",B1178&lt;=45,"36-45",B1178&lt;=60,"46-60",TRUE,"60+")</f>
        <v>60+</v>
      </c>
      <c r="N1178" t="str">
        <f t="shared" si="55"/>
        <v>Discounted</v>
      </c>
      <c r="O1178" t="str">
        <f t="shared" si="56"/>
        <v>Returning</v>
      </c>
    </row>
    <row r="1179" spans="1:15" x14ac:dyDescent="0.25">
      <c r="A1179">
        <v>1178</v>
      </c>
      <c r="B1179">
        <v>55</v>
      </c>
      <c r="C1179" t="s">
        <v>16</v>
      </c>
      <c r="D1179" t="s">
        <v>33</v>
      </c>
      <c r="E1179" t="s">
        <v>40</v>
      </c>
      <c r="F1179" s="1">
        <v>77.33</v>
      </c>
      <c r="G1179" t="s">
        <v>14</v>
      </c>
      <c r="H1179" t="s">
        <v>37</v>
      </c>
      <c r="I1179" s="2">
        <v>3.6</v>
      </c>
      <c r="J1179" s="4">
        <v>15</v>
      </c>
      <c r="K1179" s="3">
        <v>5</v>
      </c>
      <c r="L1179" s="1">
        <f t="shared" si="54"/>
        <v>65.730499999999992</v>
      </c>
      <c r="M1179" t="str" cm="1">
        <f t="array" ref="M1179">_xlfn.IFS(B1179&lt;18,"Under 18",B1179 &lt;=25,"18-25",B1179&lt;=35,"26-35",B1179&lt;=45,"36-45",B1179&lt;=60,"46-60",TRUE,"60+")</f>
        <v>46-60</v>
      </c>
      <c r="N1179" t="str">
        <f t="shared" si="55"/>
        <v>Discounted</v>
      </c>
      <c r="O1179" t="str">
        <f t="shared" si="56"/>
        <v>Returning</v>
      </c>
    </row>
    <row r="1180" spans="1:15" x14ac:dyDescent="0.25">
      <c r="A1180">
        <v>1179</v>
      </c>
      <c r="B1180">
        <v>29</v>
      </c>
      <c r="C1180" t="s">
        <v>16</v>
      </c>
      <c r="D1180" t="s">
        <v>22</v>
      </c>
      <c r="E1180" t="s">
        <v>23</v>
      </c>
      <c r="F1180" s="1">
        <v>255.41</v>
      </c>
      <c r="G1180" t="s">
        <v>31</v>
      </c>
      <c r="H1180" t="s">
        <v>15</v>
      </c>
      <c r="I1180" s="2">
        <v>4.5999999999999996</v>
      </c>
      <c r="J1180" s="4">
        <v>24</v>
      </c>
      <c r="K1180" s="3">
        <v>7</v>
      </c>
      <c r="L1180" s="1">
        <f t="shared" si="54"/>
        <v>194.11160000000001</v>
      </c>
      <c r="M1180" t="str" cm="1">
        <f t="array" ref="M1180">_xlfn.IFS(B1180&lt;18,"Under 18",B1180 &lt;=25,"18-25",B1180&lt;=35,"26-35",B1180&lt;=45,"36-45",B1180&lt;=60,"46-60",TRUE,"60+")</f>
        <v>26-35</v>
      </c>
      <c r="N1180" t="str">
        <f t="shared" si="55"/>
        <v>Discounted</v>
      </c>
      <c r="O1180" t="str">
        <f t="shared" si="56"/>
        <v>Returning</v>
      </c>
    </row>
    <row r="1181" spans="1:15" x14ac:dyDescent="0.25">
      <c r="A1181">
        <v>1180</v>
      </c>
      <c r="B1181">
        <v>39</v>
      </c>
      <c r="C1181" t="s">
        <v>16</v>
      </c>
      <c r="D1181" t="s">
        <v>20</v>
      </c>
      <c r="E1181" t="s">
        <v>36</v>
      </c>
      <c r="F1181" s="1">
        <v>241.39</v>
      </c>
      <c r="G1181" t="s">
        <v>19</v>
      </c>
      <c r="H1181" t="s">
        <v>15</v>
      </c>
      <c r="I1181" s="2">
        <v>2.1</v>
      </c>
      <c r="J1181" s="4">
        <v>18</v>
      </c>
      <c r="K1181" s="3">
        <v>9</v>
      </c>
      <c r="L1181" s="1">
        <f t="shared" si="54"/>
        <v>197.93979999999999</v>
      </c>
      <c r="M1181" t="str" cm="1">
        <f t="array" ref="M1181">_xlfn.IFS(B1181&lt;18,"Under 18",B1181 &lt;=25,"18-25",B1181&lt;=35,"26-35",B1181&lt;=45,"36-45",B1181&lt;=60,"46-60",TRUE,"60+")</f>
        <v>36-45</v>
      </c>
      <c r="N1181" t="str">
        <f t="shared" si="55"/>
        <v>Discounted</v>
      </c>
      <c r="O1181" t="str">
        <f t="shared" si="56"/>
        <v>Returning</v>
      </c>
    </row>
    <row r="1182" spans="1:15" x14ac:dyDescent="0.25">
      <c r="A1182">
        <v>1181</v>
      </c>
      <c r="B1182">
        <v>67</v>
      </c>
      <c r="C1182" t="s">
        <v>16</v>
      </c>
      <c r="D1182" t="s">
        <v>20</v>
      </c>
      <c r="E1182" t="s">
        <v>39</v>
      </c>
      <c r="F1182" s="1">
        <v>141.33000000000001</v>
      </c>
      <c r="G1182" t="s">
        <v>24</v>
      </c>
      <c r="H1182" t="s">
        <v>15</v>
      </c>
      <c r="I1182" s="2">
        <v>5</v>
      </c>
      <c r="J1182" s="4">
        <v>24</v>
      </c>
      <c r="K1182" s="3">
        <v>7</v>
      </c>
      <c r="L1182" s="1">
        <f t="shared" si="54"/>
        <v>107.41080000000001</v>
      </c>
      <c r="M1182" t="str" cm="1">
        <f t="array" ref="M1182">_xlfn.IFS(B1182&lt;18,"Under 18",B1182 &lt;=25,"18-25",B1182&lt;=35,"26-35",B1182&lt;=45,"36-45",B1182&lt;=60,"46-60",TRUE,"60+")</f>
        <v>60+</v>
      </c>
      <c r="N1182" t="str">
        <f t="shared" si="55"/>
        <v>Discounted</v>
      </c>
      <c r="O1182" t="str">
        <f t="shared" si="56"/>
        <v>Returning</v>
      </c>
    </row>
    <row r="1183" spans="1:15" x14ac:dyDescent="0.25">
      <c r="A1183">
        <v>1182</v>
      </c>
      <c r="B1183">
        <v>29</v>
      </c>
      <c r="C1183" t="s">
        <v>11</v>
      </c>
      <c r="D1183" t="s">
        <v>33</v>
      </c>
      <c r="E1183" t="s">
        <v>40</v>
      </c>
      <c r="F1183" s="1">
        <v>78.349999999999994</v>
      </c>
      <c r="G1183" t="s">
        <v>31</v>
      </c>
      <c r="H1183" t="s">
        <v>37</v>
      </c>
      <c r="I1183" s="2">
        <v>3.8</v>
      </c>
      <c r="J1183" s="4">
        <v>16</v>
      </c>
      <c r="K1183" s="3">
        <v>3</v>
      </c>
      <c r="L1183" s="1">
        <f t="shared" si="54"/>
        <v>65.813999999999993</v>
      </c>
      <c r="M1183" t="str" cm="1">
        <f t="array" ref="M1183">_xlfn.IFS(B1183&lt;18,"Under 18",B1183 &lt;=25,"18-25",B1183&lt;=35,"26-35",B1183&lt;=45,"36-45",B1183&lt;=60,"46-60",TRUE,"60+")</f>
        <v>26-35</v>
      </c>
      <c r="N1183" t="str">
        <f t="shared" si="55"/>
        <v>Discounted</v>
      </c>
      <c r="O1183" t="str">
        <f t="shared" si="56"/>
        <v>Returning</v>
      </c>
    </row>
    <row r="1184" spans="1:15" x14ac:dyDescent="0.25">
      <c r="A1184">
        <v>1183</v>
      </c>
      <c r="B1184">
        <v>30</v>
      </c>
      <c r="C1184" t="s">
        <v>11</v>
      </c>
      <c r="D1184" t="s">
        <v>33</v>
      </c>
      <c r="E1184" t="s">
        <v>34</v>
      </c>
      <c r="F1184" s="1">
        <v>170.77</v>
      </c>
      <c r="G1184" t="s">
        <v>24</v>
      </c>
      <c r="H1184" t="s">
        <v>15</v>
      </c>
      <c r="I1184" s="2">
        <v>4.9000000000000004</v>
      </c>
      <c r="J1184" s="4">
        <v>11</v>
      </c>
      <c r="K1184" s="3">
        <v>3</v>
      </c>
      <c r="L1184" s="1">
        <f t="shared" si="54"/>
        <v>151.98530000000002</v>
      </c>
      <c r="M1184" t="str" cm="1">
        <f t="array" ref="M1184">_xlfn.IFS(B1184&lt;18,"Under 18",B1184 &lt;=25,"18-25",B1184&lt;=35,"26-35",B1184&lt;=45,"36-45",B1184&lt;=60,"46-60",TRUE,"60+")</f>
        <v>26-35</v>
      </c>
      <c r="N1184" t="str">
        <f t="shared" si="55"/>
        <v>Discounted</v>
      </c>
      <c r="O1184" t="str">
        <f t="shared" si="56"/>
        <v>Returning</v>
      </c>
    </row>
    <row r="1185" spans="1:15" x14ac:dyDescent="0.25">
      <c r="A1185">
        <v>1184</v>
      </c>
      <c r="B1185">
        <v>20</v>
      </c>
      <c r="C1185" t="s">
        <v>16</v>
      </c>
      <c r="D1185" t="s">
        <v>33</v>
      </c>
      <c r="E1185" t="s">
        <v>40</v>
      </c>
      <c r="F1185" s="1">
        <v>249.56</v>
      </c>
      <c r="G1185" t="s">
        <v>31</v>
      </c>
      <c r="H1185" t="s">
        <v>15</v>
      </c>
      <c r="I1185" s="2">
        <v>2.4</v>
      </c>
      <c r="J1185" s="4">
        <v>26</v>
      </c>
      <c r="K1185" s="3">
        <v>8</v>
      </c>
      <c r="L1185" s="1">
        <f t="shared" si="54"/>
        <v>184.67439999999999</v>
      </c>
      <c r="M1185" t="str" cm="1">
        <f t="array" ref="M1185">_xlfn.IFS(B1185&lt;18,"Under 18",B1185 &lt;=25,"18-25",B1185&lt;=35,"26-35",B1185&lt;=45,"36-45",B1185&lt;=60,"46-60",TRUE,"60+")</f>
        <v>18-25</v>
      </c>
      <c r="N1185" t="str">
        <f t="shared" si="55"/>
        <v>Discounted</v>
      </c>
      <c r="O1185" t="str">
        <f t="shared" si="56"/>
        <v>Returning</v>
      </c>
    </row>
    <row r="1186" spans="1:15" x14ac:dyDescent="0.25">
      <c r="A1186">
        <v>1185</v>
      </c>
      <c r="B1186">
        <v>44</v>
      </c>
      <c r="C1186" t="s">
        <v>11</v>
      </c>
      <c r="D1186" t="s">
        <v>29</v>
      </c>
      <c r="E1186" t="s">
        <v>55</v>
      </c>
      <c r="F1186" s="1">
        <v>69.64</v>
      </c>
      <c r="G1186" t="s">
        <v>31</v>
      </c>
      <c r="H1186" t="s">
        <v>37</v>
      </c>
      <c r="I1186" s="2">
        <v>2.7</v>
      </c>
      <c r="J1186" s="4">
        <v>10</v>
      </c>
      <c r="K1186" s="3">
        <v>5</v>
      </c>
      <c r="L1186" s="1">
        <f t="shared" si="54"/>
        <v>62.676000000000002</v>
      </c>
      <c r="M1186" t="str" cm="1">
        <f t="array" ref="M1186">_xlfn.IFS(B1186&lt;18,"Under 18",B1186 &lt;=25,"18-25",B1186&lt;=35,"26-35",B1186&lt;=45,"36-45",B1186&lt;=60,"46-60",TRUE,"60+")</f>
        <v>36-45</v>
      </c>
      <c r="N1186" t="str">
        <f t="shared" si="55"/>
        <v>Discounted</v>
      </c>
      <c r="O1186" t="str">
        <f t="shared" si="56"/>
        <v>Returning</v>
      </c>
    </row>
    <row r="1187" spans="1:15" x14ac:dyDescent="0.25">
      <c r="A1187">
        <v>1186</v>
      </c>
      <c r="B1187">
        <v>61</v>
      </c>
      <c r="C1187" t="s">
        <v>16</v>
      </c>
      <c r="D1187" t="s">
        <v>20</v>
      </c>
      <c r="E1187" t="s">
        <v>39</v>
      </c>
      <c r="F1187" s="1">
        <v>31.66</v>
      </c>
      <c r="G1187" t="s">
        <v>24</v>
      </c>
      <c r="H1187" t="s">
        <v>37</v>
      </c>
      <c r="I1187" s="2">
        <v>4</v>
      </c>
      <c r="J1187" s="4">
        <v>20</v>
      </c>
      <c r="K1187" s="3">
        <v>5</v>
      </c>
      <c r="L1187" s="1">
        <f t="shared" si="54"/>
        <v>25.328000000000003</v>
      </c>
      <c r="M1187" t="str" cm="1">
        <f t="array" ref="M1187">_xlfn.IFS(B1187&lt;18,"Under 18",B1187 &lt;=25,"18-25",B1187&lt;=35,"26-35",B1187&lt;=45,"36-45",B1187&lt;=60,"46-60",TRUE,"60+")</f>
        <v>60+</v>
      </c>
      <c r="N1187" t="str">
        <f t="shared" si="55"/>
        <v>Discounted</v>
      </c>
      <c r="O1187" t="str">
        <f t="shared" si="56"/>
        <v>Returning</v>
      </c>
    </row>
    <row r="1188" spans="1:15" x14ac:dyDescent="0.25">
      <c r="A1188">
        <v>1187</v>
      </c>
      <c r="B1188">
        <v>25</v>
      </c>
      <c r="C1188" t="s">
        <v>11</v>
      </c>
      <c r="D1188" t="s">
        <v>29</v>
      </c>
      <c r="E1188" t="s">
        <v>55</v>
      </c>
      <c r="F1188" s="1">
        <v>56.01</v>
      </c>
      <c r="G1188" t="s">
        <v>19</v>
      </c>
      <c r="H1188" t="s">
        <v>37</v>
      </c>
      <c r="I1188" s="2">
        <v>3.1</v>
      </c>
      <c r="J1188" s="4">
        <v>10</v>
      </c>
      <c r="K1188" s="3">
        <v>5</v>
      </c>
      <c r="L1188" s="1">
        <f t="shared" si="54"/>
        <v>50.408999999999999</v>
      </c>
      <c r="M1188" t="str" cm="1">
        <f t="array" ref="M1188">_xlfn.IFS(B1188&lt;18,"Under 18",B1188 &lt;=25,"18-25",B1188&lt;=35,"26-35",B1188&lt;=45,"36-45",B1188&lt;=60,"46-60",TRUE,"60+")</f>
        <v>18-25</v>
      </c>
      <c r="N1188" t="str">
        <f t="shared" si="55"/>
        <v>Discounted</v>
      </c>
      <c r="O1188" t="str">
        <f t="shared" si="56"/>
        <v>Returning</v>
      </c>
    </row>
    <row r="1189" spans="1:15" x14ac:dyDescent="0.25">
      <c r="A1189">
        <v>1188</v>
      </c>
      <c r="B1189">
        <v>57</v>
      </c>
      <c r="C1189" t="s">
        <v>16</v>
      </c>
      <c r="D1189" t="s">
        <v>33</v>
      </c>
      <c r="E1189" t="s">
        <v>34</v>
      </c>
      <c r="F1189" s="1">
        <v>191.16</v>
      </c>
      <c r="G1189" t="s">
        <v>19</v>
      </c>
      <c r="H1189" t="s">
        <v>15</v>
      </c>
      <c r="I1189" s="2">
        <v>3.8</v>
      </c>
      <c r="J1189" s="4">
        <v>15</v>
      </c>
      <c r="K1189" s="3">
        <v>5</v>
      </c>
      <c r="L1189" s="1">
        <f t="shared" si="54"/>
        <v>162.48599999999999</v>
      </c>
      <c r="M1189" t="str" cm="1">
        <f t="array" ref="M1189">_xlfn.IFS(B1189&lt;18,"Under 18",B1189 &lt;=25,"18-25",B1189&lt;=35,"26-35",B1189&lt;=45,"36-45",B1189&lt;=60,"46-60",TRUE,"60+")</f>
        <v>46-60</v>
      </c>
      <c r="N1189" t="str">
        <f t="shared" si="55"/>
        <v>Discounted</v>
      </c>
      <c r="O1189" t="str">
        <f t="shared" si="56"/>
        <v>Returning</v>
      </c>
    </row>
    <row r="1190" spans="1:15" x14ac:dyDescent="0.25">
      <c r="A1190">
        <v>1189</v>
      </c>
      <c r="B1190">
        <v>32</v>
      </c>
      <c r="C1190" t="s">
        <v>11</v>
      </c>
      <c r="D1190" t="s">
        <v>33</v>
      </c>
      <c r="E1190" t="s">
        <v>34</v>
      </c>
      <c r="F1190" s="1">
        <v>200.69</v>
      </c>
      <c r="G1190" t="s">
        <v>31</v>
      </c>
      <c r="H1190" t="s">
        <v>15</v>
      </c>
      <c r="I1190" s="2">
        <v>3.9</v>
      </c>
      <c r="J1190" s="4">
        <v>10</v>
      </c>
      <c r="K1190" s="3">
        <v>5</v>
      </c>
      <c r="L1190" s="1">
        <f t="shared" si="54"/>
        <v>180.62100000000001</v>
      </c>
      <c r="M1190" t="str" cm="1">
        <f t="array" ref="M1190">_xlfn.IFS(B1190&lt;18,"Under 18",B1190 &lt;=25,"18-25",B1190&lt;=35,"26-35",B1190&lt;=45,"36-45",B1190&lt;=60,"46-60",TRUE,"60+")</f>
        <v>26-35</v>
      </c>
      <c r="N1190" t="str">
        <f t="shared" si="55"/>
        <v>Discounted</v>
      </c>
      <c r="O1190" t="str">
        <f t="shared" si="56"/>
        <v>Returning</v>
      </c>
    </row>
    <row r="1191" spans="1:15" x14ac:dyDescent="0.25">
      <c r="A1191">
        <v>1190</v>
      </c>
      <c r="B1191">
        <v>33</v>
      </c>
      <c r="C1191" t="s">
        <v>16</v>
      </c>
      <c r="D1191" t="s">
        <v>17</v>
      </c>
      <c r="E1191" t="s">
        <v>18</v>
      </c>
      <c r="F1191" s="1">
        <v>30.68</v>
      </c>
      <c r="G1191" t="s">
        <v>19</v>
      </c>
      <c r="H1191" t="s">
        <v>15</v>
      </c>
      <c r="I1191" s="2">
        <v>3.7</v>
      </c>
      <c r="J1191" s="4">
        <v>10</v>
      </c>
      <c r="K1191" s="3">
        <v>5</v>
      </c>
      <c r="L1191" s="1">
        <f t="shared" si="54"/>
        <v>27.612000000000002</v>
      </c>
      <c r="M1191" t="str" cm="1">
        <f t="array" ref="M1191">_xlfn.IFS(B1191&lt;18,"Under 18",B1191 &lt;=25,"18-25",B1191&lt;=35,"26-35",B1191&lt;=45,"36-45",B1191&lt;=60,"46-60",TRUE,"60+")</f>
        <v>26-35</v>
      </c>
      <c r="N1191" t="str">
        <f t="shared" si="55"/>
        <v>Discounted</v>
      </c>
      <c r="O1191" t="str">
        <f t="shared" si="56"/>
        <v>Returning</v>
      </c>
    </row>
    <row r="1192" spans="1:15" x14ac:dyDescent="0.25">
      <c r="A1192">
        <v>1191</v>
      </c>
      <c r="B1192">
        <v>38</v>
      </c>
      <c r="C1192" t="s">
        <v>16</v>
      </c>
      <c r="D1192" t="s">
        <v>20</v>
      </c>
      <c r="E1192" t="s">
        <v>39</v>
      </c>
      <c r="F1192" s="1">
        <v>225</v>
      </c>
      <c r="G1192" t="s">
        <v>31</v>
      </c>
      <c r="H1192" t="s">
        <v>15</v>
      </c>
      <c r="I1192" s="2">
        <v>3.7</v>
      </c>
      <c r="J1192" s="4">
        <v>2</v>
      </c>
      <c r="K1192" s="3">
        <v>1</v>
      </c>
      <c r="L1192" s="1">
        <f t="shared" si="54"/>
        <v>220.5</v>
      </c>
      <c r="M1192" t="str" cm="1">
        <f t="array" ref="M1192">_xlfn.IFS(B1192&lt;18,"Under 18",B1192 &lt;=25,"18-25",B1192&lt;=35,"26-35",B1192&lt;=45,"36-45",B1192&lt;=60,"46-60",TRUE,"60+")</f>
        <v>36-45</v>
      </c>
      <c r="N1192" t="str">
        <f t="shared" si="55"/>
        <v>Discounted</v>
      </c>
      <c r="O1192" t="str">
        <f t="shared" si="56"/>
        <v>Returning</v>
      </c>
    </row>
    <row r="1193" spans="1:15" x14ac:dyDescent="0.25">
      <c r="A1193">
        <v>1192</v>
      </c>
      <c r="B1193">
        <v>31</v>
      </c>
      <c r="C1193" t="s">
        <v>11</v>
      </c>
      <c r="D1193" t="s">
        <v>29</v>
      </c>
      <c r="E1193" t="s">
        <v>55</v>
      </c>
      <c r="F1193" s="1">
        <v>39.450000000000003</v>
      </c>
      <c r="G1193" t="s">
        <v>31</v>
      </c>
      <c r="H1193" t="s">
        <v>37</v>
      </c>
      <c r="I1193" s="2">
        <v>4.2</v>
      </c>
      <c r="J1193" s="4">
        <v>18</v>
      </c>
      <c r="K1193" s="3">
        <v>9</v>
      </c>
      <c r="L1193" s="1">
        <f t="shared" si="54"/>
        <v>32.349000000000004</v>
      </c>
      <c r="M1193" t="str" cm="1">
        <f t="array" ref="M1193">_xlfn.IFS(B1193&lt;18,"Under 18",B1193 &lt;=25,"18-25",B1193&lt;=35,"26-35",B1193&lt;=45,"36-45",B1193&lt;=60,"46-60",TRUE,"60+")</f>
        <v>26-35</v>
      </c>
      <c r="N1193" t="str">
        <f t="shared" si="55"/>
        <v>Discounted</v>
      </c>
      <c r="O1193" t="str">
        <f t="shared" si="56"/>
        <v>Returning</v>
      </c>
    </row>
    <row r="1194" spans="1:15" x14ac:dyDescent="0.25">
      <c r="A1194">
        <v>1193</v>
      </c>
      <c r="B1194">
        <v>65</v>
      </c>
      <c r="C1194" t="s">
        <v>11</v>
      </c>
      <c r="D1194" t="s">
        <v>33</v>
      </c>
      <c r="E1194" t="s">
        <v>40</v>
      </c>
      <c r="F1194" s="1">
        <v>131.71</v>
      </c>
      <c r="G1194" t="s">
        <v>14</v>
      </c>
      <c r="H1194" t="s">
        <v>15</v>
      </c>
      <c r="I1194" s="2">
        <v>3.5</v>
      </c>
      <c r="J1194" s="4">
        <v>13</v>
      </c>
      <c r="K1194" s="3">
        <v>4</v>
      </c>
      <c r="L1194" s="1">
        <f t="shared" si="54"/>
        <v>114.58770000000001</v>
      </c>
      <c r="M1194" t="str" cm="1">
        <f t="array" ref="M1194">_xlfn.IFS(B1194&lt;18,"Under 18",B1194 &lt;=25,"18-25",B1194&lt;=35,"26-35",B1194&lt;=45,"36-45",B1194&lt;=60,"46-60",TRUE,"60+")</f>
        <v>60+</v>
      </c>
      <c r="N1194" t="str">
        <f t="shared" si="55"/>
        <v>Discounted</v>
      </c>
      <c r="O1194" t="str">
        <f t="shared" si="56"/>
        <v>Returning</v>
      </c>
    </row>
    <row r="1195" spans="1:15" x14ac:dyDescent="0.25">
      <c r="A1195">
        <v>1194</v>
      </c>
      <c r="B1195">
        <v>43</v>
      </c>
      <c r="C1195" t="s">
        <v>16</v>
      </c>
      <c r="D1195" t="s">
        <v>33</v>
      </c>
      <c r="E1195" t="s">
        <v>34</v>
      </c>
      <c r="F1195" s="1">
        <v>141.38999999999999</v>
      </c>
      <c r="G1195" t="s">
        <v>14</v>
      </c>
      <c r="H1195" t="s">
        <v>15</v>
      </c>
      <c r="I1195" s="2">
        <v>4.3</v>
      </c>
      <c r="J1195" s="4">
        <v>17</v>
      </c>
      <c r="K1195" s="3">
        <v>6</v>
      </c>
      <c r="L1195" s="1">
        <f t="shared" si="54"/>
        <v>117.35369999999999</v>
      </c>
      <c r="M1195" t="str" cm="1">
        <f t="array" ref="M1195">_xlfn.IFS(B1195&lt;18,"Under 18",B1195 &lt;=25,"18-25",B1195&lt;=35,"26-35",B1195&lt;=45,"36-45",B1195&lt;=60,"46-60",TRUE,"60+")</f>
        <v>36-45</v>
      </c>
      <c r="N1195" t="str">
        <f t="shared" si="55"/>
        <v>Discounted</v>
      </c>
      <c r="O1195" t="str">
        <f t="shared" si="56"/>
        <v>Returning</v>
      </c>
    </row>
    <row r="1196" spans="1:15" x14ac:dyDescent="0.25">
      <c r="A1196">
        <v>1195</v>
      </c>
      <c r="B1196">
        <v>33</v>
      </c>
      <c r="C1196" t="s">
        <v>16</v>
      </c>
      <c r="D1196" t="s">
        <v>22</v>
      </c>
      <c r="E1196" t="s">
        <v>52</v>
      </c>
      <c r="F1196" s="1">
        <v>48.08</v>
      </c>
      <c r="G1196" t="s">
        <v>31</v>
      </c>
      <c r="H1196" t="s">
        <v>15</v>
      </c>
      <c r="I1196" s="2">
        <v>3.8</v>
      </c>
      <c r="J1196" s="4">
        <v>30</v>
      </c>
      <c r="K1196" s="3">
        <v>10</v>
      </c>
      <c r="L1196" s="1">
        <f t="shared" si="54"/>
        <v>33.655999999999999</v>
      </c>
      <c r="M1196" t="str" cm="1">
        <f t="array" ref="M1196">_xlfn.IFS(B1196&lt;18,"Under 18",B1196 &lt;=25,"18-25",B1196&lt;=35,"26-35",B1196&lt;=45,"36-45",B1196&lt;=60,"46-60",TRUE,"60+")</f>
        <v>26-35</v>
      </c>
      <c r="N1196" t="str">
        <f t="shared" si="55"/>
        <v>Discounted</v>
      </c>
      <c r="O1196" t="str">
        <f t="shared" si="56"/>
        <v>Returning</v>
      </c>
    </row>
    <row r="1197" spans="1:15" x14ac:dyDescent="0.25">
      <c r="A1197">
        <v>1196</v>
      </c>
      <c r="B1197">
        <v>29</v>
      </c>
      <c r="C1197" t="s">
        <v>11</v>
      </c>
      <c r="D1197" t="s">
        <v>33</v>
      </c>
      <c r="E1197" t="s">
        <v>34</v>
      </c>
      <c r="F1197" s="1">
        <v>143.49</v>
      </c>
      <c r="G1197" t="s">
        <v>19</v>
      </c>
      <c r="H1197" t="s">
        <v>15</v>
      </c>
      <c r="I1197" s="2">
        <v>2.4</v>
      </c>
      <c r="J1197" s="4">
        <v>18</v>
      </c>
      <c r="K1197" s="3">
        <v>4</v>
      </c>
      <c r="L1197" s="1">
        <f t="shared" si="54"/>
        <v>117.66180000000001</v>
      </c>
      <c r="M1197" t="str" cm="1">
        <f t="array" ref="M1197">_xlfn.IFS(B1197&lt;18,"Under 18",B1197 &lt;=25,"18-25",B1197&lt;=35,"26-35",B1197&lt;=45,"36-45",B1197&lt;=60,"46-60",TRUE,"60+")</f>
        <v>26-35</v>
      </c>
      <c r="N1197" t="str">
        <f t="shared" si="55"/>
        <v>Discounted</v>
      </c>
      <c r="O1197" t="str">
        <f t="shared" si="56"/>
        <v>Returning</v>
      </c>
    </row>
    <row r="1198" spans="1:15" x14ac:dyDescent="0.25">
      <c r="A1198">
        <v>1197</v>
      </c>
      <c r="B1198">
        <v>23</v>
      </c>
      <c r="C1198" t="s">
        <v>11</v>
      </c>
      <c r="D1198" t="s">
        <v>25</v>
      </c>
      <c r="E1198" t="s">
        <v>57</v>
      </c>
      <c r="F1198" s="1">
        <v>32.67</v>
      </c>
      <c r="G1198" t="s">
        <v>19</v>
      </c>
      <c r="H1198" t="s">
        <v>37</v>
      </c>
      <c r="I1198" s="2">
        <v>4</v>
      </c>
      <c r="J1198" s="4">
        <v>19</v>
      </c>
      <c r="K1198" s="3">
        <v>7</v>
      </c>
      <c r="L1198" s="1">
        <f t="shared" si="54"/>
        <v>26.462700000000002</v>
      </c>
      <c r="M1198" t="str" cm="1">
        <f t="array" ref="M1198">_xlfn.IFS(B1198&lt;18,"Under 18",B1198 &lt;=25,"18-25",B1198&lt;=35,"26-35",B1198&lt;=45,"36-45",B1198&lt;=60,"46-60",TRUE,"60+")</f>
        <v>18-25</v>
      </c>
      <c r="N1198" t="str">
        <f t="shared" si="55"/>
        <v>Discounted</v>
      </c>
      <c r="O1198" t="str">
        <f t="shared" si="56"/>
        <v>Returning</v>
      </c>
    </row>
    <row r="1199" spans="1:15" x14ac:dyDescent="0.25">
      <c r="A1199">
        <v>1198</v>
      </c>
      <c r="B1199">
        <v>68</v>
      </c>
      <c r="C1199" t="s">
        <v>11</v>
      </c>
      <c r="D1199" t="s">
        <v>41</v>
      </c>
      <c r="E1199" t="s">
        <v>42</v>
      </c>
      <c r="F1199" s="1">
        <v>95.87</v>
      </c>
      <c r="G1199" t="s">
        <v>14</v>
      </c>
      <c r="H1199" t="s">
        <v>37</v>
      </c>
      <c r="I1199" s="2">
        <v>3.3</v>
      </c>
      <c r="J1199" s="4">
        <v>13</v>
      </c>
      <c r="K1199" s="3">
        <v>4</v>
      </c>
      <c r="L1199" s="1">
        <f t="shared" si="54"/>
        <v>83.406900000000007</v>
      </c>
      <c r="M1199" t="str" cm="1">
        <f t="array" ref="M1199">_xlfn.IFS(B1199&lt;18,"Under 18",B1199 &lt;=25,"18-25",B1199&lt;=35,"26-35",B1199&lt;=45,"36-45",B1199&lt;=60,"46-60",TRUE,"60+")</f>
        <v>60+</v>
      </c>
      <c r="N1199" t="str">
        <f t="shared" si="55"/>
        <v>Discounted</v>
      </c>
      <c r="O1199" t="str">
        <f t="shared" si="56"/>
        <v>Returning</v>
      </c>
    </row>
    <row r="1200" spans="1:15" x14ac:dyDescent="0.25">
      <c r="A1200">
        <v>1199</v>
      </c>
      <c r="B1200">
        <v>61</v>
      </c>
      <c r="C1200" t="s">
        <v>16</v>
      </c>
      <c r="D1200" t="s">
        <v>20</v>
      </c>
      <c r="E1200" t="s">
        <v>36</v>
      </c>
      <c r="F1200" s="1">
        <v>102.24</v>
      </c>
      <c r="G1200" t="s">
        <v>24</v>
      </c>
      <c r="H1200" t="s">
        <v>15</v>
      </c>
      <c r="I1200" s="2">
        <v>3.6</v>
      </c>
      <c r="J1200" s="4">
        <v>20</v>
      </c>
      <c r="K1200" s="3">
        <v>5</v>
      </c>
      <c r="L1200" s="1">
        <f t="shared" si="54"/>
        <v>81.792000000000002</v>
      </c>
      <c r="M1200" t="str" cm="1">
        <f t="array" ref="M1200">_xlfn.IFS(B1200&lt;18,"Under 18",B1200 &lt;=25,"18-25",B1200&lt;=35,"26-35",B1200&lt;=45,"36-45",B1200&lt;=60,"46-60",TRUE,"60+")</f>
        <v>60+</v>
      </c>
      <c r="N1200" t="str">
        <f t="shared" si="55"/>
        <v>Discounted</v>
      </c>
      <c r="O1200" t="str">
        <f t="shared" si="56"/>
        <v>Returning</v>
      </c>
    </row>
    <row r="1201" spans="1:15" x14ac:dyDescent="0.25">
      <c r="A1201">
        <v>1200</v>
      </c>
      <c r="B1201">
        <v>64</v>
      </c>
      <c r="C1201" t="s">
        <v>16</v>
      </c>
      <c r="D1201" t="s">
        <v>33</v>
      </c>
      <c r="E1201" t="s">
        <v>40</v>
      </c>
      <c r="F1201" s="1">
        <v>55.35</v>
      </c>
      <c r="G1201" t="s">
        <v>31</v>
      </c>
      <c r="H1201" t="s">
        <v>15</v>
      </c>
      <c r="I1201" s="2">
        <v>4</v>
      </c>
      <c r="J1201" s="4">
        <v>26</v>
      </c>
      <c r="K1201" s="3">
        <v>8</v>
      </c>
      <c r="L1201" s="1">
        <f t="shared" si="54"/>
        <v>40.959000000000003</v>
      </c>
      <c r="M1201" t="str" cm="1">
        <f t="array" ref="M1201">_xlfn.IFS(B1201&lt;18,"Under 18",B1201 &lt;=25,"18-25",B1201&lt;=35,"26-35",B1201&lt;=45,"36-45",B1201&lt;=60,"46-60",TRUE,"60+")</f>
        <v>60+</v>
      </c>
      <c r="N1201" t="str">
        <f t="shared" si="55"/>
        <v>Discounted</v>
      </c>
      <c r="O1201" t="str">
        <f t="shared" si="56"/>
        <v>Returning</v>
      </c>
    </row>
    <row r="1202" spans="1:15" x14ac:dyDescent="0.25">
      <c r="A1202">
        <v>1201</v>
      </c>
      <c r="B1202">
        <v>28</v>
      </c>
      <c r="C1202" t="s">
        <v>11</v>
      </c>
      <c r="D1202" t="s">
        <v>41</v>
      </c>
      <c r="E1202" t="s">
        <v>42</v>
      </c>
      <c r="F1202" s="1">
        <v>39.68</v>
      </c>
      <c r="G1202" t="s">
        <v>31</v>
      </c>
      <c r="H1202" t="s">
        <v>37</v>
      </c>
      <c r="I1202" s="2">
        <v>3.4</v>
      </c>
      <c r="J1202" s="4">
        <v>16</v>
      </c>
      <c r="K1202" s="3">
        <v>3</v>
      </c>
      <c r="L1202" s="1">
        <f t="shared" si="54"/>
        <v>33.331199999999995</v>
      </c>
      <c r="M1202" t="str" cm="1">
        <f t="array" ref="M1202">_xlfn.IFS(B1202&lt;18,"Under 18",B1202 &lt;=25,"18-25",B1202&lt;=35,"26-35",B1202&lt;=45,"36-45",B1202&lt;=60,"46-60",TRUE,"60+")</f>
        <v>26-35</v>
      </c>
      <c r="N1202" t="str">
        <f t="shared" si="55"/>
        <v>Discounted</v>
      </c>
      <c r="O1202" t="str">
        <f t="shared" si="56"/>
        <v>Returning</v>
      </c>
    </row>
    <row r="1203" spans="1:15" x14ac:dyDescent="0.25">
      <c r="A1203">
        <v>1202</v>
      </c>
      <c r="B1203">
        <v>34</v>
      </c>
      <c r="C1203" t="s">
        <v>16</v>
      </c>
      <c r="D1203" t="s">
        <v>17</v>
      </c>
      <c r="E1203" t="s">
        <v>48</v>
      </c>
      <c r="F1203" s="1">
        <v>188.14</v>
      </c>
      <c r="G1203" t="s">
        <v>14</v>
      </c>
      <c r="H1203" t="s">
        <v>15</v>
      </c>
      <c r="I1203" s="2">
        <v>4.2</v>
      </c>
      <c r="J1203" s="4">
        <v>8</v>
      </c>
      <c r="K1203" s="3">
        <v>4</v>
      </c>
      <c r="L1203" s="1">
        <f t="shared" si="54"/>
        <v>173.08879999999999</v>
      </c>
      <c r="M1203" t="str" cm="1">
        <f t="array" ref="M1203">_xlfn.IFS(B1203&lt;18,"Under 18",B1203 &lt;=25,"18-25",B1203&lt;=35,"26-35",B1203&lt;=45,"36-45",B1203&lt;=60,"46-60",TRUE,"60+")</f>
        <v>26-35</v>
      </c>
      <c r="N1203" t="str">
        <f t="shared" si="55"/>
        <v>Discounted</v>
      </c>
      <c r="O1203" t="str">
        <f t="shared" si="56"/>
        <v>Returning</v>
      </c>
    </row>
    <row r="1204" spans="1:15" x14ac:dyDescent="0.25">
      <c r="A1204">
        <v>1203</v>
      </c>
      <c r="B1204">
        <v>26</v>
      </c>
      <c r="C1204" t="s">
        <v>11</v>
      </c>
      <c r="D1204" t="s">
        <v>41</v>
      </c>
      <c r="E1204" t="s">
        <v>45</v>
      </c>
      <c r="F1204" s="1">
        <v>148.54</v>
      </c>
      <c r="G1204" t="s">
        <v>24</v>
      </c>
      <c r="H1204" t="s">
        <v>15</v>
      </c>
      <c r="I1204" s="2">
        <v>3.6</v>
      </c>
      <c r="J1204" s="4">
        <v>26</v>
      </c>
      <c r="K1204" s="3">
        <v>8</v>
      </c>
      <c r="L1204" s="1">
        <f t="shared" si="54"/>
        <v>109.91959999999999</v>
      </c>
      <c r="M1204" t="str" cm="1">
        <f t="array" ref="M1204">_xlfn.IFS(B1204&lt;18,"Under 18",B1204 &lt;=25,"18-25",B1204&lt;=35,"26-35",B1204&lt;=45,"36-45",B1204&lt;=60,"46-60",TRUE,"60+")</f>
        <v>26-35</v>
      </c>
      <c r="N1204" t="str">
        <f t="shared" si="55"/>
        <v>Discounted</v>
      </c>
      <c r="O1204" t="str">
        <f t="shared" si="56"/>
        <v>Returning</v>
      </c>
    </row>
    <row r="1205" spans="1:15" x14ac:dyDescent="0.25">
      <c r="A1205">
        <v>1204</v>
      </c>
      <c r="B1205">
        <v>29</v>
      </c>
      <c r="C1205" t="s">
        <v>16</v>
      </c>
      <c r="D1205" t="s">
        <v>33</v>
      </c>
      <c r="E1205" t="s">
        <v>40</v>
      </c>
      <c r="F1205" s="1">
        <v>102</v>
      </c>
      <c r="G1205" t="s">
        <v>19</v>
      </c>
      <c r="H1205" t="s">
        <v>15</v>
      </c>
      <c r="I1205" s="2">
        <v>3.5</v>
      </c>
      <c r="J1205" s="4">
        <v>10</v>
      </c>
      <c r="K1205" s="3">
        <v>5</v>
      </c>
      <c r="L1205" s="1">
        <f t="shared" si="54"/>
        <v>91.8</v>
      </c>
      <c r="M1205" t="str" cm="1">
        <f t="array" ref="M1205">_xlfn.IFS(B1205&lt;18,"Under 18",B1205 &lt;=25,"18-25",B1205&lt;=35,"26-35",B1205&lt;=45,"36-45",B1205&lt;=60,"46-60",TRUE,"60+")</f>
        <v>26-35</v>
      </c>
      <c r="N1205" t="str">
        <f t="shared" si="55"/>
        <v>Discounted</v>
      </c>
      <c r="O1205" t="str">
        <f t="shared" si="56"/>
        <v>Returning</v>
      </c>
    </row>
    <row r="1206" spans="1:15" x14ac:dyDescent="0.25">
      <c r="A1206">
        <v>1205</v>
      </c>
      <c r="B1206">
        <v>47</v>
      </c>
      <c r="C1206" t="s">
        <v>11</v>
      </c>
      <c r="D1206" t="s">
        <v>20</v>
      </c>
      <c r="E1206" t="s">
        <v>21</v>
      </c>
      <c r="F1206" s="1">
        <v>239.73</v>
      </c>
      <c r="G1206" t="s">
        <v>31</v>
      </c>
      <c r="H1206" t="s">
        <v>15</v>
      </c>
      <c r="I1206" s="2">
        <v>4.8</v>
      </c>
      <c r="J1206" s="4">
        <v>24</v>
      </c>
      <c r="K1206" s="3">
        <v>7</v>
      </c>
      <c r="L1206" s="1">
        <f t="shared" si="54"/>
        <v>182.19479999999999</v>
      </c>
      <c r="M1206" t="str" cm="1">
        <f t="array" ref="M1206">_xlfn.IFS(B1206&lt;18,"Under 18",B1206 &lt;=25,"18-25",B1206&lt;=35,"26-35",B1206&lt;=45,"36-45",B1206&lt;=60,"46-60",TRUE,"60+")</f>
        <v>46-60</v>
      </c>
      <c r="N1206" t="str">
        <f t="shared" si="55"/>
        <v>Discounted</v>
      </c>
      <c r="O1206" t="str">
        <f t="shared" si="56"/>
        <v>Returning</v>
      </c>
    </row>
    <row r="1207" spans="1:15" x14ac:dyDescent="0.25">
      <c r="A1207">
        <v>1206</v>
      </c>
      <c r="B1207">
        <v>37</v>
      </c>
      <c r="C1207" t="s">
        <v>11</v>
      </c>
      <c r="D1207" t="s">
        <v>29</v>
      </c>
      <c r="E1207" t="s">
        <v>55</v>
      </c>
      <c r="F1207" s="1">
        <v>102.4</v>
      </c>
      <c r="G1207" t="s">
        <v>19</v>
      </c>
      <c r="H1207" t="s">
        <v>15</v>
      </c>
      <c r="I1207" s="2">
        <v>4.3</v>
      </c>
      <c r="J1207" s="4">
        <v>20</v>
      </c>
      <c r="K1207" s="3">
        <v>5</v>
      </c>
      <c r="L1207" s="1">
        <f t="shared" si="54"/>
        <v>81.920000000000016</v>
      </c>
      <c r="M1207" t="str" cm="1">
        <f t="array" ref="M1207">_xlfn.IFS(B1207&lt;18,"Under 18",B1207 &lt;=25,"18-25",B1207&lt;=35,"26-35",B1207&lt;=45,"36-45",B1207&lt;=60,"46-60",TRUE,"60+")</f>
        <v>36-45</v>
      </c>
      <c r="N1207" t="str">
        <f t="shared" si="55"/>
        <v>Discounted</v>
      </c>
      <c r="O1207" t="str">
        <f t="shared" si="56"/>
        <v>Returning</v>
      </c>
    </row>
    <row r="1208" spans="1:15" x14ac:dyDescent="0.25">
      <c r="A1208">
        <v>1207</v>
      </c>
      <c r="B1208">
        <v>54</v>
      </c>
      <c r="C1208" t="s">
        <v>11</v>
      </c>
      <c r="D1208" t="s">
        <v>29</v>
      </c>
      <c r="E1208" t="s">
        <v>55</v>
      </c>
      <c r="F1208" s="1">
        <v>34.86</v>
      </c>
      <c r="G1208" t="s">
        <v>24</v>
      </c>
      <c r="H1208" t="s">
        <v>37</v>
      </c>
      <c r="I1208" s="2">
        <v>3.6</v>
      </c>
      <c r="J1208" s="4">
        <v>13</v>
      </c>
      <c r="K1208" s="3">
        <v>4</v>
      </c>
      <c r="L1208" s="1">
        <f t="shared" si="54"/>
        <v>30.328199999999999</v>
      </c>
      <c r="M1208" t="str" cm="1">
        <f t="array" ref="M1208">_xlfn.IFS(B1208&lt;18,"Under 18",B1208 &lt;=25,"18-25",B1208&lt;=35,"26-35",B1208&lt;=45,"36-45",B1208&lt;=60,"46-60",TRUE,"60+")</f>
        <v>46-60</v>
      </c>
      <c r="N1208" t="str">
        <f t="shared" si="55"/>
        <v>Discounted</v>
      </c>
      <c r="O1208" t="str">
        <f t="shared" si="56"/>
        <v>Returning</v>
      </c>
    </row>
    <row r="1209" spans="1:15" x14ac:dyDescent="0.25">
      <c r="A1209">
        <v>1208</v>
      </c>
      <c r="B1209">
        <v>67</v>
      </c>
      <c r="C1209" t="s">
        <v>11</v>
      </c>
      <c r="D1209" t="s">
        <v>33</v>
      </c>
      <c r="E1209" t="s">
        <v>34</v>
      </c>
      <c r="F1209" s="1">
        <v>184.03</v>
      </c>
      <c r="G1209" t="s">
        <v>31</v>
      </c>
      <c r="H1209" t="s">
        <v>15</v>
      </c>
      <c r="I1209" s="2">
        <v>4.0999999999999996</v>
      </c>
      <c r="J1209" s="4">
        <v>24</v>
      </c>
      <c r="K1209" s="3">
        <v>7</v>
      </c>
      <c r="L1209" s="1">
        <f t="shared" si="54"/>
        <v>139.86279999999999</v>
      </c>
      <c r="M1209" t="str" cm="1">
        <f t="array" ref="M1209">_xlfn.IFS(B1209&lt;18,"Under 18",B1209 &lt;=25,"18-25",B1209&lt;=35,"26-35",B1209&lt;=45,"36-45",B1209&lt;=60,"46-60",TRUE,"60+")</f>
        <v>60+</v>
      </c>
      <c r="N1209" t="str">
        <f t="shared" si="55"/>
        <v>Discounted</v>
      </c>
      <c r="O1209" t="str">
        <f t="shared" si="56"/>
        <v>Returning</v>
      </c>
    </row>
    <row r="1210" spans="1:15" x14ac:dyDescent="0.25">
      <c r="A1210">
        <v>1209</v>
      </c>
      <c r="B1210">
        <v>24</v>
      </c>
      <c r="C1210" t="s">
        <v>16</v>
      </c>
      <c r="D1210" t="s">
        <v>33</v>
      </c>
      <c r="E1210" t="s">
        <v>40</v>
      </c>
      <c r="F1210" s="1">
        <v>129.9</v>
      </c>
      <c r="G1210" t="s">
        <v>24</v>
      </c>
      <c r="H1210" t="s">
        <v>15</v>
      </c>
      <c r="I1210" s="2">
        <v>3.8</v>
      </c>
      <c r="J1210" s="4">
        <v>16</v>
      </c>
      <c r="K1210" s="3">
        <v>8</v>
      </c>
      <c r="L1210" s="1">
        <f t="shared" si="54"/>
        <v>109.116</v>
      </c>
      <c r="M1210" t="str" cm="1">
        <f t="array" ref="M1210">_xlfn.IFS(B1210&lt;18,"Under 18",B1210 &lt;=25,"18-25",B1210&lt;=35,"26-35",B1210&lt;=45,"36-45",B1210&lt;=60,"46-60",TRUE,"60+")</f>
        <v>18-25</v>
      </c>
      <c r="N1210" t="str">
        <f t="shared" si="55"/>
        <v>Discounted</v>
      </c>
      <c r="O1210" t="str">
        <f t="shared" si="56"/>
        <v>Returning</v>
      </c>
    </row>
    <row r="1211" spans="1:15" x14ac:dyDescent="0.25">
      <c r="A1211">
        <v>1210</v>
      </c>
      <c r="B1211">
        <v>33</v>
      </c>
      <c r="C1211" t="s">
        <v>16</v>
      </c>
      <c r="D1211" t="s">
        <v>22</v>
      </c>
      <c r="E1211" t="s">
        <v>52</v>
      </c>
      <c r="F1211" s="1">
        <v>255.3</v>
      </c>
      <c r="G1211" t="s">
        <v>24</v>
      </c>
      <c r="H1211" t="s">
        <v>15</v>
      </c>
      <c r="I1211" s="2">
        <v>3.3</v>
      </c>
      <c r="J1211" s="4">
        <v>26</v>
      </c>
      <c r="K1211" s="3">
        <v>8</v>
      </c>
      <c r="L1211" s="1">
        <f t="shared" si="54"/>
        <v>188.922</v>
      </c>
      <c r="M1211" t="str" cm="1">
        <f t="array" ref="M1211">_xlfn.IFS(B1211&lt;18,"Under 18",B1211 &lt;=25,"18-25",B1211&lt;=35,"26-35",B1211&lt;=45,"36-45",B1211&lt;=60,"46-60",TRUE,"60+")</f>
        <v>26-35</v>
      </c>
      <c r="N1211" t="str">
        <f t="shared" si="55"/>
        <v>Discounted</v>
      </c>
      <c r="O1211" t="str">
        <f t="shared" si="56"/>
        <v>Returning</v>
      </c>
    </row>
    <row r="1212" spans="1:15" x14ac:dyDescent="0.25">
      <c r="A1212">
        <v>1211</v>
      </c>
      <c r="B1212">
        <v>31</v>
      </c>
      <c r="C1212" t="s">
        <v>16</v>
      </c>
      <c r="D1212" t="s">
        <v>25</v>
      </c>
      <c r="E1212" t="s">
        <v>47</v>
      </c>
      <c r="F1212" s="1">
        <v>63.06</v>
      </c>
      <c r="G1212" t="s">
        <v>14</v>
      </c>
      <c r="H1212" t="s">
        <v>37</v>
      </c>
      <c r="I1212" s="2">
        <v>2.5</v>
      </c>
      <c r="J1212" s="4">
        <v>15</v>
      </c>
      <c r="K1212" s="3">
        <v>5</v>
      </c>
      <c r="L1212" s="1">
        <f t="shared" si="54"/>
        <v>53.600999999999999</v>
      </c>
      <c r="M1212" t="str" cm="1">
        <f t="array" ref="M1212">_xlfn.IFS(B1212&lt;18,"Under 18",B1212 &lt;=25,"18-25",B1212&lt;=35,"26-35",B1212&lt;=45,"36-45",B1212&lt;=60,"46-60",TRUE,"60+")</f>
        <v>26-35</v>
      </c>
      <c r="N1212" t="str">
        <f t="shared" si="55"/>
        <v>Discounted</v>
      </c>
      <c r="O1212" t="str">
        <f t="shared" si="56"/>
        <v>Returning</v>
      </c>
    </row>
    <row r="1213" spans="1:15" x14ac:dyDescent="0.25">
      <c r="A1213">
        <v>1212</v>
      </c>
      <c r="B1213">
        <v>37</v>
      </c>
      <c r="C1213" t="s">
        <v>16</v>
      </c>
      <c r="D1213" t="s">
        <v>20</v>
      </c>
      <c r="E1213" t="s">
        <v>39</v>
      </c>
      <c r="F1213" s="1">
        <v>147.46</v>
      </c>
      <c r="G1213" t="s">
        <v>14</v>
      </c>
      <c r="H1213" t="s">
        <v>15</v>
      </c>
      <c r="I1213" s="2">
        <v>3.7</v>
      </c>
      <c r="J1213" s="4">
        <v>14</v>
      </c>
      <c r="K1213" s="3">
        <v>2</v>
      </c>
      <c r="L1213" s="1">
        <f t="shared" si="54"/>
        <v>126.8156</v>
      </c>
      <c r="M1213" t="str" cm="1">
        <f t="array" ref="M1213">_xlfn.IFS(B1213&lt;18,"Under 18",B1213 &lt;=25,"18-25",B1213&lt;=35,"26-35",B1213&lt;=45,"36-45",B1213&lt;=60,"46-60",TRUE,"60+")</f>
        <v>36-45</v>
      </c>
      <c r="N1213" t="str">
        <f t="shared" si="55"/>
        <v>Discounted</v>
      </c>
      <c r="O1213" t="str">
        <f t="shared" si="56"/>
        <v>Returning</v>
      </c>
    </row>
    <row r="1214" spans="1:15" x14ac:dyDescent="0.25">
      <c r="A1214">
        <v>1213</v>
      </c>
      <c r="B1214">
        <v>28</v>
      </c>
      <c r="C1214" t="s">
        <v>11</v>
      </c>
      <c r="D1214" t="s">
        <v>29</v>
      </c>
      <c r="E1214" t="s">
        <v>55</v>
      </c>
      <c r="F1214" s="1">
        <v>68.680000000000007</v>
      </c>
      <c r="G1214" t="s">
        <v>14</v>
      </c>
      <c r="H1214" t="s">
        <v>37</v>
      </c>
      <c r="I1214" s="2">
        <v>3.1</v>
      </c>
      <c r="J1214" s="4">
        <v>18</v>
      </c>
      <c r="K1214" s="3">
        <v>4</v>
      </c>
      <c r="L1214" s="1">
        <f t="shared" si="54"/>
        <v>56.317600000000013</v>
      </c>
      <c r="M1214" t="str" cm="1">
        <f t="array" ref="M1214">_xlfn.IFS(B1214&lt;18,"Under 18",B1214 &lt;=25,"18-25",B1214&lt;=35,"26-35",B1214&lt;=45,"36-45",B1214&lt;=60,"46-60",TRUE,"60+")</f>
        <v>26-35</v>
      </c>
      <c r="N1214" t="str">
        <f t="shared" si="55"/>
        <v>Discounted</v>
      </c>
      <c r="O1214" t="str">
        <f t="shared" si="56"/>
        <v>Returning</v>
      </c>
    </row>
    <row r="1215" spans="1:15" x14ac:dyDescent="0.25">
      <c r="A1215">
        <v>1214</v>
      </c>
      <c r="B1215">
        <v>58</v>
      </c>
      <c r="C1215" t="s">
        <v>11</v>
      </c>
      <c r="D1215" t="s">
        <v>12</v>
      </c>
      <c r="E1215" t="s">
        <v>13</v>
      </c>
      <c r="F1215" s="1">
        <v>118.34</v>
      </c>
      <c r="G1215" t="s">
        <v>31</v>
      </c>
      <c r="H1215" t="s">
        <v>15</v>
      </c>
      <c r="I1215" s="2">
        <v>4.0999999999999996</v>
      </c>
      <c r="J1215" s="4">
        <v>19</v>
      </c>
      <c r="K1215" s="3">
        <v>7</v>
      </c>
      <c r="L1215" s="1">
        <f t="shared" si="54"/>
        <v>95.855400000000003</v>
      </c>
      <c r="M1215" t="str" cm="1">
        <f t="array" ref="M1215">_xlfn.IFS(B1215&lt;18,"Under 18",B1215 &lt;=25,"18-25",B1215&lt;=35,"26-35",B1215&lt;=45,"36-45",B1215&lt;=60,"46-60",TRUE,"60+")</f>
        <v>46-60</v>
      </c>
      <c r="N1215" t="str">
        <f t="shared" si="55"/>
        <v>Discounted</v>
      </c>
      <c r="O1215" t="str">
        <f t="shared" si="56"/>
        <v>Returning</v>
      </c>
    </row>
    <row r="1216" spans="1:15" x14ac:dyDescent="0.25">
      <c r="A1216">
        <v>1215</v>
      </c>
      <c r="B1216">
        <v>60</v>
      </c>
      <c r="C1216" t="s">
        <v>16</v>
      </c>
      <c r="D1216" t="s">
        <v>17</v>
      </c>
      <c r="E1216" t="s">
        <v>35</v>
      </c>
      <c r="F1216" s="1">
        <v>99.54</v>
      </c>
      <c r="G1216" t="s">
        <v>24</v>
      </c>
      <c r="H1216" t="s">
        <v>37</v>
      </c>
      <c r="I1216" s="2">
        <v>3.7</v>
      </c>
      <c r="J1216" s="4">
        <v>12</v>
      </c>
      <c r="K1216" s="3">
        <v>1</v>
      </c>
      <c r="L1216" s="1">
        <f t="shared" si="54"/>
        <v>87.595200000000006</v>
      </c>
      <c r="M1216" t="str" cm="1">
        <f t="array" ref="M1216">_xlfn.IFS(B1216&lt;18,"Under 18",B1216 &lt;=25,"18-25",B1216&lt;=35,"26-35",B1216&lt;=45,"36-45",B1216&lt;=60,"46-60",TRUE,"60+")</f>
        <v>46-60</v>
      </c>
      <c r="N1216" t="str">
        <f t="shared" si="55"/>
        <v>Discounted</v>
      </c>
      <c r="O1216" t="str">
        <f t="shared" si="56"/>
        <v>Returning</v>
      </c>
    </row>
    <row r="1217" spans="1:15" x14ac:dyDescent="0.25">
      <c r="A1217">
        <v>1216</v>
      </c>
      <c r="B1217">
        <v>28</v>
      </c>
      <c r="C1217" t="s">
        <v>16</v>
      </c>
      <c r="D1217" t="s">
        <v>22</v>
      </c>
      <c r="E1217" t="s">
        <v>43</v>
      </c>
      <c r="F1217" s="1">
        <v>206.37</v>
      </c>
      <c r="G1217" t="s">
        <v>31</v>
      </c>
      <c r="H1217" t="s">
        <v>15</v>
      </c>
      <c r="I1217" s="2">
        <v>3.1</v>
      </c>
      <c r="J1217" s="4">
        <v>16</v>
      </c>
      <c r="K1217" s="3">
        <v>8</v>
      </c>
      <c r="L1217" s="1">
        <f t="shared" si="54"/>
        <v>173.35079999999999</v>
      </c>
      <c r="M1217" t="str" cm="1">
        <f t="array" ref="M1217">_xlfn.IFS(B1217&lt;18,"Under 18",B1217 &lt;=25,"18-25",B1217&lt;=35,"26-35",B1217&lt;=45,"36-45",B1217&lt;=60,"46-60",TRUE,"60+")</f>
        <v>26-35</v>
      </c>
      <c r="N1217" t="str">
        <f t="shared" si="55"/>
        <v>Discounted</v>
      </c>
      <c r="O1217" t="str">
        <f t="shared" si="56"/>
        <v>Returning</v>
      </c>
    </row>
    <row r="1218" spans="1:15" x14ac:dyDescent="0.25">
      <c r="A1218">
        <v>1217</v>
      </c>
      <c r="B1218">
        <v>66</v>
      </c>
      <c r="C1218" t="s">
        <v>11</v>
      </c>
      <c r="D1218" t="s">
        <v>41</v>
      </c>
      <c r="E1218" t="s">
        <v>45</v>
      </c>
      <c r="F1218" s="1">
        <v>163.33000000000001</v>
      </c>
      <c r="G1218" t="s">
        <v>19</v>
      </c>
      <c r="H1218" t="s">
        <v>15</v>
      </c>
      <c r="I1218" s="2">
        <v>3</v>
      </c>
      <c r="J1218" s="4">
        <v>12</v>
      </c>
      <c r="K1218" s="3">
        <v>6</v>
      </c>
      <c r="L1218" s="1">
        <f t="shared" si="54"/>
        <v>143.7304</v>
      </c>
      <c r="M1218" t="str" cm="1">
        <f t="array" ref="M1218">_xlfn.IFS(B1218&lt;18,"Under 18",B1218 &lt;=25,"18-25",B1218&lt;=35,"26-35",B1218&lt;=45,"36-45",B1218&lt;=60,"46-60",TRUE,"60+")</f>
        <v>60+</v>
      </c>
      <c r="N1218" t="str">
        <f t="shared" si="55"/>
        <v>Discounted</v>
      </c>
      <c r="O1218" t="str">
        <f t="shared" si="56"/>
        <v>Returning</v>
      </c>
    </row>
    <row r="1219" spans="1:15" x14ac:dyDescent="0.25">
      <c r="A1219">
        <v>1218</v>
      </c>
      <c r="B1219">
        <v>55</v>
      </c>
      <c r="C1219" t="s">
        <v>16</v>
      </c>
      <c r="D1219" t="s">
        <v>17</v>
      </c>
      <c r="E1219" t="s">
        <v>48</v>
      </c>
      <c r="F1219" s="1">
        <v>162.46</v>
      </c>
      <c r="G1219" t="s">
        <v>24</v>
      </c>
      <c r="H1219" t="s">
        <v>15</v>
      </c>
      <c r="I1219" s="2">
        <v>3.2</v>
      </c>
      <c r="J1219" s="4">
        <v>4</v>
      </c>
      <c r="K1219" s="3">
        <v>2</v>
      </c>
      <c r="L1219" s="1">
        <f t="shared" ref="L1219:L1282" si="57">F1219 * (1 - J1219 / 100)</f>
        <v>155.9616</v>
      </c>
      <c r="M1219" t="str" cm="1">
        <f t="array" ref="M1219">_xlfn.IFS(B1219&lt;18,"Under 18",B1219 &lt;=25,"18-25",B1219&lt;=35,"26-35",B1219&lt;=45,"36-45",B1219&lt;=60,"46-60",TRUE,"60+")</f>
        <v>46-60</v>
      </c>
      <c r="N1219" t="str">
        <f t="shared" ref="N1219:N1282" si="58">IF(J1219&gt;0,"Discounted","No Discount")</f>
        <v>Discounted</v>
      </c>
      <c r="O1219" t="str">
        <f t="shared" ref="O1219:O1282" si="59">IF(K1219&gt;0,"Returning","New")</f>
        <v>Returning</v>
      </c>
    </row>
    <row r="1220" spans="1:15" x14ac:dyDescent="0.25">
      <c r="A1220">
        <v>1219</v>
      </c>
      <c r="B1220">
        <v>35</v>
      </c>
      <c r="C1220" t="s">
        <v>11</v>
      </c>
      <c r="D1220" t="s">
        <v>33</v>
      </c>
      <c r="E1220" t="s">
        <v>38</v>
      </c>
      <c r="F1220" s="1">
        <v>242.17</v>
      </c>
      <c r="G1220" t="s">
        <v>14</v>
      </c>
      <c r="H1220" t="s">
        <v>15</v>
      </c>
      <c r="I1220" s="2">
        <v>3.8</v>
      </c>
      <c r="J1220" s="4">
        <v>21</v>
      </c>
      <c r="K1220" s="3">
        <v>8</v>
      </c>
      <c r="L1220" s="1">
        <f t="shared" si="57"/>
        <v>191.3143</v>
      </c>
      <c r="M1220" t="str" cm="1">
        <f t="array" ref="M1220">_xlfn.IFS(B1220&lt;18,"Under 18",B1220 &lt;=25,"18-25",B1220&lt;=35,"26-35",B1220&lt;=45,"36-45",B1220&lt;=60,"46-60",TRUE,"60+")</f>
        <v>26-35</v>
      </c>
      <c r="N1220" t="str">
        <f t="shared" si="58"/>
        <v>Discounted</v>
      </c>
      <c r="O1220" t="str">
        <f t="shared" si="59"/>
        <v>Returning</v>
      </c>
    </row>
    <row r="1221" spans="1:15" x14ac:dyDescent="0.25">
      <c r="A1221">
        <v>1220</v>
      </c>
      <c r="B1221">
        <v>65</v>
      </c>
      <c r="C1221" t="s">
        <v>16</v>
      </c>
      <c r="D1221" t="s">
        <v>20</v>
      </c>
      <c r="E1221" t="s">
        <v>36</v>
      </c>
      <c r="F1221" s="1">
        <v>108.5</v>
      </c>
      <c r="G1221" t="s">
        <v>19</v>
      </c>
      <c r="H1221" t="s">
        <v>15</v>
      </c>
      <c r="I1221" s="2">
        <v>4.4000000000000004</v>
      </c>
      <c r="J1221" s="4">
        <v>14</v>
      </c>
      <c r="K1221" s="3">
        <v>7</v>
      </c>
      <c r="L1221" s="1">
        <f t="shared" si="57"/>
        <v>93.31</v>
      </c>
      <c r="M1221" t="str" cm="1">
        <f t="array" ref="M1221">_xlfn.IFS(B1221&lt;18,"Under 18",B1221 &lt;=25,"18-25",B1221&lt;=35,"26-35",B1221&lt;=45,"36-45",B1221&lt;=60,"46-60",TRUE,"60+")</f>
        <v>60+</v>
      </c>
      <c r="N1221" t="str">
        <f t="shared" si="58"/>
        <v>Discounted</v>
      </c>
      <c r="O1221" t="str">
        <f t="shared" si="59"/>
        <v>Returning</v>
      </c>
    </row>
    <row r="1222" spans="1:15" x14ac:dyDescent="0.25">
      <c r="A1222">
        <v>1221</v>
      </c>
      <c r="B1222">
        <v>35</v>
      </c>
      <c r="C1222" t="s">
        <v>11</v>
      </c>
      <c r="D1222" t="s">
        <v>12</v>
      </c>
      <c r="E1222" t="s">
        <v>13</v>
      </c>
      <c r="F1222" s="1">
        <v>82.93</v>
      </c>
      <c r="G1222" t="s">
        <v>14</v>
      </c>
      <c r="H1222" t="s">
        <v>15</v>
      </c>
      <c r="I1222" s="2">
        <v>3.6</v>
      </c>
      <c r="J1222" s="4">
        <v>19</v>
      </c>
      <c r="K1222" s="3">
        <v>7</v>
      </c>
      <c r="L1222" s="1">
        <f t="shared" si="57"/>
        <v>67.173300000000012</v>
      </c>
      <c r="M1222" t="str" cm="1">
        <f t="array" ref="M1222">_xlfn.IFS(B1222&lt;18,"Under 18",B1222 &lt;=25,"18-25",B1222&lt;=35,"26-35",B1222&lt;=45,"36-45",B1222&lt;=60,"46-60",TRUE,"60+")</f>
        <v>26-35</v>
      </c>
      <c r="N1222" t="str">
        <f t="shared" si="58"/>
        <v>Discounted</v>
      </c>
      <c r="O1222" t="str">
        <f t="shared" si="59"/>
        <v>Returning</v>
      </c>
    </row>
    <row r="1223" spans="1:15" x14ac:dyDescent="0.25">
      <c r="A1223">
        <v>1222</v>
      </c>
      <c r="B1223">
        <v>21</v>
      </c>
      <c r="C1223" t="s">
        <v>16</v>
      </c>
      <c r="D1223" t="s">
        <v>27</v>
      </c>
      <c r="E1223" t="s">
        <v>49</v>
      </c>
      <c r="F1223" s="1">
        <v>2122.12</v>
      </c>
      <c r="G1223" t="s">
        <v>14</v>
      </c>
      <c r="H1223" t="s">
        <v>15</v>
      </c>
      <c r="I1223" s="2">
        <v>4.0999999999999996</v>
      </c>
      <c r="J1223" s="4">
        <v>18</v>
      </c>
      <c r="K1223" s="3">
        <v>4</v>
      </c>
      <c r="L1223" s="1">
        <f t="shared" si="57"/>
        <v>1740.1384</v>
      </c>
      <c r="M1223" t="str" cm="1">
        <f t="array" ref="M1223">_xlfn.IFS(B1223&lt;18,"Under 18",B1223 &lt;=25,"18-25",B1223&lt;=35,"26-35",B1223&lt;=45,"36-45",B1223&lt;=60,"46-60",TRUE,"60+")</f>
        <v>18-25</v>
      </c>
      <c r="N1223" t="str">
        <f t="shared" si="58"/>
        <v>Discounted</v>
      </c>
      <c r="O1223" t="str">
        <f t="shared" si="59"/>
        <v>Returning</v>
      </c>
    </row>
    <row r="1224" spans="1:15" x14ac:dyDescent="0.25">
      <c r="A1224">
        <v>1223</v>
      </c>
      <c r="B1224">
        <v>31</v>
      </c>
      <c r="C1224" t="s">
        <v>16</v>
      </c>
      <c r="D1224" t="s">
        <v>22</v>
      </c>
      <c r="E1224" t="s">
        <v>52</v>
      </c>
      <c r="F1224" s="1">
        <v>187.38</v>
      </c>
      <c r="G1224" t="s">
        <v>19</v>
      </c>
      <c r="H1224" t="s">
        <v>15</v>
      </c>
      <c r="I1224" s="2">
        <v>4.0999999999999996</v>
      </c>
      <c r="J1224" s="4">
        <v>18</v>
      </c>
      <c r="K1224" s="3">
        <v>9</v>
      </c>
      <c r="L1224" s="1">
        <f t="shared" si="57"/>
        <v>153.6516</v>
      </c>
      <c r="M1224" t="str" cm="1">
        <f t="array" ref="M1224">_xlfn.IFS(B1224&lt;18,"Under 18",B1224 &lt;=25,"18-25",B1224&lt;=35,"26-35",B1224&lt;=45,"36-45",B1224&lt;=60,"46-60",TRUE,"60+")</f>
        <v>26-35</v>
      </c>
      <c r="N1224" t="str">
        <f t="shared" si="58"/>
        <v>Discounted</v>
      </c>
      <c r="O1224" t="str">
        <f t="shared" si="59"/>
        <v>Returning</v>
      </c>
    </row>
    <row r="1225" spans="1:15" x14ac:dyDescent="0.25">
      <c r="A1225">
        <v>1224</v>
      </c>
      <c r="B1225">
        <v>42</v>
      </c>
      <c r="C1225" t="s">
        <v>16</v>
      </c>
      <c r="D1225" t="s">
        <v>20</v>
      </c>
      <c r="E1225" t="s">
        <v>36</v>
      </c>
      <c r="F1225" s="1">
        <v>157.06</v>
      </c>
      <c r="G1225" t="s">
        <v>24</v>
      </c>
      <c r="H1225" t="s">
        <v>15</v>
      </c>
      <c r="I1225" s="2">
        <v>4.2</v>
      </c>
      <c r="J1225" s="4">
        <v>20</v>
      </c>
      <c r="K1225" s="3">
        <v>5</v>
      </c>
      <c r="L1225" s="1">
        <f t="shared" si="57"/>
        <v>125.64800000000001</v>
      </c>
      <c r="M1225" t="str" cm="1">
        <f t="array" ref="M1225">_xlfn.IFS(B1225&lt;18,"Under 18",B1225 &lt;=25,"18-25",B1225&lt;=35,"26-35",B1225&lt;=45,"36-45",B1225&lt;=60,"46-60",TRUE,"60+")</f>
        <v>36-45</v>
      </c>
      <c r="N1225" t="str">
        <f t="shared" si="58"/>
        <v>Discounted</v>
      </c>
      <c r="O1225" t="str">
        <f t="shared" si="59"/>
        <v>Returning</v>
      </c>
    </row>
    <row r="1226" spans="1:15" x14ac:dyDescent="0.25">
      <c r="A1226">
        <v>1225</v>
      </c>
      <c r="B1226">
        <v>22</v>
      </c>
      <c r="C1226" t="s">
        <v>16</v>
      </c>
      <c r="D1226" t="s">
        <v>27</v>
      </c>
      <c r="E1226" t="s">
        <v>49</v>
      </c>
      <c r="F1226" s="1">
        <v>1708.09</v>
      </c>
      <c r="G1226" t="s">
        <v>19</v>
      </c>
      <c r="H1226" t="s">
        <v>15</v>
      </c>
      <c r="I1226" s="2">
        <v>3.7</v>
      </c>
      <c r="J1226" s="4">
        <v>6</v>
      </c>
      <c r="K1226" s="3">
        <v>3</v>
      </c>
      <c r="L1226" s="1">
        <f t="shared" si="57"/>
        <v>1605.6045999999999</v>
      </c>
      <c r="M1226" t="str" cm="1">
        <f t="array" ref="M1226">_xlfn.IFS(B1226&lt;18,"Under 18",B1226 &lt;=25,"18-25",B1226&lt;=35,"26-35",B1226&lt;=45,"36-45",B1226&lt;=60,"46-60",TRUE,"60+")</f>
        <v>18-25</v>
      </c>
      <c r="N1226" t="str">
        <f t="shared" si="58"/>
        <v>Discounted</v>
      </c>
      <c r="O1226" t="str">
        <f t="shared" si="59"/>
        <v>Returning</v>
      </c>
    </row>
    <row r="1227" spans="1:15" x14ac:dyDescent="0.25">
      <c r="A1227">
        <v>1226</v>
      </c>
      <c r="B1227">
        <v>62</v>
      </c>
      <c r="C1227" t="s">
        <v>11</v>
      </c>
      <c r="D1227" t="s">
        <v>33</v>
      </c>
      <c r="E1227" t="s">
        <v>34</v>
      </c>
      <c r="F1227" s="1">
        <v>156.84</v>
      </c>
      <c r="G1227" t="s">
        <v>24</v>
      </c>
      <c r="H1227" t="s">
        <v>15</v>
      </c>
      <c r="I1227" s="2">
        <v>3.4</v>
      </c>
      <c r="J1227" s="4">
        <v>13</v>
      </c>
      <c r="K1227" s="3">
        <v>4</v>
      </c>
      <c r="L1227" s="1">
        <f t="shared" si="57"/>
        <v>136.45080000000002</v>
      </c>
      <c r="M1227" t="str" cm="1">
        <f t="array" ref="M1227">_xlfn.IFS(B1227&lt;18,"Under 18",B1227 &lt;=25,"18-25",B1227&lt;=35,"26-35",B1227&lt;=45,"36-45",B1227&lt;=60,"46-60",TRUE,"60+")</f>
        <v>60+</v>
      </c>
      <c r="N1227" t="str">
        <f t="shared" si="58"/>
        <v>Discounted</v>
      </c>
      <c r="O1227" t="str">
        <f t="shared" si="59"/>
        <v>Returning</v>
      </c>
    </row>
    <row r="1228" spans="1:15" x14ac:dyDescent="0.25">
      <c r="A1228">
        <v>1227</v>
      </c>
      <c r="B1228">
        <v>28</v>
      </c>
      <c r="C1228" t="s">
        <v>11</v>
      </c>
      <c r="D1228" t="s">
        <v>41</v>
      </c>
      <c r="E1228" t="s">
        <v>44</v>
      </c>
      <c r="F1228" s="1">
        <v>189.2</v>
      </c>
      <c r="G1228" t="s">
        <v>19</v>
      </c>
      <c r="H1228" t="s">
        <v>15</v>
      </c>
      <c r="I1228" s="2">
        <v>2.9</v>
      </c>
      <c r="J1228" s="4">
        <v>13</v>
      </c>
      <c r="K1228" s="3">
        <v>4</v>
      </c>
      <c r="L1228" s="1">
        <f t="shared" si="57"/>
        <v>164.60399999999998</v>
      </c>
      <c r="M1228" t="str" cm="1">
        <f t="array" ref="M1228">_xlfn.IFS(B1228&lt;18,"Under 18",B1228 &lt;=25,"18-25",B1228&lt;=35,"26-35",B1228&lt;=45,"36-45",B1228&lt;=60,"46-60",TRUE,"60+")</f>
        <v>26-35</v>
      </c>
      <c r="N1228" t="str">
        <f t="shared" si="58"/>
        <v>Discounted</v>
      </c>
      <c r="O1228" t="str">
        <f t="shared" si="59"/>
        <v>Returning</v>
      </c>
    </row>
    <row r="1229" spans="1:15" x14ac:dyDescent="0.25">
      <c r="A1229">
        <v>1228</v>
      </c>
      <c r="B1229">
        <v>33</v>
      </c>
      <c r="C1229" t="s">
        <v>11</v>
      </c>
      <c r="D1229" t="s">
        <v>22</v>
      </c>
      <c r="E1229" t="s">
        <v>23</v>
      </c>
      <c r="F1229" s="1">
        <v>117.64</v>
      </c>
      <c r="G1229" t="s">
        <v>19</v>
      </c>
      <c r="H1229" t="s">
        <v>15</v>
      </c>
      <c r="I1229" s="2">
        <v>3</v>
      </c>
      <c r="J1229" s="4">
        <v>14</v>
      </c>
      <c r="K1229" s="3">
        <v>7</v>
      </c>
      <c r="L1229" s="1">
        <f t="shared" si="57"/>
        <v>101.1704</v>
      </c>
      <c r="M1229" t="str" cm="1">
        <f t="array" ref="M1229">_xlfn.IFS(B1229&lt;18,"Under 18",B1229 &lt;=25,"18-25",B1229&lt;=35,"26-35",B1229&lt;=45,"36-45",B1229&lt;=60,"46-60",TRUE,"60+")</f>
        <v>26-35</v>
      </c>
      <c r="N1229" t="str">
        <f t="shared" si="58"/>
        <v>Discounted</v>
      </c>
      <c r="O1229" t="str">
        <f t="shared" si="59"/>
        <v>Returning</v>
      </c>
    </row>
    <row r="1230" spans="1:15" x14ac:dyDescent="0.25">
      <c r="A1230">
        <v>1229</v>
      </c>
      <c r="B1230">
        <v>36</v>
      </c>
      <c r="C1230" t="s">
        <v>16</v>
      </c>
      <c r="D1230" t="s">
        <v>33</v>
      </c>
      <c r="E1230" t="s">
        <v>38</v>
      </c>
      <c r="F1230" s="1">
        <v>147.47999999999999</v>
      </c>
      <c r="G1230" t="s">
        <v>14</v>
      </c>
      <c r="H1230" t="s">
        <v>15</v>
      </c>
      <c r="I1230" s="2">
        <v>4.3</v>
      </c>
      <c r="J1230" s="4">
        <v>15</v>
      </c>
      <c r="K1230" s="3">
        <v>5</v>
      </c>
      <c r="L1230" s="1">
        <f t="shared" si="57"/>
        <v>125.35799999999999</v>
      </c>
      <c r="M1230" t="str" cm="1">
        <f t="array" ref="M1230">_xlfn.IFS(B1230&lt;18,"Under 18",B1230 &lt;=25,"18-25",B1230&lt;=35,"26-35",B1230&lt;=45,"36-45",B1230&lt;=60,"46-60",TRUE,"60+")</f>
        <v>36-45</v>
      </c>
      <c r="N1230" t="str">
        <f t="shared" si="58"/>
        <v>Discounted</v>
      </c>
      <c r="O1230" t="str">
        <f t="shared" si="59"/>
        <v>Returning</v>
      </c>
    </row>
    <row r="1231" spans="1:15" x14ac:dyDescent="0.25">
      <c r="A1231">
        <v>1230</v>
      </c>
      <c r="B1231">
        <v>28</v>
      </c>
      <c r="C1231" t="s">
        <v>16</v>
      </c>
      <c r="D1231" t="s">
        <v>17</v>
      </c>
      <c r="E1231" t="s">
        <v>42</v>
      </c>
      <c r="F1231" s="1">
        <v>75.040000000000006</v>
      </c>
      <c r="G1231" t="s">
        <v>19</v>
      </c>
      <c r="H1231" t="s">
        <v>37</v>
      </c>
      <c r="I1231" s="2">
        <v>3.8</v>
      </c>
      <c r="J1231" s="4">
        <v>4</v>
      </c>
      <c r="K1231" s="3">
        <v>2</v>
      </c>
      <c r="L1231" s="1">
        <f t="shared" si="57"/>
        <v>72.03840000000001</v>
      </c>
      <c r="M1231" t="str" cm="1">
        <f t="array" ref="M1231">_xlfn.IFS(B1231&lt;18,"Under 18",B1231 &lt;=25,"18-25",B1231&lt;=35,"26-35",B1231&lt;=45,"36-45",B1231&lt;=60,"46-60",TRUE,"60+")</f>
        <v>26-35</v>
      </c>
      <c r="N1231" t="str">
        <f t="shared" si="58"/>
        <v>Discounted</v>
      </c>
      <c r="O1231" t="str">
        <f t="shared" si="59"/>
        <v>Returning</v>
      </c>
    </row>
    <row r="1232" spans="1:15" x14ac:dyDescent="0.25">
      <c r="A1232">
        <v>1231</v>
      </c>
      <c r="B1232">
        <v>26</v>
      </c>
      <c r="C1232" t="s">
        <v>16</v>
      </c>
      <c r="D1232" t="s">
        <v>17</v>
      </c>
      <c r="E1232" t="s">
        <v>35</v>
      </c>
      <c r="F1232" s="1">
        <v>108.5</v>
      </c>
      <c r="G1232" t="s">
        <v>14</v>
      </c>
      <c r="H1232" t="s">
        <v>15</v>
      </c>
      <c r="I1232" s="2">
        <v>3.7</v>
      </c>
      <c r="J1232" s="4">
        <v>14</v>
      </c>
      <c r="K1232" s="3">
        <v>2</v>
      </c>
      <c r="L1232" s="1">
        <f t="shared" si="57"/>
        <v>93.31</v>
      </c>
      <c r="M1232" t="str" cm="1">
        <f t="array" ref="M1232">_xlfn.IFS(B1232&lt;18,"Under 18",B1232 &lt;=25,"18-25",B1232&lt;=35,"26-35",B1232&lt;=45,"36-45",B1232&lt;=60,"46-60",TRUE,"60+")</f>
        <v>26-35</v>
      </c>
      <c r="N1232" t="str">
        <f t="shared" si="58"/>
        <v>Discounted</v>
      </c>
      <c r="O1232" t="str">
        <f t="shared" si="59"/>
        <v>Returning</v>
      </c>
    </row>
    <row r="1233" spans="1:15" x14ac:dyDescent="0.25">
      <c r="A1233">
        <v>1232</v>
      </c>
      <c r="B1233">
        <v>55</v>
      </c>
      <c r="C1233" t="s">
        <v>16</v>
      </c>
      <c r="D1233" t="s">
        <v>27</v>
      </c>
      <c r="E1233" t="s">
        <v>49</v>
      </c>
      <c r="F1233" s="1">
        <v>1226.67</v>
      </c>
      <c r="G1233" t="s">
        <v>31</v>
      </c>
      <c r="H1233" t="s">
        <v>15</v>
      </c>
      <c r="I1233" s="2">
        <v>3.4</v>
      </c>
      <c r="J1233" s="4">
        <v>10</v>
      </c>
      <c r="K1233" s="3">
        <v>5</v>
      </c>
      <c r="L1233" s="1">
        <f t="shared" si="57"/>
        <v>1104.0030000000002</v>
      </c>
      <c r="M1233" t="str" cm="1">
        <f t="array" ref="M1233">_xlfn.IFS(B1233&lt;18,"Under 18",B1233 &lt;=25,"18-25",B1233&lt;=35,"26-35",B1233&lt;=45,"36-45",B1233&lt;=60,"46-60",TRUE,"60+")</f>
        <v>46-60</v>
      </c>
      <c r="N1233" t="str">
        <f t="shared" si="58"/>
        <v>Discounted</v>
      </c>
      <c r="O1233" t="str">
        <f t="shared" si="59"/>
        <v>Returning</v>
      </c>
    </row>
    <row r="1234" spans="1:15" x14ac:dyDescent="0.25">
      <c r="A1234">
        <v>1233</v>
      </c>
      <c r="B1234">
        <v>64</v>
      </c>
      <c r="C1234" t="s">
        <v>11</v>
      </c>
      <c r="D1234" t="s">
        <v>33</v>
      </c>
      <c r="E1234" t="s">
        <v>34</v>
      </c>
      <c r="F1234" s="1">
        <v>70.09</v>
      </c>
      <c r="G1234" t="s">
        <v>19</v>
      </c>
      <c r="H1234" t="s">
        <v>37</v>
      </c>
      <c r="I1234" s="2">
        <v>4.3</v>
      </c>
      <c r="J1234" s="4">
        <v>20</v>
      </c>
      <c r="K1234" s="3">
        <v>5</v>
      </c>
      <c r="L1234" s="1">
        <f t="shared" si="57"/>
        <v>56.072000000000003</v>
      </c>
      <c r="M1234" t="str" cm="1">
        <f t="array" ref="M1234">_xlfn.IFS(B1234&lt;18,"Under 18",B1234 &lt;=25,"18-25",B1234&lt;=35,"26-35",B1234&lt;=45,"36-45",B1234&lt;=60,"46-60",TRUE,"60+")</f>
        <v>60+</v>
      </c>
      <c r="N1234" t="str">
        <f t="shared" si="58"/>
        <v>Discounted</v>
      </c>
      <c r="O1234" t="str">
        <f t="shared" si="59"/>
        <v>Returning</v>
      </c>
    </row>
    <row r="1235" spans="1:15" x14ac:dyDescent="0.25">
      <c r="A1235">
        <v>1234</v>
      </c>
      <c r="B1235">
        <v>51</v>
      </c>
      <c r="C1235" t="s">
        <v>11</v>
      </c>
      <c r="D1235" t="s">
        <v>41</v>
      </c>
      <c r="E1235" t="s">
        <v>45</v>
      </c>
      <c r="F1235" s="1">
        <v>145.44999999999999</v>
      </c>
      <c r="G1235" t="s">
        <v>31</v>
      </c>
      <c r="H1235" t="s">
        <v>15</v>
      </c>
      <c r="I1235" s="2">
        <v>2.6</v>
      </c>
      <c r="J1235" s="4">
        <v>10</v>
      </c>
      <c r="K1235" s="3">
        <v>5</v>
      </c>
      <c r="L1235" s="1">
        <f t="shared" si="57"/>
        <v>130.905</v>
      </c>
      <c r="M1235" t="str" cm="1">
        <f t="array" ref="M1235">_xlfn.IFS(B1235&lt;18,"Under 18",B1235 &lt;=25,"18-25",B1235&lt;=35,"26-35",B1235&lt;=45,"36-45",B1235&lt;=60,"46-60",TRUE,"60+")</f>
        <v>46-60</v>
      </c>
      <c r="N1235" t="str">
        <f t="shared" si="58"/>
        <v>Discounted</v>
      </c>
      <c r="O1235" t="str">
        <f t="shared" si="59"/>
        <v>Returning</v>
      </c>
    </row>
    <row r="1236" spans="1:15" x14ac:dyDescent="0.25">
      <c r="A1236">
        <v>1235</v>
      </c>
      <c r="B1236">
        <v>37</v>
      </c>
      <c r="C1236" t="s">
        <v>11</v>
      </c>
      <c r="D1236" t="s">
        <v>41</v>
      </c>
      <c r="E1236" t="s">
        <v>42</v>
      </c>
      <c r="F1236" s="1">
        <v>121.42</v>
      </c>
      <c r="G1236" t="s">
        <v>24</v>
      </c>
      <c r="H1236" t="s">
        <v>15</v>
      </c>
      <c r="I1236" s="2">
        <v>4.7</v>
      </c>
      <c r="J1236" s="4">
        <v>8</v>
      </c>
      <c r="K1236" s="3">
        <v>4</v>
      </c>
      <c r="L1236" s="1">
        <f t="shared" si="57"/>
        <v>111.7064</v>
      </c>
      <c r="M1236" t="str" cm="1">
        <f t="array" ref="M1236">_xlfn.IFS(B1236&lt;18,"Under 18",B1236 &lt;=25,"18-25",B1236&lt;=35,"26-35",B1236&lt;=45,"36-45",B1236&lt;=60,"46-60",TRUE,"60+")</f>
        <v>36-45</v>
      </c>
      <c r="N1236" t="str">
        <f t="shared" si="58"/>
        <v>Discounted</v>
      </c>
      <c r="O1236" t="str">
        <f t="shared" si="59"/>
        <v>Returning</v>
      </c>
    </row>
    <row r="1237" spans="1:15" x14ac:dyDescent="0.25">
      <c r="A1237">
        <v>1236</v>
      </c>
      <c r="B1237">
        <v>21</v>
      </c>
      <c r="C1237" t="s">
        <v>16</v>
      </c>
      <c r="D1237" t="s">
        <v>17</v>
      </c>
      <c r="E1237" t="s">
        <v>42</v>
      </c>
      <c r="F1237" s="1">
        <v>129.32</v>
      </c>
      <c r="G1237" t="s">
        <v>24</v>
      </c>
      <c r="H1237" t="s">
        <v>15</v>
      </c>
      <c r="I1237" s="2">
        <v>3.5</v>
      </c>
      <c r="J1237" s="4">
        <v>9</v>
      </c>
      <c r="K1237" s="3">
        <v>2</v>
      </c>
      <c r="L1237" s="1">
        <f t="shared" si="57"/>
        <v>117.6812</v>
      </c>
      <c r="M1237" t="str" cm="1">
        <f t="array" ref="M1237">_xlfn.IFS(B1237&lt;18,"Under 18",B1237 &lt;=25,"18-25",B1237&lt;=35,"26-35",B1237&lt;=45,"36-45",B1237&lt;=60,"46-60",TRUE,"60+")</f>
        <v>18-25</v>
      </c>
      <c r="N1237" t="str">
        <f t="shared" si="58"/>
        <v>Discounted</v>
      </c>
      <c r="O1237" t="str">
        <f t="shared" si="59"/>
        <v>Returning</v>
      </c>
    </row>
    <row r="1238" spans="1:15" x14ac:dyDescent="0.25">
      <c r="A1238">
        <v>1237</v>
      </c>
      <c r="B1238">
        <v>27</v>
      </c>
      <c r="C1238" t="s">
        <v>11</v>
      </c>
      <c r="D1238" t="s">
        <v>41</v>
      </c>
      <c r="E1238" t="s">
        <v>45</v>
      </c>
      <c r="F1238" s="1">
        <v>134.56</v>
      </c>
      <c r="G1238" t="s">
        <v>31</v>
      </c>
      <c r="H1238" t="s">
        <v>15</v>
      </c>
      <c r="I1238" s="2">
        <v>3.9</v>
      </c>
      <c r="J1238" s="4">
        <v>14</v>
      </c>
      <c r="K1238" s="3">
        <v>7</v>
      </c>
      <c r="L1238" s="1">
        <f t="shared" si="57"/>
        <v>115.7216</v>
      </c>
      <c r="M1238" t="str" cm="1">
        <f t="array" ref="M1238">_xlfn.IFS(B1238&lt;18,"Under 18",B1238 &lt;=25,"18-25",B1238&lt;=35,"26-35",B1238&lt;=45,"36-45",B1238&lt;=60,"46-60",TRUE,"60+")</f>
        <v>26-35</v>
      </c>
      <c r="N1238" t="str">
        <f t="shared" si="58"/>
        <v>Discounted</v>
      </c>
      <c r="O1238" t="str">
        <f t="shared" si="59"/>
        <v>Returning</v>
      </c>
    </row>
    <row r="1239" spans="1:15" x14ac:dyDescent="0.25">
      <c r="A1239">
        <v>1238</v>
      </c>
      <c r="B1239">
        <v>28</v>
      </c>
      <c r="C1239" t="s">
        <v>16</v>
      </c>
      <c r="D1239" t="s">
        <v>17</v>
      </c>
      <c r="E1239" t="s">
        <v>42</v>
      </c>
      <c r="F1239" s="1">
        <v>190.96</v>
      </c>
      <c r="G1239" t="s">
        <v>19</v>
      </c>
      <c r="H1239" t="s">
        <v>15</v>
      </c>
      <c r="I1239" s="2">
        <v>5</v>
      </c>
      <c r="J1239" s="4">
        <v>19</v>
      </c>
      <c r="K1239" s="3">
        <v>7</v>
      </c>
      <c r="L1239" s="1">
        <f t="shared" si="57"/>
        <v>154.67760000000001</v>
      </c>
      <c r="M1239" t="str" cm="1">
        <f t="array" ref="M1239">_xlfn.IFS(B1239&lt;18,"Under 18",B1239 &lt;=25,"18-25",B1239&lt;=35,"26-35",B1239&lt;=45,"36-45",B1239&lt;=60,"46-60",TRUE,"60+")</f>
        <v>26-35</v>
      </c>
      <c r="N1239" t="str">
        <f t="shared" si="58"/>
        <v>Discounted</v>
      </c>
      <c r="O1239" t="str">
        <f t="shared" si="59"/>
        <v>Returning</v>
      </c>
    </row>
    <row r="1240" spans="1:15" x14ac:dyDescent="0.25">
      <c r="A1240">
        <v>1239</v>
      </c>
      <c r="B1240">
        <v>56</v>
      </c>
      <c r="C1240" t="s">
        <v>11</v>
      </c>
      <c r="D1240" t="s">
        <v>12</v>
      </c>
      <c r="E1240" t="s">
        <v>56</v>
      </c>
      <c r="F1240" s="1">
        <v>32.97</v>
      </c>
      <c r="G1240" t="s">
        <v>14</v>
      </c>
      <c r="H1240" t="s">
        <v>37</v>
      </c>
      <c r="I1240" s="2">
        <v>5</v>
      </c>
      <c r="J1240" s="4">
        <v>14</v>
      </c>
      <c r="K1240" s="3">
        <v>7</v>
      </c>
      <c r="L1240" s="1">
        <f t="shared" si="57"/>
        <v>28.354199999999999</v>
      </c>
      <c r="M1240" t="str" cm="1">
        <f t="array" ref="M1240">_xlfn.IFS(B1240&lt;18,"Under 18",B1240 &lt;=25,"18-25",B1240&lt;=35,"26-35",B1240&lt;=45,"36-45",B1240&lt;=60,"46-60",TRUE,"60+")</f>
        <v>46-60</v>
      </c>
      <c r="N1240" t="str">
        <f t="shared" si="58"/>
        <v>Discounted</v>
      </c>
      <c r="O1240" t="str">
        <f t="shared" si="59"/>
        <v>Returning</v>
      </c>
    </row>
    <row r="1241" spans="1:15" x14ac:dyDescent="0.25">
      <c r="A1241">
        <v>1240</v>
      </c>
      <c r="B1241">
        <v>25</v>
      </c>
      <c r="C1241" t="s">
        <v>16</v>
      </c>
      <c r="D1241" t="s">
        <v>17</v>
      </c>
      <c r="E1241" t="s">
        <v>42</v>
      </c>
      <c r="F1241" s="1">
        <v>140.93</v>
      </c>
      <c r="G1241" t="s">
        <v>19</v>
      </c>
      <c r="H1241" t="s">
        <v>15</v>
      </c>
      <c r="I1241" s="2">
        <v>3.6</v>
      </c>
      <c r="J1241" s="4">
        <v>8</v>
      </c>
      <c r="K1241" s="3">
        <v>4</v>
      </c>
      <c r="L1241" s="1">
        <f t="shared" si="57"/>
        <v>129.65560000000002</v>
      </c>
      <c r="M1241" t="str" cm="1">
        <f t="array" ref="M1241">_xlfn.IFS(B1241&lt;18,"Under 18",B1241 &lt;=25,"18-25",B1241&lt;=35,"26-35",B1241&lt;=45,"36-45",B1241&lt;=60,"46-60",TRUE,"60+")</f>
        <v>18-25</v>
      </c>
      <c r="N1241" t="str">
        <f t="shared" si="58"/>
        <v>Discounted</v>
      </c>
      <c r="O1241" t="str">
        <f t="shared" si="59"/>
        <v>Returning</v>
      </c>
    </row>
    <row r="1242" spans="1:15" x14ac:dyDescent="0.25">
      <c r="A1242">
        <v>1241</v>
      </c>
      <c r="B1242">
        <v>35</v>
      </c>
      <c r="C1242" t="s">
        <v>11</v>
      </c>
      <c r="D1242" t="s">
        <v>41</v>
      </c>
      <c r="E1242" t="s">
        <v>45</v>
      </c>
      <c r="F1242" s="1">
        <v>96.4</v>
      </c>
      <c r="G1242" t="s">
        <v>14</v>
      </c>
      <c r="H1242" t="s">
        <v>15</v>
      </c>
      <c r="I1242" s="2">
        <v>4.3</v>
      </c>
      <c r="J1242" s="4">
        <v>9</v>
      </c>
      <c r="K1242" s="3">
        <v>2</v>
      </c>
      <c r="L1242" s="1">
        <f t="shared" si="57"/>
        <v>87.724000000000004</v>
      </c>
      <c r="M1242" t="str" cm="1">
        <f t="array" ref="M1242">_xlfn.IFS(B1242&lt;18,"Under 18",B1242 &lt;=25,"18-25",B1242&lt;=35,"26-35",B1242&lt;=45,"36-45",B1242&lt;=60,"46-60",TRUE,"60+")</f>
        <v>26-35</v>
      </c>
      <c r="N1242" t="str">
        <f t="shared" si="58"/>
        <v>Discounted</v>
      </c>
      <c r="O1242" t="str">
        <f t="shared" si="59"/>
        <v>Returning</v>
      </c>
    </row>
    <row r="1243" spans="1:15" x14ac:dyDescent="0.25">
      <c r="A1243">
        <v>1242</v>
      </c>
      <c r="B1243">
        <v>55</v>
      </c>
      <c r="C1243" t="s">
        <v>11</v>
      </c>
      <c r="D1243" t="s">
        <v>41</v>
      </c>
      <c r="E1243" t="s">
        <v>46</v>
      </c>
      <c r="F1243" s="1">
        <v>136.21</v>
      </c>
      <c r="G1243" t="s">
        <v>14</v>
      </c>
      <c r="H1243" t="s">
        <v>15</v>
      </c>
      <c r="I1243" s="2">
        <v>3</v>
      </c>
      <c r="J1243" s="4">
        <v>12</v>
      </c>
      <c r="K1243" s="3">
        <v>6</v>
      </c>
      <c r="L1243" s="1">
        <f t="shared" si="57"/>
        <v>119.8648</v>
      </c>
      <c r="M1243" t="str" cm="1">
        <f t="array" ref="M1243">_xlfn.IFS(B1243&lt;18,"Under 18",B1243 &lt;=25,"18-25",B1243&lt;=35,"26-35",B1243&lt;=45,"36-45",B1243&lt;=60,"46-60",TRUE,"60+")</f>
        <v>46-60</v>
      </c>
      <c r="N1243" t="str">
        <f t="shared" si="58"/>
        <v>Discounted</v>
      </c>
      <c r="O1243" t="str">
        <f t="shared" si="59"/>
        <v>Returning</v>
      </c>
    </row>
    <row r="1244" spans="1:15" x14ac:dyDescent="0.25">
      <c r="A1244">
        <v>1243</v>
      </c>
      <c r="B1244">
        <v>52</v>
      </c>
      <c r="C1244" t="s">
        <v>11</v>
      </c>
      <c r="D1244" t="s">
        <v>22</v>
      </c>
      <c r="E1244" t="s">
        <v>23</v>
      </c>
      <c r="F1244" s="1">
        <v>44.41</v>
      </c>
      <c r="G1244" t="s">
        <v>19</v>
      </c>
      <c r="H1244" t="s">
        <v>37</v>
      </c>
      <c r="I1244" s="2">
        <v>3</v>
      </c>
      <c r="J1244" s="4">
        <v>11</v>
      </c>
      <c r="K1244" s="3">
        <v>3</v>
      </c>
      <c r="L1244" s="1">
        <f t="shared" si="57"/>
        <v>39.524899999999995</v>
      </c>
      <c r="M1244" t="str" cm="1">
        <f t="array" ref="M1244">_xlfn.IFS(B1244&lt;18,"Under 18",B1244 &lt;=25,"18-25",B1244&lt;=35,"26-35",B1244&lt;=45,"36-45",B1244&lt;=60,"46-60",TRUE,"60+")</f>
        <v>46-60</v>
      </c>
      <c r="N1244" t="str">
        <f t="shared" si="58"/>
        <v>Discounted</v>
      </c>
      <c r="O1244" t="str">
        <f t="shared" si="59"/>
        <v>Returning</v>
      </c>
    </row>
    <row r="1245" spans="1:15" x14ac:dyDescent="0.25">
      <c r="A1245">
        <v>1244</v>
      </c>
      <c r="B1245">
        <v>67</v>
      </c>
      <c r="C1245" t="s">
        <v>11</v>
      </c>
      <c r="D1245" t="s">
        <v>29</v>
      </c>
      <c r="E1245" t="s">
        <v>30</v>
      </c>
      <c r="F1245" s="1">
        <v>91.85</v>
      </c>
      <c r="G1245" t="s">
        <v>24</v>
      </c>
      <c r="H1245" t="s">
        <v>15</v>
      </c>
      <c r="I1245" s="2">
        <v>3.2</v>
      </c>
      <c r="J1245" s="4">
        <v>10</v>
      </c>
      <c r="K1245" s="3">
        <v>5</v>
      </c>
      <c r="L1245" s="1">
        <f t="shared" si="57"/>
        <v>82.664999999999992</v>
      </c>
      <c r="M1245" t="str" cm="1">
        <f t="array" ref="M1245">_xlfn.IFS(B1245&lt;18,"Under 18",B1245 &lt;=25,"18-25",B1245&lt;=35,"26-35",B1245&lt;=45,"36-45",B1245&lt;=60,"46-60",TRUE,"60+")</f>
        <v>60+</v>
      </c>
      <c r="N1245" t="str">
        <f t="shared" si="58"/>
        <v>Discounted</v>
      </c>
      <c r="O1245" t="str">
        <f t="shared" si="59"/>
        <v>Returning</v>
      </c>
    </row>
    <row r="1246" spans="1:15" x14ac:dyDescent="0.25">
      <c r="A1246">
        <v>1245</v>
      </c>
      <c r="B1246">
        <v>35</v>
      </c>
      <c r="C1246" t="s">
        <v>16</v>
      </c>
      <c r="D1246" t="s">
        <v>27</v>
      </c>
      <c r="E1246" t="s">
        <v>28</v>
      </c>
      <c r="F1246" s="1">
        <v>2677.54</v>
      </c>
      <c r="G1246" t="s">
        <v>31</v>
      </c>
      <c r="H1246" t="s">
        <v>15</v>
      </c>
      <c r="I1246" s="2">
        <v>4.3</v>
      </c>
      <c r="J1246" s="4">
        <v>28</v>
      </c>
      <c r="K1246" s="3">
        <v>9</v>
      </c>
      <c r="L1246" s="1">
        <f t="shared" si="57"/>
        <v>1927.8288</v>
      </c>
      <c r="M1246" t="str" cm="1">
        <f t="array" ref="M1246">_xlfn.IFS(B1246&lt;18,"Under 18",B1246 &lt;=25,"18-25",B1246&lt;=35,"26-35",B1246&lt;=45,"36-45",B1246&lt;=60,"46-60",TRUE,"60+")</f>
        <v>26-35</v>
      </c>
      <c r="N1246" t="str">
        <f t="shared" si="58"/>
        <v>Discounted</v>
      </c>
      <c r="O1246" t="str">
        <f t="shared" si="59"/>
        <v>Returning</v>
      </c>
    </row>
    <row r="1247" spans="1:15" x14ac:dyDescent="0.25">
      <c r="A1247">
        <v>1246</v>
      </c>
      <c r="B1247">
        <v>49</v>
      </c>
      <c r="C1247" t="s">
        <v>11</v>
      </c>
      <c r="D1247" t="s">
        <v>29</v>
      </c>
      <c r="E1247" t="s">
        <v>55</v>
      </c>
      <c r="F1247" s="1">
        <v>106.28</v>
      </c>
      <c r="G1247" t="s">
        <v>14</v>
      </c>
      <c r="H1247" t="s">
        <v>15</v>
      </c>
      <c r="I1247" s="2">
        <v>4.4000000000000004</v>
      </c>
      <c r="J1247" s="4">
        <v>12</v>
      </c>
      <c r="K1247" s="3">
        <v>6</v>
      </c>
      <c r="L1247" s="1">
        <f t="shared" si="57"/>
        <v>93.526399999999995</v>
      </c>
      <c r="M1247" t="str" cm="1">
        <f t="array" ref="M1247">_xlfn.IFS(B1247&lt;18,"Under 18",B1247 &lt;=25,"18-25",B1247&lt;=35,"26-35",B1247&lt;=45,"36-45",B1247&lt;=60,"46-60",TRUE,"60+")</f>
        <v>46-60</v>
      </c>
      <c r="N1247" t="str">
        <f t="shared" si="58"/>
        <v>Discounted</v>
      </c>
      <c r="O1247" t="str">
        <f t="shared" si="59"/>
        <v>Returning</v>
      </c>
    </row>
    <row r="1248" spans="1:15" x14ac:dyDescent="0.25">
      <c r="A1248">
        <v>1247</v>
      </c>
      <c r="B1248">
        <v>64</v>
      </c>
      <c r="C1248" t="s">
        <v>16</v>
      </c>
      <c r="D1248" t="s">
        <v>27</v>
      </c>
      <c r="E1248" t="s">
        <v>32</v>
      </c>
      <c r="F1248" s="1">
        <v>2907.6</v>
      </c>
      <c r="G1248" t="s">
        <v>19</v>
      </c>
      <c r="H1248" t="s">
        <v>15</v>
      </c>
      <c r="I1248" s="2">
        <v>4.5</v>
      </c>
      <c r="J1248" s="4">
        <v>16</v>
      </c>
      <c r="K1248" s="3">
        <v>3</v>
      </c>
      <c r="L1248" s="1">
        <f t="shared" si="57"/>
        <v>2442.384</v>
      </c>
      <c r="M1248" t="str" cm="1">
        <f t="array" ref="M1248">_xlfn.IFS(B1248&lt;18,"Under 18",B1248 &lt;=25,"18-25",B1248&lt;=35,"26-35",B1248&lt;=45,"36-45",B1248&lt;=60,"46-60",TRUE,"60+")</f>
        <v>60+</v>
      </c>
      <c r="N1248" t="str">
        <f t="shared" si="58"/>
        <v>Discounted</v>
      </c>
      <c r="O1248" t="str">
        <f t="shared" si="59"/>
        <v>Returning</v>
      </c>
    </row>
    <row r="1249" spans="1:15" x14ac:dyDescent="0.25">
      <c r="A1249">
        <v>1248</v>
      </c>
      <c r="B1249">
        <v>20</v>
      </c>
      <c r="C1249" t="s">
        <v>16</v>
      </c>
      <c r="D1249" t="s">
        <v>33</v>
      </c>
      <c r="E1249" t="s">
        <v>34</v>
      </c>
      <c r="F1249" s="1">
        <v>176.9</v>
      </c>
      <c r="G1249" t="s">
        <v>14</v>
      </c>
      <c r="H1249" t="s">
        <v>15</v>
      </c>
      <c r="I1249" s="2">
        <v>3.9</v>
      </c>
      <c r="J1249" s="4">
        <v>15</v>
      </c>
      <c r="K1249" s="3">
        <v>5</v>
      </c>
      <c r="L1249" s="1">
        <f t="shared" si="57"/>
        <v>150.36500000000001</v>
      </c>
      <c r="M1249" t="str" cm="1">
        <f t="array" ref="M1249">_xlfn.IFS(B1249&lt;18,"Under 18",B1249 &lt;=25,"18-25",B1249&lt;=35,"26-35",B1249&lt;=45,"36-45",B1249&lt;=60,"46-60",TRUE,"60+")</f>
        <v>18-25</v>
      </c>
      <c r="N1249" t="str">
        <f t="shared" si="58"/>
        <v>Discounted</v>
      </c>
      <c r="O1249" t="str">
        <f t="shared" si="59"/>
        <v>Returning</v>
      </c>
    </row>
    <row r="1250" spans="1:15" x14ac:dyDescent="0.25">
      <c r="A1250">
        <v>1249</v>
      </c>
      <c r="B1250">
        <v>52</v>
      </c>
      <c r="C1250" t="s">
        <v>11</v>
      </c>
      <c r="D1250" t="s">
        <v>41</v>
      </c>
      <c r="E1250" t="s">
        <v>46</v>
      </c>
      <c r="F1250" s="1">
        <v>89.05</v>
      </c>
      <c r="G1250" t="s">
        <v>24</v>
      </c>
      <c r="H1250" t="s">
        <v>37</v>
      </c>
      <c r="I1250" s="2">
        <v>3.7</v>
      </c>
      <c r="J1250" s="4">
        <v>7</v>
      </c>
      <c r="K1250" s="3">
        <v>1</v>
      </c>
      <c r="L1250" s="1">
        <f t="shared" si="57"/>
        <v>82.816499999999991</v>
      </c>
      <c r="M1250" t="str" cm="1">
        <f t="array" ref="M1250">_xlfn.IFS(B1250&lt;18,"Under 18",B1250 &lt;=25,"18-25",B1250&lt;=35,"26-35",B1250&lt;=45,"36-45",B1250&lt;=60,"46-60",TRUE,"60+")</f>
        <v>46-60</v>
      </c>
      <c r="N1250" t="str">
        <f t="shared" si="58"/>
        <v>Discounted</v>
      </c>
      <c r="O1250" t="str">
        <f t="shared" si="59"/>
        <v>Returning</v>
      </c>
    </row>
    <row r="1251" spans="1:15" x14ac:dyDescent="0.25">
      <c r="A1251">
        <v>1250</v>
      </c>
      <c r="B1251">
        <v>37</v>
      </c>
      <c r="C1251" t="s">
        <v>16</v>
      </c>
      <c r="D1251" t="s">
        <v>25</v>
      </c>
      <c r="E1251" t="s">
        <v>54</v>
      </c>
      <c r="F1251" s="1">
        <v>57.93</v>
      </c>
      <c r="G1251" t="s">
        <v>19</v>
      </c>
      <c r="H1251" t="s">
        <v>15</v>
      </c>
      <c r="I1251" s="2">
        <v>2.7</v>
      </c>
      <c r="J1251" s="4">
        <v>4</v>
      </c>
      <c r="K1251" s="3">
        <v>2</v>
      </c>
      <c r="L1251" s="1">
        <f t="shared" si="57"/>
        <v>55.6128</v>
      </c>
      <c r="M1251" t="str" cm="1">
        <f t="array" ref="M1251">_xlfn.IFS(B1251&lt;18,"Under 18",B1251 &lt;=25,"18-25",B1251&lt;=35,"26-35",B1251&lt;=45,"36-45",B1251&lt;=60,"46-60",TRUE,"60+")</f>
        <v>36-45</v>
      </c>
      <c r="N1251" t="str">
        <f t="shared" si="58"/>
        <v>Discounted</v>
      </c>
      <c r="O1251" t="str">
        <f t="shared" si="59"/>
        <v>Returning</v>
      </c>
    </row>
    <row r="1252" spans="1:15" x14ac:dyDescent="0.25">
      <c r="A1252">
        <v>1251</v>
      </c>
      <c r="B1252">
        <v>44</v>
      </c>
      <c r="C1252" t="s">
        <v>11</v>
      </c>
      <c r="D1252" t="s">
        <v>12</v>
      </c>
      <c r="E1252" t="s">
        <v>50</v>
      </c>
      <c r="F1252" s="1">
        <v>22.1</v>
      </c>
      <c r="G1252" t="s">
        <v>19</v>
      </c>
      <c r="H1252" t="s">
        <v>37</v>
      </c>
      <c r="I1252" s="2">
        <v>4.2</v>
      </c>
      <c r="J1252" s="4">
        <v>12</v>
      </c>
      <c r="K1252" s="3">
        <v>6</v>
      </c>
      <c r="L1252" s="1">
        <f t="shared" si="57"/>
        <v>19.448</v>
      </c>
      <c r="M1252" t="str" cm="1">
        <f t="array" ref="M1252">_xlfn.IFS(B1252&lt;18,"Under 18",B1252 &lt;=25,"18-25",B1252&lt;=35,"26-35",B1252&lt;=45,"36-45",B1252&lt;=60,"46-60",TRUE,"60+")</f>
        <v>36-45</v>
      </c>
      <c r="N1252" t="str">
        <f t="shared" si="58"/>
        <v>Discounted</v>
      </c>
      <c r="O1252" t="str">
        <f t="shared" si="59"/>
        <v>Returning</v>
      </c>
    </row>
    <row r="1253" spans="1:15" x14ac:dyDescent="0.25">
      <c r="A1253">
        <v>1252</v>
      </c>
      <c r="B1253">
        <v>66</v>
      </c>
      <c r="C1253" t="s">
        <v>16</v>
      </c>
      <c r="D1253" t="s">
        <v>20</v>
      </c>
      <c r="E1253" t="s">
        <v>36</v>
      </c>
      <c r="F1253" s="1">
        <v>81.13</v>
      </c>
      <c r="G1253" t="s">
        <v>14</v>
      </c>
      <c r="H1253" t="s">
        <v>37</v>
      </c>
      <c r="I1253" s="2">
        <v>3.3</v>
      </c>
      <c r="J1253" s="4">
        <v>9</v>
      </c>
      <c r="K1253" s="3">
        <v>2</v>
      </c>
      <c r="L1253" s="1">
        <f t="shared" si="57"/>
        <v>73.828299999999999</v>
      </c>
      <c r="M1253" t="str" cm="1">
        <f t="array" ref="M1253">_xlfn.IFS(B1253&lt;18,"Under 18",B1253 &lt;=25,"18-25",B1253&lt;=35,"26-35",B1253&lt;=45,"36-45",B1253&lt;=60,"46-60",TRUE,"60+")</f>
        <v>60+</v>
      </c>
      <c r="N1253" t="str">
        <f t="shared" si="58"/>
        <v>Discounted</v>
      </c>
      <c r="O1253" t="str">
        <f t="shared" si="59"/>
        <v>Returning</v>
      </c>
    </row>
    <row r="1254" spans="1:15" x14ac:dyDescent="0.25">
      <c r="A1254">
        <v>1253</v>
      </c>
      <c r="B1254">
        <v>28</v>
      </c>
      <c r="C1254" t="s">
        <v>11</v>
      </c>
      <c r="D1254" t="s">
        <v>12</v>
      </c>
      <c r="E1254" t="s">
        <v>56</v>
      </c>
      <c r="F1254" s="1">
        <v>165.53</v>
      </c>
      <c r="G1254" t="s">
        <v>14</v>
      </c>
      <c r="H1254" t="s">
        <v>15</v>
      </c>
      <c r="I1254" s="2">
        <v>5</v>
      </c>
      <c r="J1254" s="4">
        <v>15</v>
      </c>
      <c r="K1254" s="3">
        <v>5</v>
      </c>
      <c r="L1254" s="1">
        <f t="shared" si="57"/>
        <v>140.70050000000001</v>
      </c>
      <c r="M1254" t="str" cm="1">
        <f t="array" ref="M1254">_xlfn.IFS(B1254&lt;18,"Under 18",B1254 &lt;=25,"18-25",B1254&lt;=35,"26-35",B1254&lt;=45,"36-45",B1254&lt;=60,"46-60",TRUE,"60+")</f>
        <v>26-35</v>
      </c>
      <c r="N1254" t="str">
        <f t="shared" si="58"/>
        <v>Discounted</v>
      </c>
      <c r="O1254" t="str">
        <f t="shared" si="59"/>
        <v>Returning</v>
      </c>
    </row>
    <row r="1255" spans="1:15" x14ac:dyDescent="0.25">
      <c r="A1255">
        <v>1254</v>
      </c>
      <c r="B1255">
        <v>30</v>
      </c>
      <c r="C1255" t="s">
        <v>16</v>
      </c>
      <c r="D1255" t="s">
        <v>33</v>
      </c>
      <c r="E1255" t="s">
        <v>40</v>
      </c>
      <c r="F1255" s="1">
        <v>222.83</v>
      </c>
      <c r="G1255" t="s">
        <v>19</v>
      </c>
      <c r="H1255" t="s">
        <v>15</v>
      </c>
      <c r="I1255" s="2">
        <v>3.8</v>
      </c>
      <c r="J1255" s="4">
        <v>6</v>
      </c>
      <c r="K1255" s="3">
        <v>3</v>
      </c>
      <c r="L1255" s="1">
        <f t="shared" si="57"/>
        <v>209.46019999999999</v>
      </c>
      <c r="M1255" t="str" cm="1">
        <f t="array" ref="M1255">_xlfn.IFS(B1255&lt;18,"Under 18",B1255 &lt;=25,"18-25",B1255&lt;=35,"26-35",B1255&lt;=45,"36-45",B1255&lt;=60,"46-60",TRUE,"60+")</f>
        <v>26-35</v>
      </c>
      <c r="N1255" t="str">
        <f t="shared" si="58"/>
        <v>Discounted</v>
      </c>
      <c r="O1255" t="str">
        <f t="shared" si="59"/>
        <v>Returning</v>
      </c>
    </row>
    <row r="1256" spans="1:15" x14ac:dyDescent="0.25">
      <c r="A1256">
        <v>1255</v>
      </c>
      <c r="B1256">
        <v>70</v>
      </c>
      <c r="C1256" t="s">
        <v>16</v>
      </c>
      <c r="D1256" t="s">
        <v>27</v>
      </c>
      <c r="E1256" t="s">
        <v>49</v>
      </c>
      <c r="F1256" s="1">
        <v>2919.39</v>
      </c>
      <c r="G1256" t="s">
        <v>24</v>
      </c>
      <c r="H1256" t="s">
        <v>15</v>
      </c>
      <c r="I1256" s="2">
        <v>3.5</v>
      </c>
      <c r="J1256" s="4">
        <v>13</v>
      </c>
      <c r="K1256" s="3">
        <v>4</v>
      </c>
      <c r="L1256" s="1">
        <f t="shared" si="57"/>
        <v>2539.8692999999998</v>
      </c>
      <c r="M1256" t="str" cm="1">
        <f t="array" ref="M1256">_xlfn.IFS(B1256&lt;18,"Under 18",B1256 &lt;=25,"18-25",B1256&lt;=35,"26-35",B1256&lt;=45,"36-45",B1256&lt;=60,"46-60",TRUE,"60+")</f>
        <v>60+</v>
      </c>
      <c r="N1256" t="str">
        <f t="shared" si="58"/>
        <v>Discounted</v>
      </c>
      <c r="O1256" t="str">
        <f t="shared" si="59"/>
        <v>Returning</v>
      </c>
    </row>
    <row r="1257" spans="1:15" x14ac:dyDescent="0.25">
      <c r="A1257">
        <v>1256</v>
      </c>
      <c r="B1257">
        <v>44</v>
      </c>
      <c r="C1257" t="s">
        <v>11</v>
      </c>
      <c r="D1257" t="s">
        <v>29</v>
      </c>
      <c r="E1257" t="s">
        <v>55</v>
      </c>
      <c r="F1257" s="1">
        <v>143.9</v>
      </c>
      <c r="G1257" t="s">
        <v>19</v>
      </c>
      <c r="H1257" t="s">
        <v>15</v>
      </c>
      <c r="I1257" s="2">
        <v>4.7</v>
      </c>
      <c r="J1257" s="4">
        <v>26</v>
      </c>
      <c r="K1257" s="3">
        <v>8</v>
      </c>
      <c r="L1257" s="1">
        <f t="shared" si="57"/>
        <v>106.486</v>
      </c>
      <c r="M1257" t="str" cm="1">
        <f t="array" ref="M1257">_xlfn.IFS(B1257&lt;18,"Under 18",B1257 &lt;=25,"18-25",B1257&lt;=35,"26-35",B1257&lt;=45,"36-45",B1257&lt;=60,"46-60",TRUE,"60+")</f>
        <v>36-45</v>
      </c>
      <c r="N1257" t="str">
        <f t="shared" si="58"/>
        <v>Discounted</v>
      </c>
      <c r="O1257" t="str">
        <f t="shared" si="59"/>
        <v>Returning</v>
      </c>
    </row>
    <row r="1258" spans="1:15" x14ac:dyDescent="0.25">
      <c r="A1258">
        <v>1257</v>
      </c>
      <c r="B1258">
        <v>45</v>
      </c>
      <c r="C1258" t="s">
        <v>11</v>
      </c>
      <c r="D1258" t="s">
        <v>29</v>
      </c>
      <c r="E1258" t="s">
        <v>30</v>
      </c>
      <c r="F1258" s="1">
        <v>85.13</v>
      </c>
      <c r="G1258" t="s">
        <v>14</v>
      </c>
      <c r="H1258" t="s">
        <v>37</v>
      </c>
      <c r="I1258" s="2">
        <v>3.4</v>
      </c>
      <c r="J1258" s="4">
        <v>10</v>
      </c>
      <c r="K1258" s="3">
        <v>5</v>
      </c>
      <c r="L1258" s="1">
        <f t="shared" si="57"/>
        <v>76.617000000000004</v>
      </c>
      <c r="M1258" t="str" cm="1">
        <f t="array" ref="M1258">_xlfn.IFS(B1258&lt;18,"Under 18",B1258 &lt;=25,"18-25",B1258&lt;=35,"26-35",B1258&lt;=45,"36-45",B1258&lt;=60,"46-60",TRUE,"60+")</f>
        <v>36-45</v>
      </c>
      <c r="N1258" t="str">
        <f t="shared" si="58"/>
        <v>Discounted</v>
      </c>
      <c r="O1258" t="str">
        <f t="shared" si="59"/>
        <v>Returning</v>
      </c>
    </row>
    <row r="1259" spans="1:15" x14ac:dyDescent="0.25">
      <c r="A1259">
        <v>1258</v>
      </c>
      <c r="B1259">
        <v>41</v>
      </c>
      <c r="C1259" t="s">
        <v>16</v>
      </c>
      <c r="D1259" t="s">
        <v>25</v>
      </c>
      <c r="E1259" t="s">
        <v>54</v>
      </c>
      <c r="F1259" s="1">
        <v>8.8699999999999992</v>
      </c>
      <c r="G1259" t="s">
        <v>24</v>
      </c>
      <c r="H1259" t="s">
        <v>15</v>
      </c>
      <c r="I1259" s="2">
        <v>4.4000000000000004</v>
      </c>
      <c r="J1259" s="4">
        <v>16</v>
      </c>
      <c r="K1259" s="3">
        <v>3</v>
      </c>
      <c r="L1259" s="1">
        <f t="shared" si="57"/>
        <v>7.4507999999999992</v>
      </c>
      <c r="M1259" t="str" cm="1">
        <f t="array" ref="M1259">_xlfn.IFS(B1259&lt;18,"Under 18",B1259 &lt;=25,"18-25",B1259&lt;=35,"26-35",B1259&lt;=45,"36-45",B1259&lt;=60,"46-60",TRUE,"60+")</f>
        <v>36-45</v>
      </c>
      <c r="N1259" t="str">
        <f t="shared" si="58"/>
        <v>Discounted</v>
      </c>
      <c r="O1259" t="str">
        <f t="shared" si="59"/>
        <v>Returning</v>
      </c>
    </row>
    <row r="1260" spans="1:15" x14ac:dyDescent="0.25">
      <c r="A1260">
        <v>1259</v>
      </c>
      <c r="B1260">
        <v>42</v>
      </c>
      <c r="C1260" t="s">
        <v>16</v>
      </c>
      <c r="D1260" t="s">
        <v>33</v>
      </c>
      <c r="E1260" t="s">
        <v>40</v>
      </c>
      <c r="F1260" s="1">
        <v>166.69</v>
      </c>
      <c r="G1260" t="s">
        <v>14</v>
      </c>
      <c r="H1260" t="s">
        <v>15</v>
      </c>
      <c r="I1260" s="2">
        <v>2.8</v>
      </c>
      <c r="J1260" s="4">
        <v>6</v>
      </c>
      <c r="K1260" s="3">
        <v>3</v>
      </c>
      <c r="L1260" s="1">
        <f t="shared" si="57"/>
        <v>156.68859999999998</v>
      </c>
      <c r="M1260" t="str" cm="1">
        <f t="array" ref="M1260">_xlfn.IFS(B1260&lt;18,"Under 18",B1260 &lt;=25,"18-25",B1260&lt;=35,"26-35",B1260&lt;=45,"36-45",B1260&lt;=60,"46-60",TRUE,"60+")</f>
        <v>36-45</v>
      </c>
      <c r="N1260" t="str">
        <f t="shared" si="58"/>
        <v>Discounted</v>
      </c>
      <c r="O1260" t="str">
        <f t="shared" si="59"/>
        <v>Returning</v>
      </c>
    </row>
    <row r="1261" spans="1:15" x14ac:dyDescent="0.25">
      <c r="A1261">
        <v>1260</v>
      </c>
      <c r="B1261">
        <v>51</v>
      </c>
      <c r="C1261" t="s">
        <v>16</v>
      </c>
      <c r="D1261" t="s">
        <v>33</v>
      </c>
      <c r="E1261" t="s">
        <v>34</v>
      </c>
      <c r="F1261" s="1">
        <v>195.92</v>
      </c>
      <c r="G1261" t="s">
        <v>19</v>
      </c>
      <c r="H1261" t="s">
        <v>15</v>
      </c>
      <c r="I1261" s="2">
        <v>2.8</v>
      </c>
      <c r="J1261" s="4">
        <v>19</v>
      </c>
      <c r="K1261" s="3">
        <v>7</v>
      </c>
      <c r="L1261" s="1">
        <f t="shared" si="57"/>
        <v>158.6952</v>
      </c>
      <c r="M1261" t="str" cm="1">
        <f t="array" ref="M1261">_xlfn.IFS(B1261&lt;18,"Under 18",B1261 &lt;=25,"18-25",B1261&lt;=35,"26-35",B1261&lt;=45,"36-45",B1261&lt;=60,"46-60",TRUE,"60+")</f>
        <v>46-60</v>
      </c>
      <c r="N1261" t="str">
        <f t="shared" si="58"/>
        <v>Discounted</v>
      </c>
      <c r="O1261" t="str">
        <f t="shared" si="59"/>
        <v>Returning</v>
      </c>
    </row>
    <row r="1262" spans="1:15" x14ac:dyDescent="0.25">
      <c r="A1262">
        <v>1261</v>
      </c>
      <c r="B1262">
        <v>59</v>
      </c>
      <c r="C1262" t="s">
        <v>16</v>
      </c>
      <c r="D1262" t="s">
        <v>17</v>
      </c>
      <c r="E1262" t="s">
        <v>42</v>
      </c>
      <c r="F1262" s="1">
        <v>165.21</v>
      </c>
      <c r="G1262" t="s">
        <v>19</v>
      </c>
      <c r="H1262" t="s">
        <v>15</v>
      </c>
      <c r="I1262" s="2">
        <v>3.8</v>
      </c>
      <c r="J1262" s="4">
        <v>14</v>
      </c>
      <c r="K1262" s="3">
        <v>7</v>
      </c>
      <c r="L1262" s="1">
        <f t="shared" si="57"/>
        <v>142.0806</v>
      </c>
      <c r="M1262" t="str" cm="1">
        <f t="array" ref="M1262">_xlfn.IFS(B1262&lt;18,"Under 18",B1262 &lt;=25,"18-25",B1262&lt;=35,"26-35",B1262&lt;=45,"36-45",B1262&lt;=60,"46-60",TRUE,"60+")</f>
        <v>46-60</v>
      </c>
      <c r="N1262" t="str">
        <f t="shared" si="58"/>
        <v>Discounted</v>
      </c>
      <c r="O1262" t="str">
        <f t="shared" si="59"/>
        <v>Returning</v>
      </c>
    </row>
    <row r="1263" spans="1:15" x14ac:dyDescent="0.25">
      <c r="A1263">
        <v>1262</v>
      </c>
      <c r="B1263">
        <v>58</v>
      </c>
      <c r="C1263" t="s">
        <v>16</v>
      </c>
      <c r="D1263" t="s">
        <v>27</v>
      </c>
      <c r="E1263" t="s">
        <v>32</v>
      </c>
      <c r="F1263" s="1">
        <v>500.44</v>
      </c>
      <c r="G1263" t="s">
        <v>31</v>
      </c>
      <c r="H1263" t="s">
        <v>15</v>
      </c>
      <c r="I1263" s="2">
        <v>4.4000000000000004</v>
      </c>
      <c r="J1263" s="4">
        <v>16</v>
      </c>
      <c r="K1263" s="3">
        <v>3</v>
      </c>
      <c r="L1263" s="1">
        <f t="shared" si="57"/>
        <v>420.36959999999999</v>
      </c>
      <c r="M1263" t="str" cm="1">
        <f t="array" ref="M1263">_xlfn.IFS(B1263&lt;18,"Under 18",B1263 &lt;=25,"18-25",B1263&lt;=35,"26-35",B1263&lt;=45,"36-45",B1263&lt;=60,"46-60",TRUE,"60+")</f>
        <v>46-60</v>
      </c>
      <c r="N1263" t="str">
        <f t="shared" si="58"/>
        <v>Discounted</v>
      </c>
      <c r="O1263" t="str">
        <f t="shared" si="59"/>
        <v>Returning</v>
      </c>
    </row>
    <row r="1264" spans="1:15" x14ac:dyDescent="0.25">
      <c r="A1264">
        <v>1263</v>
      </c>
      <c r="B1264">
        <v>56</v>
      </c>
      <c r="C1264" t="s">
        <v>16</v>
      </c>
      <c r="D1264" t="s">
        <v>20</v>
      </c>
      <c r="E1264" t="s">
        <v>36</v>
      </c>
      <c r="F1264" s="1">
        <v>95.43</v>
      </c>
      <c r="G1264" t="s">
        <v>19</v>
      </c>
      <c r="H1264" t="s">
        <v>37</v>
      </c>
      <c r="I1264" s="2">
        <v>4</v>
      </c>
      <c r="J1264" s="4">
        <v>6</v>
      </c>
      <c r="K1264" s="3">
        <v>3</v>
      </c>
      <c r="L1264" s="1">
        <f t="shared" si="57"/>
        <v>89.7042</v>
      </c>
      <c r="M1264" t="str" cm="1">
        <f t="array" ref="M1264">_xlfn.IFS(B1264&lt;18,"Under 18",B1264 &lt;=25,"18-25",B1264&lt;=35,"26-35",B1264&lt;=45,"36-45",B1264&lt;=60,"46-60",TRUE,"60+")</f>
        <v>46-60</v>
      </c>
      <c r="N1264" t="str">
        <f t="shared" si="58"/>
        <v>Discounted</v>
      </c>
      <c r="O1264" t="str">
        <f t="shared" si="59"/>
        <v>Returning</v>
      </c>
    </row>
    <row r="1265" spans="1:15" x14ac:dyDescent="0.25">
      <c r="A1265">
        <v>1264</v>
      </c>
      <c r="B1265">
        <v>52</v>
      </c>
      <c r="C1265" t="s">
        <v>16</v>
      </c>
      <c r="D1265" t="s">
        <v>27</v>
      </c>
      <c r="E1265" t="s">
        <v>32</v>
      </c>
      <c r="F1265" s="1">
        <v>2764.97</v>
      </c>
      <c r="G1265" t="s">
        <v>24</v>
      </c>
      <c r="H1265" t="s">
        <v>15</v>
      </c>
      <c r="I1265" s="2">
        <v>2.7</v>
      </c>
      <c r="J1265" s="4">
        <v>9</v>
      </c>
      <c r="K1265" s="3">
        <v>2</v>
      </c>
      <c r="L1265" s="1">
        <f t="shared" si="57"/>
        <v>2516.1226999999999</v>
      </c>
      <c r="M1265" t="str" cm="1">
        <f t="array" ref="M1265">_xlfn.IFS(B1265&lt;18,"Under 18",B1265 &lt;=25,"18-25",B1265&lt;=35,"26-35",B1265&lt;=45,"36-45",B1265&lt;=60,"46-60",TRUE,"60+")</f>
        <v>46-60</v>
      </c>
      <c r="N1265" t="str">
        <f t="shared" si="58"/>
        <v>Discounted</v>
      </c>
      <c r="O1265" t="str">
        <f t="shared" si="59"/>
        <v>Returning</v>
      </c>
    </row>
    <row r="1266" spans="1:15" x14ac:dyDescent="0.25">
      <c r="A1266">
        <v>1265</v>
      </c>
      <c r="B1266">
        <v>41</v>
      </c>
      <c r="C1266" t="s">
        <v>16</v>
      </c>
      <c r="D1266" t="s">
        <v>25</v>
      </c>
      <c r="E1266" t="s">
        <v>54</v>
      </c>
      <c r="F1266" s="1">
        <v>60.98</v>
      </c>
      <c r="G1266" t="s">
        <v>19</v>
      </c>
      <c r="H1266" t="s">
        <v>15</v>
      </c>
      <c r="I1266" s="2">
        <v>2.8</v>
      </c>
      <c r="J1266" s="4">
        <v>14</v>
      </c>
      <c r="K1266" s="3">
        <v>7</v>
      </c>
      <c r="L1266" s="1">
        <f t="shared" si="57"/>
        <v>52.442799999999998</v>
      </c>
      <c r="M1266" t="str" cm="1">
        <f t="array" ref="M1266">_xlfn.IFS(B1266&lt;18,"Under 18",B1266 &lt;=25,"18-25",B1266&lt;=35,"26-35",B1266&lt;=45,"36-45",B1266&lt;=60,"46-60",TRUE,"60+")</f>
        <v>36-45</v>
      </c>
      <c r="N1266" t="str">
        <f t="shared" si="58"/>
        <v>Discounted</v>
      </c>
      <c r="O1266" t="str">
        <f t="shared" si="59"/>
        <v>Returning</v>
      </c>
    </row>
    <row r="1267" spans="1:15" x14ac:dyDescent="0.25">
      <c r="A1267">
        <v>1266</v>
      </c>
      <c r="B1267">
        <v>37</v>
      </c>
      <c r="C1267" t="s">
        <v>16</v>
      </c>
      <c r="D1267" t="s">
        <v>27</v>
      </c>
      <c r="E1267" t="s">
        <v>32</v>
      </c>
      <c r="F1267" s="1">
        <v>943.53</v>
      </c>
      <c r="G1267" t="s">
        <v>19</v>
      </c>
      <c r="H1267" t="s">
        <v>15</v>
      </c>
      <c r="I1267" s="2">
        <v>4.7</v>
      </c>
      <c r="J1267" s="4">
        <v>2</v>
      </c>
      <c r="K1267" s="3">
        <v>1</v>
      </c>
      <c r="L1267" s="1">
        <f t="shared" si="57"/>
        <v>924.65940000000001</v>
      </c>
      <c r="M1267" t="str" cm="1">
        <f t="array" ref="M1267">_xlfn.IFS(B1267&lt;18,"Under 18",B1267 &lt;=25,"18-25",B1267&lt;=35,"26-35",B1267&lt;=45,"36-45",B1267&lt;=60,"46-60",TRUE,"60+")</f>
        <v>36-45</v>
      </c>
      <c r="N1267" t="str">
        <f t="shared" si="58"/>
        <v>Discounted</v>
      </c>
      <c r="O1267" t="str">
        <f t="shared" si="59"/>
        <v>Returning</v>
      </c>
    </row>
    <row r="1268" spans="1:15" x14ac:dyDescent="0.25">
      <c r="A1268">
        <v>1267</v>
      </c>
      <c r="B1268">
        <v>51</v>
      </c>
      <c r="C1268" t="s">
        <v>16</v>
      </c>
      <c r="D1268" t="s">
        <v>20</v>
      </c>
      <c r="E1268" t="s">
        <v>36</v>
      </c>
      <c r="F1268" s="1">
        <v>246.18</v>
      </c>
      <c r="G1268" t="s">
        <v>19</v>
      </c>
      <c r="H1268" t="s">
        <v>15</v>
      </c>
      <c r="I1268" s="2">
        <v>3.6</v>
      </c>
      <c r="J1268" s="4">
        <v>8</v>
      </c>
      <c r="K1268" s="3">
        <v>4</v>
      </c>
      <c r="L1268" s="1">
        <f t="shared" si="57"/>
        <v>226.48560000000001</v>
      </c>
      <c r="M1268" t="str" cm="1">
        <f t="array" ref="M1268">_xlfn.IFS(B1268&lt;18,"Under 18",B1268 &lt;=25,"18-25",B1268&lt;=35,"26-35",B1268&lt;=45,"36-45",B1268&lt;=60,"46-60",TRUE,"60+")</f>
        <v>46-60</v>
      </c>
      <c r="N1268" t="str">
        <f t="shared" si="58"/>
        <v>Discounted</v>
      </c>
      <c r="O1268" t="str">
        <f t="shared" si="59"/>
        <v>Returning</v>
      </c>
    </row>
    <row r="1269" spans="1:15" x14ac:dyDescent="0.25">
      <c r="A1269">
        <v>1268</v>
      </c>
      <c r="B1269">
        <v>65</v>
      </c>
      <c r="C1269" t="s">
        <v>16</v>
      </c>
      <c r="D1269" t="s">
        <v>27</v>
      </c>
      <c r="E1269" t="s">
        <v>53</v>
      </c>
      <c r="F1269" s="1">
        <v>1135.9000000000001</v>
      </c>
      <c r="G1269" t="s">
        <v>24</v>
      </c>
      <c r="H1269" t="s">
        <v>15</v>
      </c>
      <c r="I1269" s="2">
        <v>3.5</v>
      </c>
      <c r="J1269" s="4">
        <v>13</v>
      </c>
      <c r="K1269" s="3">
        <v>4</v>
      </c>
      <c r="L1269" s="1">
        <f t="shared" si="57"/>
        <v>988.23300000000006</v>
      </c>
      <c r="M1269" t="str" cm="1">
        <f t="array" ref="M1269">_xlfn.IFS(B1269&lt;18,"Under 18",B1269 &lt;=25,"18-25",B1269&lt;=35,"26-35",B1269&lt;=45,"36-45",B1269&lt;=60,"46-60",TRUE,"60+")</f>
        <v>60+</v>
      </c>
      <c r="N1269" t="str">
        <f t="shared" si="58"/>
        <v>Discounted</v>
      </c>
      <c r="O1269" t="str">
        <f t="shared" si="59"/>
        <v>Returning</v>
      </c>
    </row>
    <row r="1270" spans="1:15" x14ac:dyDescent="0.25">
      <c r="A1270">
        <v>1269</v>
      </c>
      <c r="B1270">
        <v>45</v>
      </c>
      <c r="C1270" t="s">
        <v>16</v>
      </c>
      <c r="D1270" t="s">
        <v>27</v>
      </c>
      <c r="E1270" t="s">
        <v>53</v>
      </c>
      <c r="F1270" s="1">
        <v>1704.22</v>
      </c>
      <c r="G1270" t="s">
        <v>31</v>
      </c>
      <c r="H1270" t="s">
        <v>15</v>
      </c>
      <c r="I1270" s="2">
        <v>4.0999999999999996</v>
      </c>
      <c r="J1270" s="4">
        <v>15</v>
      </c>
      <c r="K1270" s="3">
        <v>5</v>
      </c>
      <c r="L1270" s="1">
        <f t="shared" si="57"/>
        <v>1448.587</v>
      </c>
      <c r="M1270" t="str" cm="1">
        <f t="array" ref="M1270">_xlfn.IFS(B1270&lt;18,"Under 18",B1270 &lt;=25,"18-25",B1270&lt;=35,"26-35",B1270&lt;=45,"36-45",B1270&lt;=60,"46-60",TRUE,"60+")</f>
        <v>36-45</v>
      </c>
      <c r="N1270" t="str">
        <f t="shared" si="58"/>
        <v>Discounted</v>
      </c>
      <c r="O1270" t="str">
        <f t="shared" si="59"/>
        <v>Returning</v>
      </c>
    </row>
    <row r="1271" spans="1:15" x14ac:dyDescent="0.25">
      <c r="A1271">
        <v>1270</v>
      </c>
      <c r="B1271">
        <v>23</v>
      </c>
      <c r="C1271" t="s">
        <v>16</v>
      </c>
      <c r="D1271" t="s">
        <v>33</v>
      </c>
      <c r="E1271" t="s">
        <v>34</v>
      </c>
      <c r="F1271" s="1">
        <v>92.79</v>
      </c>
      <c r="G1271" t="s">
        <v>14</v>
      </c>
      <c r="H1271" t="s">
        <v>15</v>
      </c>
      <c r="I1271" s="2">
        <v>4.9000000000000004</v>
      </c>
      <c r="J1271" s="4">
        <v>13</v>
      </c>
      <c r="K1271" s="3">
        <v>4</v>
      </c>
      <c r="L1271" s="1">
        <f t="shared" si="57"/>
        <v>80.7273</v>
      </c>
      <c r="M1271" t="str" cm="1">
        <f t="array" ref="M1271">_xlfn.IFS(B1271&lt;18,"Under 18",B1271 &lt;=25,"18-25",B1271&lt;=35,"26-35",B1271&lt;=45,"36-45",B1271&lt;=60,"46-60",TRUE,"60+")</f>
        <v>18-25</v>
      </c>
      <c r="N1271" t="str">
        <f t="shared" si="58"/>
        <v>Discounted</v>
      </c>
      <c r="O1271" t="str">
        <f t="shared" si="59"/>
        <v>Returning</v>
      </c>
    </row>
    <row r="1272" spans="1:15" x14ac:dyDescent="0.25">
      <c r="A1272">
        <v>1271</v>
      </c>
      <c r="B1272">
        <v>55</v>
      </c>
      <c r="C1272" t="s">
        <v>16</v>
      </c>
      <c r="D1272" t="s">
        <v>17</v>
      </c>
      <c r="E1272" t="s">
        <v>42</v>
      </c>
      <c r="F1272" s="1">
        <v>165.27</v>
      </c>
      <c r="G1272" t="s">
        <v>19</v>
      </c>
      <c r="H1272" t="s">
        <v>15</v>
      </c>
      <c r="I1272" s="2">
        <v>3.5</v>
      </c>
      <c r="J1272" s="4">
        <v>17</v>
      </c>
      <c r="K1272" s="3">
        <v>6</v>
      </c>
      <c r="L1272" s="1">
        <f t="shared" si="57"/>
        <v>137.17410000000001</v>
      </c>
      <c r="M1272" t="str" cm="1">
        <f t="array" ref="M1272">_xlfn.IFS(B1272&lt;18,"Under 18",B1272 &lt;=25,"18-25",B1272&lt;=35,"26-35",B1272&lt;=45,"36-45",B1272&lt;=60,"46-60",TRUE,"60+")</f>
        <v>46-60</v>
      </c>
      <c r="N1272" t="str">
        <f t="shared" si="58"/>
        <v>Discounted</v>
      </c>
      <c r="O1272" t="str">
        <f t="shared" si="59"/>
        <v>Returning</v>
      </c>
    </row>
    <row r="1273" spans="1:15" x14ac:dyDescent="0.25">
      <c r="A1273">
        <v>1272</v>
      </c>
      <c r="B1273">
        <v>45</v>
      </c>
      <c r="C1273" t="s">
        <v>11</v>
      </c>
      <c r="D1273" t="s">
        <v>29</v>
      </c>
      <c r="E1273" t="s">
        <v>51</v>
      </c>
      <c r="F1273" s="1">
        <v>72.319999999999993</v>
      </c>
      <c r="G1273" t="s">
        <v>31</v>
      </c>
      <c r="H1273" t="s">
        <v>37</v>
      </c>
      <c r="I1273" s="2">
        <v>3.4</v>
      </c>
      <c r="J1273" s="4">
        <v>17</v>
      </c>
      <c r="K1273" s="3">
        <v>6</v>
      </c>
      <c r="L1273" s="1">
        <f t="shared" si="57"/>
        <v>60.02559999999999</v>
      </c>
      <c r="M1273" t="str" cm="1">
        <f t="array" ref="M1273">_xlfn.IFS(B1273&lt;18,"Under 18",B1273 &lt;=25,"18-25",B1273&lt;=35,"26-35",B1273&lt;=45,"36-45",B1273&lt;=60,"46-60",TRUE,"60+")</f>
        <v>36-45</v>
      </c>
      <c r="N1273" t="str">
        <f t="shared" si="58"/>
        <v>Discounted</v>
      </c>
      <c r="O1273" t="str">
        <f t="shared" si="59"/>
        <v>Returning</v>
      </c>
    </row>
    <row r="1274" spans="1:15" x14ac:dyDescent="0.25">
      <c r="A1274">
        <v>1273</v>
      </c>
      <c r="B1274">
        <v>55</v>
      </c>
      <c r="C1274" t="s">
        <v>16</v>
      </c>
      <c r="D1274" t="s">
        <v>27</v>
      </c>
      <c r="E1274" t="s">
        <v>53</v>
      </c>
      <c r="F1274" s="1">
        <v>1843.01</v>
      </c>
      <c r="G1274" t="s">
        <v>19</v>
      </c>
      <c r="H1274" t="s">
        <v>15</v>
      </c>
      <c r="I1274" s="2">
        <v>2.9</v>
      </c>
      <c r="J1274" s="4">
        <v>20</v>
      </c>
      <c r="K1274" s="3">
        <v>10</v>
      </c>
      <c r="L1274" s="1">
        <f t="shared" si="57"/>
        <v>1474.4080000000001</v>
      </c>
      <c r="M1274" t="str" cm="1">
        <f t="array" ref="M1274">_xlfn.IFS(B1274&lt;18,"Under 18",B1274 &lt;=25,"18-25",B1274&lt;=35,"26-35",B1274&lt;=45,"36-45",B1274&lt;=60,"46-60",TRUE,"60+")</f>
        <v>46-60</v>
      </c>
      <c r="N1274" t="str">
        <f t="shared" si="58"/>
        <v>Discounted</v>
      </c>
      <c r="O1274" t="str">
        <f t="shared" si="59"/>
        <v>Returning</v>
      </c>
    </row>
    <row r="1275" spans="1:15" x14ac:dyDescent="0.25">
      <c r="A1275">
        <v>1274</v>
      </c>
      <c r="B1275">
        <v>45</v>
      </c>
      <c r="C1275" t="s">
        <v>16</v>
      </c>
      <c r="D1275" t="s">
        <v>20</v>
      </c>
      <c r="E1275" t="s">
        <v>21</v>
      </c>
      <c r="F1275" s="1">
        <v>40.4</v>
      </c>
      <c r="G1275" t="s">
        <v>31</v>
      </c>
      <c r="H1275" t="s">
        <v>15</v>
      </c>
      <c r="I1275" s="2">
        <v>3.3</v>
      </c>
      <c r="J1275" s="4">
        <v>10</v>
      </c>
      <c r="K1275" s="3">
        <v>5</v>
      </c>
      <c r="L1275" s="1">
        <f t="shared" si="57"/>
        <v>36.36</v>
      </c>
      <c r="M1275" t="str" cm="1">
        <f t="array" ref="M1275">_xlfn.IFS(B1275&lt;18,"Under 18",B1275 &lt;=25,"18-25",B1275&lt;=35,"26-35",B1275&lt;=45,"36-45",B1275&lt;=60,"46-60",TRUE,"60+")</f>
        <v>36-45</v>
      </c>
      <c r="N1275" t="str">
        <f t="shared" si="58"/>
        <v>Discounted</v>
      </c>
      <c r="O1275" t="str">
        <f t="shared" si="59"/>
        <v>Returning</v>
      </c>
    </row>
    <row r="1276" spans="1:15" x14ac:dyDescent="0.25">
      <c r="A1276">
        <v>1275</v>
      </c>
      <c r="B1276">
        <v>29</v>
      </c>
      <c r="C1276" t="s">
        <v>16</v>
      </c>
      <c r="D1276" t="s">
        <v>20</v>
      </c>
      <c r="E1276" t="s">
        <v>36</v>
      </c>
      <c r="F1276" s="1">
        <v>80.31</v>
      </c>
      <c r="G1276" t="s">
        <v>24</v>
      </c>
      <c r="H1276" t="s">
        <v>37</v>
      </c>
      <c r="I1276" s="2">
        <v>4.3</v>
      </c>
      <c r="J1276" s="4">
        <v>11</v>
      </c>
      <c r="K1276" s="3">
        <v>3</v>
      </c>
      <c r="L1276" s="1">
        <f t="shared" si="57"/>
        <v>71.47590000000001</v>
      </c>
      <c r="M1276" t="str" cm="1">
        <f t="array" ref="M1276">_xlfn.IFS(B1276&lt;18,"Under 18",B1276 &lt;=25,"18-25",B1276&lt;=35,"26-35",B1276&lt;=45,"36-45",B1276&lt;=60,"46-60",TRUE,"60+")</f>
        <v>26-35</v>
      </c>
      <c r="N1276" t="str">
        <f t="shared" si="58"/>
        <v>Discounted</v>
      </c>
      <c r="O1276" t="str">
        <f t="shared" si="59"/>
        <v>Returning</v>
      </c>
    </row>
    <row r="1277" spans="1:15" x14ac:dyDescent="0.25">
      <c r="A1277">
        <v>1276</v>
      </c>
      <c r="B1277">
        <v>27</v>
      </c>
      <c r="C1277" t="s">
        <v>11</v>
      </c>
      <c r="D1277" t="s">
        <v>33</v>
      </c>
      <c r="E1277" t="s">
        <v>38</v>
      </c>
      <c r="F1277" s="1">
        <v>197.36</v>
      </c>
      <c r="G1277" t="s">
        <v>14</v>
      </c>
      <c r="H1277" t="s">
        <v>15</v>
      </c>
      <c r="I1277" s="2">
        <v>3.5</v>
      </c>
      <c r="J1277" s="4">
        <v>16</v>
      </c>
      <c r="K1277" s="3">
        <v>3</v>
      </c>
      <c r="L1277" s="1">
        <f t="shared" si="57"/>
        <v>165.7824</v>
      </c>
      <c r="M1277" t="str" cm="1">
        <f t="array" ref="M1277">_xlfn.IFS(B1277&lt;18,"Under 18",B1277 &lt;=25,"18-25",B1277&lt;=35,"26-35",B1277&lt;=45,"36-45",B1277&lt;=60,"46-60",TRUE,"60+")</f>
        <v>26-35</v>
      </c>
      <c r="N1277" t="str">
        <f t="shared" si="58"/>
        <v>Discounted</v>
      </c>
      <c r="O1277" t="str">
        <f t="shared" si="59"/>
        <v>Returning</v>
      </c>
    </row>
    <row r="1278" spans="1:15" x14ac:dyDescent="0.25">
      <c r="A1278">
        <v>1277</v>
      </c>
      <c r="B1278">
        <v>22</v>
      </c>
      <c r="C1278" t="s">
        <v>16</v>
      </c>
      <c r="D1278" t="s">
        <v>33</v>
      </c>
      <c r="E1278" t="s">
        <v>38</v>
      </c>
      <c r="F1278" s="1">
        <v>153.96</v>
      </c>
      <c r="G1278" t="s">
        <v>19</v>
      </c>
      <c r="H1278" t="s">
        <v>15</v>
      </c>
      <c r="I1278" s="2">
        <v>4.7</v>
      </c>
      <c r="J1278" s="4">
        <v>11</v>
      </c>
      <c r="K1278" s="3">
        <v>3</v>
      </c>
      <c r="L1278" s="1">
        <f t="shared" si="57"/>
        <v>137.02440000000001</v>
      </c>
      <c r="M1278" t="str" cm="1">
        <f t="array" ref="M1278">_xlfn.IFS(B1278&lt;18,"Under 18",B1278 &lt;=25,"18-25",B1278&lt;=35,"26-35",B1278&lt;=45,"36-45",B1278&lt;=60,"46-60",TRUE,"60+")</f>
        <v>18-25</v>
      </c>
      <c r="N1278" t="str">
        <f t="shared" si="58"/>
        <v>Discounted</v>
      </c>
      <c r="O1278" t="str">
        <f t="shared" si="59"/>
        <v>Returning</v>
      </c>
    </row>
    <row r="1279" spans="1:15" x14ac:dyDescent="0.25">
      <c r="A1279">
        <v>1278</v>
      </c>
      <c r="B1279">
        <v>55</v>
      </c>
      <c r="C1279" t="s">
        <v>16</v>
      </c>
      <c r="D1279" t="s">
        <v>33</v>
      </c>
      <c r="E1279" t="s">
        <v>38</v>
      </c>
      <c r="F1279" s="1">
        <v>46.48</v>
      </c>
      <c r="G1279" t="s">
        <v>31</v>
      </c>
      <c r="H1279" t="s">
        <v>37</v>
      </c>
      <c r="I1279" s="2">
        <v>3.1</v>
      </c>
      <c r="J1279" s="4">
        <v>6</v>
      </c>
      <c r="K1279" s="3">
        <v>3</v>
      </c>
      <c r="L1279" s="1">
        <f t="shared" si="57"/>
        <v>43.691199999999995</v>
      </c>
      <c r="M1279" t="str" cm="1">
        <f t="array" ref="M1279">_xlfn.IFS(B1279&lt;18,"Under 18",B1279 &lt;=25,"18-25",B1279&lt;=35,"26-35",B1279&lt;=45,"36-45",B1279&lt;=60,"46-60",TRUE,"60+")</f>
        <v>46-60</v>
      </c>
      <c r="N1279" t="str">
        <f t="shared" si="58"/>
        <v>Discounted</v>
      </c>
      <c r="O1279" t="str">
        <f t="shared" si="59"/>
        <v>Returning</v>
      </c>
    </row>
    <row r="1280" spans="1:15" x14ac:dyDescent="0.25">
      <c r="A1280">
        <v>1279</v>
      </c>
      <c r="B1280">
        <v>40</v>
      </c>
      <c r="C1280" t="s">
        <v>16</v>
      </c>
      <c r="D1280" t="s">
        <v>22</v>
      </c>
      <c r="E1280" t="s">
        <v>52</v>
      </c>
      <c r="F1280" s="1">
        <v>129.11000000000001</v>
      </c>
      <c r="G1280" t="s">
        <v>31</v>
      </c>
      <c r="H1280" t="s">
        <v>15</v>
      </c>
      <c r="I1280" s="2">
        <v>3.1</v>
      </c>
      <c r="J1280" s="4">
        <v>20</v>
      </c>
      <c r="K1280" s="3">
        <v>5</v>
      </c>
      <c r="L1280" s="1">
        <f t="shared" si="57"/>
        <v>103.28800000000001</v>
      </c>
      <c r="M1280" t="str" cm="1">
        <f t="array" ref="M1280">_xlfn.IFS(B1280&lt;18,"Under 18",B1280 &lt;=25,"18-25",B1280&lt;=35,"26-35",B1280&lt;=45,"36-45",B1280&lt;=60,"46-60",TRUE,"60+")</f>
        <v>36-45</v>
      </c>
      <c r="N1280" t="str">
        <f t="shared" si="58"/>
        <v>Discounted</v>
      </c>
      <c r="O1280" t="str">
        <f t="shared" si="59"/>
        <v>Returning</v>
      </c>
    </row>
    <row r="1281" spans="1:15" x14ac:dyDescent="0.25">
      <c r="A1281">
        <v>1280</v>
      </c>
      <c r="B1281">
        <v>63</v>
      </c>
      <c r="C1281" t="s">
        <v>16</v>
      </c>
      <c r="D1281" t="s">
        <v>20</v>
      </c>
      <c r="E1281" t="s">
        <v>36</v>
      </c>
      <c r="F1281" s="1">
        <v>130.97999999999999</v>
      </c>
      <c r="G1281" t="s">
        <v>31</v>
      </c>
      <c r="H1281" t="s">
        <v>15</v>
      </c>
      <c r="I1281" s="2">
        <v>3.3</v>
      </c>
      <c r="J1281" s="4">
        <v>10</v>
      </c>
      <c r="K1281" s="3">
        <v>5</v>
      </c>
      <c r="L1281" s="1">
        <f t="shared" si="57"/>
        <v>117.88199999999999</v>
      </c>
      <c r="M1281" t="str" cm="1">
        <f t="array" ref="M1281">_xlfn.IFS(B1281&lt;18,"Under 18",B1281 &lt;=25,"18-25",B1281&lt;=35,"26-35",B1281&lt;=45,"36-45",B1281&lt;=60,"46-60",TRUE,"60+")</f>
        <v>60+</v>
      </c>
      <c r="N1281" t="str">
        <f t="shared" si="58"/>
        <v>Discounted</v>
      </c>
      <c r="O1281" t="str">
        <f t="shared" si="59"/>
        <v>Returning</v>
      </c>
    </row>
    <row r="1282" spans="1:15" x14ac:dyDescent="0.25">
      <c r="A1282">
        <v>1281</v>
      </c>
      <c r="B1282">
        <v>43</v>
      </c>
      <c r="C1282" t="s">
        <v>16</v>
      </c>
      <c r="D1282" t="s">
        <v>20</v>
      </c>
      <c r="E1282" t="s">
        <v>39</v>
      </c>
      <c r="F1282" s="1">
        <v>116.56</v>
      </c>
      <c r="G1282" t="s">
        <v>31</v>
      </c>
      <c r="H1282" t="s">
        <v>15</v>
      </c>
      <c r="I1282" s="2">
        <v>3.1</v>
      </c>
      <c r="J1282" s="4">
        <v>25</v>
      </c>
      <c r="K1282" s="3">
        <v>10</v>
      </c>
      <c r="L1282" s="1">
        <f t="shared" si="57"/>
        <v>87.42</v>
      </c>
      <c r="M1282" t="str" cm="1">
        <f t="array" ref="M1282">_xlfn.IFS(B1282&lt;18,"Under 18",B1282 &lt;=25,"18-25",B1282&lt;=35,"26-35",B1282&lt;=45,"36-45",B1282&lt;=60,"46-60",TRUE,"60+")</f>
        <v>36-45</v>
      </c>
      <c r="N1282" t="str">
        <f t="shared" si="58"/>
        <v>Discounted</v>
      </c>
      <c r="O1282" t="str">
        <f t="shared" si="59"/>
        <v>Returning</v>
      </c>
    </row>
    <row r="1283" spans="1:15" x14ac:dyDescent="0.25">
      <c r="A1283">
        <v>1282</v>
      </c>
      <c r="B1283">
        <v>34</v>
      </c>
      <c r="C1283" t="s">
        <v>16</v>
      </c>
      <c r="D1283" t="s">
        <v>27</v>
      </c>
      <c r="E1283" t="s">
        <v>53</v>
      </c>
      <c r="F1283" s="1">
        <v>1105.45</v>
      </c>
      <c r="G1283" t="s">
        <v>24</v>
      </c>
      <c r="H1283" t="s">
        <v>15</v>
      </c>
      <c r="I1283" s="2">
        <v>5</v>
      </c>
      <c r="J1283" s="4">
        <v>24</v>
      </c>
      <c r="K1283" s="3">
        <v>7</v>
      </c>
      <c r="L1283" s="1">
        <f t="shared" ref="L1283:L1346" si="60">F1283 * (1 - J1283 / 100)</f>
        <v>840.14200000000005</v>
      </c>
      <c r="M1283" t="str" cm="1">
        <f t="array" ref="M1283">_xlfn.IFS(B1283&lt;18,"Under 18",B1283 &lt;=25,"18-25",B1283&lt;=35,"26-35",B1283&lt;=45,"36-45",B1283&lt;=60,"46-60",TRUE,"60+")</f>
        <v>26-35</v>
      </c>
      <c r="N1283" t="str">
        <f t="shared" ref="N1283:N1346" si="61">IF(J1283&gt;0,"Discounted","No Discount")</f>
        <v>Discounted</v>
      </c>
      <c r="O1283" t="str">
        <f t="shared" ref="O1283:O1346" si="62">IF(K1283&gt;0,"Returning","New")</f>
        <v>Returning</v>
      </c>
    </row>
    <row r="1284" spans="1:15" x14ac:dyDescent="0.25">
      <c r="A1284">
        <v>1283</v>
      </c>
      <c r="B1284">
        <v>46</v>
      </c>
      <c r="C1284" t="s">
        <v>16</v>
      </c>
      <c r="D1284" t="s">
        <v>33</v>
      </c>
      <c r="E1284" t="s">
        <v>40</v>
      </c>
      <c r="F1284" s="1">
        <v>192.39</v>
      </c>
      <c r="G1284" t="s">
        <v>14</v>
      </c>
      <c r="H1284" t="s">
        <v>15</v>
      </c>
      <c r="I1284" s="2">
        <v>3.9</v>
      </c>
      <c r="J1284" s="4">
        <v>9</v>
      </c>
      <c r="K1284" s="3">
        <v>2</v>
      </c>
      <c r="L1284" s="1">
        <f t="shared" si="60"/>
        <v>175.07489999999999</v>
      </c>
      <c r="M1284" t="str" cm="1">
        <f t="array" ref="M1284">_xlfn.IFS(B1284&lt;18,"Under 18",B1284 &lt;=25,"18-25",B1284&lt;=35,"26-35",B1284&lt;=45,"36-45",B1284&lt;=60,"46-60",TRUE,"60+")</f>
        <v>46-60</v>
      </c>
      <c r="N1284" t="str">
        <f t="shared" si="61"/>
        <v>Discounted</v>
      </c>
      <c r="O1284" t="str">
        <f t="shared" si="62"/>
        <v>Returning</v>
      </c>
    </row>
    <row r="1285" spans="1:15" x14ac:dyDescent="0.25">
      <c r="A1285">
        <v>1284</v>
      </c>
      <c r="B1285">
        <v>51</v>
      </c>
      <c r="C1285" t="s">
        <v>11</v>
      </c>
      <c r="D1285" t="s">
        <v>41</v>
      </c>
      <c r="E1285" t="s">
        <v>46</v>
      </c>
      <c r="F1285" s="1">
        <v>184.44</v>
      </c>
      <c r="G1285" t="s">
        <v>19</v>
      </c>
      <c r="H1285" t="s">
        <v>15</v>
      </c>
      <c r="I1285" s="2">
        <v>3.6</v>
      </c>
      <c r="J1285" s="4">
        <v>15</v>
      </c>
      <c r="K1285" s="3">
        <v>5</v>
      </c>
      <c r="L1285" s="1">
        <f t="shared" si="60"/>
        <v>156.774</v>
      </c>
      <c r="M1285" t="str" cm="1">
        <f t="array" ref="M1285">_xlfn.IFS(B1285&lt;18,"Under 18",B1285 &lt;=25,"18-25",B1285&lt;=35,"26-35",B1285&lt;=45,"36-45",B1285&lt;=60,"46-60",TRUE,"60+")</f>
        <v>46-60</v>
      </c>
      <c r="N1285" t="str">
        <f t="shared" si="61"/>
        <v>Discounted</v>
      </c>
      <c r="O1285" t="str">
        <f t="shared" si="62"/>
        <v>Returning</v>
      </c>
    </row>
    <row r="1286" spans="1:15" x14ac:dyDescent="0.25">
      <c r="A1286">
        <v>1285</v>
      </c>
      <c r="B1286">
        <v>25</v>
      </c>
      <c r="C1286" t="s">
        <v>16</v>
      </c>
      <c r="D1286" t="s">
        <v>22</v>
      </c>
      <c r="E1286" t="s">
        <v>52</v>
      </c>
      <c r="F1286" s="1">
        <v>227.36</v>
      </c>
      <c r="G1286" t="s">
        <v>19</v>
      </c>
      <c r="H1286" t="s">
        <v>15</v>
      </c>
      <c r="I1286" s="2">
        <v>3.2</v>
      </c>
      <c r="J1286" s="4">
        <v>15</v>
      </c>
      <c r="K1286" s="3">
        <v>5</v>
      </c>
      <c r="L1286" s="1">
        <f t="shared" si="60"/>
        <v>193.256</v>
      </c>
      <c r="M1286" t="str" cm="1">
        <f t="array" ref="M1286">_xlfn.IFS(B1286&lt;18,"Under 18",B1286 &lt;=25,"18-25",B1286&lt;=35,"26-35",B1286&lt;=45,"36-45",B1286&lt;=60,"46-60",TRUE,"60+")</f>
        <v>18-25</v>
      </c>
      <c r="N1286" t="str">
        <f t="shared" si="61"/>
        <v>Discounted</v>
      </c>
      <c r="O1286" t="str">
        <f t="shared" si="62"/>
        <v>Returning</v>
      </c>
    </row>
    <row r="1287" spans="1:15" x14ac:dyDescent="0.25">
      <c r="A1287">
        <v>1286</v>
      </c>
      <c r="B1287">
        <v>55</v>
      </c>
      <c r="C1287" t="s">
        <v>16</v>
      </c>
      <c r="D1287" t="s">
        <v>17</v>
      </c>
      <c r="E1287" t="s">
        <v>48</v>
      </c>
      <c r="F1287" s="1">
        <v>91.95</v>
      </c>
      <c r="G1287" t="s">
        <v>31</v>
      </c>
      <c r="H1287" t="s">
        <v>15</v>
      </c>
      <c r="I1287" s="2">
        <v>4.0999999999999996</v>
      </c>
      <c r="J1287" s="4">
        <v>20</v>
      </c>
      <c r="K1287" s="3">
        <v>5</v>
      </c>
      <c r="L1287" s="1">
        <f t="shared" si="60"/>
        <v>73.56</v>
      </c>
      <c r="M1287" t="str" cm="1">
        <f t="array" ref="M1287">_xlfn.IFS(B1287&lt;18,"Under 18",B1287 &lt;=25,"18-25",B1287&lt;=35,"26-35",B1287&lt;=45,"36-45",B1287&lt;=60,"46-60",TRUE,"60+")</f>
        <v>46-60</v>
      </c>
      <c r="N1287" t="str">
        <f t="shared" si="61"/>
        <v>Discounted</v>
      </c>
      <c r="O1287" t="str">
        <f t="shared" si="62"/>
        <v>Returning</v>
      </c>
    </row>
    <row r="1288" spans="1:15" x14ac:dyDescent="0.25">
      <c r="A1288">
        <v>1287</v>
      </c>
      <c r="B1288">
        <v>40</v>
      </c>
      <c r="C1288" t="s">
        <v>11</v>
      </c>
      <c r="D1288" t="s">
        <v>20</v>
      </c>
      <c r="E1288" t="s">
        <v>39</v>
      </c>
      <c r="F1288" s="1">
        <v>71.11</v>
      </c>
      <c r="G1288" t="s">
        <v>24</v>
      </c>
      <c r="H1288" t="s">
        <v>37</v>
      </c>
      <c r="I1288" s="2">
        <v>4.5999999999999996</v>
      </c>
      <c r="J1288" s="4">
        <v>18</v>
      </c>
      <c r="K1288" s="3">
        <v>4</v>
      </c>
      <c r="L1288" s="1">
        <f t="shared" si="60"/>
        <v>58.310200000000002</v>
      </c>
      <c r="M1288" t="str" cm="1">
        <f t="array" ref="M1288">_xlfn.IFS(B1288&lt;18,"Under 18",B1288 &lt;=25,"18-25",B1288&lt;=35,"26-35",B1288&lt;=45,"36-45",B1288&lt;=60,"46-60",TRUE,"60+")</f>
        <v>36-45</v>
      </c>
      <c r="N1288" t="str">
        <f t="shared" si="61"/>
        <v>Discounted</v>
      </c>
      <c r="O1288" t="str">
        <f t="shared" si="62"/>
        <v>Returning</v>
      </c>
    </row>
    <row r="1289" spans="1:15" x14ac:dyDescent="0.25">
      <c r="A1289">
        <v>1288</v>
      </c>
      <c r="B1289">
        <v>36</v>
      </c>
      <c r="C1289" t="s">
        <v>16</v>
      </c>
      <c r="D1289" t="s">
        <v>33</v>
      </c>
      <c r="E1289" t="s">
        <v>34</v>
      </c>
      <c r="F1289" s="1">
        <v>114.22</v>
      </c>
      <c r="G1289" t="s">
        <v>14</v>
      </c>
      <c r="H1289" t="s">
        <v>15</v>
      </c>
      <c r="I1289" s="2">
        <v>3.9</v>
      </c>
      <c r="J1289" s="4">
        <v>22</v>
      </c>
      <c r="K1289" s="3">
        <v>6</v>
      </c>
      <c r="L1289" s="1">
        <f t="shared" si="60"/>
        <v>89.0916</v>
      </c>
      <c r="M1289" t="str" cm="1">
        <f t="array" ref="M1289">_xlfn.IFS(B1289&lt;18,"Under 18",B1289 &lt;=25,"18-25",B1289&lt;=35,"26-35",B1289&lt;=45,"36-45",B1289&lt;=60,"46-60",TRUE,"60+")</f>
        <v>36-45</v>
      </c>
      <c r="N1289" t="str">
        <f t="shared" si="61"/>
        <v>Discounted</v>
      </c>
      <c r="O1289" t="str">
        <f t="shared" si="62"/>
        <v>Returning</v>
      </c>
    </row>
    <row r="1290" spans="1:15" x14ac:dyDescent="0.25">
      <c r="A1290">
        <v>1289</v>
      </c>
      <c r="B1290">
        <v>70</v>
      </c>
      <c r="C1290" t="s">
        <v>11</v>
      </c>
      <c r="D1290" t="s">
        <v>29</v>
      </c>
      <c r="E1290" t="s">
        <v>55</v>
      </c>
      <c r="F1290" s="1">
        <v>104.25</v>
      </c>
      <c r="G1290" t="s">
        <v>24</v>
      </c>
      <c r="H1290" t="s">
        <v>15</v>
      </c>
      <c r="I1290" s="2">
        <v>3.9</v>
      </c>
      <c r="J1290" s="4">
        <v>10</v>
      </c>
      <c r="K1290" s="3">
        <v>5</v>
      </c>
      <c r="L1290" s="1">
        <f t="shared" si="60"/>
        <v>93.825000000000003</v>
      </c>
      <c r="M1290" t="str" cm="1">
        <f t="array" ref="M1290">_xlfn.IFS(B1290&lt;18,"Under 18",B1290 &lt;=25,"18-25",B1290&lt;=35,"26-35",B1290&lt;=45,"36-45",B1290&lt;=60,"46-60",TRUE,"60+")</f>
        <v>60+</v>
      </c>
      <c r="N1290" t="str">
        <f t="shared" si="61"/>
        <v>Discounted</v>
      </c>
      <c r="O1290" t="str">
        <f t="shared" si="62"/>
        <v>Returning</v>
      </c>
    </row>
    <row r="1291" spans="1:15" x14ac:dyDescent="0.25">
      <c r="A1291">
        <v>1290</v>
      </c>
      <c r="B1291">
        <v>20</v>
      </c>
      <c r="C1291" t="s">
        <v>11</v>
      </c>
      <c r="D1291" t="s">
        <v>41</v>
      </c>
      <c r="E1291" t="s">
        <v>44</v>
      </c>
      <c r="F1291" s="1">
        <v>151.63</v>
      </c>
      <c r="G1291" t="s">
        <v>24</v>
      </c>
      <c r="H1291" t="s">
        <v>15</v>
      </c>
      <c r="I1291" s="2">
        <v>2</v>
      </c>
      <c r="J1291" s="4">
        <v>12</v>
      </c>
      <c r="K1291" s="3">
        <v>6</v>
      </c>
      <c r="L1291" s="1">
        <f t="shared" si="60"/>
        <v>133.43440000000001</v>
      </c>
      <c r="M1291" t="str" cm="1">
        <f t="array" ref="M1291">_xlfn.IFS(B1291&lt;18,"Under 18",B1291 &lt;=25,"18-25",B1291&lt;=35,"26-35",B1291&lt;=45,"36-45",B1291&lt;=60,"46-60",TRUE,"60+")</f>
        <v>18-25</v>
      </c>
      <c r="N1291" t="str">
        <f t="shared" si="61"/>
        <v>Discounted</v>
      </c>
      <c r="O1291" t="str">
        <f t="shared" si="62"/>
        <v>Returning</v>
      </c>
    </row>
    <row r="1292" spans="1:15" x14ac:dyDescent="0.25">
      <c r="A1292">
        <v>1291</v>
      </c>
      <c r="B1292">
        <v>35</v>
      </c>
      <c r="C1292" t="s">
        <v>16</v>
      </c>
      <c r="D1292" t="s">
        <v>20</v>
      </c>
      <c r="E1292" t="s">
        <v>39</v>
      </c>
      <c r="F1292" s="1">
        <v>113.99</v>
      </c>
      <c r="G1292" t="s">
        <v>31</v>
      </c>
      <c r="H1292" t="s">
        <v>15</v>
      </c>
      <c r="I1292" s="2">
        <v>3.3</v>
      </c>
      <c r="J1292" s="4">
        <v>8</v>
      </c>
      <c r="K1292" s="3">
        <v>4</v>
      </c>
      <c r="L1292" s="1">
        <f t="shared" si="60"/>
        <v>104.8708</v>
      </c>
      <c r="M1292" t="str" cm="1">
        <f t="array" ref="M1292">_xlfn.IFS(B1292&lt;18,"Under 18",B1292 &lt;=25,"18-25",B1292&lt;=35,"26-35",B1292&lt;=45,"36-45",B1292&lt;=60,"46-60",TRUE,"60+")</f>
        <v>26-35</v>
      </c>
      <c r="N1292" t="str">
        <f t="shared" si="61"/>
        <v>Discounted</v>
      </c>
      <c r="O1292" t="str">
        <f t="shared" si="62"/>
        <v>Returning</v>
      </c>
    </row>
    <row r="1293" spans="1:15" x14ac:dyDescent="0.25">
      <c r="A1293">
        <v>1292</v>
      </c>
      <c r="B1293">
        <v>37</v>
      </c>
      <c r="C1293" t="s">
        <v>11</v>
      </c>
      <c r="D1293" t="s">
        <v>33</v>
      </c>
      <c r="E1293" t="s">
        <v>38</v>
      </c>
      <c r="F1293" s="1">
        <v>149.77000000000001</v>
      </c>
      <c r="G1293" t="s">
        <v>19</v>
      </c>
      <c r="H1293" t="s">
        <v>15</v>
      </c>
      <c r="I1293" s="2">
        <v>4</v>
      </c>
      <c r="J1293" s="4">
        <v>25</v>
      </c>
      <c r="K1293" s="3">
        <v>10</v>
      </c>
      <c r="L1293" s="1">
        <f t="shared" si="60"/>
        <v>112.32750000000001</v>
      </c>
      <c r="M1293" t="str" cm="1">
        <f t="array" ref="M1293">_xlfn.IFS(B1293&lt;18,"Under 18",B1293 &lt;=25,"18-25",B1293&lt;=35,"26-35",B1293&lt;=45,"36-45",B1293&lt;=60,"46-60",TRUE,"60+")</f>
        <v>36-45</v>
      </c>
      <c r="N1293" t="str">
        <f t="shared" si="61"/>
        <v>Discounted</v>
      </c>
      <c r="O1293" t="str">
        <f t="shared" si="62"/>
        <v>Returning</v>
      </c>
    </row>
    <row r="1294" spans="1:15" x14ac:dyDescent="0.25">
      <c r="A1294">
        <v>1293</v>
      </c>
      <c r="B1294">
        <v>35</v>
      </c>
      <c r="C1294" t="s">
        <v>11</v>
      </c>
      <c r="D1294" t="s">
        <v>20</v>
      </c>
      <c r="E1294" t="s">
        <v>21</v>
      </c>
      <c r="F1294" s="1">
        <v>149.11000000000001</v>
      </c>
      <c r="G1294" t="s">
        <v>19</v>
      </c>
      <c r="H1294" t="s">
        <v>15</v>
      </c>
      <c r="I1294" s="2">
        <v>3.1</v>
      </c>
      <c r="J1294" s="4">
        <v>14</v>
      </c>
      <c r="K1294" s="3">
        <v>7</v>
      </c>
      <c r="L1294" s="1">
        <f t="shared" si="60"/>
        <v>128.2346</v>
      </c>
      <c r="M1294" t="str" cm="1">
        <f t="array" ref="M1294">_xlfn.IFS(B1294&lt;18,"Under 18",B1294 &lt;=25,"18-25",B1294&lt;=35,"26-35",B1294&lt;=45,"36-45",B1294&lt;=60,"46-60",TRUE,"60+")</f>
        <v>26-35</v>
      </c>
      <c r="N1294" t="str">
        <f t="shared" si="61"/>
        <v>Discounted</v>
      </c>
      <c r="O1294" t="str">
        <f t="shared" si="62"/>
        <v>Returning</v>
      </c>
    </row>
    <row r="1295" spans="1:15" x14ac:dyDescent="0.25">
      <c r="A1295">
        <v>1294</v>
      </c>
      <c r="B1295">
        <v>47</v>
      </c>
      <c r="C1295" t="s">
        <v>11</v>
      </c>
      <c r="D1295" t="s">
        <v>12</v>
      </c>
      <c r="E1295" t="s">
        <v>56</v>
      </c>
      <c r="F1295" s="1">
        <v>44.02</v>
      </c>
      <c r="G1295" t="s">
        <v>14</v>
      </c>
      <c r="H1295" t="s">
        <v>37</v>
      </c>
      <c r="I1295" s="2">
        <v>4.4000000000000004</v>
      </c>
      <c r="J1295" s="4">
        <v>6</v>
      </c>
      <c r="K1295" s="3">
        <v>3</v>
      </c>
      <c r="L1295" s="1">
        <f t="shared" si="60"/>
        <v>41.378799999999998</v>
      </c>
      <c r="M1295" t="str" cm="1">
        <f t="array" ref="M1295">_xlfn.IFS(B1295&lt;18,"Under 18",B1295 &lt;=25,"18-25",B1295&lt;=35,"26-35",B1295&lt;=45,"36-45",B1295&lt;=60,"46-60",TRUE,"60+")</f>
        <v>46-60</v>
      </c>
      <c r="N1295" t="str">
        <f t="shared" si="61"/>
        <v>Discounted</v>
      </c>
      <c r="O1295" t="str">
        <f t="shared" si="62"/>
        <v>Returning</v>
      </c>
    </row>
    <row r="1296" spans="1:15" x14ac:dyDescent="0.25">
      <c r="A1296">
        <v>1295</v>
      </c>
      <c r="B1296">
        <v>60</v>
      </c>
      <c r="C1296" t="s">
        <v>16</v>
      </c>
      <c r="D1296" t="s">
        <v>17</v>
      </c>
      <c r="E1296" t="s">
        <v>48</v>
      </c>
      <c r="F1296" s="1">
        <v>42.96</v>
      </c>
      <c r="G1296" t="s">
        <v>19</v>
      </c>
      <c r="H1296" t="s">
        <v>15</v>
      </c>
      <c r="I1296" s="2">
        <v>5</v>
      </c>
      <c r="J1296" s="4">
        <v>25</v>
      </c>
      <c r="K1296" s="3">
        <v>10</v>
      </c>
      <c r="L1296" s="1">
        <f t="shared" si="60"/>
        <v>32.22</v>
      </c>
      <c r="M1296" t="str" cm="1">
        <f t="array" ref="M1296">_xlfn.IFS(B1296&lt;18,"Under 18",B1296 &lt;=25,"18-25",B1296&lt;=35,"26-35",B1296&lt;=45,"36-45",B1296&lt;=60,"46-60",TRUE,"60+")</f>
        <v>46-60</v>
      </c>
      <c r="N1296" t="str">
        <f t="shared" si="61"/>
        <v>Discounted</v>
      </c>
      <c r="O1296" t="str">
        <f t="shared" si="62"/>
        <v>Returning</v>
      </c>
    </row>
    <row r="1297" spans="1:15" x14ac:dyDescent="0.25">
      <c r="A1297">
        <v>1296</v>
      </c>
      <c r="B1297">
        <v>55</v>
      </c>
      <c r="C1297" t="s">
        <v>11</v>
      </c>
      <c r="D1297" t="s">
        <v>41</v>
      </c>
      <c r="E1297" t="s">
        <v>46</v>
      </c>
      <c r="F1297" s="1">
        <v>186.61</v>
      </c>
      <c r="G1297" t="s">
        <v>31</v>
      </c>
      <c r="H1297" t="s">
        <v>15</v>
      </c>
      <c r="I1297" s="2">
        <v>3.2</v>
      </c>
      <c r="J1297" s="4">
        <v>14</v>
      </c>
      <c r="K1297" s="3">
        <v>7</v>
      </c>
      <c r="L1297" s="1">
        <f t="shared" si="60"/>
        <v>160.4846</v>
      </c>
      <c r="M1297" t="str" cm="1">
        <f t="array" ref="M1297">_xlfn.IFS(B1297&lt;18,"Under 18",B1297 &lt;=25,"18-25",B1297&lt;=35,"26-35",B1297&lt;=45,"36-45",B1297&lt;=60,"46-60",TRUE,"60+")</f>
        <v>46-60</v>
      </c>
      <c r="N1297" t="str">
        <f t="shared" si="61"/>
        <v>Discounted</v>
      </c>
      <c r="O1297" t="str">
        <f t="shared" si="62"/>
        <v>Returning</v>
      </c>
    </row>
    <row r="1298" spans="1:15" x14ac:dyDescent="0.25">
      <c r="A1298">
        <v>1297</v>
      </c>
      <c r="B1298">
        <v>36</v>
      </c>
      <c r="C1298" t="s">
        <v>16</v>
      </c>
      <c r="D1298" t="s">
        <v>25</v>
      </c>
      <c r="E1298" t="s">
        <v>47</v>
      </c>
      <c r="F1298" s="1">
        <v>20.05</v>
      </c>
      <c r="G1298" t="s">
        <v>19</v>
      </c>
      <c r="H1298" t="s">
        <v>37</v>
      </c>
      <c r="I1298" s="2">
        <v>3.9</v>
      </c>
      <c r="J1298" s="4">
        <v>13</v>
      </c>
      <c r="K1298" s="3">
        <v>4</v>
      </c>
      <c r="L1298" s="1">
        <f t="shared" si="60"/>
        <v>17.4435</v>
      </c>
      <c r="M1298" t="str" cm="1">
        <f t="array" ref="M1298">_xlfn.IFS(B1298&lt;18,"Under 18",B1298 &lt;=25,"18-25",B1298&lt;=35,"26-35",B1298&lt;=45,"36-45",B1298&lt;=60,"46-60",TRUE,"60+")</f>
        <v>36-45</v>
      </c>
      <c r="N1298" t="str">
        <f t="shared" si="61"/>
        <v>Discounted</v>
      </c>
      <c r="O1298" t="str">
        <f t="shared" si="62"/>
        <v>Returning</v>
      </c>
    </row>
    <row r="1299" spans="1:15" x14ac:dyDescent="0.25">
      <c r="A1299">
        <v>1298</v>
      </c>
      <c r="B1299">
        <v>31</v>
      </c>
      <c r="C1299" t="s">
        <v>16</v>
      </c>
      <c r="D1299" t="s">
        <v>27</v>
      </c>
      <c r="E1299" t="s">
        <v>49</v>
      </c>
      <c r="F1299" s="1">
        <v>2520.3000000000002</v>
      </c>
      <c r="G1299" t="s">
        <v>31</v>
      </c>
      <c r="H1299" t="s">
        <v>15</v>
      </c>
      <c r="I1299" s="2">
        <v>2.7</v>
      </c>
      <c r="J1299" s="4">
        <v>14</v>
      </c>
      <c r="K1299" s="3">
        <v>7</v>
      </c>
      <c r="L1299" s="1">
        <f t="shared" si="60"/>
        <v>2167.4580000000001</v>
      </c>
      <c r="M1299" t="str" cm="1">
        <f t="array" ref="M1299">_xlfn.IFS(B1299&lt;18,"Under 18",B1299 &lt;=25,"18-25",B1299&lt;=35,"26-35",B1299&lt;=45,"36-45",B1299&lt;=60,"46-60",TRUE,"60+")</f>
        <v>26-35</v>
      </c>
      <c r="N1299" t="str">
        <f t="shared" si="61"/>
        <v>Discounted</v>
      </c>
      <c r="O1299" t="str">
        <f t="shared" si="62"/>
        <v>Returning</v>
      </c>
    </row>
    <row r="1300" spans="1:15" x14ac:dyDescent="0.25">
      <c r="A1300">
        <v>1299</v>
      </c>
      <c r="B1300">
        <v>51</v>
      </c>
      <c r="C1300" t="s">
        <v>11</v>
      </c>
      <c r="D1300" t="s">
        <v>41</v>
      </c>
      <c r="E1300" t="s">
        <v>46</v>
      </c>
      <c r="F1300" s="1">
        <v>119.82</v>
      </c>
      <c r="G1300" t="s">
        <v>24</v>
      </c>
      <c r="H1300" t="s">
        <v>15</v>
      </c>
      <c r="I1300" s="2">
        <v>4.3</v>
      </c>
      <c r="J1300" s="4">
        <v>21</v>
      </c>
      <c r="K1300" s="3">
        <v>8</v>
      </c>
      <c r="L1300" s="1">
        <f t="shared" si="60"/>
        <v>94.657799999999995</v>
      </c>
      <c r="M1300" t="str" cm="1">
        <f t="array" ref="M1300">_xlfn.IFS(B1300&lt;18,"Under 18",B1300 &lt;=25,"18-25",B1300&lt;=35,"26-35",B1300&lt;=45,"36-45",B1300&lt;=60,"46-60",TRUE,"60+")</f>
        <v>46-60</v>
      </c>
      <c r="N1300" t="str">
        <f t="shared" si="61"/>
        <v>Discounted</v>
      </c>
      <c r="O1300" t="str">
        <f t="shared" si="62"/>
        <v>Returning</v>
      </c>
    </row>
    <row r="1301" spans="1:15" x14ac:dyDescent="0.25">
      <c r="A1301">
        <v>1300</v>
      </c>
      <c r="B1301">
        <v>62</v>
      </c>
      <c r="C1301" t="s">
        <v>16</v>
      </c>
      <c r="D1301" t="s">
        <v>33</v>
      </c>
      <c r="E1301" t="s">
        <v>34</v>
      </c>
      <c r="F1301" s="1">
        <v>144.66999999999999</v>
      </c>
      <c r="G1301" t="s">
        <v>14</v>
      </c>
      <c r="H1301" t="s">
        <v>15</v>
      </c>
      <c r="I1301" s="2">
        <v>3.7</v>
      </c>
      <c r="J1301" s="4">
        <v>14</v>
      </c>
      <c r="K1301" s="3">
        <v>7</v>
      </c>
      <c r="L1301" s="1">
        <f t="shared" si="60"/>
        <v>124.41619999999999</v>
      </c>
      <c r="M1301" t="str" cm="1">
        <f t="array" ref="M1301">_xlfn.IFS(B1301&lt;18,"Under 18",B1301 &lt;=25,"18-25",B1301&lt;=35,"26-35",B1301&lt;=45,"36-45",B1301&lt;=60,"46-60",TRUE,"60+")</f>
        <v>60+</v>
      </c>
      <c r="N1301" t="str">
        <f t="shared" si="61"/>
        <v>Discounted</v>
      </c>
      <c r="O1301" t="str">
        <f t="shared" si="62"/>
        <v>Returning</v>
      </c>
    </row>
    <row r="1302" spans="1:15" x14ac:dyDescent="0.25">
      <c r="A1302">
        <v>1301</v>
      </c>
      <c r="B1302">
        <v>29</v>
      </c>
      <c r="C1302" t="s">
        <v>11</v>
      </c>
      <c r="D1302" t="s">
        <v>29</v>
      </c>
      <c r="E1302" t="s">
        <v>30</v>
      </c>
      <c r="F1302" s="1">
        <v>38.64</v>
      </c>
      <c r="G1302" t="s">
        <v>14</v>
      </c>
      <c r="H1302" t="s">
        <v>37</v>
      </c>
      <c r="I1302" s="2">
        <v>4</v>
      </c>
      <c r="J1302" s="4">
        <v>16</v>
      </c>
      <c r="K1302" s="3">
        <v>3</v>
      </c>
      <c r="L1302" s="1">
        <f t="shared" si="60"/>
        <v>32.457599999999999</v>
      </c>
      <c r="M1302" t="str" cm="1">
        <f t="array" ref="M1302">_xlfn.IFS(B1302&lt;18,"Under 18",B1302 &lt;=25,"18-25",B1302&lt;=35,"26-35",B1302&lt;=45,"36-45",B1302&lt;=60,"46-60",TRUE,"60+")</f>
        <v>26-35</v>
      </c>
      <c r="N1302" t="str">
        <f t="shared" si="61"/>
        <v>Discounted</v>
      </c>
      <c r="O1302" t="str">
        <f t="shared" si="62"/>
        <v>Returning</v>
      </c>
    </row>
    <row r="1303" spans="1:15" x14ac:dyDescent="0.25">
      <c r="A1303">
        <v>1302</v>
      </c>
      <c r="B1303">
        <v>28</v>
      </c>
      <c r="C1303" t="s">
        <v>16</v>
      </c>
      <c r="D1303" t="s">
        <v>20</v>
      </c>
      <c r="E1303" t="s">
        <v>21</v>
      </c>
      <c r="F1303" s="1">
        <v>64.16</v>
      </c>
      <c r="G1303" t="s">
        <v>24</v>
      </c>
      <c r="H1303" t="s">
        <v>37</v>
      </c>
      <c r="I1303" s="2">
        <v>3.7</v>
      </c>
      <c r="J1303" s="4">
        <v>28</v>
      </c>
      <c r="K1303" s="3">
        <v>9</v>
      </c>
      <c r="L1303" s="1">
        <f t="shared" si="60"/>
        <v>46.195199999999993</v>
      </c>
      <c r="M1303" t="str" cm="1">
        <f t="array" ref="M1303">_xlfn.IFS(B1303&lt;18,"Under 18",B1303 &lt;=25,"18-25",B1303&lt;=35,"26-35",B1303&lt;=45,"36-45",B1303&lt;=60,"46-60",TRUE,"60+")</f>
        <v>26-35</v>
      </c>
      <c r="N1303" t="str">
        <f t="shared" si="61"/>
        <v>Discounted</v>
      </c>
      <c r="O1303" t="str">
        <f t="shared" si="62"/>
        <v>Returning</v>
      </c>
    </row>
    <row r="1304" spans="1:15" x14ac:dyDescent="0.25">
      <c r="A1304">
        <v>1303</v>
      </c>
      <c r="B1304">
        <v>35</v>
      </c>
      <c r="C1304" t="s">
        <v>16</v>
      </c>
      <c r="D1304" t="s">
        <v>20</v>
      </c>
      <c r="E1304" t="s">
        <v>36</v>
      </c>
      <c r="F1304" s="1">
        <v>238.78</v>
      </c>
      <c r="G1304" t="s">
        <v>31</v>
      </c>
      <c r="H1304" t="s">
        <v>15</v>
      </c>
      <c r="I1304" s="2">
        <v>3.8</v>
      </c>
      <c r="J1304" s="4">
        <v>9</v>
      </c>
      <c r="K1304" s="3">
        <v>2</v>
      </c>
      <c r="L1304" s="1">
        <f t="shared" si="60"/>
        <v>217.28980000000001</v>
      </c>
      <c r="M1304" t="str" cm="1">
        <f t="array" ref="M1304">_xlfn.IFS(B1304&lt;18,"Under 18",B1304 &lt;=25,"18-25",B1304&lt;=35,"26-35",B1304&lt;=45,"36-45",B1304&lt;=60,"46-60",TRUE,"60+")</f>
        <v>26-35</v>
      </c>
      <c r="N1304" t="str">
        <f t="shared" si="61"/>
        <v>Discounted</v>
      </c>
      <c r="O1304" t="str">
        <f t="shared" si="62"/>
        <v>Returning</v>
      </c>
    </row>
    <row r="1305" spans="1:15" x14ac:dyDescent="0.25">
      <c r="A1305">
        <v>1304</v>
      </c>
      <c r="B1305">
        <v>34</v>
      </c>
      <c r="C1305" t="s">
        <v>11</v>
      </c>
      <c r="D1305" t="s">
        <v>12</v>
      </c>
      <c r="E1305" t="s">
        <v>50</v>
      </c>
      <c r="F1305" s="1">
        <v>159.38999999999999</v>
      </c>
      <c r="G1305" t="s">
        <v>19</v>
      </c>
      <c r="H1305" t="s">
        <v>15</v>
      </c>
      <c r="I1305" s="2">
        <v>3</v>
      </c>
      <c r="J1305" s="4">
        <v>6</v>
      </c>
      <c r="K1305" s="3">
        <v>3</v>
      </c>
      <c r="L1305" s="1">
        <f t="shared" si="60"/>
        <v>149.82659999999998</v>
      </c>
      <c r="M1305" t="str" cm="1">
        <f t="array" ref="M1305">_xlfn.IFS(B1305&lt;18,"Under 18",B1305 &lt;=25,"18-25",B1305&lt;=35,"26-35",B1305&lt;=45,"36-45",B1305&lt;=60,"46-60",TRUE,"60+")</f>
        <v>26-35</v>
      </c>
      <c r="N1305" t="str">
        <f t="shared" si="61"/>
        <v>Discounted</v>
      </c>
      <c r="O1305" t="str">
        <f t="shared" si="62"/>
        <v>Returning</v>
      </c>
    </row>
    <row r="1306" spans="1:15" x14ac:dyDescent="0.25">
      <c r="A1306">
        <v>1305</v>
      </c>
      <c r="B1306">
        <v>22</v>
      </c>
      <c r="C1306" t="s">
        <v>11</v>
      </c>
      <c r="D1306" t="s">
        <v>25</v>
      </c>
      <c r="E1306" t="s">
        <v>54</v>
      </c>
      <c r="F1306" s="1">
        <v>60.87</v>
      </c>
      <c r="G1306" t="s">
        <v>24</v>
      </c>
      <c r="H1306" t="s">
        <v>15</v>
      </c>
      <c r="I1306" s="2">
        <v>3.6</v>
      </c>
      <c r="J1306" s="4">
        <v>14</v>
      </c>
      <c r="K1306" s="3">
        <v>7</v>
      </c>
      <c r="L1306" s="1">
        <f t="shared" si="60"/>
        <v>52.348199999999999</v>
      </c>
      <c r="M1306" t="str" cm="1">
        <f t="array" ref="M1306">_xlfn.IFS(B1306&lt;18,"Under 18",B1306 &lt;=25,"18-25",B1306&lt;=35,"26-35",B1306&lt;=45,"36-45",B1306&lt;=60,"46-60",TRUE,"60+")</f>
        <v>18-25</v>
      </c>
      <c r="N1306" t="str">
        <f t="shared" si="61"/>
        <v>Discounted</v>
      </c>
      <c r="O1306" t="str">
        <f t="shared" si="62"/>
        <v>Returning</v>
      </c>
    </row>
    <row r="1307" spans="1:15" x14ac:dyDescent="0.25">
      <c r="A1307">
        <v>1306</v>
      </c>
      <c r="B1307">
        <v>70</v>
      </c>
      <c r="C1307" t="s">
        <v>16</v>
      </c>
      <c r="D1307" t="s">
        <v>33</v>
      </c>
      <c r="E1307" t="s">
        <v>34</v>
      </c>
      <c r="F1307" s="1">
        <v>61.28</v>
      </c>
      <c r="G1307" t="s">
        <v>31</v>
      </c>
      <c r="H1307" t="s">
        <v>15</v>
      </c>
      <c r="I1307" s="2">
        <v>4.5999999999999996</v>
      </c>
      <c r="J1307" s="4">
        <v>14</v>
      </c>
      <c r="K1307" s="3">
        <v>7</v>
      </c>
      <c r="L1307" s="1">
        <f t="shared" si="60"/>
        <v>52.700800000000001</v>
      </c>
      <c r="M1307" t="str" cm="1">
        <f t="array" ref="M1307">_xlfn.IFS(B1307&lt;18,"Under 18",B1307 &lt;=25,"18-25",B1307&lt;=35,"26-35",B1307&lt;=45,"36-45",B1307&lt;=60,"46-60",TRUE,"60+")</f>
        <v>60+</v>
      </c>
      <c r="N1307" t="str">
        <f t="shared" si="61"/>
        <v>Discounted</v>
      </c>
      <c r="O1307" t="str">
        <f t="shared" si="62"/>
        <v>Returning</v>
      </c>
    </row>
    <row r="1308" spans="1:15" x14ac:dyDescent="0.25">
      <c r="A1308">
        <v>1307</v>
      </c>
      <c r="B1308">
        <v>42</v>
      </c>
      <c r="C1308" t="s">
        <v>16</v>
      </c>
      <c r="D1308" t="s">
        <v>33</v>
      </c>
      <c r="E1308" t="s">
        <v>38</v>
      </c>
      <c r="F1308" s="1">
        <v>219.14</v>
      </c>
      <c r="G1308" t="s">
        <v>24</v>
      </c>
      <c r="H1308" t="s">
        <v>15</v>
      </c>
      <c r="I1308" s="2">
        <v>4.2</v>
      </c>
      <c r="J1308" s="4">
        <v>18</v>
      </c>
      <c r="K1308" s="3">
        <v>4</v>
      </c>
      <c r="L1308" s="1">
        <f t="shared" si="60"/>
        <v>179.69480000000001</v>
      </c>
      <c r="M1308" t="str" cm="1">
        <f t="array" ref="M1308">_xlfn.IFS(B1308&lt;18,"Under 18",B1308 &lt;=25,"18-25",B1308&lt;=35,"26-35",B1308&lt;=45,"36-45",B1308&lt;=60,"46-60",TRUE,"60+")</f>
        <v>36-45</v>
      </c>
      <c r="N1308" t="str">
        <f t="shared" si="61"/>
        <v>Discounted</v>
      </c>
      <c r="O1308" t="str">
        <f t="shared" si="62"/>
        <v>Returning</v>
      </c>
    </row>
    <row r="1309" spans="1:15" x14ac:dyDescent="0.25">
      <c r="A1309">
        <v>1308</v>
      </c>
      <c r="B1309">
        <v>22</v>
      </c>
      <c r="C1309" t="s">
        <v>11</v>
      </c>
      <c r="D1309" t="s">
        <v>41</v>
      </c>
      <c r="E1309" t="s">
        <v>44</v>
      </c>
      <c r="F1309" s="1">
        <v>125.23</v>
      </c>
      <c r="G1309" t="s">
        <v>24</v>
      </c>
      <c r="H1309" t="s">
        <v>15</v>
      </c>
      <c r="I1309" s="2">
        <v>4.8</v>
      </c>
      <c r="J1309" s="4">
        <v>13</v>
      </c>
      <c r="K1309" s="3">
        <v>4</v>
      </c>
      <c r="L1309" s="1">
        <f t="shared" si="60"/>
        <v>108.95010000000001</v>
      </c>
      <c r="M1309" t="str" cm="1">
        <f t="array" ref="M1309">_xlfn.IFS(B1309&lt;18,"Under 18",B1309 &lt;=25,"18-25",B1309&lt;=35,"26-35",B1309&lt;=45,"36-45",B1309&lt;=60,"46-60",TRUE,"60+")</f>
        <v>18-25</v>
      </c>
      <c r="N1309" t="str">
        <f t="shared" si="61"/>
        <v>Discounted</v>
      </c>
      <c r="O1309" t="str">
        <f t="shared" si="62"/>
        <v>Returning</v>
      </c>
    </row>
    <row r="1310" spans="1:15" x14ac:dyDescent="0.25">
      <c r="A1310">
        <v>1309</v>
      </c>
      <c r="B1310">
        <v>39</v>
      </c>
      <c r="C1310" t="s">
        <v>11</v>
      </c>
      <c r="D1310" t="s">
        <v>12</v>
      </c>
      <c r="E1310" t="s">
        <v>56</v>
      </c>
      <c r="F1310" s="1">
        <v>77.930000000000007</v>
      </c>
      <c r="G1310" t="s">
        <v>31</v>
      </c>
      <c r="H1310" t="s">
        <v>15</v>
      </c>
      <c r="I1310" s="2">
        <v>3.5</v>
      </c>
      <c r="J1310" s="4">
        <v>10</v>
      </c>
      <c r="K1310" s="3">
        <v>5</v>
      </c>
      <c r="L1310" s="1">
        <f t="shared" si="60"/>
        <v>70.137000000000015</v>
      </c>
      <c r="M1310" t="str" cm="1">
        <f t="array" ref="M1310">_xlfn.IFS(B1310&lt;18,"Under 18",B1310 &lt;=25,"18-25",B1310&lt;=35,"26-35",B1310&lt;=45,"36-45",B1310&lt;=60,"46-60",TRUE,"60+")</f>
        <v>36-45</v>
      </c>
      <c r="N1310" t="str">
        <f t="shared" si="61"/>
        <v>Discounted</v>
      </c>
      <c r="O1310" t="str">
        <f t="shared" si="62"/>
        <v>Returning</v>
      </c>
    </row>
    <row r="1311" spans="1:15" x14ac:dyDescent="0.25">
      <c r="A1311">
        <v>1310</v>
      </c>
      <c r="B1311">
        <v>48</v>
      </c>
      <c r="C1311" t="s">
        <v>16</v>
      </c>
      <c r="D1311" t="s">
        <v>27</v>
      </c>
      <c r="E1311" t="s">
        <v>32</v>
      </c>
      <c r="F1311" s="1">
        <v>579.51</v>
      </c>
      <c r="G1311" t="s">
        <v>19</v>
      </c>
      <c r="H1311" t="s">
        <v>15</v>
      </c>
      <c r="I1311" s="2">
        <v>2.5</v>
      </c>
      <c r="J1311" s="4">
        <v>11</v>
      </c>
      <c r="K1311" s="3">
        <v>3</v>
      </c>
      <c r="L1311" s="1">
        <f t="shared" si="60"/>
        <v>515.76390000000004</v>
      </c>
      <c r="M1311" t="str" cm="1">
        <f t="array" ref="M1311">_xlfn.IFS(B1311&lt;18,"Under 18",B1311 &lt;=25,"18-25",B1311&lt;=35,"26-35",B1311&lt;=45,"36-45",B1311&lt;=60,"46-60",TRUE,"60+")</f>
        <v>46-60</v>
      </c>
      <c r="N1311" t="str">
        <f t="shared" si="61"/>
        <v>Discounted</v>
      </c>
      <c r="O1311" t="str">
        <f t="shared" si="62"/>
        <v>Returning</v>
      </c>
    </row>
    <row r="1312" spans="1:15" x14ac:dyDescent="0.25">
      <c r="A1312">
        <v>1311</v>
      </c>
      <c r="B1312">
        <v>58</v>
      </c>
      <c r="C1312" t="s">
        <v>16</v>
      </c>
      <c r="D1312" t="s">
        <v>17</v>
      </c>
      <c r="E1312" t="s">
        <v>48</v>
      </c>
      <c r="F1312" s="1">
        <v>142.47</v>
      </c>
      <c r="G1312" t="s">
        <v>19</v>
      </c>
      <c r="H1312" t="s">
        <v>15</v>
      </c>
      <c r="I1312" s="2">
        <v>3.5</v>
      </c>
      <c r="J1312" s="4">
        <v>20</v>
      </c>
      <c r="K1312" s="3">
        <v>5</v>
      </c>
      <c r="L1312" s="1">
        <f t="shared" si="60"/>
        <v>113.976</v>
      </c>
      <c r="M1312" t="str" cm="1">
        <f t="array" ref="M1312">_xlfn.IFS(B1312&lt;18,"Under 18",B1312 &lt;=25,"18-25",B1312&lt;=35,"26-35",B1312&lt;=45,"36-45",B1312&lt;=60,"46-60",TRUE,"60+")</f>
        <v>46-60</v>
      </c>
      <c r="N1312" t="str">
        <f t="shared" si="61"/>
        <v>Discounted</v>
      </c>
      <c r="O1312" t="str">
        <f t="shared" si="62"/>
        <v>Returning</v>
      </c>
    </row>
    <row r="1313" spans="1:15" x14ac:dyDescent="0.25">
      <c r="A1313">
        <v>1312</v>
      </c>
      <c r="B1313">
        <v>21</v>
      </c>
      <c r="C1313" t="s">
        <v>16</v>
      </c>
      <c r="D1313" t="s">
        <v>20</v>
      </c>
      <c r="E1313" t="s">
        <v>36</v>
      </c>
      <c r="F1313" s="1">
        <v>34.03</v>
      </c>
      <c r="G1313" t="s">
        <v>31</v>
      </c>
      <c r="H1313" t="s">
        <v>37</v>
      </c>
      <c r="I1313" s="2">
        <v>3.3</v>
      </c>
      <c r="J1313" s="4">
        <v>6</v>
      </c>
      <c r="K1313" s="3">
        <v>3</v>
      </c>
      <c r="L1313" s="1">
        <f t="shared" si="60"/>
        <v>31.988199999999999</v>
      </c>
      <c r="M1313" t="str" cm="1">
        <f t="array" ref="M1313">_xlfn.IFS(B1313&lt;18,"Under 18",B1313 &lt;=25,"18-25",B1313&lt;=35,"26-35",B1313&lt;=45,"36-45",B1313&lt;=60,"46-60",TRUE,"60+")</f>
        <v>18-25</v>
      </c>
      <c r="N1313" t="str">
        <f t="shared" si="61"/>
        <v>Discounted</v>
      </c>
      <c r="O1313" t="str">
        <f t="shared" si="62"/>
        <v>Returning</v>
      </c>
    </row>
    <row r="1314" spans="1:15" x14ac:dyDescent="0.25">
      <c r="A1314">
        <v>1313</v>
      </c>
      <c r="B1314">
        <v>56</v>
      </c>
      <c r="C1314" t="s">
        <v>16</v>
      </c>
      <c r="D1314" t="s">
        <v>17</v>
      </c>
      <c r="E1314" t="s">
        <v>42</v>
      </c>
      <c r="F1314" s="1">
        <v>191.15</v>
      </c>
      <c r="G1314" t="s">
        <v>31</v>
      </c>
      <c r="H1314" t="s">
        <v>15</v>
      </c>
      <c r="I1314" s="2">
        <v>3.2</v>
      </c>
      <c r="J1314" s="4">
        <v>30</v>
      </c>
      <c r="K1314" s="3">
        <v>10</v>
      </c>
      <c r="L1314" s="1">
        <f t="shared" si="60"/>
        <v>133.80500000000001</v>
      </c>
      <c r="M1314" t="str" cm="1">
        <f t="array" ref="M1314">_xlfn.IFS(B1314&lt;18,"Under 18",B1314 &lt;=25,"18-25",B1314&lt;=35,"26-35",B1314&lt;=45,"36-45",B1314&lt;=60,"46-60",TRUE,"60+")</f>
        <v>46-60</v>
      </c>
      <c r="N1314" t="str">
        <f t="shared" si="61"/>
        <v>Discounted</v>
      </c>
      <c r="O1314" t="str">
        <f t="shared" si="62"/>
        <v>Returning</v>
      </c>
    </row>
    <row r="1315" spans="1:15" x14ac:dyDescent="0.25">
      <c r="A1315">
        <v>1314</v>
      </c>
      <c r="B1315">
        <v>57</v>
      </c>
      <c r="C1315" t="s">
        <v>11</v>
      </c>
      <c r="D1315" t="s">
        <v>25</v>
      </c>
      <c r="E1315" t="s">
        <v>54</v>
      </c>
      <c r="F1315" s="1">
        <v>57.36</v>
      </c>
      <c r="G1315" t="s">
        <v>31</v>
      </c>
      <c r="H1315" t="s">
        <v>15</v>
      </c>
      <c r="I1315" s="2">
        <v>3.8</v>
      </c>
      <c r="J1315" s="4">
        <v>20</v>
      </c>
      <c r="K1315" s="3">
        <v>5</v>
      </c>
      <c r="L1315" s="1">
        <f t="shared" si="60"/>
        <v>45.888000000000005</v>
      </c>
      <c r="M1315" t="str" cm="1">
        <f t="array" ref="M1315">_xlfn.IFS(B1315&lt;18,"Under 18",B1315 &lt;=25,"18-25",B1315&lt;=35,"26-35",B1315&lt;=45,"36-45",B1315&lt;=60,"46-60",TRUE,"60+")</f>
        <v>46-60</v>
      </c>
      <c r="N1315" t="str">
        <f t="shared" si="61"/>
        <v>Discounted</v>
      </c>
      <c r="O1315" t="str">
        <f t="shared" si="62"/>
        <v>Returning</v>
      </c>
    </row>
    <row r="1316" spans="1:15" x14ac:dyDescent="0.25">
      <c r="A1316">
        <v>1315</v>
      </c>
      <c r="B1316">
        <v>40</v>
      </c>
      <c r="C1316" t="s">
        <v>16</v>
      </c>
      <c r="D1316" t="s">
        <v>20</v>
      </c>
      <c r="E1316" t="s">
        <v>36</v>
      </c>
      <c r="F1316" s="1">
        <v>235.9</v>
      </c>
      <c r="G1316" t="s">
        <v>14</v>
      </c>
      <c r="H1316" t="s">
        <v>15</v>
      </c>
      <c r="I1316" s="2">
        <v>3.5</v>
      </c>
      <c r="J1316" s="4">
        <v>13</v>
      </c>
      <c r="K1316" s="3">
        <v>4</v>
      </c>
      <c r="L1316" s="1">
        <f t="shared" si="60"/>
        <v>205.233</v>
      </c>
      <c r="M1316" t="str" cm="1">
        <f t="array" ref="M1316">_xlfn.IFS(B1316&lt;18,"Under 18",B1316 &lt;=25,"18-25",B1316&lt;=35,"26-35",B1316&lt;=45,"36-45",B1316&lt;=60,"46-60",TRUE,"60+")</f>
        <v>36-45</v>
      </c>
      <c r="N1316" t="str">
        <f t="shared" si="61"/>
        <v>Discounted</v>
      </c>
      <c r="O1316" t="str">
        <f t="shared" si="62"/>
        <v>Returning</v>
      </c>
    </row>
    <row r="1317" spans="1:15" x14ac:dyDescent="0.25">
      <c r="A1317">
        <v>1316</v>
      </c>
      <c r="B1317">
        <v>53</v>
      </c>
      <c r="C1317" t="s">
        <v>16</v>
      </c>
      <c r="D1317" t="s">
        <v>27</v>
      </c>
      <c r="E1317" t="s">
        <v>32</v>
      </c>
      <c r="F1317" s="1">
        <v>1327.45</v>
      </c>
      <c r="G1317" t="s">
        <v>31</v>
      </c>
      <c r="H1317" t="s">
        <v>15</v>
      </c>
      <c r="I1317" s="2">
        <v>3.9</v>
      </c>
      <c r="J1317" s="4">
        <v>6</v>
      </c>
      <c r="K1317" s="3">
        <v>3</v>
      </c>
      <c r="L1317" s="1">
        <f t="shared" si="60"/>
        <v>1247.8029999999999</v>
      </c>
      <c r="M1317" t="str" cm="1">
        <f t="array" ref="M1317">_xlfn.IFS(B1317&lt;18,"Under 18",B1317 &lt;=25,"18-25",B1317&lt;=35,"26-35",B1317&lt;=45,"36-45",B1317&lt;=60,"46-60",TRUE,"60+")</f>
        <v>46-60</v>
      </c>
      <c r="N1317" t="str">
        <f t="shared" si="61"/>
        <v>Discounted</v>
      </c>
      <c r="O1317" t="str">
        <f t="shared" si="62"/>
        <v>Returning</v>
      </c>
    </row>
    <row r="1318" spans="1:15" x14ac:dyDescent="0.25">
      <c r="A1318">
        <v>1317</v>
      </c>
      <c r="B1318">
        <v>69</v>
      </c>
      <c r="C1318" t="s">
        <v>16</v>
      </c>
      <c r="D1318" t="s">
        <v>22</v>
      </c>
      <c r="E1318" t="s">
        <v>52</v>
      </c>
      <c r="F1318" s="1">
        <v>120.8</v>
      </c>
      <c r="G1318" t="s">
        <v>19</v>
      </c>
      <c r="H1318" t="s">
        <v>15</v>
      </c>
      <c r="I1318" s="2">
        <v>4.8</v>
      </c>
      <c r="J1318" s="4">
        <v>20</v>
      </c>
      <c r="K1318" s="3">
        <v>5</v>
      </c>
      <c r="L1318" s="1">
        <f t="shared" si="60"/>
        <v>96.64</v>
      </c>
      <c r="M1318" t="str" cm="1">
        <f t="array" ref="M1318">_xlfn.IFS(B1318&lt;18,"Under 18",B1318 &lt;=25,"18-25",B1318&lt;=35,"26-35",B1318&lt;=45,"36-45",B1318&lt;=60,"46-60",TRUE,"60+")</f>
        <v>60+</v>
      </c>
      <c r="N1318" t="str">
        <f t="shared" si="61"/>
        <v>Discounted</v>
      </c>
      <c r="O1318" t="str">
        <f t="shared" si="62"/>
        <v>Returning</v>
      </c>
    </row>
    <row r="1319" spans="1:15" x14ac:dyDescent="0.25">
      <c r="A1319">
        <v>1318</v>
      </c>
      <c r="B1319">
        <v>30</v>
      </c>
      <c r="C1319" t="s">
        <v>16</v>
      </c>
      <c r="D1319" t="s">
        <v>27</v>
      </c>
      <c r="E1319" t="s">
        <v>49</v>
      </c>
      <c r="F1319" s="1">
        <v>2944.78</v>
      </c>
      <c r="G1319" t="s">
        <v>19</v>
      </c>
      <c r="H1319" t="s">
        <v>15</v>
      </c>
      <c r="I1319" s="2">
        <v>4</v>
      </c>
      <c r="J1319" s="4">
        <v>23</v>
      </c>
      <c r="K1319" s="3">
        <v>9</v>
      </c>
      <c r="L1319" s="1">
        <f t="shared" si="60"/>
        <v>2267.4806000000003</v>
      </c>
      <c r="M1319" t="str" cm="1">
        <f t="array" ref="M1319">_xlfn.IFS(B1319&lt;18,"Under 18",B1319 &lt;=25,"18-25",B1319&lt;=35,"26-35",B1319&lt;=45,"36-45",B1319&lt;=60,"46-60",TRUE,"60+")</f>
        <v>26-35</v>
      </c>
      <c r="N1319" t="str">
        <f t="shared" si="61"/>
        <v>Discounted</v>
      </c>
      <c r="O1319" t="str">
        <f t="shared" si="62"/>
        <v>Returning</v>
      </c>
    </row>
    <row r="1320" spans="1:15" x14ac:dyDescent="0.25">
      <c r="A1320">
        <v>1319</v>
      </c>
      <c r="B1320">
        <v>52</v>
      </c>
      <c r="C1320" t="s">
        <v>11</v>
      </c>
      <c r="D1320" t="s">
        <v>29</v>
      </c>
      <c r="E1320" t="s">
        <v>55</v>
      </c>
      <c r="F1320" s="1">
        <v>105.98</v>
      </c>
      <c r="G1320" t="s">
        <v>19</v>
      </c>
      <c r="H1320" t="s">
        <v>15</v>
      </c>
      <c r="I1320" s="2">
        <v>3.9</v>
      </c>
      <c r="J1320" s="4">
        <v>19</v>
      </c>
      <c r="K1320" s="3">
        <v>7</v>
      </c>
      <c r="L1320" s="1">
        <f t="shared" si="60"/>
        <v>85.843800000000016</v>
      </c>
      <c r="M1320" t="str" cm="1">
        <f t="array" ref="M1320">_xlfn.IFS(B1320&lt;18,"Under 18",B1320 &lt;=25,"18-25",B1320&lt;=35,"26-35",B1320&lt;=45,"36-45",B1320&lt;=60,"46-60",TRUE,"60+")</f>
        <v>46-60</v>
      </c>
      <c r="N1320" t="str">
        <f t="shared" si="61"/>
        <v>Discounted</v>
      </c>
      <c r="O1320" t="str">
        <f t="shared" si="62"/>
        <v>Returning</v>
      </c>
    </row>
    <row r="1321" spans="1:15" x14ac:dyDescent="0.25">
      <c r="A1321">
        <v>1320</v>
      </c>
      <c r="B1321">
        <v>24</v>
      </c>
      <c r="C1321" t="s">
        <v>16</v>
      </c>
      <c r="D1321" t="s">
        <v>20</v>
      </c>
      <c r="E1321" t="s">
        <v>21</v>
      </c>
      <c r="F1321" s="1">
        <v>71.53</v>
      </c>
      <c r="G1321" t="s">
        <v>14</v>
      </c>
      <c r="H1321" t="s">
        <v>15</v>
      </c>
      <c r="I1321" s="2">
        <v>4</v>
      </c>
      <c r="J1321" s="4">
        <v>11</v>
      </c>
      <c r="K1321" s="3">
        <v>3</v>
      </c>
      <c r="L1321" s="1">
        <f t="shared" si="60"/>
        <v>63.661700000000003</v>
      </c>
      <c r="M1321" t="str" cm="1">
        <f t="array" ref="M1321">_xlfn.IFS(B1321&lt;18,"Under 18",B1321 &lt;=25,"18-25",B1321&lt;=35,"26-35",B1321&lt;=45,"36-45",B1321&lt;=60,"46-60",TRUE,"60+")</f>
        <v>18-25</v>
      </c>
      <c r="N1321" t="str">
        <f t="shared" si="61"/>
        <v>Discounted</v>
      </c>
      <c r="O1321" t="str">
        <f t="shared" si="62"/>
        <v>Returning</v>
      </c>
    </row>
    <row r="1322" spans="1:15" x14ac:dyDescent="0.25">
      <c r="A1322">
        <v>1321</v>
      </c>
      <c r="B1322">
        <v>51</v>
      </c>
      <c r="C1322" t="s">
        <v>11</v>
      </c>
      <c r="D1322" t="s">
        <v>29</v>
      </c>
      <c r="E1322" t="s">
        <v>55</v>
      </c>
      <c r="F1322" s="1">
        <v>30.99</v>
      </c>
      <c r="G1322" t="s">
        <v>31</v>
      </c>
      <c r="H1322" t="s">
        <v>37</v>
      </c>
      <c r="I1322" s="2">
        <v>3.4</v>
      </c>
      <c r="J1322" s="4">
        <v>8</v>
      </c>
      <c r="K1322" s="3">
        <v>4</v>
      </c>
      <c r="L1322" s="1">
        <f t="shared" si="60"/>
        <v>28.5108</v>
      </c>
      <c r="M1322" t="str" cm="1">
        <f t="array" ref="M1322">_xlfn.IFS(B1322&lt;18,"Under 18",B1322 &lt;=25,"18-25",B1322&lt;=35,"26-35",B1322&lt;=45,"36-45",B1322&lt;=60,"46-60",TRUE,"60+")</f>
        <v>46-60</v>
      </c>
      <c r="N1322" t="str">
        <f t="shared" si="61"/>
        <v>Discounted</v>
      </c>
      <c r="O1322" t="str">
        <f t="shared" si="62"/>
        <v>Returning</v>
      </c>
    </row>
    <row r="1323" spans="1:15" x14ac:dyDescent="0.25">
      <c r="A1323">
        <v>1322</v>
      </c>
      <c r="B1323">
        <v>50</v>
      </c>
      <c r="C1323" t="s">
        <v>11</v>
      </c>
      <c r="D1323" t="s">
        <v>29</v>
      </c>
      <c r="E1323" t="s">
        <v>51</v>
      </c>
      <c r="F1323" s="1">
        <v>53.04</v>
      </c>
      <c r="G1323" t="s">
        <v>31</v>
      </c>
      <c r="H1323" t="s">
        <v>37</v>
      </c>
      <c r="I1323" s="2">
        <v>3.7</v>
      </c>
      <c r="J1323" s="4">
        <v>10</v>
      </c>
      <c r="K1323" s="3">
        <v>0</v>
      </c>
      <c r="L1323" s="1">
        <f t="shared" si="60"/>
        <v>47.735999999999997</v>
      </c>
      <c r="M1323" t="str" cm="1">
        <f t="array" ref="M1323">_xlfn.IFS(B1323&lt;18,"Under 18",B1323 &lt;=25,"18-25",B1323&lt;=35,"26-35",B1323&lt;=45,"36-45",B1323&lt;=60,"46-60",TRUE,"60+")</f>
        <v>46-60</v>
      </c>
      <c r="N1323" t="str">
        <f t="shared" si="61"/>
        <v>Discounted</v>
      </c>
      <c r="O1323" t="str">
        <f t="shared" si="62"/>
        <v>New</v>
      </c>
    </row>
    <row r="1324" spans="1:15" x14ac:dyDescent="0.25">
      <c r="A1324">
        <v>1323</v>
      </c>
      <c r="B1324">
        <v>52</v>
      </c>
      <c r="C1324" t="s">
        <v>11</v>
      </c>
      <c r="D1324" t="s">
        <v>29</v>
      </c>
      <c r="E1324" t="s">
        <v>55</v>
      </c>
      <c r="F1324" s="1">
        <v>50.77</v>
      </c>
      <c r="G1324" t="s">
        <v>24</v>
      </c>
      <c r="H1324" t="s">
        <v>37</v>
      </c>
      <c r="I1324" s="2">
        <v>4.4000000000000004</v>
      </c>
      <c r="J1324" s="4">
        <v>12</v>
      </c>
      <c r="K1324" s="3">
        <v>6</v>
      </c>
      <c r="L1324" s="1">
        <f t="shared" si="60"/>
        <v>44.677600000000005</v>
      </c>
      <c r="M1324" t="str" cm="1">
        <f t="array" ref="M1324">_xlfn.IFS(B1324&lt;18,"Under 18",B1324 &lt;=25,"18-25",B1324&lt;=35,"26-35",B1324&lt;=45,"36-45",B1324&lt;=60,"46-60",TRUE,"60+")</f>
        <v>46-60</v>
      </c>
      <c r="N1324" t="str">
        <f t="shared" si="61"/>
        <v>Discounted</v>
      </c>
      <c r="O1324" t="str">
        <f t="shared" si="62"/>
        <v>Returning</v>
      </c>
    </row>
    <row r="1325" spans="1:15" x14ac:dyDescent="0.25">
      <c r="A1325">
        <v>1324</v>
      </c>
      <c r="B1325">
        <v>23</v>
      </c>
      <c r="C1325" t="s">
        <v>11</v>
      </c>
      <c r="D1325" t="s">
        <v>29</v>
      </c>
      <c r="E1325" t="s">
        <v>55</v>
      </c>
      <c r="F1325" s="1">
        <v>25.79</v>
      </c>
      <c r="G1325" t="s">
        <v>14</v>
      </c>
      <c r="H1325" t="s">
        <v>15</v>
      </c>
      <c r="I1325" s="2">
        <v>4.5999999999999996</v>
      </c>
      <c r="J1325" s="4">
        <v>16</v>
      </c>
      <c r="K1325" s="3">
        <v>8</v>
      </c>
      <c r="L1325" s="1">
        <f t="shared" si="60"/>
        <v>21.663599999999999</v>
      </c>
      <c r="M1325" t="str" cm="1">
        <f t="array" ref="M1325">_xlfn.IFS(B1325&lt;18,"Under 18",B1325 &lt;=25,"18-25",B1325&lt;=35,"26-35",B1325&lt;=45,"36-45",B1325&lt;=60,"46-60",TRUE,"60+")</f>
        <v>18-25</v>
      </c>
      <c r="N1325" t="str">
        <f t="shared" si="61"/>
        <v>Discounted</v>
      </c>
      <c r="O1325" t="str">
        <f t="shared" si="62"/>
        <v>Returning</v>
      </c>
    </row>
    <row r="1326" spans="1:15" x14ac:dyDescent="0.25">
      <c r="A1326">
        <v>1325</v>
      </c>
      <c r="B1326">
        <v>64</v>
      </c>
      <c r="C1326" t="s">
        <v>16</v>
      </c>
      <c r="D1326" t="s">
        <v>20</v>
      </c>
      <c r="E1326" t="s">
        <v>39</v>
      </c>
      <c r="F1326" s="1">
        <v>194.44</v>
      </c>
      <c r="G1326" t="s">
        <v>24</v>
      </c>
      <c r="H1326" t="s">
        <v>15</v>
      </c>
      <c r="I1326" s="2">
        <v>4.3</v>
      </c>
      <c r="J1326" s="4">
        <v>30</v>
      </c>
      <c r="K1326" s="3">
        <v>10</v>
      </c>
      <c r="L1326" s="1">
        <f t="shared" si="60"/>
        <v>136.10799999999998</v>
      </c>
      <c r="M1326" t="str" cm="1">
        <f t="array" ref="M1326">_xlfn.IFS(B1326&lt;18,"Under 18",B1326 &lt;=25,"18-25",B1326&lt;=35,"26-35",B1326&lt;=45,"36-45",B1326&lt;=60,"46-60",TRUE,"60+")</f>
        <v>60+</v>
      </c>
      <c r="N1326" t="str">
        <f t="shared" si="61"/>
        <v>Discounted</v>
      </c>
      <c r="O1326" t="str">
        <f t="shared" si="62"/>
        <v>Returning</v>
      </c>
    </row>
    <row r="1327" spans="1:15" x14ac:dyDescent="0.25">
      <c r="A1327">
        <v>1326</v>
      </c>
      <c r="B1327">
        <v>25</v>
      </c>
      <c r="C1327" t="s">
        <v>11</v>
      </c>
      <c r="D1327" t="s">
        <v>33</v>
      </c>
      <c r="E1327" t="s">
        <v>34</v>
      </c>
      <c r="F1327" s="1">
        <v>160.51</v>
      </c>
      <c r="G1327" t="s">
        <v>31</v>
      </c>
      <c r="H1327" t="s">
        <v>15</v>
      </c>
      <c r="I1327" s="2">
        <v>3.4</v>
      </c>
      <c r="J1327" s="4">
        <v>15</v>
      </c>
      <c r="K1327" s="3">
        <v>5</v>
      </c>
      <c r="L1327" s="1">
        <f t="shared" si="60"/>
        <v>136.43349999999998</v>
      </c>
      <c r="M1327" t="str" cm="1">
        <f t="array" ref="M1327">_xlfn.IFS(B1327&lt;18,"Under 18",B1327 &lt;=25,"18-25",B1327&lt;=35,"26-35",B1327&lt;=45,"36-45",B1327&lt;=60,"46-60",TRUE,"60+")</f>
        <v>18-25</v>
      </c>
      <c r="N1327" t="str">
        <f t="shared" si="61"/>
        <v>Discounted</v>
      </c>
      <c r="O1327" t="str">
        <f t="shared" si="62"/>
        <v>Returning</v>
      </c>
    </row>
    <row r="1328" spans="1:15" x14ac:dyDescent="0.25">
      <c r="A1328">
        <v>1327</v>
      </c>
      <c r="B1328">
        <v>67</v>
      </c>
      <c r="C1328" t="s">
        <v>16</v>
      </c>
      <c r="D1328" t="s">
        <v>20</v>
      </c>
      <c r="E1328" t="s">
        <v>36</v>
      </c>
      <c r="F1328" s="1">
        <v>36.44</v>
      </c>
      <c r="G1328" t="s">
        <v>19</v>
      </c>
      <c r="H1328" t="s">
        <v>15</v>
      </c>
      <c r="I1328" s="2">
        <v>3</v>
      </c>
      <c r="J1328" s="4">
        <v>13</v>
      </c>
      <c r="K1328" s="3">
        <v>4</v>
      </c>
      <c r="L1328" s="1">
        <f t="shared" si="60"/>
        <v>31.702799999999996</v>
      </c>
      <c r="M1328" t="str" cm="1">
        <f t="array" ref="M1328">_xlfn.IFS(B1328&lt;18,"Under 18",B1328 &lt;=25,"18-25",B1328&lt;=35,"26-35",B1328&lt;=45,"36-45",B1328&lt;=60,"46-60",TRUE,"60+")</f>
        <v>60+</v>
      </c>
      <c r="N1328" t="str">
        <f t="shared" si="61"/>
        <v>Discounted</v>
      </c>
      <c r="O1328" t="str">
        <f t="shared" si="62"/>
        <v>Returning</v>
      </c>
    </row>
    <row r="1329" spans="1:15" x14ac:dyDescent="0.25">
      <c r="A1329">
        <v>1328</v>
      </c>
      <c r="B1329">
        <v>57</v>
      </c>
      <c r="C1329" t="s">
        <v>11</v>
      </c>
      <c r="D1329" t="s">
        <v>12</v>
      </c>
      <c r="E1329" t="s">
        <v>50</v>
      </c>
      <c r="F1329" s="1">
        <v>80.59</v>
      </c>
      <c r="G1329" t="s">
        <v>31</v>
      </c>
      <c r="H1329" t="s">
        <v>37</v>
      </c>
      <c r="I1329" s="2">
        <v>3.1</v>
      </c>
      <c r="J1329" s="4">
        <v>16</v>
      </c>
      <c r="K1329" s="3">
        <v>3</v>
      </c>
      <c r="L1329" s="1">
        <f t="shared" si="60"/>
        <v>67.695599999999999</v>
      </c>
      <c r="M1329" t="str" cm="1">
        <f t="array" ref="M1329">_xlfn.IFS(B1329&lt;18,"Under 18",B1329 &lt;=25,"18-25",B1329&lt;=35,"26-35",B1329&lt;=45,"36-45",B1329&lt;=60,"46-60",TRUE,"60+")</f>
        <v>46-60</v>
      </c>
      <c r="N1329" t="str">
        <f t="shared" si="61"/>
        <v>Discounted</v>
      </c>
      <c r="O1329" t="str">
        <f t="shared" si="62"/>
        <v>Returning</v>
      </c>
    </row>
    <row r="1330" spans="1:15" x14ac:dyDescent="0.25">
      <c r="A1330">
        <v>1329</v>
      </c>
      <c r="B1330">
        <v>36</v>
      </c>
      <c r="C1330" t="s">
        <v>11</v>
      </c>
      <c r="D1330" t="s">
        <v>41</v>
      </c>
      <c r="E1330" t="s">
        <v>44</v>
      </c>
      <c r="F1330" s="1">
        <v>194.05</v>
      </c>
      <c r="G1330" t="s">
        <v>24</v>
      </c>
      <c r="H1330" t="s">
        <v>15</v>
      </c>
      <c r="I1330" s="2">
        <v>3.3</v>
      </c>
      <c r="J1330" s="4">
        <v>8</v>
      </c>
      <c r="K1330" s="3">
        <v>4</v>
      </c>
      <c r="L1330" s="1">
        <f t="shared" si="60"/>
        <v>178.52600000000001</v>
      </c>
      <c r="M1330" t="str" cm="1">
        <f t="array" ref="M1330">_xlfn.IFS(B1330&lt;18,"Under 18",B1330 &lt;=25,"18-25",B1330&lt;=35,"26-35",B1330&lt;=45,"36-45",B1330&lt;=60,"46-60",TRUE,"60+")</f>
        <v>36-45</v>
      </c>
      <c r="N1330" t="str">
        <f t="shared" si="61"/>
        <v>Discounted</v>
      </c>
      <c r="O1330" t="str">
        <f t="shared" si="62"/>
        <v>Returning</v>
      </c>
    </row>
    <row r="1331" spans="1:15" x14ac:dyDescent="0.25">
      <c r="A1331">
        <v>1330</v>
      </c>
      <c r="B1331">
        <v>62</v>
      </c>
      <c r="C1331" t="s">
        <v>16</v>
      </c>
      <c r="D1331" t="s">
        <v>17</v>
      </c>
      <c r="E1331" t="s">
        <v>18</v>
      </c>
      <c r="F1331" s="1">
        <v>143.18</v>
      </c>
      <c r="G1331" t="s">
        <v>19</v>
      </c>
      <c r="H1331" t="s">
        <v>15</v>
      </c>
      <c r="I1331" s="2">
        <v>2.8</v>
      </c>
      <c r="J1331" s="4">
        <v>24</v>
      </c>
      <c r="K1331" s="3">
        <v>7</v>
      </c>
      <c r="L1331" s="1">
        <f t="shared" si="60"/>
        <v>108.8168</v>
      </c>
      <c r="M1331" t="str" cm="1">
        <f t="array" ref="M1331">_xlfn.IFS(B1331&lt;18,"Under 18",B1331 &lt;=25,"18-25",B1331&lt;=35,"26-35",B1331&lt;=45,"36-45",B1331&lt;=60,"46-60",TRUE,"60+")</f>
        <v>60+</v>
      </c>
      <c r="N1331" t="str">
        <f t="shared" si="61"/>
        <v>Discounted</v>
      </c>
      <c r="O1331" t="str">
        <f t="shared" si="62"/>
        <v>Returning</v>
      </c>
    </row>
    <row r="1332" spans="1:15" x14ac:dyDescent="0.25">
      <c r="A1332">
        <v>1331</v>
      </c>
      <c r="B1332">
        <v>47</v>
      </c>
      <c r="C1332" t="s">
        <v>16</v>
      </c>
      <c r="D1332" t="s">
        <v>27</v>
      </c>
      <c r="E1332" t="s">
        <v>28</v>
      </c>
      <c r="F1332" s="1">
        <v>1170.3699999999999</v>
      </c>
      <c r="G1332" t="s">
        <v>14</v>
      </c>
      <c r="H1332" t="s">
        <v>15</v>
      </c>
      <c r="I1332" s="2">
        <v>3.4</v>
      </c>
      <c r="J1332" s="4">
        <v>16</v>
      </c>
      <c r="K1332" s="3">
        <v>3</v>
      </c>
      <c r="L1332" s="1">
        <f t="shared" si="60"/>
        <v>983.11079999999993</v>
      </c>
      <c r="M1332" t="str" cm="1">
        <f t="array" ref="M1332">_xlfn.IFS(B1332&lt;18,"Under 18",B1332 &lt;=25,"18-25",B1332&lt;=35,"26-35",B1332&lt;=45,"36-45",B1332&lt;=60,"46-60",TRUE,"60+")</f>
        <v>46-60</v>
      </c>
      <c r="N1332" t="str">
        <f t="shared" si="61"/>
        <v>Discounted</v>
      </c>
      <c r="O1332" t="str">
        <f t="shared" si="62"/>
        <v>Returning</v>
      </c>
    </row>
    <row r="1333" spans="1:15" x14ac:dyDescent="0.25">
      <c r="A1333">
        <v>1332</v>
      </c>
      <c r="B1333">
        <v>25</v>
      </c>
      <c r="C1333" t="s">
        <v>11</v>
      </c>
      <c r="D1333" t="s">
        <v>41</v>
      </c>
      <c r="E1333" t="s">
        <v>46</v>
      </c>
      <c r="F1333" s="1">
        <v>164.39</v>
      </c>
      <c r="G1333" t="s">
        <v>24</v>
      </c>
      <c r="H1333" t="s">
        <v>15</v>
      </c>
      <c r="I1333" s="2">
        <v>3.6</v>
      </c>
      <c r="J1333" s="4">
        <v>18</v>
      </c>
      <c r="K1333" s="3">
        <v>4</v>
      </c>
      <c r="L1333" s="1">
        <f t="shared" si="60"/>
        <v>134.7998</v>
      </c>
      <c r="M1333" t="str" cm="1">
        <f t="array" ref="M1333">_xlfn.IFS(B1333&lt;18,"Under 18",B1333 &lt;=25,"18-25",B1333&lt;=35,"26-35",B1333&lt;=45,"36-45",B1333&lt;=60,"46-60",TRUE,"60+")</f>
        <v>18-25</v>
      </c>
      <c r="N1333" t="str">
        <f t="shared" si="61"/>
        <v>Discounted</v>
      </c>
      <c r="O1333" t="str">
        <f t="shared" si="62"/>
        <v>Returning</v>
      </c>
    </row>
    <row r="1334" spans="1:15" x14ac:dyDescent="0.25">
      <c r="A1334">
        <v>1333</v>
      </c>
      <c r="B1334">
        <v>56</v>
      </c>
      <c r="C1334" t="s">
        <v>16</v>
      </c>
      <c r="D1334" t="s">
        <v>20</v>
      </c>
      <c r="E1334" t="s">
        <v>36</v>
      </c>
      <c r="F1334" s="1">
        <v>52.53</v>
      </c>
      <c r="G1334" t="s">
        <v>31</v>
      </c>
      <c r="H1334" t="s">
        <v>37</v>
      </c>
      <c r="I1334" s="2">
        <v>3.1</v>
      </c>
      <c r="J1334" s="4">
        <v>14</v>
      </c>
      <c r="K1334" s="3">
        <v>2</v>
      </c>
      <c r="L1334" s="1">
        <f t="shared" si="60"/>
        <v>45.175800000000002</v>
      </c>
      <c r="M1334" t="str" cm="1">
        <f t="array" ref="M1334">_xlfn.IFS(B1334&lt;18,"Under 18",B1334 &lt;=25,"18-25",B1334&lt;=35,"26-35",B1334&lt;=45,"36-45",B1334&lt;=60,"46-60",TRUE,"60+")</f>
        <v>46-60</v>
      </c>
      <c r="N1334" t="str">
        <f t="shared" si="61"/>
        <v>Discounted</v>
      </c>
      <c r="O1334" t="str">
        <f t="shared" si="62"/>
        <v>Returning</v>
      </c>
    </row>
    <row r="1335" spans="1:15" x14ac:dyDescent="0.25">
      <c r="A1335">
        <v>1334</v>
      </c>
      <c r="B1335">
        <v>55</v>
      </c>
      <c r="C1335" t="s">
        <v>11</v>
      </c>
      <c r="D1335" t="s">
        <v>33</v>
      </c>
      <c r="E1335" t="s">
        <v>38</v>
      </c>
      <c r="F1335" s="1">
        <v>46.45</v>
      </c>
      <c r="G1335" t="s">
        <v>24</v>
      </c>
      <c r="H1335" t="s">
        <v>15</v>
      </c>
      <c r="I1335" s="2">
        <v>4.9000000000000004</v>
      </c>
      <c r="J1335" s="4">
        <v>16</v>
      </c>
      <c r="K1335" s="3">
        <v>8</v>
      </c>
      <c r="L1335" s="1">
        <f t="shared" si="60"/>
        <v>39.018000000000001</v>
      </c>
      <c r="M1335" t="str" cm="1">
        <f t="array" ref="M1335">_xlfn.IFS(B1335&lt;18,"Under 18",B1335 &lt;=25,"18-25",B1335&lt;=35,"26-35",B1335&lt;=45,"36-45",B1335&lt;=60,"46-60",TRUE,"60+")</f>
        <v>46-60</v>
      </c>
      <c r="N1335" t="str">
        <f t="shared" si="61"/>
        <v>Discounted</v>
      </c>
      <c r="O1335" t="str">
        <f t="shared" si="62"/>
        <v>Returning</v>
      </c>
    </row>
    <row r="1336" spans="1:15" x14ac:dyDescent="0.25">
      <c r="A1336">
        <v>1335</v>
      </c>
      <c r="B1336">
        <v>34</v>
      </c>
      <c r="C1336" t="s">
        <v>16</v>
      </c>
      <c r="D1336" t="s">
        <v>33</v>
      </c>
      <c r="E1336" t="s">
        <v>40</v>
      </c>
      <c r="F1336" s="1">
        <v>85.32</v>
      </c>
      <c r="G1336" t="s">
        <v>31</v>
      </c>
      <c r="H1336" t="s">
        <v>37</v>
      </c>
      <c r="I1336" s="2">
        <v>4.8</v>
      </c>
      <c r="J1336" s="4">
        <v>15</v>
      </c>
      <c r="K1336" s="3">
        <v>5</v>
      </c>
      <c r="L1336" s="1">
        <f t="shared" si="60"/>
        <v>72.521999999999991</v>
      </c>
      <c r="M1336" t="str" cm="1">
        <f t="array" ref="M1336">_xlfn.IFS(B1336&lt;18,"Under 18",B1336 &lt;=25,"18-25",B1336&lt;=35,"26-35",B1336&lt;=45,"36-45",B1336&lt;=60,"46-60",TRUE,"60+")</f>
        <v>26-35</v>
      </c>
      <c r="N1336" t="str">
        <f t="shared" si="61"/>
        <v>Discounted</v>
      </c>
      <c r="O1336" t="str">
        <f t="shared" si="62"/>
        <v>Returning</v>
      </c>
    </row>
    <row r="1337" spans="1:15" x14ac:dyDescent="0.25">
      <c r="A1337">
        <v>1336</v>
      </c>
      <c r="B1337">
        <v>58</v>
      </c>
      <c r="C1337" t="s">
        <v>16</v>
      </c>
      <c r="D1337" t="s">
        <v>27</v>
      </c>
      <c r="E1337" t="s">
        <v>28</v>
      </c>
      <c r="F1337" s="1">
        <v>1082.29</v>
      </c>
      <c r="G1337" t="s">
        <v>31</v>
      </c>
      <c r="H1337" t="s">
        <v>15</v>
      </c>
      <c r="I1337" s="2">
        <v>3.2</v>
      </c>
      <c r="J1337" s="4">
        <v>8</v>
      </c>
      <c r="K1337" s="3">
        <v>4</v>
      </c>
      <c r="L1337" s="1">
        <f t="shared" si="60"/>
        <v>995.70680000000004</v>
      </c>
      <c r="M1337" t="str" cm="1">
        <f t="array" ref="M1337">_xlfn.IFS(B1337&lt;18,"Under 18",B1337 &lt;=25,"18-25",B1337&lt;=35,"26-35",B1337&lt;=45,"36-45",B1337&lt;=60,"46-60",TRUE,"60+")</f>
        <v>46-60</v>
      </c>
      <c r="N1337" t="str">
        <f t="shared" si="61"/>
        <v>Discounted</v>
      </c>
      <c r="O1337" t="str">
        <f t="shared" si="62"/>
        <v>Returning</v>
      </c>
    </row>
    <row r="1338" spans="1:15" x14ac:dyDescent="0.25">
      <c r="A1338">
        <v>1337</v>
      </c>
      <c r="B1338">
        <v>60</v>
      </c>
      <c r="C1338" t="s">
        <v>11</v>
      </c>
      <c r="D1338" t="s">
        <v>12</v>
      </c>
      <c r="E1338" t="s">
        <v>56</v>
      </c>
      <c r="F1338" s="1">
        <v>97.14</v>
      </c>
      <c r="G1338" t="s">
        <v>14</v>
      </c>
      <c r="H1338" t="s">
        <v>37</v>
      </c>
      <c r="I1338" s="2">
        <v>3.3</v>
      </c>
      <c r="J1338" s="4">
        <v>17</v>
      </c>
      <c r="K1338" s="3">
        <v>6</v>
      </c>
      <c r="L1338" s="1">
        <f t="shared" si="60"/>
        <v>80.626199999999997</v>
      </c>
      <c r="M1338" t="str" cm="1">
        <f t="array" ref="M1338">_xlfn.IFS(B1338&lt;18,"Under 18",B1338 &lt;=25,"18-25",B1338&lt;=35,"26-35",B1338&lt;=45,"36-45",B1338&lt;=60,"46-60",TRUE,"60+")</f>
        <v>46-60</v>
      </c>
      <c r="N1338" t="str">
        <f t="shared" si="61"/>
        <v>Discounted</v>
      </c>
      <c r="O1338" t="str">
        <f t="shared" si="62"/>
        <v>Returning</v>
      </c>
    </row>
    <row r="1339" spans="1:15" x14ac:dyDescent="0.25">
      <c r="A1339">
        <v>1338</v>
      </c>
      <c r="B1339">
        <v>22</v>
      </c>
      <c r="C1339" t="s">
        <v>11</v>
      </c>
      <c r="D1339" t="s">
        <v>41</v>
      </c>
      <c r="E1339" t="s">
        <v>45</v>
      </c>
      <c r="F1339" s="1">
        <v>72.12</v>
      </c>
      <c r="G1339" t="s">
        <v>14</v>
      </c>
      <c r="H1339" t="s">
        <v>37</v>
      </c>
      <c r="I1339" s="2">
        <v>2.4</v>
      </c>
      <c r="J1339" s="4">
        <v>8</v>
      </c>
      <c r="K1339" s="3">
        <v>4</v>
      </c>
      <c r="L1339" s="1">
        <f t="shared" si="60"/>
        <v>66.350400000000008</v>
      </c>
      <c r="M1339" t="str" cm="1">
        <f t="array" ref="M1339">_xlfn.IFS(B1339&lt;18,"Under 18",B1339 &lt;=25,"18-25",B1339&lt;=35,"26-35",B1339&lt;=45,"36-45",B1339&lt;=60,"46-60",TRUE,"60+")</f>
        <v>18-25</v>
      </c>
      <c r="N1339" t="str">
        <f t="shared" si="61"/>
        <v>Discounted</v>
      </c>
      <c r="O1339" t="str">
        <f t="shared" si="62"/>
        <v>Returning</v>
      </c>
    </row>
    <row r="1340" spans="1:15" x14ac:dyDescent="0.25">
      <c r="A1340">
        <v>1339</v>
      </c>
      <c r="B1340">
        <v>31</v>
      </c>
      <c r="C1340" t="s">
        <v>11</v>
      </c>
      <c r="D1340" t="s">
        <v>41</v>
      </c>
      <c r="E1340" t="s">
        <v>42</v>
      </c>
      <c r="F1340" s="1">
        <v>115.32</v>
      </c>
      <c r="G1340" t="s">
        <v>31</v>
      </c>
      <c r="H1340" t="s">
        <v>15</v>
      </c>
      <c r="I1340" s="2">
        <v>2.6</v>
      </c>
      <c r="J1340" s="4">
        <v>12</v>
      </c>
      <c r="K1340" s="3">
        <v>6</v>
      </c>
      <c r="L1340" s="1">
        <f t="shared" si="60"/>
        <v>101.4816</v>
      </c>
      <c r="M1340" t="str" cm="1">
        <f t="array" ref="M1340">_xlfn.IFS(B1340&lt;18,"Under 18",B1340 &lt;=25,"18-25",B1340&lt;=35,"26-35",B1340&lt;=45,"36-45",B1340&lt;=60,"46-60",TRUE,"60+")</f>
        <v>26-35</v>
      </c>
      <c r="N1340" t="str">
        <f t="shared" si="61"/>
        <v>Discounted</v>
      </c>
      <c r="O1340" t="str">
        <f t="shared" si="62"/>
        <v>Returning</v>
      </c>
    </row>
    <row r="1341" spans="1:15" x14ac:dyDescent="0.25">
      <c r="A1341">
        <v>1340</v>
      </c>
      <c r="B1341">
        <v>51</v>
      </c>
      <c r="C1341" t="s">
        <v>11</v>
      </c>
      <c r="D1341" t="s">
        <v>29</v>
      </c>
      <c r="E1341" t="s">
        <v>55</v>
      </c>
      <c r="F1341" s="1">
        <v>76.33</v>
      </c>
      <c r="G1341" t="s">
        <v>19</v>
      </c>
      <c r="H1341" t="s">
        <v>15</v>
      </c>
      <c r="I1341" s="2">
        <v>4</v>
      </c>
      <c r="J1341" s="4">
        <v>9</v>
      </c>
      <c r="K1341" s="3">
        <v>2</v>
      </c>
      <c r="L1341" s="1">
        <f t="shared" si="60"/>
        <v>69.460300000000004</v>
      </c>
      <c r="M1341" t="str" cm="1">
        <f t="array" ref="M1341">_xlfn.IFS(B1341&lt;18,"Under 18",B1341 &lt;=25,"18-25",B1341&lt;=35,"26-35",B1341&lt;=45,"36-45",B1341&lt;=60,"46-60",TRUE,"60+")</f>
        <v>46-60</v>
      </c>
      <c r="N1341" t="str">
        <f t="shared" si="61"/>
        <v>Discounted</v>
      </c>
      <c r="O1341" t="str">
        <f t="shared" si="62"/>
        <v>Returning</v>
      </c>
    </row>
    <row r="1342" spans="1:15" x14ac:dyDescent="0.25">
      <c r="A1342">
        <v>1341</v>
      </c>
      <c r="B1342">
        <v>62</v>
      </c>
      <c r="C1342" t="s">
        <v>16</v>
      </c>
      <c r="D1342" t="s">
        <v>17</v>
      </c>
      <c r="E1342" t="s">
        <v>48</v>
      </c>
      <c r="F1342" s="1">
        <v>181.25</v>
      </c>
      <c r="G1342" t="s">
        <v>31</v>
      </c>
      <c r="H1342" t="s">
        <v>15</v>
      </c>
      <c r="I1342" s="2">
        <v>2.8</v>
      </c>
      <c r="J1342" s="4">
        <v>21</v>
      </c>
      <c r="K1342" s="3">
        <v>8</v>
      </c>
      <c r="L1342" s="1">
        <f t="shared" si="60"/>
        <v>143.1875</v>
      </c>
      <c r="M1342" t="str" cm="1">
        <f t="array" ref="M1342">_xlfn.IFS(B1342&lt;18,"Under 18",B1342 &lt;=25,"18-25",B1342&lt;=35,"26-35",B1342&lt;=45,"36-45",B1342&lt;=60,"46-60",TRUE,"60+")</f>
        <v>60+</v>
      </c>
      <c r="N1342" t="str">
        <f t="shared" si="61"/>
        <v>Discounted</v>
      </c>
      <c r="O1342" t="str">
        <f t="shared" si="62"/>
        <v>Returning</v>
      </c>
    </row>
    <row r="1343" spans="1:15" x14ac:dyDescent="0.25">
      <c r="A1343">
        <v>1342</v>
      </c>
      <c r="B1343">
        <v>62</v>
      </c>
      <c r="C1343" t="s">
        <v>16</v>
      </c>
      <c r="D1343" t="s">
        <v>22</v>
      </c>
      <c r="E1343" t="s">
        <v>52</v>
      </c>
      <c r="F1343" s="1">
        <v>178.48</v>
      </c>
      <c r="G1343" t="s">
        <v>19</v>
      </c>
      <c r="H1343" t="s">
        <v>15</v>
      </c>
      <c r="I1343" s="2">
        <v>2.9</v>
      </c>
      <c r="J1343" s="4">
        <v>20</v>
      </c>
      <c r="K1343" s="3">
        <v>5</v>
      </c>
      <c r="L1343" s="1">
        <f t="shared" si="60"/>
        <v>142.78399999999999</v>
      </c>
      <c r="M1343" t="str" cm="1">
        <f t="array" ref="M1343">_xlfn.IFS(B1343&lt;18,"Under 18",B1343 &lt;=25,"18-25",B1343&lt;=35,"26-35",B1343&lt;=45,"36-45",B1343&lt;=60,"46-60",TRUE,"60+")</f>
        <v>60+</v>
      </c>
      <c r="N1343" t="str">
        <f t="shared" si="61"/>
        <v>Discounted</v>
      </c>
      <c r="O1343" t="str">
        <f t="shared" si="62"/>
        <v>Returning</v>
      </c>
    </row>
    <row r="1344" spans="1:15" x14ac:dyDescent="0.25">
      <c r="A1344">
        <v>1343</v>
      </c>
      <c r="B1344">
        <v>49</v>
      </c>
      <c r="C1344" t="s">
        <v>16</v>
      </c>
      <c r="D1344" t="s">
        <v>20</v>
      </c>
      <c r="E1344" t="s">
        <v>36</v>
      </c>
      <c r="F1344" s="1">
        <v>28.95</v>
      </c>
      <c r="G1344" t="s">
        <v>31</v>
      </c>
      <c r="H1344" t="s">
        <v>37</v>
      </c>
      <c r="I1344" s="2">
        <v>3.4</v>
      </c>
      <c r="J1344" s="4">
        <v>24</v>
      </c>
      <c r="K1344" s="3">
        <v>7</v>
      </c>
      <c r="L1344" s="1">
        <f t="shared" si="60"/>
        <v>22.001999999999999</v>
      </c>
      <c r="M1344" t="str" cm="1">
        <f t="array" ref="M1344">_xlfn.IFS(B1344&lt;18,"Under 18",B1344 &lt;=25,"18-25",B1344&lt;=35,"26-35",B1344&lt;=45,"36-45",B1344&lt;=60,"46-60",TRUE,"60+")</f>
        <v>46-60</v>
      </c>
      <c r="N1344" t="str">
        <f t="shared" si="61"/>
        <v>Discounted</v>
      </c>
      <c r="O1344" t="str">
        <f t="shared" si="62"/>
        <v>Returning</v>
      </c>
    </row>
    <row r="1345" spans="1:15" x14ac:dyDescent="0.25">
      <c r="A1345">
        <v>1344</v>
      </c>
      <c r="B1345">
        <v>55</v>
      </c>
      <c r="C1345" t="s">
        <v>11</v>
      </c>
      <c r="D1345" t="s">
        <v>33</v>
      </c>
      <c r="E1345" t="s">
        <v>38</v>
      </c>
      <c r="F1345" s="1">
        <v>96.28</v>
      </c>
      <c r="G1345" t="s">
        <v>19</v>
      </c>
      <c r="H1345" t="s">
        <v>15</v>
      </c>
      <c r="I1345" s="2">
        <v>4</v>
      </c>
      <c r="J1345" s="4">
        <v>17</v>
      </c>
      <c r="K1345" s="3">
        <v>6</v>
      </c>
      <c r="L1345" s="1">
        <f t="shared" si="60"/>
        <v>79.912399999999991</v>
      </c>
      <c r="M1345" t="str" cm="1">
        <f t="array" ref="M1345">_xlfn.IFS(B1345&lt;18,"Under 18",B1345 &lt;=25,"18-25",B1345&lt;=35,"26-35",B1345&lt;=45,"36-45",B1345&lt;=60,"46-60",TRUE,"60+")</f>
        <v>46-60</v>
      </c>
      <c r="N1345" t="str">
        <f t="shared" si="61"/>
        <v>Discounted</v>
      </c>
      <c r="O1345" t="str">
        <f t="shared" si="62"/>
        <v>Returning</v>
      </c>
    </row>
    <row r="1346" spans="1:15" x14ac:dyDescent="0.25">
      <c r="A1346">
        <v>1345</v>
      </c>
      <c r="B1346">
        <v>36</v>
      </c>
      <c r="C1346" t="s">
        <v>16</v>
      </c>
      <c r="D1346" t="s">
        <v>25</v>
      </c>
      <c r="E1346" t="s">
        <v>54</v>
      </c>
      <c r="F1346" s="1">
        <v>17.13</v>
      </c>
      <c r="G1346" t="s">
        <v>24</v>
      </c>
      <c r="H1346" t="s">
        <v>37</v>
      </c>
      <c r="I1346" s="2">
        <v>2.9</v>
      </c>
      <c r="J1346" s="4">
        <v>9</v>
      </c>
      <c r="K1346" s="3">
        <v>2</v>
      </c>
      <c r="L1346" s="1">
        <f t="shared" si="60"/>
        <v>15.5883</v>
      </c>
      <c r="M1346" t="str" cm="1">
        <f t="array" ref="M1346">_xlfn.IFS(B1346&lt;18,"Under 18",B1346 &lt;=25,"18-25",B1346&lt;=35,"26-35",B1346&lt;=45,"36-45",B1346&lt;=60,"46-60",TRUE,"60+")</f>
        <v>36-45</v>
      </c>
      <c r="N1346" t="str">
        <f t="shared" si="61"/>
        <v>Discounted</v>
      </c>
      <c r="O1346" t="str">
        <f t="shared" si="62"/>
        <v>Returning</v>
      </c>
    </row>
    <row r="1347" spans="1:15" x14ac:dyDescent="0.25">
      <c r="A1347">
        <v>1346</v>
      </c>
      <c r="B1347">
        <v>41</v>
      </c>
      <c r="C1347" t="s">
        <v>11</v>
      </c>
      <c r="D1347" t="s">
        <v>22</v>
      </c>
      <c r="E1347" t="s">
        <v>52</v>
      </c>
      <c r="F1347" s="1">
        <v>233.88</v>
      </c>
      <c r="G1347" t="s">
        <v>31</v>
      </c>
      <c r="H1347" t="s">
        <v>15</v>
      </c>
      <c r="I1347" s="2">
        <v>4.4000000000000004</v>
      </c>
      <c r="J1347" s="4">
        <v>14</v>
      </c>
      <c r="K1347" s="3">
        <v>7</v>
      </c>
      <c r="L1347" s="1">
        <f t="shared" ref="L1347:L1410" si="63">F1347 * (1 - J1347 / 100)</f>
        <v>201.13679999999999</v>
      </c>
      <c r="M1347" t="str" cm="1">
        <f t="array" ref="M1347">_xlfn.IFS(B1347&lt;18,"Under 18",B1347 &lt;=25,"18-25",B1347&lt;=35,"26-35",B1347&lt;=45,"36-45",B1347&lt;=60,"46-60",TRUE,"60+")</f>
        <v>36-45</v>
      </c>
      <c r="N1347" t="str">
        <f t="shared" ref="N1347:N1410" si="64">IF(J1347&gt;0,"Discounted","No Discount")</f>
        <v>Discounted</v>
      </c>
      <c r="O1347" t="str">
        <f t="shared" ref="O1347:O1410" si="65">IF(K1347&gt;0,"Returning","New")</f>
        <v>Returning</v>
      </c>
    </row>
    <row r="1348" spans="1:15" x14ac:dyDescent="0.25">
      <c r="A1348">
        <v>1347</v>
      </c>
      <c r="B1348">
        <v>33</v>
      </c>
      <c r="C1348" t="s">
        <v>11</v>
      </c>
      <c r="D1348" t="s">
        <v>33</v>
      </c>
      <c r="E1348" t="s">
        <v>38</v>
      </c>
      <c r="F1348" s="1">
        <v>125.68</v>
      </c>
      <c r="G1348" t="s">
        <v>24</v>
      </c>
      <c r="H1348" t="s">
        <v>15</v>
      </c>
      <c r="I1348" s="2">
        <v>4.5</v>
      </c>
      <c r="J1348" s="4">
        <v>24</v>
      </c>
      <c r="K1348" s="3">
        <v>7</v>
      </c>
      <c r="L1348" s="1">
        <f t="shared" si="63"/>
        <v>95.516800000000003</v>
      </c>
      <c r="M1348" t="str" cm="1">
        <f t="array" ref="M1348">_xlfn.IFS(B1348&lt;18,"Under 18",B1348 &lt;=25,"18-25",B1348&lt;=35,"26-35",B1348&lt;=45,"36-45",B1348&lt;=60,"46-60",TRUE,"60+")</f>
        <v>26-35</v>
      </c>
      <c r="N1348" t="str">
        <f t="shared" si="64"/>
        <v>Discounted</v>
      </c>
      <c r="O1348" t="str">
        <f t="shared" si="65"/>
        <v>Returning</v>
      </c>
    </row>
    <row r="1349" spans="1:15" x14ac:dyDescent="0.25">
      <c r="A1349">
        <v>1348</v>
      </c>
      <c r="B1349">
        <v>22</v>
      </c>
      <c r="C1349" t="s">
        <v>16</v>
      </c>
      <c r="D1349" t="s">
        <v>22</v>
      </c>
      <c r="E1349" t="s">
        <v>43</v>
      </c>
      <c r="F1349" s="1">
        <v>132.30000000000001</v>
      </c>
      <c r="G1349" t="s">
        <v>14</v>
      </c>
      <c r="H1349" t="s">
        <v>15</v>
      </c>
      <c r="I1349" s="2">
        <v>4.4000000000000004</v>
      </c>
      <c r="J1349" s="4">
        <v>8</v>
      </c>
      <c r="K1349" s="3">
        <v>4</v>
      </c>
      <c r="L1349" s="1">
        <f t="shared" si="63"/>
        <v>121.71600000000002</v>
      </c>
      <c r="M1349" t="str" cm="1">
        <f t="array" ref="M1349">_xlfn.IFS(B1349&lt;18,"Under 18",B1349 &lt;=25,"18-25",B1349&lt;=35,"26-35",B1349&lt;=45,"36-45",B1349&lt;=60,"46-60",TRUE,"60+")</f>
        <v>18-25</v>
      </c>
      <c r="N1349" t="str">
        <f t="shared" si="64"/>
        <v>Discounted</v>
      </c>
      <c r="O1349" t="str">
        <f t="shared" si="65"/>
        <v>Returning</v>
      </c>
    </row>
    <row r="1350" spans="1:15" x14ac:dyDescent="0.25">
      <c r="A1350">
        <v>1349</v>
      </c>
      <c r="B1350">
        <v>65</v>
      </c>
      <c r="C1350" t="s">
        <v>11</v>
      </c>
      <c r="D1350" t="s">
        <v>41</v>
      </c>
      <c r="E1350" t="s">
        <v>42</v>
      </c>
      <c r="F1350" s="1">
        <v>80.239999999999995</v>
      </c>
      <c r="G1350" t="s">
        <v>31</v>
      </c>
      <c r="H1350" t="s">
        <v>15</v>
      </c>
      <c r="I1350" s="2">
        <v>3.3</v>
      </c>
      <c r="J1350" s="4">
        <v>6</v>
      </c>
      <c r="K1350" s="3">
        <v>3</v>
      </c>
      <c r="L1350" s="1">
        <f t="shared" si="63"/>
        <v>75.425599999999989</v>
      </c>
      <c r="M1350" t="str" cm="1">
        <f t="array" ref="M1350">_xlfn.IFS(B1350&lt;18,"Under 18",B1350 &lt;=25,"18-25",B1350&lt;=35,"26-35",B1350&lt;=45,"36-45",B1350&lt;=60,"46-60",TRUE,"60+")</f>
        <v>60+</v>
      </c>
      <c r="N1350" t="str">
        <f t="shared" si="64"/>
        <v>Discounted</v>
      </c>
      <c r="O1350" t="str">
        <f t="shared" si="65"/>
        <v>Returning</v>
      </c>
    </row>
    <row r="1351" spans="1:15" x14ac:dyDescent="0.25">
      <c r="A1351">
        <v>1350</v>
      </c>
      <c r="B1351">
        <v>58</v>
      </c>
      <c r="C1351" t="s">
        <v>11</v>
      </c>
      <c r="D1351" t="s">
        <v>41</v>
      </c>
      <c r="E1351" t="s">
        <v>45</v>
      </c>
      <c r="F1351" s="1">
        <v>197.63</v>
      </c>
      <c r="G1351" t="s">
        <v>19</v>
      </c>
      <c r="H1351" t="s">
        <v>15</v>
      </c>
      <c r="I1351" s="2">
        <v>4.2</v>
      </c>
      <c r="J1351" s="4">
        <v>30</v>
      </c>
      <c r="K1351" s="3">
        <v>10</v>
      </c>
      <c r="L1351" s="1">
        <f t="shared" si="63"/>
        <v>138.34099999999998</v>
      </c>
      <c r="M1351" t="str" cm="1">
        <f t="array" ref="M1351">_xlfn.IFS(B1351&lt;18,"Under 18",B1351 &lt;=25,"18-25",B1351&lt;=35,"26-35",B1351&lt;=45,"36-45",B1351&lt;=60,"46-60",TRUE,"60+")</f>
        <v>46-60</v>
      </c>
      <c r="N1351" t="str">
        <f t="shared" si="64"/>
        <v>Discounted</v>
      </c>
      <c r="O1351" t="str">
        <f t="shared" si="65"/>
        <v>Returning</v>
      </c>
    </row>
    <row r="1352" spans="1:15" x14ac:dyDescent="0.25">
      <c r="A1352">
        <v>1351</v>
      </c>
      <c r="B1352">
        <v>58</v>
      </c>
      <c r="C1352" t="s">
        <v>16</v>
      </c>
      <c r="D1352" t="s">
        <v>20</v>
      </c>
      <c r="E1352" t="s">
        <v>21</v>
      </c>
      <c r="F1352" s="1">
        <v>144</v>
      </c>
      <c r="G1352" t="s">
        <v>14</v>
      </c>
      <c r="H1352" t="s">
        <v>15</v>
      </c>
      <c r="I1352" s="2">
        <v>4.4000000000000004</v>
      </c>
      <c r="J1352" s="4">
        <v>24</v>
      </c>
      <c r="K1352" s="3">
        <v>7</v>
      </c>
      <c r="L1352" s="1">
        <f t="shared" si="63"/>
        <v>109.44</v>
      </c>
      <c r="M1352" t="str" cm="1">
        <f t="array" ref="M1352">_xlfn.IFS(B1352&lt;18,"Under 18",B1352 &lt;=25,"18-25",B1352&lt;=35,"26-35",B1352&lt;=45,"36-45",B1352&lt;=60,"46-60",TRUE,"60+")</f>
        <v>46-60</v>
      </c>
      <c r="N1352" t="str">
        <f t="shared" si="64"/>
        <v>Discounted</v>
      </c>
      <c r="O1352" t="str">
        <f t="shared" si="65"/>
        <v>Returning</v>
      </c>
    </row>
    <row r="1353" spans="1:15" x14ac:dyDescent="0.25">
      <c r="A1353">
        <v>1352</v>
      </c>
      <c r="B1353">
        <v>67</v>
      </c>
      <c r="C1353" t="s">
        <v>11</v>
      </c>
      <c r="D1353" t="s">
        <v>12</v>
      </c>
      <c r="E1353" t="s">
        <v>50</v>
      </c>
      <c r="F1353" s="1">
        <v>173.81</v>
      </c>
      <c r="G1353" t="s">
        <v>31</v>
      </c>
      <c r="H1353" t="s">
        <v>15</v>
      </c>
      <c r="I1353" s="2">
        <v>2.7</v>
      </c>
      <c r="J1353" s="4">
        <v>8</v>
      </c>
      <c r="K1353" s="3">
        <v>4</v>
      </c>
      <c r="L1353" s="1">
        <f t="shared" si="63"/>
        <v>159.90520000000001</v>
      </c>
      <c r="M1353" t="str" cm="1">
        <f t="array" ref="M1353">_xlfn.IFS(B1353&lt;18,"Under 18",B1353 &lt;=25,"18-25",B1353&lt;=35,"26-35",B1353&lt;=45,"36-45",B1353&lt;=60,"46-60",TRUE,"60+")</f>
        <v>60+</v>
      </c>
      <c r="N1353" t="str">
        <f t="shared" si="64"/>
        <v>Discounted</v>
      </c>
      <c r="O1353" t="str">
        <f t="shared" si="65"/>
        <v>Returning</v>
      </c>
    </row>
    <row r="1354" spans="1:15" x14ac:dyDescent="0.25">
      <c r="A1354">
        <v>1353</v>
      </c>
      <c r="B1354">
        <v>54</v>
      </c>
      <c r="C1354" t="s">
        <v>11</v>
      </c>
      <c r="D1354" t="s">
        <v>41</v>
      </c>
      <c r="E1354" t="s">
        <v>46</v>
      </c>
      <c r="F1354" s="1">
        <v>130.33000000000001</v>
      </c>
      <c r="G1354" t="s">
        <v>31</v>
      </c>
      <c r="H1354" t="s">
        <v>15</v>
      </c>
      <c r="I1354" s="2">
        <v>3.9</v>
      </c>
      <c r="J1354" s="4">
        <v>16</v>
      </c>
      <c r="K1354" s="3">
        <v>8</v>
      </c>
      <c r="L1354" s="1">
        <f t="shared" si="63"/>
        <v>109.47720000000001</v>
      </c>
      <c r="M1354" t="str" cm="1">
        <f t="array" ref="M1354">_xlfn.IFS(B1354&lt;18,"Under 18",B1354 &lt;=25,"18-25",B1354&lt;=35,"26-35",B1354&lt;=45,"36-45",B1354&lt;=60,"46-60",TRUE,"60+")</f>
        <v>46-60</v>
      </c>
      <c r="N1354" t="str">
        <f t="shared" si="64"/>
        <v>Discounted</v>
      </c>
      <c r="O1354" t="str">
        <f t="shared" si="65"/>
        <v>Returning</v>
      </c>
    </row>
    <row r="1355" spans="1:15" x14ac:dyDescent="0.25">
      <c r="A1355">
        <v>1354</v>
      </c>
      <c r="B1355">
        <v>52</v>
      </c>
      <c r="C1355" t="s">
        <v>11</v>
      </c>
      <c r="D1355" t="s">
        <v>12</v>
      </c>
      <c r="E1355" t="s">
        <v>56</v>
      </c>
      <c r="F1355" s="1">
        <v>151.16999999999999</v>
      </c>
      <c r="G1355" t="s">
        <v>19</v>
      </c>
      <c r="H1355" t="s">
        <v>15</v>
      </c>
      <c r="I1355" s="2">
        <v>2.7</v>
      </c>
      <c r="J1355" s="4">
        <v>21</v>
      </c>
      <c r="K1355" s="3">
        <v>8</v>
      </c>
      <c r="L1355" s="1">
        <f t="shared" si="63"/>
        <v>119.4243</v>
      </c>
      <c r="M1355" t="str" cm="1">
        <f t="array" ref="M1355">_xlfn.IFS(B1355&lt;18,"Under 18",B1355 &lt;=25,"18-25",B1355&lt;=35,"26-35",B1355&lt;=45,"36-45",B1355&lt;=60,"46-60",TRUE,"60+")</f>
        <v>46-60</v>
      </c>
      <c r="N1355" t="str">
        <f t="shared" si="64"/>
        <v>Discounted</v>
      </c>
      <c r="O1355" t="str">
        <f t="shared" si="65"/>
        <v>Returning</v>
      </c>
    </row>
    <row r="1356" spans="1:15" x14ac:dyDescent="0.25">
      <c r="A1356">
        <v>1355</v>
      </c>
      <c r="B1356">
        <v>43</v>
      </c>
      <c r="C1356" t="s">
        <v>11</v>
      </c>
      <c r="D1356" t="s">
        <v>29</v>
      </c>
      <c r="E1356" t="s">
        <v>55</v>
      </c>
      <c r="F1356" s="1">
        <v>56.31</v>
      </c>
      <c r="G1356" t="s">
        <v>19</v>
      </c>
      <c r="H1356" t="s">
        <v>37</v>
      </c>
      <c r="I1356" s="2">
        <v>5</v>
      </c>
      <c r="J1356" s="4">
        <v>6</v>
      </c>
      <c r="K1356" s="3">
        <v>3</v>
      </c>
      <c r="L1356" s="1">
        <f t="shared" si="63"/>
        <v>52.931399999999996</v>
      </c>
      <c r="M1356" t="str" cm="1">
        <f t="array" ref="M1356">_xlfn.IFS(B1356&lt;18,"Under 18",B1356 &lt;=25,"18-25",B1356&lt;=35,"26-35",B1356&lt;=45,"36-45",B1356&lt;=60,"46-60",TRUE,"60+")</f>
        <v>36-45</v>
      </c>
      <c r="N1356" t="str">
        <f t="shared" si="64"/>
        <v>Discounted</v>
      </c>
      <c r="O1356" t="str">
        <f t="shared" si="65"/>
        <v>Returning</v>
      </c>
    </row>
    <row r="1357" spans="1:15" x14ac:dyDescent="0.25">
      <c r="A1357">
        <v>1356</v>
      </c>
      <c r="B1357">
        <v>39</v>
      </c>
      <c r="C1357" t="s">
        <v>11</v>
      </c>
      <c r="D1357" t="s">
        <v>33</v>
      </c>
      <c r="E1357" t="s">
        <v>34</v>
      </c>
      <c r="F1357" s="1">
        <v>79.95</v>
      </c>
      <c r="G1357" t="s">
        <v>31</v>
      </c>
      <c r="H1357" t="s">
        <v>15</v>
      </c>
      <c r="I1357" s="2">
        <v>3.4</v>
      </c>
      <c r="J1357" s="4">
        <v>30</v>
      </c>
      <c r="K1357" s="3">
        <v>10</v>
      </c>
      <c r="L1357" s="1">
        <f t="shared" si="63"/>
        <v>55.964999999999996</v>
      </c>
      <c r="M1357" t="str" cm="1">
        <f t="array" ref="M1357">_xlfn.IFS(B1357&lt;18,"Under 18",B1357 &lt;=25,"18-25",B1357&lt;=35,"26-35",B1357&lt;=45,"36-45",B1357&lt;=60,"46-60",TRUE,"60+")</f>
        <v>36-45</v>
      </c>
      <c r="N1357" t="str">
        <f t="shared" si="64"/>
        <v>Discounted</v>
      </c>
      <c r="O1357" t="str">
        <f t="shared" si="65"/>
        <v>Returning</v>
      </c>
    </row>
    <row r="1358" spans="1:15" x14ac:dyDescent="0.25">
      <c r="A1358">
        <v>1357</v>
      </c>
      <c r="B1358">
        <v>60</v>
      </c>
      <c r="C1358" t="s">
        <v>16</v>
      </c>
      <c r="D1358" t="s">
        <v>27</v>
      </c>
      <c r="E1358" t="s">
        <v>32</v>
      </c>
      <c r="F1358" s="1">
        <v>1905.2</v>
      </c>
      <c r="G1358" t="s">
        <v>24</v>
      </c>
      <c r="H1358" t="s">
        <v>15</v>
      </c>
      <c r="I1358" s="2">
        <v>3.3</v>
      </c>
      <c r="J1358" s="4">
        <v>21</v>
      </c>
      <c r="K1358" s="3">
        <v>8</v>
      </c>
      <c r="L1358" s="1">
        <f t="shared" si="63"/>
        <v>1505.1080000000002</v>
      </c>
      <c r="M1358" t="str" cm="1">
        <f t="array" ref="M1358">_xlfn.IFS(B1358&lt;18,"Under 18",B1358 &lt;=25,"18-25",B1358&lt;=35,"26-35",B1358&lt;=45,"36-45",B1358&lt;=60,"46-60",TRUE,"60+")</f>
        <v>46-60</v>
      </c>
      <c r="N1358" t="str">
        <f t="shared" si="64"/>
        <v>Discounted</v>
      </c>
      <c r="O1358" t="str">
        <f t="shared" si="65"/>
        <v>Returning</v>
      </c>
    </row>
    <row r="1359" spans="1:15" x14ac:dyDescent="0.25">
      <c r="A1359">
        <v>1358</v>
      </c>
      <c r="B1359">
        <v>30</v>
      </c>
      <c r="C1359" t="s">
        <v>11</v>
      </c>
      <c r="D1359" t="s">
        <v>22</v>
      </c>
      <c r="E1359" t="s">
        <v>52</v>
      </c>
      <c r="F1359" s="1">
        <v>172.51</v>
      </c>
      <c r="G1359" t="s">
        <v>31</v>
      </c>
      <c r="H1359" t="s">
        <v>15</v>
      </c>
      <c r="I1359" s="2">
        <v>2.4</v>
      </c>
      <c r="J1359" s="4">
        <v>22</v>
      </c>
      <c r="K1359" s="3">
        <v>6</v>
      </c>
      <c r="L1359" s="1">
        <f t="shared" si="63"/>
        <v>134.55779999999999</v>
      </c>
      <c r="M1359" t="str" cm="1">
        <f t="array" ref="M1359">_xlfn.IFS(B1359&lt;18,"Under 18",B1359 &lt;=25,"18-25",B1359&lt;=35,"26-35",B1359&lt;=45,"36-45",B1359&lt;=60,"46-60",TRUE,"60+")</f>
        <v>26-35</v>
      </c>
      <c r="N1359" t="str">
        <f t="shared" si="64"/>
        <v>Discounted</v>
      </c>
      <c r="O1359" t="str">
        <f t="shared" si="65"/>
        <v>Returning</v>
      </c>
    </row>
    <row r="1360" spans="1:15" x14ac:dyDescent="0.25">
      <c r="A1360">
        <v>1359</v>
      </c>
      <c r="B1360">
        <v>28</v>
      </c>
      <c r="C1360" t="s">
        <v>11</v>
      </c>
      <c r="D1360" t="s">
        <v>33</v>
      </c>
      <c r="E1360" t="s">
        <v>40</v>
      </c>
      <c r="F1360" s="1">
        <v>162.07</v>
      </c>
      <c r="G1360" t="s">
        <v>19</v>
      </c>
      <c r="H1360" t="s">
        <v>15</v>
      </c>
      <c r="I1360" s="2">
        <v>2.7</v>
      </c>
      <c r="J1360" s="4">
        <v>11</v>
      </c>
      <c r="K1360" s="3">
        <v>3</v>
      </c>
      <c r="L1360" s="1">
        <f t="shared" si="63"/>
        <v>144.2423</v>
      </c>
      <c r="M1360" t="str" cm="1">
        <f t="array" ref="M1360">_xlfn.IFS(B1360&lt;18,"Under 18",B1360 &lt;=25,"18-25",B1360&lt;=35,"26-35",B1360&lt;=45,"36-45",B1360&lt;=60,"46-60",TRUE,"60+")</f>
        <v>26-35</v>
      </c>
      <c r="N1360" t="str">
        <f t="shared" si="64"/>
        <v>Discounted</v>
      </c>
      <c r="O1360" t="str">
        <f t="shared" si="65"/>
        <v>Returning</v>
      </c>
    </row>
    <row r="1361" spans="1:15" x14ac:dyDescent="0.25">
      <c r="A1361">
        <v>1360</v>
      </c>
      <c r="B1361">
        <v>60</v>
      </c>
      <c r="C1361" t="s">
        <v>11</v>
      </c>
      <c r="D1361" t="s">
        <v>41</v>
      </c>
      <c r="E1361" t="s">
        <v>46</v>
      </c>
      <c r="F1361" s="1">
        <v>75.11</v>
      </c>
      <c r="G1361" t="s">
        <v>31</v>
      </c>
      <c r="H1361" t="s">
        <v>15</v>
      </c>
      <c r="I1361" s="2">
        <v>4</v>
      </c>
      <c r="J1361" s="4">
        <v>12</v>
      </c>
      <c r="K1361" s="3">
        <v>6</v>
      </c>
      <c r="L1361" s="1">
        <f t="shared" si="63"/>
        <v>66.096800000000002</v>
      </c>
      <c r="M1361" t="str" cm="1">
        <f t="array" ref="M1361">_xlfn.IFS(B1361&lt;18,"Under 18",B1361 &lt;=25,"18-25",B1361&lt;=35,"26-35",B1361&lt;=45,"36-45",B1361&lt;=60,"46-60",TRUE,"60+")</f>
        <v>46-60</v>
      </c>
      <c r="N1361" t="str">
        <f t="shared" si="64"/>
        <v>Discounted</v>
      </c>
      <c r="O1361" t="str">
        <f t="shared" si="65"/>
        <v>Returning</v>
      </c>
    </row>
    <row r="1362" spans="1:15" x14ac:dyDescent="0.25">
      <c r="A1362">
        <v>1361</v>
      </c>
      <c r="B1362">
        <v>52</v>
      </c>
      <c r="C1362" t="s">
        <v>11</v>
      </c>
      <c r="D1362" t="s">
        <v>25</v>
      </c>
      <c r="E1362" t="s">
        <v>54</v>
      </c>
      <c r="F1362" s="1">
        <v>66.05</v>
      </c>
      <c r="G1362" t="s">
        <v>31</v>
      </c>
      <c r="H1362" t="s">
        <v>37</v>
      </c>
      <c r="I1362" s="2">
        <v>3.7</v>
      </c>
      <c r="J1362" s="4">
        <v>10</v>
      </c>
      <c r="K1362" s="3">
        <v>5</v>
      </c>
      <c r="L1362" s="1">
        <f t="shared" si="63"/>
        <v>59.445</v>
      </c>
      <c r="M1362" t="str" cm="1">
        <f t="array" ref="M1362">_xlfn.IFS(B1362&lt;18,"Under 18",B1362 &lt;=25,"18-25",B1362&lt;=35,"26-35",B1362&lt;=45,"36-45",B1362&lt;=60,"46-60",TRUE,"60+")</f>
        <v>46-60</v>
      </c>
      <c r="N1362" t="str">
        <f t="shared" si="64"/>
        <v>Discounted</v>
      </c>
      <c r="O1362" t="str">
        <f t="shared" si="65"/>
        <v>Returning</v>
      </c>
    </row>
    <row r="1363" spans="1:15" x14ac:dyDescent="0.25">
      <c r="A1363">
        <v>1362</v>
      </c>
      <c r="B1363">
        <v>32</v>
      </c>
      <c r="C1363" t="s">
        <v>16</v>
      </c>
      <c r="D1363" t="s">
        <v>20</v>
      </c>
      <c r="E1363" t="s">
        <v>21</v>
      </c>
      <c r="F1363" s="1">
        <v>136.35</v>
      </c>
      <c r="G1363" t="s">
        <v>19</v>
      </c>
      <c r="H1363" t="s">
        <v>15</v>
      </c>
      <c r="I1363" s="2">
        <v>3.3</v>
      </c>
      <c r="J1363" s="4">
        <v>16</v>
      </c>
      <c r="K1363" s="3">
        <v>3</v>
      </c>
      <c r="L1363" s="1">
        <f t="shared" si="63"/>
        <v>114.53399999999999</v>
      </c>
      <c r="M1363" t="str" cm="1">
        <f t="array" ref="M1363">_xlfn.IFS(B1363&lt;18,"Under 18",B1363 &lt;=25,"18-25",B1363&lt;=35,"26-35",B1363&lt;=45,"36-45",B1363&lt;=60,"46-60",TRUE,"60+")</f>
        <v>26-35</v>
      </c>
      <c r="N1363" t="str">
        <f t="shared" si="64"/>
        <v>Discounted</v>
      </c>
      <c r="O1363" t="str">
        <f t="shared" si="65"/>
        <v>Returning</v>
      </c>
    </row>
    <row r="1364" spans="1:15" x14ac:dyDescent="0.25">
      <c r="A1364">
        <v>1363</v>
      </c>
      <c r="B1364">
        <v>39</v>
      </c>
      <c r="C1364" t="s">
        <v>11</v>
      </c>
      <c r="D1364" t="s">
        <v>29</v>
      </c>
      <c r="E1364" t="s">
        <v>51</v>
      </c>
      <c r="F1364" s="1">
        <v>141.19</v>
      </c>
      <c r="G1364" t="s">
        <v>24</v>
      </c>
      <c r="H1364" t="s">
        <v>15</v>
      </c>
      <c r="I1364" s="2">
        <v>1.5</v>
      </c>
      <c r="J1364" s="4">
        <v>14</v>
      </c>
      <c r="K1364" s="3">
        <v>7</v>
      </c>
      <c r="L1364" s="1">
        <f t="shared" si="63"/>
        <v>121.4234</v>
      </c>
      <c r="M1364" t="str" cm="1">
        <f t="array" ref="M1364">_xlfn.IFS(B1364&lt;18,"Under 18",B1364 &lt;=25,"18-25",B1364&lt;=35,"26-35",B1364&lt;=45,"36-45",B1364&lt;=60,"46-60",TRUE,"60+")</f>
        <v>36-45</v>
      </c>
      <c r="N1364" t="str">
        <f t="shared" si="64"/>
        <v>Discounted</v>
      </c>
      <c r="O1364" t="str">
        <f t="shared" si="65"/>
        <v>Returning</v>
      </c>
    </row>
    <row r="1365" spans="1:15" x14ac:dyDescent="0.25">
      <c r="A1365">
        <v>1364</v>
      </c>
      <c r="B1365">
        <v>42</v>
      </c>
      <c r="C1365" t="s">
        <v>11</v>
      </c>
      <c r="D1365" t="s">
        <v>33</v>
      </c>
      <c r="E1365" t="s">
        <v>34</v>
      </c>
      <c r="F1365" s="1">
        <v>76.55</v>
      </c>
      <c r="G1365" t="s">
        <v>14</v>
      </c>
      <c r="H1365" t="s">
        <v>37</v>
      </c>
      <c r="I1365" s="2">
        <v>3.6</v>
      </c>
      <c r="J1365" s="4">
        <v>15</v>
      </c>
      <c r="K1365" s="3">
        <v>5</v>
      </c>
      <c r="L1365" s="1">
        <f t="shared" si="63"/>
        <v>65.067499999999995</v>
      </c>
      <c r="M1365" t="str" cm="1">
        <f t="array" ref="M1365">_xlfn.IFS(B1365&lt;18,"Under 18",B1365 &lt;=25,"18-25",B1365&lt;=35,"26-35",B1365&lt;=45,"36-45",B1365&lt;=60,"46-60",TRUE,"60+")</f>
        <v>36-45</v>
      </c>
      <c r="N1365" t="str">
        <f t="shared" si="64"/>
        <v>Discounted</v>
      </c>
      <c r="O1365" t="str">
        <f t="shared" si="65"/>
        <v>Returning</v>
      </c>
    </row>
    <row r="1366" spans="1:15" x14ac:dyDescent="0.25">
      <c r="A1366">
        <v>1365</v>
      </c>
      <c r="B1366">
        <v>52</v>
      </c>
      <c r="C1366" t="s">
        <v>16</v>
      </c>
      <c r="D1366" t="s">
        <v>33</v>
      </c>
      <c r="E1366" t="s">
        <v>34</v>
      </c>
      <c r="F1366" s="1">
        <v>248.92</v>
      </c>
      <c r="G1366" t="s">
        <v>19</v>
      </c>
      <c r="H1366" t="s">
        <v>15</v>
      </c>
      <c r="I1366" s="2">
        <v>3.4</v>
      </c>
      <c r="J1366" s="4">
        <v>13</v>
      </c>
      <c r="K1366" s="3">
        <v>4</v>
      </c>
      <c r="L1366" s="1">
        <f t="shared" si="63"/>
        <v>216.56039999999999</v>
      </c>
      <c r="M1366" t="str" cm="1">
        <f t="array" ref="M1366">_xlfn.IFS(B1366&lt;18,"Under 18",B1366 &lt;=25,"18-25",B1366&lt;=35,"26-35",B1366&lt;=45,"36-45",B1366&lt;=60,"46-60",TRUE,"60+")</f>
        <v>46-60</v>
      </c>
      <c r="N1366" t="str">
        <f t="shared" si="64"/>
        <v>Discounted</v>
      </c>
      <c r="O1366" t="str">
        <f t="shared" si="65"/>
        <v>Returning</v>
      </c>
    </row>
    <row r="1367" spans="1:15" x14ac:dyDescent="0.25">
      <c r="A1367">
        <v>1366</v>
      </c>
      <c r="B1367">
        <v>54</v>
      </c>
      <c r="C1367" t="s">
        <v>16</v>
      </c>
      <c r="D1367" t="s">
        <v>33</v>
      </c>
      <c r="E1367" t="s">
        <v>40</v>
      </c>
      <c r="F1367" s="1">
        <v>247.98</v>
      </c>
      <c r="G1367" t="s">
        <v>19</v>
      </c>
      <c r="H1367" t="s">
        <v>15</v>
      </c>
      <c r="I1367" s="2">
        <v>3.6</v>
      </c>
      <c r="J1367" s="4">
        <v>10</v>
      </c>
      <c r="K1367" s="3">
        <v>5</v>
      </c>
      <c r="L1367" s="1">
        <f t="shared" si="63"/>
        <v>223.18199999999999</v>
      </c>
      <c r="M1367" t="str" cm="1">
        <f t="array" ref="M1367">_xlfn.IFS(B1367&lt;18,"Under 18",B1367 &lt;=25,"18-25",B1367&lt;=35,"26-35",B1367&lt;=45,"36-45",B1367&lt;=60,"46-60",TRUE,"60+")</f>
        <v>46-60</v>
      </c>
      <c r="N1367" t="str">
        <f t="shared" si="64"/>
        <v>Discounted</v>
      </c>
      <c r="O1367" t="str">
        <f t="shared" si="65"/>
        <v>Returning</v>
      </c>
    </row>
    <row r="1368" spans="1:15" x14ac:dyDescent="0.25">
      <c r="A1368">
        <v>1367</v>
      </c>
      <c r="B1368">
        <v>64</v>
      </c>
      <c r="C1368" t="s">
        <v>16</v>
      </c>
      <c r="D1368" t="s">
        <v>27</v>
      </c>
      <c r="E1368" t="s">
        <v>32</v>
      </c>
      <c r="F1368" s="1">
        <v>1925.6</v>
      </c>
      <c r="G1368" t="s">
        <v>19</v>
      </c>
      <c r="H1368" t="s">
        <v>15</v>
      </c>
      <c r="I1368" s="2">
        <v>2.6</v>
      </c>
      <c r="J1368" s="4">
        <v>13</v>
      </c>
      <c r="K1368" s="3">
        <v>4</v>
      </c>
      <c r="L1368" s="1">
        <f t="shared" si="63"/>
        <v>1675.2719999999999</v>
      </c>
      <c r="M1368" t="str" cm="1">
        <f t="array" ref="M1368">_xlfn.IFS(B1368&lt;18,"Under 18",B1368 &lt;=25,"18-25",B1368&lt;=35,"26-35",B1368&lt;=45,"36-45",B1368&lt;=60,"46-60",TRUE,"60+")</f>
        <v>60+</v>
      </c>
      <c r="N1368" t="str">
        <f t="shared" si="64"/>
        <v>Discounted</v>
      </c>
      <c r="O1368" t="str">
        <f t="shared" si="65"/>
        <v>Returning</v>
      </c>
    </row>
    <row r="1369" spans="1:15" x14ac:dyDescent="0.25">
      <c r="A1369">
        <v>1368</v>
      </c>
      <c r="B1369">
        <v>51</v>
      </c>
      <c r="C1369" t="s">
        <v>16</v>
      </c>
      <c r="D1369" t="s">
        <v>20</v>
      </c>
      <c r="E1369" t="s">
        <v>39</v>
      </c>
      <c r="F1369" s="1">
        <v>139.66</v>
      </c>
      <c r="G1369" t="s">
        <v>24</v>
      </c>
      <c r="H1369" t="s">
        <v>15</v>
      </c>
      <c r="I1369" s="2">
        <v>3.6</v>
      </c>
      <c r="J1369" s="4">
        <v>9</v>
      </c>
      <c r="K1369" s="3">
        <v>2</v>
      </c>
      <c r="L1369" s="1">
        <f t="shared" si="63"/>
        <v>127.09059999999999</v>
      </c>
      <c r="M1369" t="str" cm="1">
        <f t="array" ref="M1369">_xlfn.IFS(B1369&lt;18,"Under 18",B1369 &lt;=25,"18-25",B1369&lt;=35,"26-35",B1369&lt;=45,"36-45",B1369&lt;=60,"46-60",TRUE,"60+")</f>
        <v>46-60</v>
      </c>
      <c r="N1369" t="str">
        <f t="shared" si="64"/>
        <v>Discounted</v>
      </c>
      <c r="O1369" t="str">
        <f t="shared" si="65"/>
        <v>Returning</v>
      </c>
    </row>
    <row r="1370" spans="1:15" x14ac:dyDescent="0.25">
      <c r="A1370">
        <v>1369</v>
      </c>
      <c r="B1370">
        <v>65</v>
      </c>
      <c r="C1370" t="s">
        <v>16</v>
      </c>
      <c r="D1370" t="s">
        <v>17</v>
      </c>
      <c r="E1370" t="s">
        <v>42</v>
      </c>
      <c r="F1370" s="1">
        <v>199.78</v>
      </c>
      <c r="G1370" t="s">
        <v>14</v>
      </c>
      <c r="H1370" t="s">
        <v>15</v>
      </c>
      <c r="I1370" s="2">
        <v>3.5</v>
      </c>
      <c r="J1370" s="4">
        <v>15</v>
      </c>
      <c r="K1370" s="3">
        <v>5</v>
      </c>
      <c r="L1370" s="1">
        <f t="shared" si="63"/>
        <v>169.81299999999999</v>
      </c>
      <c r="M1370" t="str" cm="1">
        <f t="array" ref="M1370">_xlfn.IFS(B1370&lt;18,"Under 18",B1370 &lt;=25,"18-25",B1370&lt;=35,"26-35",B1370&lt;=45,"36-45",B1370&lt;=60,"46-60",TRUE,"60+")</f>
        <v>60+</v>
      </c>
      <c r="N1370" t="str">
        <f t="shared" si="64"/>
        <v>Discounted</v>
      </c>
      <c r="O1370" t="str">
        <f t="shared" si="65"/>
        <v>Returning</v>
      </c>
    </row>
    <row r="1371" spans="1:15" x14ac:dyDescent="0.25">
      <c r="A1371">
        <v>1370</v>
      </c>
      <c r="B1371">
        <v>22</v>
      </c>
      <c r="C1371" t="s">
        <v>11</v>
      </c>
      <c r="D1371" t="s">
        <v>29</v>
      </c>
      <c r="E1371" t="s">
        <v>55</v>
      </c>
      <c r="F1371" s="1">
        <v>45.19</v>
      </c>
      <c r="G1371" t="s">
        <v>31</v>
      </c>
      <c r="H1371" t="s">
        <v>15</v>
      </c>
      <c r="I1371" s="2">
        <v>4.7</v>
      </c>
      <c r="J1371" s="4">
        <v>12</v>
      </c>
      <c r="K1371" s="3">
        <v>6</v>
      </c>
      <c r="L1371" s="1">
        <f t="shared" si="63"/>
        <v>39.767199999999995</v>
      </c>
      <c r="M1371" t="str" cm="1">
        <f t="array" ref="M1371">_xlfn.IFS(B1371&lt;18,"Under 18",B1371 &lt;=25,"18-25",B1371&lt;=35,"26-35",B1371&lt;=45,"36-45",B1371&lt;=60,"46-60",TRUE,"60+")</f>
        <v>18-25</v>
      </c>
      <c r="N1371" t="str">
        <f t="shared" si="64"/>
        <v>Discounted</v>
      </c>
      <c r="O1371" t="str">
        <f t="shared" si="65"/>
        <v>Returning</v>
      </c>
    </row>
    <row r="1372" spans="1:15" x14ac:dyDescent="0.25">
      <c r="A1372">
        <v>1371</v>
      </c>
      <c r="B1372">
        <v>30</v>
      </c>
      <c r="C1372" t="s">
        <v>11</v>
      </c>
      <c r="D1372" t="s">
        <v>33</v>
      </c>
      <c r="E1372" t="s">
        <v>40</v>
      </c>
      <c r="F1372" s="1">
        <v>206.49</v>
      </c>
      <c r="G1372" t="s">
        <v>31</v>
      </c>
      <c r="H1372" t="s">
        <v>15</v>
      </c>
      <c r="I1372" s="2">
        <v>3.6</v>
      </c>
      <c r="J1372" s="4">
        <v>20</v>
      </c>
      <c r="K1372" s="3">
        <v>5</v>
      </c>
      <c r="L1372" s="1">
        <f t="shared" si="63"/>
        <v>165.19200000000001</v>
      </c>
      <c r="M1372" t="str" cm="1">
        <f t="array" ref="M1372">_xlfn.IFS(B1372&lt;18,"Under 18",B1372 &lt;=25,"18-25",B1372&lt;=35,"26-35",B1372&lt;=45,"36-45",B1372&lt;=60,"46-60",TRUE,"60+")</f>
        <v>26-35</v>
      </c>
      <c r="N1372" t="str">
        <f t="shared" si="64"/>
        <v>Discounted</v>
      </c>
      <c r="O1372" t="str">
        <f t="shared" si="65"/>
        <v>Returning</v>
      </c>
    </row>
    <row r="1373" spans="1:15" x14ac:dyDescent="0.25">
      <c r="A1373">
        <v>1372</v>
      </c>
      <c r="B1373">
        <v>52</v>
      </c>
      <c r="C1373" t="s">
        <v>16</v>
      </c>
      <c r="D1373" t="s">
        <v>27</v>
      </c>
      <c r="E1373" t="s">
        <v>28</v>
      </c>
      <c r="F1373" s="1">
        <v>1357.56</v>
      </c>
      <c r="G1373" t="s">
        <v>14</v>
      </c>
      <c r="H1373" t="s">
        <v>15</v>
      </c>
      <c r="I1373" s="2">
        <v>5</v>
      </c>
      <c r="J1373" s="4">
        <v>16</v>
      </c>
      <c r="K1373" s="3">
        <v>8</v>
      </c>
      <c r="L1373" s="1">
        <f t="shared" si="63"/>
        <v>1140.3503999999998</v>
      </c>
      <c r="M1373" t="str" cm="1">
        <f t="array" ref="M1373">_xlfn.IFS(B1373&lt;18,"Under 18",B1373 &lt;=25,"18-25",B1373&lt;=35,"26-35",B1373&lt;=45,"36-45",B1373&lt;=60,"46-60",TRUE,"60+")</f>
        <v>46-60</v>
      </c>
      <c r="N1373" t="str">
        <f t="shared" si="64"/>
        <v>Discounted</v>
      </c>
      <c r="O1373" t="str">
        <f t="shared" si="65"/>
        <v>Returning</v>
      </c>
    </row>
    <row r="1374" spans="1:15" x14ac:dyDescent="0.25">
      <c r="A1374">
        <v>1373</v>
      </c>
      <c r="B1374">
        <v>26</v>
      </c>
      <c r="C1374" t="s">
        <v>11</v>
      </c>
      <c r="D1374" t="s">
        <v>33</v>
      </c>
      <c r="E1374" t="s">
        <v>40</v>
      </c>
      <c r="F1374" s="1">
        <v>160.69</v>
      </c>
      <c r="G1374" t="s">
        <v>14</v>
      </c>
      <c r="H1374" t="s">
        <v>15</v>
      </c>
      <c r="I1374" s="2">
        <v>4.3</v>
      </c>
      <c r="J1374" s="4">
        <v>15</v>
      </c>
      <c r="K1374" s="3">
        <v>5</v>
      </c>
      <c r="L1374" s="1">
        <f t="shared" si="63"/>
        <v>136.5865</v>
      </c>
      <c r="M1374" t="str" cm="1">
        <f t="array" ref="M1374">_xlfn.IFS(B1374&lt;18,"Under 18",B1374 &lt;=25,"18-25",B1374&lt;=35,"26-35",B1374&lt;=45,"36-45",B1374&lt;=60,"46-60",TRUE,"60+")</f>
        <v>26-35</v>
      </c>
      <c r="N1374" t="str">
        <f t="shared" si="64"/>
        <v>Discounted</v>
      </c>
      <c r="O1374" t="str">
        <f t="shared" si="65"/>
        <v>Returning</v>
      </c>
    </row>
    <row r="1375" spans="1:15" x14ac:dyDescent="0.25">
      <c r="A1375">
        <v>1374</v>
      </c>
      <c r="B1375">
        <v>29</v>
      </c>
      <c r="C1375" t="s">
        <v>11</v>
      </c>
      <c r="D1375" t="s">
        <v>20</v>
      </c>
      <c r="E1375" t="s">
        <v>36</v>
      </c>
      <c r="F1375" s="1">
        <v>239.09</v>
      </c>
      <c r="G1375" t="s">
        <v>31</v>
      </c>
      <c r="H1375" t="s">
        <v>15</v>
      </c>
      <c r="I1375" s="2">
        <v>4</v>
      </c>
      <c r="J1375" s="4">
        <v>6</v>
      </c>
      <c r="K1375" s="3">
        <v>3</v>
      </c>
      <c r="L1375" s="1">
        <f t="shared" si="63"/>
        <v>224.74459999999999</v>
      </c>
      <c r="M1375" t="str" cm="1">
        <f t="array" ref="M1375">_xlfn.IFS(B1375&lt;18,"Under 18",B1375 &lt;=25,"18-25",B1375&lt;=35,"26-35",B1375&lt;=45,"36-45",B1375&lt;=60,"46-60",TRUE,"60+")</f>
        <v>26-35</v>
      </c>
      <c r="N1375" t="str">
        <f t="shared" si="64"/>
        <v>Discounted</v>
      </c>
      <c r="O1375" t="str">
        <f t="shared" si="65"/>
        <v>Returning</v>
      </c>
    </row>
    <row r="1376" spans="1:15" x14ac:dyDescent="0.25">
      <c r="A1376">
        <v>1375</v>
      </c>
      <c r="B1376">
        <v>61</v>
      </c>
      <c r="C1376" t="s">
        <v>16</v>
      </c>
      <c r="D1376" t="s">
        <v>27</v>
      </c>
      <c r="E1376" t="s">
        <v>53</v>
      </c>
      <c r="F1376" s="1">
        <v>2519.73</v>
      </c>
      <c r="G1376" t="s">
        <v>31</v>
      </c>
      <c r="H1376" t="s">
        <v>15</v>
      </c>
      <c r="I1376" s="2">
        <v>3.5</v>
      </c>
      <c r="J1376" s="4">
        <v>20</v>
      </c>
      <c r="K1376" s="3">
        <v>5</v>
      </c>
      <c r="L1376" s="1">
        <f t="shared" si="63"/>
        <v>2015.7840000000001</v>
      </c>
      <c r="M1376" t="str" cm="1">
        <f t="array" ref="M1376">_xlfn.IFS(B1376&lt;18,"Under 18",B1376 &lt;=25,"18-25",B1376&lt;=35,"26-35",B1376&lt;=45,"36-45",B1376&lt;=60,"46-60",TRUE,"60+")</f>
        <v>60+</v>
      </c>
      <c r="N1376" t="str">
        <f t="shared" si="64"/>
        <v>Discounted</v>
      </c>
      <c r="O1376" t="str">
        <f t="shared" si="65"/>
        <v>Returning</v>
      </c>
    </row>
    <row r="1377" spans="1:15" x14ac:dyDescent="0.25">
      <c r="A1377">
        <v>1376</v>
      </c>
      <c r="B1377">
        <v>62</v>
      </c>
      <c r="C1377" t="s">
        <v>11</v>
      </c>
      <c r="D1377" t="s">
        <v>33</v>
      </c>
      <c r="E1377" t="s">
        <v>34</v>
      </c>
      <c r="F1377" s="1">
        <v>218.99</v>
      </c>
      <c r="G1377" t="s">
        <v>14</v>
      </c>
      <c r="H1377" t="s">
        <v>15</v>
      </c>
      <c r="I1377" s="2">
        <v>3.6</v>
      </c>
      <c r="J1377" s="4">
        <v>16</v>
      </c>
      <c r="K1377" s="3">
        <v>3</v>
      </c>
      <c r="L1377" s="1">
        <f t="shared" si="63"/>
        <v>183.95160000000001</v>
      </c>
      <c r="M1377" t="str" cm="1">
        <f t="array" ref="M1377">_xlfn.IFS(B1377&lt;18,"Under 18",B1377 &lt;=25,"18-25",B1377&lt;=35,"26-35",B1377&lt;=45,"36-45",B1377&lt;=60,"46-60",TRUE,"60+")</f>
        <v>60+</v>
      </c>
      <c r="N1377" t="str">
        <f t="shared" si="64"/>
        <v>Discounted</v>
      </c>
      <c r="O1377" t="str">
        <f t="shared" si="65"/>
        <v>Returning</v>
      </c>
    </row>
    <row r="1378" spans="1:15" x14ac:dyDescent="0.25">
      <c r="A1378">
        <v>1377</v>
      </c>
      <c r="B1378">
        <v>64</v>
      </c>
      <c r="C1378" t="s">
        <v>16</v>
      </c>
      <c r="D1378" t="s">
        <v>33</v>
      </c>
      <c r="E1378" t="s">
        <v>34</v>
      </c>
      <c r="F1378" s="1">
        <v>244.01</v>
      </c>
      <c r="G1378" t="s">
        <v>19</v>
      </c>
      <c r="H1378" t="s">
        <v>15</v>
      </c>
      <c r="I1378" s="2">
        <v>4.0999999999999996</v>
      </c>
      <c r="J1378" s="4">
        <v>15</v>
      </c>
      <c r="K1378" s="3">
        <v>5</v>
      </c>
      <c r="L1378" s="1">
        <f t="shared" si="63"/>
        <v>207.40849999999998</v>
      </c>
      <c r="M1378" t="str" cm="1">
        <f t="array" ref="M1378">_xlfn.IFS(B1378&lt;18,"Under 18",B1378 &lt;=25,"18-25",B1378&lt;=35,"26-35",B1378&lt;=45,"36-45",B1378&lt;=60,"46-60",TRUE,"60+")</f>
        <v>60+</v>
      </c>
      <c r="N1378" t="str">
        <f t="shared" si="64"/>
        <v>Discounted</v>
      </c>
      <c r="O1378" t="str">
        <f t="shared" si="65"/>
        <v>Returning</v>
      </c>
    </row>
    <row r="1379" spans="1:15" x14ac:dyDescent="0.25">
      <c r="A1379">
        <v>1378</v>
      </c>
      <c r="B1379">
        <v>31</v>
      </c>
      <c r="C1379" t="s">
        <v>11</v>
      </c>
      <c r="D1379" t="s">
        <v>22</v>
      </c>
      <c r="E1379" t="s">
        <v>43</v>
      </c>
      <c r="F1379" s="1">
        <v>140.22999999999999</v>
      </c>
      <c r="G1379" t="s">
        <v>14</v>
      </c>
      <c r="H1379" t="s">
        <v>15</v>
      </c>
      <c r="I1379" s="2">
        <v>3</v>
      </c>
      <c r="J1379" s="4">
        <v>9</v>
      </c>
      <c r="K1379" s="3">
        <v>2</v>
      </c>
      <c r="L1379" s="1">
        <f t="shared" si="63"/>
        <v>127.60929999999999</v>
      </c>
      <c r="M1379" t="str" cm="1">
        <f t="array" ref="M1379">_xlfn.IFS(B1379&lt;18,"Under 18",B1379 &lt;=25,"18-25",B1379&lt;=35,"26-35",B1379&lt;=45,"36-45",B1379&lt;=60,"46-60",TRUE,"60+")</f>
        <v>26-35</v>
      </c>
      <c r="N1379" t="str">
        <f t="shared" si="64"/>
        <v>Discounted</v>
      </c>
      <c r="O1379" t="str">
        <f t="shared" si="65"/>
        <v>Returning</v>
      </c>
    </row>
    <row r="1380" spans="1:15" x14ac:dyDescent="0.25">
      <c r="A1380">
        <v>1379</v>
      </c>
      <c r="B1380">
        <v>49</v>
      </c>
      <c r="C1380" t="s">
        <v>16</v>
      </c>
      <c r="D1380" t="s">
        <v>27</v>
      </c>
      <c r="E1380" t="s">
        <v>32</v>
      </c>
      <c r="F1380" s="1">
        <v>2191.92</v>
      </c>
      <c r="G1380" t="s">
        <v>31</v>
      </c>
      <c r="H1380" t="s">
        <v>15</v>
      </c>
      <c r="I1380" s="2">
        <v>2.8</v>
      </c>
      <c r="J1380" s="4">
        <v>13</v>
      </c>
      <c r="K1380" s="3">
        <v>4</v>
      </c>
      <c r="L1380" s="1">
        <f t="shared" si="63"/>
        <v>1906.9704000000002</v>
      </c>
      <c r="M1380" t="str" cm="1">
        <f t="array" ref="M1380">_xlfn.IFS(B1380&lt;18,"Under 18",B1380 &lt;=25,"18-25",B1380&lt;=35,"26-35",B1380&lt;=45,"36-45",B1380&lt;=60,"46-60",TRUE,"60+")</f>
        <v>46-60</v>
      </c>
      <c r="N1380" t="str">
        <f t="shared" si="64"/>
        <v>Discounted</v>
      </c>
      <c r="O1380" t="str">
        <f t="shared" si="65"/>
        <v>Returning</v>
      </c>
    </row>
    <row r="1381" spans="1:15" x14ac:dyDescent="0.25">
      <c r="A1381">
        <v>1380</v>
      </c>
      <c r="B1381">
        <v>46</v>
      </c>
      <c r="C1381" t="s">
        <v>11</v>
      </c>
      <c r="D1381" t="s">
        <v>22</v>
      </c>
      <c r="E1381" t="s">
        <v>23</v>
      </c>
      <c r="F1381" s="1">
        <v>145.72999999999999</v>
      </c>
      <c r="G1381" t="s">
        <v>14</v>
      </c>
      <c r="H1381" t="s">
        <v>15</v>
      </c>
      <c r="I1381" s="2">
        <v>2.7</v>
      </c>
      <c r="J1381" s="4">
        <v>14</v>
      </c>
      <c r="K1381" s="3">
        <v>2</v>
      </c>
      <c r="L1381" s="1">
        <f t="shared" si="63"/>
        <v>125.3278</v>
      </c>
      <c r="M1381" t="str" cm="1">
        <f t="array" ref="M1381">_xlfn.IFS(B1381&lt;18,"Under 18",B1381 &lt;=25,"18-25",B1381&lt;=35,"26-35",B1381&lt;=45,"36-45",B1381&lt;=60,"46-60",TRUE,"60+")</f>
        <v>46-60</v>
      </c>
      <c r="N1381" t="str">
        <f t="shared" si="64"/>
        <v>Discounted</v>
      </c>
      <c r="O1381" t="str">
        <f t="shared" si="65"/>
        <v>Returning</v>
      </c>
    </row>
    <row r="1382" spans="1:15" x14ac:dyDescent="0.25">
      <c r="A1382">
        <v>1381</v>
      </c>
      <c r="B1382">
        <v>32</v>
      </c>
      <c r="C1382" t="s">
        <v>11</v>
      </c>
      <c r="D1382" t="s">
        <v>41</v>
      </c>
      <c r="E1382" t="s">
        <v>45</v>
      </c>
      <c r="F1382" s="1">
        <v>194.29</v>
      </c>
      <c r="G1382" t="s">
        <v>31</v>
      </c>
      <c r="H1382" t="s">
        <v>15</v>
      </c>
      <c r="I1382" s="2">
        <v>3.6</v>
      </c>
      <c r="J1382" s="4">
        <v>10</v>
      </c>
      <c r="K1382" s="3">
        <v>5</v>
      </c>
      <c r="L1382" s="1">
        <f t="shared" si="63"/>
        <v>174.86099999999999</v>
      </c>
      <c r="M1382" t="str" cm="1">
        <f t="array" ref="M1382">_xlfn.IFS(B1382&lt;18,"Under 18",B1382 &lt;=25,"18-25",B1382&lt;=35,"26-35",B1382&lt;=45,"36-45",B1382&lt;=60,"46-60",TRUE,"60+")</f>
        <v>26-35</v>
      </c>
      <c r="N1382" t="str">
        <f t="shared" si="64"/>
        <v>Discounted</v>
      </c>
      <c r="O1382" t="str">
        <f t="shared" si="65"/>
        <v>Returning</v>
      </c>
    </row>
    <row r="1383" spans="1:15" x14ac:dyDescent="0.25">
      <c r="A1383">
        <v>1382</v>
      </c>
      <c r="B1383">
        <v>29</v>
      </c>
      <c r="C1383" t="s">
        <v>16</v>
      </c>
      <c r="D1383" t="s">
        <v>22</v>
      </c>
      <c r="E1383" t="s">
        <v>23</v>
      </c>
      <c r="F1383" s="1">
        <v>219.13</v>
      </c>
      <c r="G1383" t="s">
        <v>31</v>
      </c>
      <c r="H1383" t="s">
        <v>15</v>
      </c>
      <c r="I1383" s="2">
        <v>2.8</v>
      </c>
      <c r="J1383" s="4">
        <v>20</v>
      </c>
      <c r="K1383" s="3">
        <v>5</v>
      </c>
      <c r="L1383" s="1">
        <f t="shared" si="63"/>
        <v>175.304</v>
      </c>
      <c r="M1383" t="str" cm="1">
        <f t="array" ref="M1383">_xlfn.IFS(B1383&lt;18,"Under 18",B1383 &lt;=25,"18-25",B1383&lt;=35,"26-35",B1383&lt;=45,"36-45",B1383&lt;=60,"46-60",TRUE,"60+")</f>
        <v>26-35</v>
      </c>
      <c r="N1383" t="str">
        <f t="shared" si="64"/>
        <v>Discounted</v>
      </c>
      <c r="O1383" t="str">
        <f t="shared" si="65"/>
        <v>Returning</v>
      </c>
    </row>
    <row r="1384" spans="1:15" x14ac:dyDescent="0.25">
      <c r="A1384">
        <v>1383</v>
      </c>
      <c r="B1384">
        <v>53</v>
      </c>
      <c r="C1384" t="s">
        <v>11</v>
      </c>
      <c r="D1384" t="s">
        <v>29</v>
      </c>
      <c r="E1384" t="s">
        <v>30</v>
      </c>
      <c r="F1384" s="1">
        <v>73</v>
      </c>
      <c r="G1384" t="s">
        <v>14</v>
      </c>
      <c r="H1384" t="s">
        <v>15</v>
      </c>
      <c r="I1384" s="2">
        <v>2.8</v>
      </c>
      <c r="J1384" s="4">
        <v>18</v>
      </c>
      <c r="K1384" s="3">
        <v>4</v>
      </c>
      <c r="L1384" s="1">
        <f t="shared" si="63"/>
        <v>59.860000000000007</v>
      </c>
      <c r="M1384" t="str" cm="1">
        <f t="array" ref="M1384">_xlfn.IFS(B1384&lt;18,"Under 18",B1384 &lt;=25,"18-25",B1384&lt;=35,"26-35",B1384&lt;=45,"36-45",B1384&lt;=60,"46-60",TRUE,"60+")</f>
        <v>46-60</v>
      </c>
      <c r="N1384" t="str">
        <f t="shared" si="64"/>
        <v>Discounted</v>
      </c>
      <c r="O1384" t="str">
        <f t="shared" si="65"/>
        <v>Returning</v>
      </c>
    </row>
    <row r="1385" spans="1:15" x14ac:dyDescent="0.25">
      <c r="A1385">
        <v>1384</v>
      </c>
      <c r="B1385">
        <v>56</v>
      </c>
      <c r="C1385" t="s">
        <v>16</v>
      </c>
      <c r="D1385" t="s">
        <v>20</v>
      </c>
      <c r="E1385" t="s">
        <v>36</v>
      </c>
      <c r="F1385" s="1">
        <v>206.69</v>
      </c>
      <c r="G1385" t="s">
        <v>31</v>
      </c>
      <c r="H1385" t="s">
        <v>15</v>
      </c>
      <c r="I1385" s="2">
        <v>4.0999999999999996</v>
      </c>
      <c r="J1385" s="4">
        <v>15</v>
      </c>
      <c r="K1385" s="3">
        <v>5</v>
      </c>
      <c r="L1385" s="1">
        <f t="shared" si="63"/>
        <v>175.6865</v>
      </c>
      <c r="M1385" t="str" cm="1">
        <f t="array" ref="M1385">_xlfn.IFS(B1385&lt;18,"Under 18",B1385 &lt;=25,"18-25",B1385&lt;=35,"26-35",B1385&lt;=45,"36-45",B1385&lt;=60,"46-60",TRUE,"60+")</f>
        <v>46-60</v>
      </c>
      <c r="N1385" t="str">
        <f t="shared" si="64"/>
        <v>Discounted</v>
      </c>
      <c r="O1385" t="str">
        <f t="shared" si="65"/>
        <v>Returning</v>
      </c>
    </row>
    <row r="1386" spans="1:15" x14ac:dyDescent="0.25">
      <c r="A1386">
        <v>1385</v>
      </c>
      <c r="B1386">
        <v>49</v>
      </c>
      <c r="C1386" t="s">
        <v>16</v>
      </c>
      <c r="D1386" t="s">
        <v>33</v>
      </c>
      <c r="E1386" t="s">
        <v>38</v>
      </c>
      <c r="F1386" s="1">
        <v>171.39</v>
      </c>
      <c r="G1386" t="s">
        <v>24</v>
      </c>
      <c r="H1386" t="s">
        <v>15</v>
      </c>
      <c r="I1386" s="2">
        <v>5</v>
      </c>
      <c r="J1386" s="4">
        <v>13</v>
      </c>
      <c r="K1386" s="3">
        <v>4</v>
      </c>
      <c r="L1386" s="1">
        <f t="shared" si="63"/>
        <v>149.10929999999999</v>
      </c>
      <c r="M1386" t="str" cm="1">
        <f t="array" ref="M1386">_xlfn.IFS(B1386&lt;18,"Under 18",B1386 &lt;=25,"18-25",B1386&lt;=35,"26-35",B1386&lt;=45,"36-45",B1386&lt;=60,"46-60",TRUE,"60+")</f>
        <v>46-60</v>
      </c>
      <c r="N1386" t="str">
        <f t="shared" si="64"/>
        <v>Discounted</v>
      </c>
      <c r="O1386" t="str">
        <f t="shared" si="65"/>
        <v>Returning</v>
      </c>
    </row>
    <row r="1387" spans="1:15" x14ac:dyDescent="0.25">
      <c r="A1387">
        <v>1386</v>
      </c>
      <c r="B1387">
        <v>49</v>
      </c>
      <c r="C1387" t="s">
        <v>11</v>
      </c>
      <c r="D1387" t="s">
        <v>22</v>
      </c>
      <c r="E1387" t="s">
        <v>43</v>
      </c>
      <c r="F1387" s="1">
        <v>281.41000000000003</v>
      </c>
      <c r="G1387" t="s">
        <v>14</v>
      </c>
      <c r="H1387" t="s">
        <v>15</v>
      </c>
      <c r="I1387" s="2">
        <v>4.5999999999999996</v>
      </c>
      <c r="J1387" s="4">
        <v>10</v>
      </c>
      <c r="K1387" s="3">
        <v>5</v>
      </c>
      <c r="L1387" s="1">
        <f t="shared" si="63"/>
        <v>253.26900000000003</v>
      </c>
      <c r="M1387" t="str" cm="1">
        <f t="array" ref="M1387">_xlfn.IFS(B1387&lt;18,"Under 18",B1387 &lt;=25,"18-25",B1387&lt;=35,"26-35",B1387&lt;=45,"36-45",B1387&lt;=60,"46-60",TRUE,"60+")</f>
        <v>46-60</v>
      </c>
      <c r="N1387" t="str">
        <f t="shared" si="64"/>
        <v>Discounted</v>
      </c>
      <c r="O1387" t="str">
        <f t="shared" si="65"/>
        <v>Returning</v>
      </c>
    </row>
    <row r="1388" spans="1:15" x14ac:dyDescent="0.25">
      <c r="A1388">
        <v>1387</v>
      </c>
      <c r="B1388">
        <v>42</v>
      </c>
      <c r="C1388" t="s">
        <v>16</v>
      </c>
      <c r="D1388" t="s">
        <v>25</v>
      </c>
      <c r="E1388" t="s">
        <v>54</v>
      </c>
      <c r="F1388" s="1">
        <v>65.66</v>
      </c>
      <c r="G1388" t="s">
        <v>31</v>
      </c>
      <c r="H1388" t="s">
        <v>37</v>
      </c>
      <c r="I1388" s="2">
        <v>3.1</v>
      </c>
      <c r="J1388" s="4">
        <v>20</v>
      </c>
      <c r="K1388" s="3">
        <v>5</v>
      </c>
      <c r="L1388" s="1">
        <f t="shared" si="63"/>
        <v>52.527999999999999</v>
      </c>
      <c r="M1388" t="str" cm="1">
        <f t="array" ref="M1388">_xlfn.IFS(B1388&lt;18,"Under 18",B1388 &lt;=25,"18-25",B1388&lt;=35,"26-35",B1388&lt;=45,"36-45",B1388&lt;=60,"46-60",TRUE,"60+")</f>
        <v>36-45</v>
      </c>
      <c r="N1388" t="str">
        <f t="shared" si="64"/>
        <v>Discounted</v>
      </c>
      <c r="O1388" t="str">
        <f t="shared" si="65"/>
        <v>Returning</v>
      </c>
    </row>
    <row r="1389" spans="1:15" x14ac:dyDescent="0.25">
      <c r="A1389">
        <v>1388</v>
      </c>
      <c r="B1389">
        <v>66</v>
      </c>
      <c r="C1389" t="s">
        <v>16</v>
      </c>
      <c r="D1389" t="s">
        <v>17</v>
      </c>
      <c r="E1389" t="s">
        <v>35</v>
      </c>
      <c r="F1389" s="1">
        <v>117.92</v>
      </c>
      <c r="G1389" t="s">
        <v>31</v>
      </c>
      <c r="H1389" t="s">
        <v>15</v>
      </c>
      <c r="I1389" s="2">
        <v>3.1</v>
      </c>
      <c r="J1389" s="4">
        <v>18</v>
      </c>
      <c r="K1389" s="3">
        <v>9</v>
      </c>
      <c r="L1389" s="1">
        <f t="shared" si="63"/>
        <v>96.694400000000002</v>
      </c>
      <c r="M1389" t="str" cm="1">
        <f t="array" ref="M1389">_xlfn.IFS(B1389&lt;18,"Under 18",B1389 &lt;=25,"18-25",B1389&lt;=35,"26-35",B1389&lt;=45,"36-45",B1389&lt;=60,"46-60",TRUE,"60+")</f>
        <v>60+</v>
      </c>
      <c r="N1389" t="str">
        <f t="shared" si="64"/>
        <v>Discounted</v>
      </c>
      <c r="O1389" t="str">
        <f t="shared" si="65"/>
        <v>Returning</v>
      </c>
    </row>
    <row r="1390" spans="1:15" x14ac:dyDescent="0.25">
      <c r="A1390">
        <v>1389</v>
      </c>
      <c r="B1390">
        <v>57</v>
      </c>
      <c r="C1390" t="s">
        <v>11</v>
      </c>
      <c r="D1390" t="s">
        <v>12</v>
      </c>
      <c r="E1390" t="s">
        <v>56</v>
      </c>
      <c r="F1390" s="1">
        <v>85.12</v>
      </c>
      <c r="G1390" t="s">
        <v>14</v>
      </c>
      <c r="H1390" t="s">
        <v>37</v>
      </c>
      <c r="I1390" s="2">
        <v>3</v>
      </c>
      <c r="J1390" s="4">
        <v>10</v>
      </c>
      <c r="K1390" s="3">
        <v>5</v>
      </c>
      <c r="L1390" s="1">
        <f t="shared" si="63"/>
        <v>76.608000000000004</v>
      </c>
      <c r="M1390" t="str" cm="1">
        <f t="array" ref="M1390">_xlfn.IFS(B1390&lt;18,"Under 18",B1390 &lt;=25,"18-25",B1390&lt;=35,"26-35",B1390&lt;=45,"36-45",B1390&lt;=60,"46-60",TRUE,"60+")</f>
        <v>46-60</v>
      </c>
      <c r="N1390" t="str">
        <f t="shared" si="64"/>
        <v>Discounted</v>
      </c>
      <c r="O1390" t="str">
        <f t="shared" si="65"/>
        <v>Returning</v>
      </c>
    </row>
    <row r="1391" spans="1:15" x14ac:dyDescent="0.25">
      <c r="A1391">
        <v>1390</v>
      </c>
      <c r="B1391">
        <v>21</v>
      </c>
      <c r="C1391" t="s">
        <v>16</v>
      </c>
      <c r="D1391" t="s">
        <v>27</v>
      </c>
      <c r="E1391" t="s">
        <v>53</v>
      </c>
      <c r="F1391" s="1">
        <v>522.74</v>
      </c>
      <c r="G1391" t="s">
        <v>31</v>
      </c>
      <c r="H1391" t="s">
        <v>15</v>
      </c>
      <c r="I1391" s="2">
        <v>4.8</v>
      </c>
      <c r="J1391" s="4">
        <v>24</v>
      </c>
      <c r="K1391" s="3">
        <v>7</v>
      </c>
      <c r="L1391" s="1">
        <f t="shared" si="63"/>
        <v>397.2824</v>
      </c>
      <c r="M1391" t="str" cm="1">
        <f t="array" ref="M1391">_xlfn.IFS(B1391&lt;18,"Under 18",B1391 &lt;=25,"18-25",B1391&lt;=35,"26-35",B1391&lt;=45,"36-45",B1391&lt;=60,"46-60",TRUE,"60+")</f>
        <v>18-25</v>
      </c>
      <c r="N1391" t="str">
        <f t="shared" si="64"/>
        <v>Discounted</v>
      </c>
      <c r="O1391" t="str">
        <f t="shared" si="65"/>
        <v>Returning</v>
      </c>
    </row>
    <row r="1392" spans="1:15" x14ac:dyDescent="0.25">
      <c r="A1392">
        <v>1391</v>
      </c>
      <c r="B1392">
        <v>70</v>
      </c>
      <c r="C1392" t="s">
        <v>16</v>
      </c>
      <c r="D1392" t="s">
        <v>20</v>
      </c>
      <c r="E1392" t="s">
        <v>39</v>
      </c>
      <c r="F1392" s="1">
        <v>146.30000000000001</v>
      </c>
      <c r="G1392" t="s">
        <v>31</v>
      </c>
      <c r="H1392" t="s">
        <v>15</v>
      </c>
      <c r="I1392" s="2">
        <v>3.3</v>
      </c>
      <c r="J1392" s="4">
        <v>20</v>
      </c>
      <c r="K1392" s="3">
        <v>5</v>
      </c>
      <c r="L1392" s="1">
        <f t="shared" si="63"/>
        <v>117.04000000000002</v>
      </c>
      <c r="M1392" t="str" cm="1">
        <f t="array" ref="M1392">_xlfn.IFS(B1392&lt;18,"Under 18",B1392 &lt;=25,"18-25",B1392&lt;=35,"26-35",B1392&lt;=45,"36-45",B1392&lt;=60,"46-60",TRUE,"60+")</f>
        <v>60+</v>
      </c>
      <c r="N1392" t="str">
        <f t="shared" si="64"/>
        <v>Discounted</v>
      </c>
      <c r="O1392" t="str">
        <f t="shared" si="65"/>
        <v>Returning</v>
      </c>
    </row>
    <row r="1393" spans="1:15" x14ac:dyDescent="0.25">
      <c r="A1393">
        <v>1392</v>
      </c>
      <c r="B1393">
        <v>57</v>
      </c>
      <c r="C1393" t="s">
        <v>16</v>
      </c>
      <c r="D1393" t="s">
        <v>33</v>
      </c>
      <c r="E1393" t="s">
        <v>40</v>
      </c>
      <c r="F1393" s="1">
        <v>188.81</v>
      </c>
      <c r="G1393" t="s">
        <v>19</v>
      </c>
      <c r="H1393" t="s">
        <v>15</v>
      </c>
      <c r="I1393" s="2">
        <v>4.0999999999999996</v>
      </c>
      <c r="J1393" s="4">
        <v>11</v>
      </c>
      <c r="K1393" s="3">
        <v>3</v>
      </c>
      <c r="L1393" s="1">
        <f t="shared" si="63"/>
        <v>168.04089999999999</v>
      </c>
      <c r="M1393" t="str" cm="1">
        <f t="array" ref="M1393">_xlfn.IFS(B1393&lt;18,"Under 18",B1393 &lt;=25,"18-25",B1393&lt;=35,"26-35",B1393&lt;=45,"36-45",B1393&lt;=60,"46-60",TRUE,"60+")</f>
        <v>46-60</v>
      </c>
      <c r="N1393" t="str">
        <f t="shared" si="64"/>
        <v>Discounted</v>
      </c>
      <c r="O1393" t="str">
        <f t="shared" si="65"/>
        <v>Returning</v>
      </c>
    </row>
    <row r="1394" spans="1:15" x14ac:dyDescent="0.25">
      <c r="A1394">
        <v>1393</v>
      </c>
      <c r="B1394">
        <v>24</v>
      </c>
      <c r="C1394" t="s">
        <v>16</v>
      </c>
      <c r="D1394" t="s">
        <v>27</v>
      </c>
      <c r="E1394" t="s">
        <v>32</v>
      </c>
      <c r="F1394" s="1">
        <v>973.64</v>
      </c>
      <c r="G1394" t="s">
        <v>14</v>
      </c>
      <c r="H1394" t="s">
        <v>15</v>
      </c>
      <c r="I1394" s="2">
        <v>4.3</v>
      </c>
      <c r="J1394" s="4">
        <v>16</v>
      </c>
      <c r="K1394" s="3">
        <v>3</v>
      </c>
      <c r="L1394" s="1">
        <f t="shared" si="63"/>
        <v>817.85759999999993</v>
      </c>
      <c r="M1394" t="str" cm="1">
        <f t="array" ref="M1394">_xlfn.IFS(B1394&lt;18,"Under 18",B1394 &lt;=25,"18-25",B1394&lt;=35,"26-35",B1394&lt;=45,"36-45",B1394&lt;=60,"46-60",TRUE,"60+")</f>
        <v>18-25</v>
      </c>
      <c r="N1394" t="str">
        <f t="shared" si="64"/>
        <v>Discounted</v>
      </c>
      <c r="O1394" t="str">
        <f t="shared" si="65"/>
        <v>Returning</v>
      </c>
    </row>
    <row r="1395" spans="1:15" x14ac:dyDescent="0.25">
      <c r="A1395">
        <v>1394</v>
      </c>
      <c r="B1395">
        <v>61</v>
      </c>
      <c r="C1395" t="s">
        <v>16</v>
      </c>
      <c r="D1395" t="s">
        <v>27</v>
      </c>
      <c r="E1395" t="s">
        <v>28</v>
      </c>
      <c r="F1395" s="1">
        <v>1496.01</v>
      </c>
      <c r="G1395" t="s">
        <v>24</v>
      </c>
      <c r="H1395" t="s">
        <v>15</v>
      </c>
      <c r="I1395" s="2">
        <v>4</v>
      </c>
      <c r="J1395" s="4">
        <v>13</v>
      </c>
      <c r="K1395" s="3">
        <v>4</v>
      </c>
      <c r="L1395" s="1">
        <f t="shared" si="63"/>
        <v>1301.5287000000001</v>
      </c>
      <c r="M1395" t="str" cm="1">
        <f t="array" ref="M1395">_xlfn.IFS(B1395&lt;18,"Under 18",B1395 &lt;=25,"18-25",B1395&lt;=35,"26-35",B1395&lt;=45,"36-45",B1395&lt;=60,"46-60",TRUE,"60+")</f>
        <v>60+</v>
      </c>
      <c r="N1395" t="str">
        <f t="shared" si="64"/>
        <v>Discounted</v>
      </c>
      <c r="O1395" t="str">
        <f t="shared" si="65"/>
        <v>Returning</v>
      </c>
    </row>
    <row r="1396" spans="1:15" x14ac:dyDescent="0.25">
      <c r="A1396">
        <v>1395</v>
      </c>
      <c r="B1396">
        <v>56</v>
      </c>
      <c r="C1396" t="s">
        <v>11</v>
      </c>
      <c r="D1396" t="s">
        <v>33</v>
      </c>
      <c r="E1396" t="s">
        <v>34</v>
      </c>
      <c r="F1396" s="1">
        <v>228.28</v>
      </c>
      <c r="G1396" t="s">
        <v>31</v>
      </c>
      <c r="H1396" t="s">
        <v>15</v>
      </c>
      <c r="I1396" s="2">
        <v>4.0999999999999996</v>
      </c>
      <c r="J1396" s="4">
        <v>6</v>
      </c>
      <c r="K1396" s="3">
        <v>3</v>
      </c>
      <c r="L1396" s="1">
        <f t="shared" si="63"/>
        <v>214.58319999999998</v>
      </c>
      <c r="M1396" t="str" cm="1">
        <f t="array" ref="M1396">_xlfn.IFS(B1396&lt;18,"Under 18",B1396 &lt;=25,"18-25",B1396&lt;=35,"26-35",B1396&lt;=45,"36-45",B1396&lt;=60,"46-60",TRUE,"60+")</f>
        <v>46-60</v>
      </c>
      <c r="N1396" t="str">
        <f t="shared" si="64"/>
        <v>Discounted</v>
      </c>
      <c r="O1396" t="str">
        <f t="shared" si="65"/>
        <v>Returning</v>
      </c>
    </row>
    <row r="1397" spans="1:15" x14ac:dyDescent="0.25">
      <c r="A1397">
        <v>1396</v>
      </c>
      <c r="B1397">
        <v>40</v>
      </c>
      <c r="C1397" t="s">
        <v>11</v>
      </c>
      <c r="D1397" t="s">
        <v>12</v>
      </c>
      <c r="E1397" t="s">
        <v>50</v>
      </c>
      <c r="F1397" s="1">
        <v>119.97</v>
      </c>
      <c r="G1397" t="s">
        <v>31</v>
      </c>
      <c r="H1397" t="s">
        <v>15</v>
      </c>
      <c r="I1397" s="2">
        <v>4</v>
      </c>
      <c r="J1397" s="4">
        <v>13</v>
      </c>
      <c r="K1397" s="3">
        <v>4</v>
      </c>
      <c r="L1397" s="1">
        <f t="shared" si="63"/>
        <v>104.37389999999999</v>
      </c>
      <c r="M1397" t="str" cm="1">
        <f t="array" ref="M1397">_xlfn.IFS(B1397&lt;18,"Under 18",B1397 &lt;=25,"18-25",B1397&lt;=35,"26-35",B1397&lt;=45,"36-45",B1397&lt;=60,"46-60",TRUE,"60+")</f>
        <v>36-45</v>
      </c>
      <c r="N1397" t="str">
        <f t="shared" si="64"/>
        <v>Discounted</v>
      </c>
      <c r="O1397" t="str">
        <f t="shared" si="65"/>
        <v>Returning</v>
      </c>
    </row>
    <row r="1398" spans="1:15" x14ac:dyDescent="0.25">
      <c r="A1398">
        <v>1397</v>
      </c>
      <c r="B1398">
        <v>23</v>
      </c>
      <c r="C1398" t="s">
        <v>11</v>
      </c>
      <c r="D1398" t="s">
        <v>41</v>
      </c>
      <c r="E1398" t="s">
        <v>42</v>
      </c>
      <c r="F1398" s="1">
        <v>123.01</v>
      </c>
      <c r="G1398" t="s">
        <v>19</v>
      </c>
      <c r="H1398" t="s">
        <v>15</v>
      </c>
      <c r="I1398" s="2">
        <v>3.9</v>
      </c>
      <c r="J1398" s="4">
        <v>17</v>
      </c>
      <c r="K1398" s="3">
        <v>6</v>
      </c>
      <c r="L1398" s="1">
        <f t="shared" si="63"/>
        <v>102.09829999999999</v>
      </c>
      <c r="M1398" t="str" cm="1">
        <f t="array" ref="M1398">_xlfn.IFS(B1398&lt;18,"Under 18",B1398 &lt;=25,"18-25",B1398&lt;=35,"26-35",B1398&lt;=45,"36-45",B1398&lt;=60,"46-60",TRUE,"60+")</f>
        <v>18-25</v>
      </c>
      <c r="N1398" t="str">
        <f t="shared" si="64"/>
        <v>Discounted</v>
      </c>
      <c r="O1398" t="str">
        <f t="shared" si="65"/>
        <v>Returning</v>
      </c>
    </row>
    <row r="1399" spans="1:15" x14ac:dyDescent="0.25">
      <c r="A1399">
        <v>1398</v>
      </c>
      <c r="B1399">
        <v>43</v>
      </c>
      <c r="C1399" t="s">
        <v>11</v>
      </c>
      <c r="D1399" t="s">
        <v>12</v>
      </c>
      <c r="E1399" t="s">
        <v>13</v>
      </c>
      <c r="F1399" s="1">
        <v>162.25</v>
      </c>
      <c r="G1399" t="s">
        <v>19</v>
      </c>
      <c r="H1399" t="s">
        <v>15</v>
      </c>
      <c r="I1399" s="2">
        <v>4.2</v>
      </c>
      <c r="J1399" s="4">
        <v>6</v>
      </c>
      <c r="K1399" s="3">
        <v>3</v>
      </c>
      <c r="L1399" s="1">
        <f t="shared" si="63"/>
        <v>152.51499999999999</v>
      </c>
      <c r="M1399" t="str" cm="1">
        <f t="array" ref="M1399">_xlfn.IFS(B1399&lt;18,"Under 18",B1399 &lt;=25,"18-25",B1399&lt;=35,"26-35",B1399&lt;=45,"36-45",B1399&lt;=60,"46-60",TRUE,"60+")</f>
        <v>36-45</v>
      </c>
      <c r="N1399" t="str">
        <f t="shared" si="64"/>
        <v>Discounted</v>
      </c>
      <c r="O1399" t="str">
        <f t="shared" si="65"/>
        <v>Returning</v>
      </c>
    </row>
    <row r="1400" spans="1:15" x14ac:dyDescent="0.25">
      <c r="A1400">
        <v>1399</v>
      </c>
      <c r="B1400">
        <v>54</v>
      </c>
      <c r="C1400" t="s">
        <v>11</v>
      </c>
      <c r="D1400" t="s">
        <v>33</v>
      </c>
      <c r="E1400" t="s">
        <v>40</v>
      </c>
      <c r="F1400" s="1">
        <v>194.79</v>
      </c>
      <c r="G1400" t="s">
        <v>24</v>
      </c>
      <c r="H1400" t="s">
        <v>15</v>
      </c>
      <c r="I1400" s="2">
        <v>2.2000000000000002</v>
      </c>
      <c r="J1400" s="4">
        <v>16</v>
      </c>
      <c r="K1400" s="3">
        <v>8</v>
      </c>
      <c r="L1400" s="1">
        <f t="shared" si="63"/>
        <v>163.62359999999998</v>
      </c>
      <c r="M1400" t="str" cm="1">
        <f t="array" ref="M1400">_xlfn.IFS(B1400&lt;18,"Under 18",B1400 &lt;=25,"18-25",B1400&lt;=35,"26-35",B1400&lt;=45,"36-45",B1400&lt;=60,"46-60",TRUE,"60+")</f>
        <v>46-60</v>
      </c>
      <c r="N1400" t="str">
        <f t="shared" si="64"/>
        <v>Discounted</v>
      </c>
      <c r="O1400" t="str">
        <f t="shared" si="65"/>
        <v>Returning</v>
      </c>
    </row>
    <row r="1401" spans="1:15" x14ac:dyDescent="0.25">
      <c r="A1401">
        <v>1400</v>
      </c>
      <c r="B1401">
        <v>50</v>
      </c>
      <c r="C1401" t="s">
        <v>16</v>
      </c>
      <c r="D1401" t="s">
        <v>20</v>
      </c>
      <c r="E1401" t="s">
        <v>39</v>
      </c>
      <c r="F1401" s="1">
        <v>126.38</v>
      </c>
      <c r="G1401" t="s">
        <v>14</v>
      </c>
      <c r="H1401" t="s">
        <v>15</v>
      </c>
      <c r="I1401" s="2">
        <v>3.4</v>
      </c>
      <c r="J1401" s="4">
        <v>6</v>
      </c>
      <c r="K1401" s="3">
        <v>3</v>
      </c>
      <c r="L1401" s="1">
        <f t="shared" si="63"/>
        <v>118.79719999999999</v>
      </c>
      <c r="M1401" t="str" cm="1">
        <f t="array" ref="M1401">_xlfn.IFS(B1401&lt;18,"Under 18",B1401 &lt;=25,"18-25",B1401&lt;=35,"26-35",B1401&lt;=45,"36-45",B1401&lt;=60,"46-60",TRUE,"60+")</f>
        <v>46-60</v>
      </c>
      <c r="N1401" t="str">
        <f t="shared" si="64"/>
        <v>Discounted</v>
      </c>
      <c r="O1401" t="str">
        <f t="shared" si="65"/>
        <v>Returning</v>
      </c>
    </row>
    <row r="1402" spans="1:15" x14ac:dyDescent="0.25">
      <c r="A1402">
        <v>1401</v>
      </c>
      <c r="B1402">
        <v>67</v>
      </c>
      <c r="C1402" t="s">
        <v>11</v>
      </c>
      <c r="D1402" t="s">
        <v>33</v>
      </c>
      <c r="E1402" t="s">
        <v>38</v>
      </c>
      <c r="F1402" s="1">
        <v>246.6</v>
      </c>
      <c r="G1402" t="s">
        <v>19</v>
      </c>
      <c r="H1402" t="s">
        <v>15</v>
      </c>
      <c r="I1402" s="2">
        <v>4.8</v>
      </c>
      <c r="J1402" s="4">
        <v>15</v>
      </c>
      <c r="K1402" s="3">
        <v>5</v>
      </c>
      <c r="L1402" s="1">
        <f t="shared" si="63"/>
        <v>209.60999999999999</v>
      </c>
      <c r="M1402" t="str" cm="1">
        <f t="array" ref="M1402">_xlfn.IFS(B1402&lt;18,"Under 18",B1402 &lt;=25,"18-25",B1402&lt;=35,"26-35",B1402&lt;=45,"36-45",B1402&lt;=60,"46-60",TRUE,"60+")</f>
        <v>60+</v>
      </c>
      <c r="N1402" t="str">
        <f t="shared" si="64"/>
        <v>Discounted</v>
      </c>
      <c r="O1402" t="str">
        <f t="shared" si="65"/>
        <v>Returning</v>
      </c>
    </row>
    <row r="1403" spans="1:15" x14ac:dyDescent="0.25">
      <c r="A1403">
        <v>1402</v>
      </c>
      <c r="B1403">
        <v>59</v>
      </c>
      <c r="C1403" t="s">
        <v>16</v>
      </c>
      <c r="D1403" t="s">
        <v>17</v>
      </c>
      <c r="E1403" t="s">
        <v>18</v>
      </c>
      <c r="F1403" s="1">
        <v>116.03</v>
      </c>
      <c r="G1403" t="s">
        <v>19</v>
      </c>
      <c r="H1403" t="s">
        <v>15</v>
      </c>
      <c r="I1403" s="2">
        <v>2.6</v>
      </c>
      <c r="J1403" s="4">
        <v>7</v>
      </c>
      <c r="K1403" s="3">
        <v>1</v>
      </c>
      <c r="L1403" s="1">
        <f t="shared" si="63"/>
        <v>107.9079</v>
      </c>
      <c r="M1403" t="str" cm="1">
        <f t="array" ref="M1403">_xlfn.IFS(B1403&lt;18,"Under 18",B1403 &lt;=25,"18-25",B1403&lt;=35,"26-35",B1403&lt;=45,"36-45",B1403&lt;=60,"46-60",TRUE,"60+")</f>
        <v>46-60</v>
      </c>
      <c r="N1403" t="str">
        <f t="shared" si="64"/>
        <v>Discounted</v>
      </c>
      <c r="O1403" t="str">
        <f t="shared" si="65"/>
        <v>Returning</v>
      </c>
    </row>
    <row r="1404" spans="1:15" x14ac:dyDescent="0.25">
      <c r="A1404">
        <v>1403</v>
      </c>
      <c r="B1404">
        <v>21</v>
      </c>
      <c r="C1404" t="s">
        <v>11</v>
      </c>
      <c r="D1404" t="s">
        <v>12</v>
      </c>
      <c r="E1404" t="s">
        <v>56</v>
      </c>
      <c r="F1404" s="1">
        <v>157.32</v>
      </c>
      <c r="G1404" t="s">
        <v>24</v>
      </c>
      <c r="H1404" t="s">
        <v>15</v>
      </c>
      <c r="I1404" s="2">
        <v>3.1</v>
      </c>
      <c r="J1404" s="4">
        <v>18</v>
      </c>
      <c r="K1404" s="3">
        <v>4</v>
      </c>
      <c r="L1404" s="1">
        <f t="shared" si="63"/>
        <v>129.00239999999999</v>
      </c>
      <c r="M1404" t="str" cm="1">
        <f t="array" ref="M1404">_xlfn.IFS(B1404&lt;18,"Under 18",B1404 &lt;=25,"18-25",B1404&lt;=35,"26-35",B1404&lt;=45,"36-45",B1404&lt;=60,"46-60",TRUE,"60+")</f>
        <v>18-25</v>
      </c>
      <c r="N1404" t="str">
        <f t="shared" si="64"/>
        <v>Discounted</v>
      </c>
      <c r="O1404" t="str">
        <f t="shared" si="65"/>
        <v>Returning</v>
      </c>
    </row>
    <row r="1405" spans="1:15" x14ac:dyDescent="0.25">
      <c r="A1405">
        <v>1404</v>
      </c>
      <c r="B1405">
        <v>26</v>
      </c>
      <c r="C1405" t="s">
        <v>11</v>
      </c>
      <c r="D1405" t="s">
        <v>29</v>
      </c>
      <c r="E1405" t="s">
        <v>51</v>
      </c>
      <c r="F1405" s="1">
        <v>96.17</v>
      </c>
      <c r="G1405" t="s">
        <v>31</v>
      </c>
      <c r="H1405" t="s">
        <v>37</v>
      </c>
      <c r="I1405" s="2">
        <v>3.5</v>
      </c>
      <c r="J1405" s="4">
        <v>15</v>
      </c>
      <c r="K1405" s="3">
        <v>5</v>
      </c>
      <c r="L1405" s="1">
        <f t="shared" si="63"/>
        <v>81.744500000000002</v>
      </c>
      <c r="M1405" t="str" cm="1">
        <f t="array" ref="M1405">_xlfn.IFS(B1405&lt;18,"Under 18",B1405 &lt;=25,"18-25",B1405&lt;=35,"26-35",B1405&lt;=45,"36-45",B1405&lt;=60,"46-60",TRUE,"60+")</f>
        <v>26-35</v>
      </c>
      <c r="N1405" t="str">
        <f t="shared" si="64"/>
        <v>Discounted</v>
      </c>
      <c r="O1405" t="str">
        <f t="shared" si="65"/>
        <v>Returning</v>
      </c>
    </row>
    <row r="1406" spans="1:15" x14ac:dyDescent="0.25">
      <c r="A1406">
        <v>1405</v>
      </c>
      <c r="B1406">
        <v>21</v>
      </c>
      <c r="C1406" t="s">
        <v>11</v>
      </c>
      <c r="D1406" t="s">
        <v>33</v>
      </c>
      <c r="E1406" t="s">
        <v>40</v>
      </c>
      <c r="F1406" s="1">
        <v>103.99</v>
      </c>
      <c r="G1406" t="s">
        <v>19</v>
      </c>
      <c r="H1406" t="s">
        <v>15</v>
      </c>
      <c r="I1406" s="2">
        <v>4.3</v>
      </c>
      <c r="J1406" s="4">
        <v>11</v>
      </c>
      <c r="K1406" s="3">
        <v>3</v>
      </c>
      <c r="L1406" s="1">
        <f t="shared" si="63"/>
        <v>92.551099999999991</v>
      </c>
      <c r="M1406" t="str" cm="1">
        <f t="array" ref="M1406">_xlfn.IFS(B1406&lt;18,"Under 18",B1406 &lt;=25,"18-25",B1406&lt;=35,"26-35",B1406&lt;=45,"36-45",B1406&lt;=60,"46-60",TRUE,"60+")</f>
        <v>18-25</v>
      </c>
      <c r="N1406" t="str">
        <f t="shared" si="64"/>
        <v>Discounted</v>
      </c>
      <c r="O1406" t="str">
        <f t="shared" si="65"/>
        <v>Returning</v>
      </c>
    </row>
    <row r="1407" spans="1:15" x14ac:dyDescent="0.25">
      <c r="A1407">
        <v>1406</v>
      </c>
      <c r="B1407">
        <v>57</v>
      </c>
      <c r="C1407" t="s">
        <v>16</v>
      </c>
      <c r="D1407" t="s">
        <v>27</v>
      </c>
      <c r="E1407" t="s">
        <v>32</v>
      </c>
      <c r="F1407" s="1">
        <v>629.5</v>
      </c>
      <c r="G1407" t="s">
        <v>19</v>
      </c>
      <c r="H1407" t="s">
        <v>15</v>
      </c>
      <c r="I1407" s="2">
        <v>3.7</v>
      </c>
      <c r="J1407" s="4">
        <v>15</v>
      </c>
      <c r="K1407" s="3">
        <v>5</v>
      </c>
      <c r="L1407" s="1">
        <f t="shared" si="63"/>
        <v>535.07499999999993</v>
      </c>
      <c r="M1407" t="str" cm="1">
        <f t="array" ref="M1407">_xlfn.IFS(B1407&lt;18,"Under 18",B1407 &lt;=25,"18-25",B1407&lt;=35,"26-35",B1407&lt;=45,"36-45",B1407&lt;=60,"46-60",TRUE,"60+")</f>
        <v>46-60</v>
      </c>
      <c r="N1407" t="str">
        <f t="shared" si="64"/>
        <v>Discounted</v>
      </c>
      <c r="O1407" t="str">
        <f t="shared" si="65"/>
        <v>Returning</v>
      </c>
    </row>
    <row r="1408" spans="1:15" x14ac:dyDescent="0.25">
      <c r="A1408">
        <v>1407</v>
      </c>
      <c r="B1408">
        <v>23</v>
      </c>
      <c r="C1408" t="s">
        <v>16</v>
      </c>
      <c r="D1408" t="s">
        <v>27</v>
      </c>
      <c r="E1408" t="s">
        <v>32</v>
      </c>
      <c r="F1408" s="1">
        <v>1444.5</v>
      </c>
      <c r="G1408" t="s">
        <v>19</v>
      </c>
      <c r="H1408" t="s">
        <v>15</v>
      </c>
      <c r="I1408" s="2">
        <v>3.2</v>
      </c>
      <c r="J1408" s="4">
        <v>14</v>
      </c>
      <c r="K1408" s="3">
        <v>2</v>
      </c>
      <c r="L1408" s="1">
        <f t="shared" si="63"/>
        <v>1242.27</v>
      </c>
      <c r="M1408" t="str" cm="1">
        <f t="array" ref="M1408">_xlfn.IFS(B1408&lt;18,"Under 18",B1408 &lt;=25,"18-25",B1408&lt;=35,"26-35",B1408&lt;=45,"36-45",B1408&lt;=60,"46-60",TRUE,"60+")</f>
        <v>18-25</v>
      </c>
      <c r="N1408" t="str">
        <f t="shared" si="64"/>
        <v>Discounted</v>
      </c>
      <c r="O1408" t="str">
        <f t="shared" si="65"/>
        <v>Returning</v>
      </c>
    </row>
    <row r="1409" spans="1:15" x14ac:dyDescent="0.25">
      <c r="A1409">
        <v>1408</v>
      </c>
      <c r="B1409">
        <v>57</v>
      </c>
      <c r="C1409" t="s">
        <v>16</v>
      </c>
      <c r="D1409" t="s">
        <v>17</v>
      </c>
      <c r="E1409" t="s">
        <v>48</v>
      </c>
      <c r="F1409" s="1">
        <v>36.46</v>
      </c>
      <c r="G1409" t="s">
        <v>31</v>
      </c>
      <c r="H1409" t="s">
        <v>15</v>
      </c>
      <c r="I1409" s="2">
        <v>2.6</v>
      </c>
      <c r="J1409" s="4">
        <v>4</v>
      </c>
      <c r="K1409" s="3">
        <v>2</v>
      </c>
      <c r="L1409" s="1">
        <f t="shared" si="63"/>
        <v>35.001599999999996</v>
      </c>
      <c r="M1409" t="str" cm="1">
        <f t="array" ref="M1409">_xlfn.IFS(B1409&lt;18,"Under 18",B1409 &lt;=25,"18-25",B1409&lt;=35,"26-35",B1409&lt;=45,"36-45",B1409&lt;=60,"46-60",TRUE,"60+")</f>
        <v>46-60</v>
      </c>
      <c r="N1409" t="str">
        <f t="shared" si="64"/>
        <v>Discounted</v>
      </c>
      <c r="O1409" t="str">
        <f t="shared" si="65"/>
        <v>Returning</v>
      </c>
    </row>
    <row r="1410" spans="1:15" x14ac:dyDescent="0.25">
      <c r="A1410">
        <v>1409</v>
      </c>
      <c r="B1410">
        <v>31</v>
      </c>
      <c r="C1410" t="s">
        <v>11</v>
      </c>
      <c r="D1410" t="s">
        <v>29</v>
      </c>
      <c r="E1410" t="s">
        <v>30</v>
      </c>
      <c r="F1410" s="1">
        <v>80.36</v>
      </c>
      <c r="G1410" t="s">
        <v>31</v>
      </c>
      <c r="H1410" t="s">
        <v>37</v>
      </c>
      <c r="I1410" s="2">
        <v>4.5</v>
      </c>
      <c r="J1410" s="4">
        <v>17</v>
      </c>
      <c r="K1410" s="3">
        <v>6</v>
      </c>
      <c r="L1410" s="1">
        <f t="shared" si="63"/>
        <v>66.698799999999991</v>
      </c>
      <c r="M1410" t="str" cm="1">
        <f t="array" ref="M1410">_xlfn.IFS(B1410&lt;18,"Under 18",B1410 &lt;=25,"18-25",B1410&lt;=35,"26-35",B1410&lt;=45,"36-45",B1410&lt;=60,"46-60",TRUE,"60+")</f>
        <v>26-35</v>
      </c>
      <c r="N1410" t="str">
        <f t="shared" si="64"/>
        <v>Discounted</v>
      </c>
      <c r="O1410" t="str">
        <f t="shared" si="65"/>
        <v>Returning</v>
      </c>
    </row>
    <row r="1411" spans="1:15" x14ac:dyDescent="0.25">
      <c r="A1411">
        <v>1410</v>
      </c>
      <c r="B1411">
        <v>57</v>
      </c>
      <c r="C1411" t="s">
        <v>16</v>
      </c>
      <c r="D1411" t="s">
        <v>27</v>
      </c>
      <c r="E1411" t="s">
        <v>53</v>
      </c>
      <c r="F1411" s="1">
        <v>2547.41</v>
      </c>
      <c r="G1411" t="s">
        <v>19</v>
      </c>
      <c r="H1411" t="s">
        <v>15</v>
      </c>
      <c r="I1411" s="2">
        <v>3.7</v>
      </c>
      <c r="J1411" s="4">
        <v>16</v>
      </c>
      <c r="K1411" s="3">
        <v>3</v>
      </c>
      <c r="L1411" s="1">
        <f t="shared" ref="L1411:L1474" si="66">F1411 * (1 - J1411 / 100)</f>
        <v>2139.8244</v>
      </c>
      <c r="M1411" t="str" cm="1">
        <f t="array" ref="M1411">_xlfn.IFS(B1411&lt;18,"Under 18",B1411 &lt;=25,"18-25",B1411&lt;=35,"26-35",B1411&lt;=45,"36-45",B1411&lt;=60,"46-60",TRUE,"60+")</f>
        <v>46-60</v>
      </c>
      <c r="N1411" t="str">
        <f t="shared" ref="N1411:N1474" si="67">IF(J1411&gt;0,"Discounted","No Discount")</f>
        <v>Discounted</v>
      </c>
      <c r="O1411" t="str">
        <f t="shared" ref="O1411:O1474" si="68">IF(K1411&gt;0,"Returning","New")</f>
        <v>Returning</v>
      </c>
    </row>
    <row r="1412" spans="1:15" x14ac:dyDescent="0.25">
      <c r="A1412">
        <v>1411</v>
      </c>
      <c r="B1412">
        <v>55</v>
      </c>
      <c r="C1412" t="s">
        <v>11</v>
      </c>
      <c r="D1412" t="s">
        <v>33</v>
      </c>
      <c r="E1412" t="s">
        <v>40</v>
      </c>
      <c r="F1412" s="1">
        <v>75.06</v>
      </c>
      <c r="G1412" t="s">
        <v>31</v>
      </c>
      <c r="H1412" t="s">
        <v>15</v>
      </c>
      <c r="I1412" s="2">
        <v>3.9</v>
      </c>
      <c r="J1412" s="4">
        <v>12</v>
      </c>
      <c r="K1412" s="3">
        <v>1</v>
      </c>
      <c r="L1412" s="1">
        <f t="shared" si="66"/>
        <v>66.052800000000005</v>
      </c>
      <c r="M1412" t="str" cm="1">
        <f t="array" ref="M1412">_xlfn.IFS(B1412&lt;18,"Under 18",B1412 &lt;=25,"18-25",B1412&lt;=35,"26-35",B1412&lt;=45,"36-45",B1412&lt;=60,"46-60",TRUE,"60+")</f>
        <v>46-60</v>
      </c>
      <c r="N1412" t="str">
        <f t="shared" si="67"/>
        <v>Discounted</v>
      </c>
      <c r="O1412" t="str">
        <f t="shared" si="68"/>
        <v>Returning</v>
      </c>
    </row>
    <row r="1413" spans="1:15" x14ac:dyDescent="0.25">
      <c r="A1413">
        <v>1412</v>
      </c>
      <c r="B1413">
        <v>47</v>
      </c>
      <c r="C1413" t="s">
        <v>11</v>
      </c>
      <c r="D1413" t="s">
        <v>29</v>
      </c>
      <c r="E1413" t="s">
        <v>55</v>
      </c>
      <c r="F1413" s="1">
        <v>42.38</v>
      </c>
      <c r="G1413" t="s">
        <v>31</v>
      </c>
      <c r="H1413" t="s">
        <v>37</v>
      </c>
      <c r="I1413" s="2">
        <v>3.4</v>
      </c>
      <c r="J1413" s="4">
        <v>17</v>
      </c>
      <c r="K1413" s="3">
        <v>6</v>
      </c>
      <c r="L1413" s="1">
        <f t="shared" si="66"/>
        <v>35.175400000000003</v>
      </c>
      <c r="M1413" t="str" cm="1">
        <f t="array" ref="M1413">_xlfn.IFS(B1413&lt;18,"Under 18",B1413 &lt;=25,"18-25",B1413&lt;=35,"26-35",B1413&lt;=45,"36-45",B1413&lt;=60,"46-60",TRUE,"60+")</f>
        <v>46-60</v>
      </c>
      <c r="N1413" t="str">
        <f t="shared" si="67"/>
        <v>Discounted</v>
      </c>
      <c r="O1413" t="str">
        <f t="shared" si="68"/>
        <v>Returning</v>
      </c>
    </row>
    <row r="1414" spans="1:15" x14ac:dyDescent="0.25">
      <c r="A1414">
        <v>1413</v>
      </c>
      <c r="B1414">
        <v>52</v>
      </c>
      <c r="C1414" t="s">
        <v>11</v>
      </c>
      <c r="D1414" t="s">
        <v>29</v>
      </c>
      <c r="E1414" t="s">
        <v>55</v>
      </c>
      <c r="F1414" s="1">
        <v>134.53</v>
      </c>
      <c r="G1414" t="s">
        <v>14</v>
      </c>
      <c r="H1414" t="s">
        <v>15</v>
      </c>
      <c r="I1414" s="2">
        <v>3.8</v>
      </c>
      <c r="J1414" s="4">
        <v>26</v>
      </c>
      <c r="K1414" s="3">
        <v>8</v>
      </c>
      <c r="L1414" s="1">
        <f t="shared" si="66"/>
        <v>99.552199999999999</v>
      </c>
      <c r="M1414" t="str" cm="1">
        <f t="array" ref="M1414">_xlfn.IFS(B1414&lt;18,"Under 18",B1414 &lt;=25,"18-25",B1414&lt;=35,"26-35",B1414&lt;=45,"36-45",B1414&lt;=60,"46-60",TRUE,"60+")</f>
        <v>46-60</v>
      </c>
      <c r="N1414" t="str">
        <f t="shared" si="67"/>
        <v>Discounted</v>
      </c>
      <c r="O1414" t="str">
        <f t="shared" si="68"/>
        <v>Returning</v>
      </c>
    </row>
    <row r="1415" spans="1:15" x14ac:dyDescent="0.25">
      <c r="A1415">
        <v>1414</v>
      </c>
      <c r="B1415">
        <v>23</v>
      </c>
      <c r="C1415" t="s">
        <v>16</v>
      </c>
      <c r="D1415" t="s">
        <v>33</v>
      </c>
      <c r="E1415" t="s">
        <v>34</v>
      </c>
      <c r="F1415" s="1">
        <v>214.52</v>
      </c>
      <c r="G1415" t="s">
        <v>31</v>
      </c>
      <c r="H1415" t="s">
        <v>15</v>
      </c>
      <c r="I1415" s="2">
        <v>2.6</v>
      </c>
      <c r="J1415" s="4">
        <v>4</v>
      </c>
      <c r="K1415" s="3">
        <v>2</v>
      </c>
      <c r="L1415" s="1">
        <f t="shared" si="66"/>
        <v>205.9392</v>
      </c>
      <c r="M1415" t="str" cm="1">
        <f t="array" ref="M1415">_xlfn.IFS(B1415&lt;18,"Under 18",B1415 &lt;=25,"18-25",B1415&lt;=35,"26-35",B1415&lt;=45,"36-45",B1415&lt;=60,"46-60",TRUE,"60+")</f>
        <v>18-25</v>
      </c>
      <c r="N1415" t="str">
        <f t="shared" si="67"/>
        <v>Discounted</v>
      </c>
      <c r="O1415" t="str">
        <f t="shared" si="68"/>
        <v>Returning</v>
      </c>
    </row>
    <row r="1416" spans="1:15" x14ac:dyDescent="0.25">
      <c r="A1416">
        <v>1415</v>
      </c>
      <c r="B1416">
        <v>24</v>
      </c>
      <c r="C1416" t="s">
        <v>11</v>
      </c>
      <c r="D1416" t="s">
        <v>29</v>
      </c>
      <c r="E1416" t="s">
        <v>55</v>
      </c>
      <c r="F1416" s="1">
        <v>42.87</v>
      </c>
      <c r="G1416" t="s">
        <v>19</v>
      </c>
      <c r="H1416" t="s">
        <v>15</v>
      </c>
      <c r="I1416" s="2">
        <v>3.6</v>
      </c>
      <c r="J1416" s="4">
        <v>15</v>
      </c>
      <c r="K1416" s="3">
        <v>5</v>
      </c>
      <c r="L1416" s="1">
        <f t="shared" si="66"/>
        <v>36.439499999999995</v>
      </c>
      <c r="M1416" t="str" cm="1">
        <f t="array" ref="M1416">_xlfn.IFS(B1416&lt;18,"Under 18",B1416 &lt;=25,"18-25",B1416&lt;=35,"26-35",B1416&lt;=45,"36-45",B1416&lt;=60,"46-60",TRUE,"60+")</f>
        <v>18-25</v>
      </c>
      <c r="N1416" t="str">
        <f t="shared" si="67"/>
        <v>Discounted</v>
      </c>
      <c r="O1416" t="str">
        <f t="shared" si="68"/>
        <v>Returning</v>
      </c>
    </row>
    <row r="1417" spans="1:15" x14ac:dyDescent="0.25">
      <c r="A1417">
        <v>1416</v>
      </c>
      <c r="B1417">
        <v>22</v>
      </c>
      <c r="C1417" t="s">
        <v>16</v>
      </c>
      <c r="D1417" t="s">
        <v>20</v>
      </c>
      <c r="E1417" t="s">
        <v>21</v>
      </c>
      <c r="F1417" s="1">
        <v>180.61</v>
      </c>
      <c r="G1417" t="s">
        <v>19</v>
      </c>
      <c r="H1417" t="s">
        <v>15</v>
      </c>
      <c r="I1417" s="2">
        <v>3</v>
      </c>
      <c r="J1417" s="4">
        <v>15</v>
      </c>
      <c r="K1417" s="3">
        <v>5</v>
      </c>
      <c r="L1417" s="1">
        <f t="shared" si="66"/>
        <v>153.51850000000002</v>
      </c>
      <c r="M1417" t="str" cm="1">
        <f t="array" ref="M1417">_xlfn.IFS(B1417&lt;18,"Under 18",B1417 &lt;=25,"18-25",B1417&lt;=35,"26-35",B1417&lt;=45,"36-45",B1417&lt;=60,"46-60",TRUE,"60+")</f>
        <v>18-25</v>
      </c>
      <c r="N1417" t="str">
        <f t="shared" si="67"/>
        <v>Discounted</v>
      </c>
      <c r="O1417" t="str">
        <f t="shared" si="68"/>
        <v>Returning</v>
      </c>
    </row>
    <row r="1418" spans="1:15" x14ac:dyDescent="0.25">
      <c r="A1418">
        <v>1417</v>
      </c>
      <c r="B1418">
        <v>52</v>
      </c>
      <c r="C1418" t="s">
        <v>16</v>
      </c>
      <c r="D1418" t="s">
        <v>33</v>
      </c>
      <c r="E1418" t="s">
        <v>38</v>
      </c>
      <c r="F1418" s="1">
        <v>161.19999999999999</v>
      </c>
      <c r="G1418" t="s">
        <v>24</v>
      </c>
      <c r="H1418" t="s">
        <v>15</v>
      </c>
      <c r="I1418" s="2">
        <v>3.1</v>
      </c>
      <c r="J1418" s="4">
        <v>4</v>
      </c>
      <c r="K1418" s="3">
        <v>2</v>
      </c>
      <c r="L1418" s="1">
        <f t="shared" si="66"/>
        <v>154.75199999999998</v>
      </c>
      <c r="M1418" t="str" cm="1">
        <f t="array" ref="M1418">_xlfn.IFS(B1418&lt;18,"Under 18",B1418 &lt;=25,"18-25",B1418&lt;=35,"26-35",B1418&lt;=45,"36-45",B1418&lt;=60,"46-60",TRUE,"60+")</f>
        <v>46-60</v>
      </c>
      <c r="N1418" t="str">
        <f t="shared" si="67"/>
        <v>Discounted</v>
      </c>
      <c r="O1418" t="str">
        <f t="shared" si="68"/>
        <v>Returning</v>
      </c>
    </row>
    <row r="1419" spans="1:15" x14ac:dyDescent="0.25">
      <c r="A1419">
        <v>1418</v>
      </c>
      <c r="B1419">
        <v>49</v>
      </c>
      <c r="C1419" t="s">
        <v>11</v>
      </c>
      <c r="D1419" t="s">
        <v>20</v>
      </c>
      <c r="E1419" t="s">
        <v>39</v>
      </c>
      <c r="F1419" s="1">
        <v>166.73</v>
      </c>
      <c r="G1419" t="s">
        <v>19</v>
      </c>
      <c r="H1419" t="s">
        <v>15</v>
      </c>
      <c r="I1419" s="2">
        <v>2.2999999999999998</v>
      </c>
      <c r="J1419" s="4">
        <v>15</v>
      </c>
      <c r="K1419" s="3">
        <v>5</v>
      </c>
      <c r="L1419" s="1">
        <f t="shared" si="66"/>
        <v>141.72049999999999</v>
      </c>
      <c r="M1419" t="str" cm="1">
        <f t="array" ref="M1419">_xlfn.IFS(B1419&lt;18,"Under 18",B1419 &lt;=25,"18-25",B1419&lt;=35,"26-35",B1419&lt;=45,"36-45",B1419&lt;=60,"46-60",TRUE,"60+")</f>
        <v>46-60</v>
      </c>
      <c r="N1419" t="str">
        <f t="shared" si="67"/>
        <v>Discounted</v>
      </c>
      <c r="O1419" t="str">
        <f t="shared" si="68"/>
        <v>Returning</v>
      </c>
    </row>
    <row r="1420" spans="1:15" x14ac:dyDescent="0.25">
      <c r="A1420">
        <v>1419</v>
      </c>
      <c r="B1420">
        <v>29</v>
      </c>
      <c r="C1420" t="s">
        <v>11</v>
      </c>
      <c r="D1420" t="s">
        <v>33</v>
      </c>
      <c r="E1420" t="s">
        <v>38</v>
      </c>
      <c r="F1420" s="1">
        <v>102.67</v>
      </c>
      <c r="G1420" t="s">
        <v>19</v>
      </c>
      <c r="H1420" t="s">
        <v>15</v>
      </c>
      <c r="I1420" s="2">
        <v>3</v>
      </c>
      <c r="J1420" s="4">
        <v>6</v>
      </c>
      <c r="K1420" s="3">
        <v>3</v>
      </c>
      <c r="L1420" s="1">
        <f t="shared" si="66"/>
        <v>96.509799999999998</v>
      </c>
      <c r="M1420" t="str" cm="1">
        <f t="array" ref="M1420">_xlfn.IFS(B1420&lt;18,"Under 18",B1420 &lt;=25,"18-25",B1420&lt;=35,"26-35",B1420&lt;=45,"36-45",B1420&lt;=60,"46-60",TRUE,"60+")</f>
        <v>26-35</v>
      </c>
      <c r="N1420" t="str">
        <f t="shared" si="67"/>
        <v>Discounted</v>
      </c>
      <c r="O1420" t="str">
        <f t="shared" si="68"/>
        <v>Returning</v>
      </c>
    </row>
    <row r="1421" spans="1:15" x14ac:dyDescent="0.25">
      <c r="A1421">
        <v>1420</v>
      </c>
      <c r="B1421">
        <v>54</v>
      </c>
      <c r="C1421" t="s">
        <v>16</v>
      </c>
      <c r="D1421" t="s">
        <v>27</v>
      </c>
      <c r="E1421" t="s">
        <v>49</v>
      </c>
      <c r="F1421" s="1">
        <v>999.76</v>
      </c>
      <c r="G1421" t="s">
        <v>24</v>
      </c>
      <c r="H1421" t="s">
        <v>15</v>
      </c>
      <c r="I1421" s="2">
        <v>4</v>
      </c>
      <c r="J1421" s="4">
        <v>8</v>
      </c>
      <c r="K1421" s="3">
        <v>4</v>
      </c>
      <c r="L1421" s="1">
        <f t="shared" si="66"/>
        <v>919.77920000000006</v>
      </c>
      <c r="M1421" t="str" cm="1">
        <f t="array" ref="M1421">_xlfn.IFS(B1421&lt;18,"Under 18",B1421 &lt;=25,"18-25",B1421&lt;=35,"26-35",B1421&lt;=45,"36-45",B1421&lt;=60,"46-60",TRUE,"60+")</f>
        <v>46-60</v>
      </c>
      <c r="N1421" t="str">
        <f t="shared" si="67"/>
        <v>Discounted</v>
      </c>
      <c r="O1421" t="str">
        <f t="shared" si="68"/>
        <v>Returning</v>
      </c>
    </row>
    <row r="1422" spans="1:15" x14ac:dyDescent="0.25">
      <c r="A1422">
        <v>1421</v>
      </c>
      <c r="B1422">
        <v>31</v>
      </c>
      <c r="C1422" t="s">
        <v>16</v>
      </c>
      <c r="D1422" t="s">
        <v>20</v>
      </c>
      <c r="E1422" t="s">
        <v>21</v>
      </c>
      <c r="F1422" s="1">
        <v>112.39</v>
      </c>
      <c r="G1422" t="s">
        <v>19</v>
      </c>
      <c r="H1422" t="s">
        <v>15</v>
      </c>
      <c r="I1422" s="2">
        <v>4.7</v>
      </c>
      <c r="J1422" s="4">
        <v>26</v>
      </c>
      <c r="K1422" s="3">
        <v>8</v>
      </c>
      <c r="L1422" s="1">
        <f t="shared" si="66"/>
        <v>83.168599999999998</v>
      </c>
      <c r="M1422" t="str" cm="1">
        <f t="array" ref="M1422">_xlfn.IFS(B1422&lt;18,"Under 18",B1422 &lt;=25,"18-25",B1422&lt;=35,"26-35",B1422&lt;=45,"36-45",B1422&lt;=60,"46-60",TRUE,"60+")</f>
        <v>26-35</v>
      </c>
      <c r="N1422" t="str">
        <f t="shared" si="67"/>
        <v>Discounted</v>
      </c>
      <c r="O1422" t="str">
        <f t="shared" si="68"/>
        <v>Returning</v>
      </c>
    </row>
    <row r="1423" spans="1:15" x14ac:dyDescent="0.25">
      <c r="A1423">
        <v>1422</v>
      </c>
      <c r="B1423">
        <v>54</v>
      </c>
      <c r="C1423" t="s">
        <v>16</v>
      </c>
      <c r="D1423" t="s">
        <v>17</v>
      </c>
      <c r="E1423" t="s">
        <v>48</v>
      </c>
      <c r="F1423" s="1">
        <v>161.28</v>
      </c>
      <c r="G1423" t="s">
        <v>24</v>
      </c>
      <c r="H1423" t="s">
        <v>15</v>
      </c>
      <c r="I1423" s="2">
        <v>3.4</v>
      </c>
      <c r="J1423" s="4">
        <v>16</v>
      </c>
      <c r="K1423" s="3">
        <v>3</v>
      </c>
      <c r="L1423" s="1">
        <f t="shared" si="66"/>
        <v>135.4752</v>
      </c>
      <c r="M1423" t="str" cm="1">
        <f t="array" ref="M1423">_xlfn.IFS(B1423&lt;18,"Under 18",B1423 &lt;=25,"18-25",B1423&lt;=35,"26-35",B1423&lt;=45,"36-45",B1423&lt;=60,"46-60",TRUE,"60+")</f>
        <v>46-60</v>
      </c>
      <c r="N1423" t="str">
        <f t="shared" si="67"/>
        <v>Discounted</v>
      </c>
      <c r="O1423" t="str">
        <f t="shared" si="68"/>
        <v>Returning</v>
      </c>
    </row>
    <row r="1424" spans="1:15" x14ac:dyDescent="0.25">
      <c r="A1424">
        <v>1423</v>
      </c>
      <c r="B1424">
        <v>32</v>
      </c>
      <c r="C1424" t="s">
        <v>16</v>
      </c>
      <c r="D1424" t="s">
        <v>25</v>
      </c>
      <c r="E1424" t="s">
        <v>26</v>
      </c>
      <c r="F1424" s="1">
        <v>31.93</v>
      </c>
      <c r="G1424" t="s">
        <v>24</v>
      </c>
      <c r="H1424" t="s">
        <v>37</v>
      </c>
      <c r="I1424" s="2">
        <v>4.3</v>
      </c>
      <c r="J1424" s="4">
        <v>9</v>
      </c>
      <c r="K1424" s="3">
        <v>2</v>
      </c>
      <c r="L1424" s="1">
        <f t="shared" si="66"/>
        <v>29.0563</v>
      </c>
      <c r="M1424" t="str" cm="1">
        <f t="array" ref="M1424">_xlfn.IFS(B1424&lt;18,"Under 18",B1424 &lt;=25,"18-25",B1424&lt;=35,"26-35",B1424&lt;=45,"36-45",B1424&lt;=60,"46-60",TRUE,"60+")</f>
        <v>26-35</v>
      </c>
      <c r="N1424" t="str">
        <f t="shared" si="67"/>
        <v>Discounted</v>
      </c>
      <c r="O1424" t="str">
        <f t="shared" si="68"/>
        <v>Returning</v>
      </c>
    </row>
    <row r="1425" spans="1:15" x14ac:dyDescent="0.25">
      <c r="A1425">
        <v>1424</v>
      </c>
      <c r="B1425">
        <v>26</v>
      </c>
      <c r="C1425" t="s">
        <v>11</v>
      </c>
      <c r="D1425" t="s">
        <v>41</v>
      </c>
      <c r="E1425" t="s">
        <v>45</v>
      </c>
      <c r="F1425" s="1">
        <v>53</v>
      </c>
      <c r="G1425" t="s">
        <v>19</v>
      </c>
      <c r="H1425" t="s">
        <v>37</v>
      </c>
      <c r="I1425" s="2">
        <v>4.4000000000000004</v>
      </c>
      <c r="J1425" s="4">
        <v>12</v>
      </c>
      <c r="K1425" s="3">
        <v>6</v>
      </c>
      <c r="L1425" s="1">
        <f t="shared" si="66"/>
        <v>46.64</v>
      </c>
      <c r="M1425" t="str" cm="1">
        <f t="array" ref="M1425">_xlfn.IFS(B1425&lt;18,"Under 18",B1425 &lt;=25,"18-25",B1425&lt;=35,"26-35",B1425&lt;=45,"36-45",B1425&lt;=60,"46-60",TRUE,"60+")</f>
        <v>26-35</v>
      </c>
      <c r="N1425" t="str">
        <f t="shared" si="67"/>
        <v>Discounted</v>
      </c>
      <c r="O1425" t="str">
        <f t="shared" si="68"/>
        <v>Returning</v>
      </c>
    </row>
    <row r="1426" spans="1:15" x14ac:dyDescent="0.25">
      <c r="A1426">
        <v>1425</v>
      </c>
      <c r="B1426">
        <v>22</v>
      </c>
      <c r="C1426" t="s">
        <v>11</v>
      </c>
      <c r="D1426" t="s">
        <v>41</v>
      </c>
      <c r="E1426" t="s">
        <v>45</v>
      </c>
      <c r="F1426" s="1">
        <v>64.8</v>
      </c>
      <c r="G1426" t="s">
        <v>14</v>
      </c>
      <c r="H1426" t="s">
        <v>37</v>
      </c>
      <c r="I1426" s="2">
        <v>2.7</v>
      </c>
      <c r="J1426" s="4">
        <v>19</v>
      </c>
      <c r="K1426" s="3">
        <v>7</v>
      </c>
      <c r="L1426" s="1">
        <f t="shared" si="66"/>
        <v>52.488</v>
      </c>
      <c r="M1426" t="str" cm="1">
        <f t="array" ref="M1426">_xlfn.IFS(B1426&lt;18,"Under 18",B1426 &lt;=25,"18-25",B1426&lt;=35,"26-35",B1426&lt;=45,"36-45",B1426&lt;=60,"46-60",TRUE,"60+")</f>
        <v>18-25</v>
      </c>
      <c r="N1426" t="str">
        <f t="shared" si="67"/>
        <v>Discounted</v>
      </c>
      <c r="O1426" t="str">
        <f t="shared" si="68"/>
        <v>Returning</v>
      </c>
    </row>
    <row r="1427" spans="1:15" x14ac:dyDescent="0.25">
      <c r="A1427">
        <v>1426</v>
      </c>
      <c r="B1427">
        <v>61</v>
      </c>
      <c r="C1427" t="s">
        <v>11</v>
      </c>
      <c r="D1427" t="s">
        <v>22</v>
      </c>
      <c r="E1427" t="s">
        <v>52</v>
      </c>
      <c r="F1427" s="1">
        <v>74.16</v>
      </c>
      <c r="G1427" t="s">
        <v>31</v>
      </c>
      <c r="H1427" t="s">
        <v>37</v>
      </c>
      <c r="I1427" s="2">
        <v>4.8</v>
      </c>
      <c r="J1427" s="4">
        <v>18</v>
      </c>
      <c r="K1427" s="3">
        <v>4</v>
      </c>
      <c r="L1427" s="1">
        <f t="shared" si="66"/>
        <v>60.811199999999999</v>
      </c>
      <c r="M1427" t="str" cm="1">
        <f t="array" ref="M1427">_xlfn.IFS(B1427&lt;18,"Under 18",B1427 &lt;=25,"18-25",B1427&lt;=35,"26-35",B1427&lt;=45,"36-45",B1427&lt;=60,"46-60",TRUE,"60+")</f>
        <v>60+</v>
      </c>
      <c r="N1427" t="str">
        <f t="shared" si="67"/>
        <v>Discounted</v>
      </c>
      <c r="O1427" t="str">
        <f t="shared" si="68"/>
        <v>Returning</v>
      </c>
    </row>
    <row r="1428" spans="1:15" x14ac:dyDescent="0.25">
      <c r="A1428">
        <v>1427</v>
      </c>
      <c r="B1428">
        <v>67</v>
      </c>
      <c r="C1428" t="s">
        <v>16</v>
      </c>
      <c r="D1428" t="s">
        <v>20</v>
      </c>
      <c r="E1428" t="s">
        <v>39</v>
      </c>
      <c r="F1428" s="1">
        <v>238.74</v>
      </c>
      <c r="G1428" t="s">
        <v>24</v>
      </c>
      <c r="H1428" t="s">
        <v>15</v>
      </c>
      <c r="I1428" s="2">
        <v>3.4</v>
      </c>
      <c r="J1428" s="4">
        <v>26</v>
      </c>
      <c r="K1428" s="3">
        <v>8</v>
      </c>
      <c r="L1428" s="1">
        <f t="shared" si="66"/>
        <v>176.66759999999999</v>
      </c>
      <c r="M1428" t="str" cm="1">
        <f t="array" ref="M1428">_xlfn.IFS(B1428&lt;18,"Under 18",B1428 &lt;=25,"18-25",B1428&lt;=35,"26-35",B1428&lt;=45,"36-45",B1428&lt;=60,"46-60",TRUE,"60+")</f>
        <v>60+</v>
      </c>
      <c r="N1428" t="str">
        <f t="shared" si="67"/>
        <v>Discounted</v>
      </c>
      <c r="O1428" t="str">
        <f t="shared" si="68"/>
        <v>Returning</v>
      </c>
    </row>
    <row r="1429" spans="1:15" x14ac:dyDescent="0.25">
      <c r="A1429">
        <v>1428</v>
      </c>
      <c r="B1429">
        <v>28</v>
      </c>
      <c r="C1429" t="s">
        <v>16</v>
      </c>
      <c r="D1429" t="s">
        <v>17</v>
      </c>
      <c r="E1429" t="s">
        <v>48</v>
      </c>
      <c r="F1429" s="1">
        <v>30.21</v>
      </c>
      <c r="G1429" t="s">
        <v>24</v>
      </c>
      <c r="H1429" t="s">
        <v>15</v>
      </c>
      <c r="I1429" s="2">
        <v>3.7</v>
      </c>
      <c r="J1429" s="4">
        <v>14</v>
      </c>
      <c r="K1429" s="3">
        <v>2</v>
      </c>
      <c r="L1429" s="1">
        <f t="shared" si="66"/>
        <v>25.980599999999999</v>
      </c>
      <c r="M1429" t="str" cm="1">
        <f t="array" ref="M1429">_xlfn.IFS(B1429&lt;18,"Under 18",B1429 &lt;=25,"18-25",B1429&lt;=35,"26-35",B1429&lt;=45,"36-45",B1429&lt;=60,"46-60",TRUE,"60+")</f>
        <v>26-35</v>
      </c>
      <c r="N1429" t="str">
        <f t="shared" si="67"/>
        <v>Discounted</v>
      </c>
      <c r="O1429" t="str">
        <f t="shared" si="68"/>
        <v>Returning</v>
      </c>
    </row>
    <row r="1430" spans="1:15" x14ac:dyDescent="0.25">
      <c r="A1430">
        <v>1429</v>
      </c>
      <c r="B1430">
        <v>20</v>
      </c>
      <c r="C1430" t="s">
        <v>11</v>
      </c>
      <c r="D1430" t="s">
        <v>33</v>
      </c>
      <c r="E1430" t="s">
        <v>34</v>
      </c>
      <c r="F1430" s="1">
        <v>200.62</v>
      </c>
      <c r="G1430" t="s">
        <v>14</v>
      </c>
      <c r="H1430" t="s">
        <v>15</v>
      </c>
      <c r="I1430" s="2">
        <v>4.5999999999999996</v>
      </c>
      <c r="J1430" s="4">
        <v>12</v>
      </c>
      <c r="K1430" s="3">
        <v>6</v>
      </c>
      <c r="L1430" s="1">
        <f t="shared" si="66"/>
        <v>176.54560000000001</v>
      </c>
      <c r="M1430" t="str" cm="1">
        <f t="array" ref="M1430">_xlfn.IFS(B1430&lt;18,"Under 18",B1430 &lt;=25,"18-25",B1430&lt;=35,"26-35",B1430&lt;=45,"36-45",B1430&lt;=60,"46-60",TRUE,"60+")</f>
        <v>18-25</v>
      </c>
      <c r="N1430" t="str">
        <f t="shared" si="67"/>
        <v>Discounted</v>
      </c>
      <c r="O1430" t="str">
        <f t="shared" si="68"/>
        <v>Returning</v>
      </c>
    </row>
    <row r="1431" spans="1:15" x14ac:dyDescent="0.25">
      <c r="A1431">
        <v>1430</v>
      </c>
      <c r="B1431">
        <v>25</v>
      </c>
      <c r="C1431" t="s">
        <v>16</v>
      </c>
      <c r="D1431" t="s">
        <v>20</v>
      </c>
      <c r="E1431" t="s">
        <v>39</v>
      </c>
      <c r="F1431" s="1">
        <v>238.55</v>
      </c>
      <c r="G1431" t="s">
        <v>19</v>
      </c>
      <c r="H1431" t="s">
        <v>15</v>
      </c>
      <c r="I1431" s="2">
        <v>4</v>
      </c>
      <c r="J1431" s="4">
        <v>12</v>
      </c>
      <c r="K1431" s="3">
        <v>6</v>
      </c>
      <c r="L1431" s="1">
        <f t="shared" si="66"/>
        <v>209.92400000000001</v>
      </c>
      <c r="M1431" t="str" cm="1">
        <f t="array" ref="M1431">_xlfn.IFS(B1431&lt;18,"Under 18",B1431 &lt;=25,"18-25",B1431&lt;=35,"26-35",B1431&lt;=45,"36-45",B1431&lt;=60,"46-60",TRUE,"60+")</f>
        <v>18-25</v>
      </c>
      <c r="N1431" t="str">
        <f t="shared" si="67"/>
        <v>Discounted</v>
      </c>
      <c r="O1431" t="str">
        <f t="shared" si="68"/>
        <v>Returning</v>
      </c>
    </row>
    <row r="1432" spans="1:15" x14ac:dyDescent="0.25">
      <c r="A1432">
        <v>1431</v>
      </c>
      <c r="B1432">
        <v>28</v>
      </c>
      <c r="C1432" t="s">
        <v>11</v>
      </c>
      <c r="D1432" t="s">
        <v>41</v>
      </c>
      <c r="E1432" t="s">
        <v>46</v>
      </c>
      <c r="F1432" s="1">
        <v>159.04</v>
      </c>
      <c r="G1432" t="s">
        <v>19</v>
      </c>
      <c r="H1432" t="s">
        <v>15</v>
      </c>
      <c r="I1432" s="2">
        <v>4.8</v>
      </c>
      <c r="J1432" s="4">
        <v>26</v>
      </c>
      <c r="K1432" s="3">
        <v>8</v>
      </c>
      <c r="L1432" s="1">
        <f t="shared" si="66"/>
        <v>117.6896</v>
      </c>
      <c r="M1432" t="str" cm="1">
        <f t="array" ref="M1432">_xlfn.IFS(B1432&lt;18,"Under 18",B1432 &lt;=25,"18-25",B1432&lt;=35,"26-35",B1432&lt;=45,"36-45",B1432&lt;=60,"46-60",TRUE,"60+")</f>
        <v>26-35</v>
      </c>
      <c r="N1432" t="str">
        <f t="shared" si="67"/>
        <v>Discounted</v>
      </c>
      <c r="O1432" t="str">
        <f t="shared" si="68"/>
        <v>Returning</v>
      </c>
    </row>
    <row r="1433" spans="1:15" x14ac:dyDescent="0.25">
      <c r="A1433">
        <v>1432</v>
      </c>
      <c r="B1433">
        <v>21</v>
      </c>
      <c r="C1433" t="s">
        <v>16</v>
      </c>
      <c r="D1433" t="s">
        <v>25</v>
      </c>
      <c r="E1433" t="s">
        <v>47</v>
      </c>
      <c r="F1433" s="1">
        <v>63.05</v>
      </c>
      <c r="G1433" t="s">
        <v>14</v>
      </c>
      <c r="H1433" t="s">
        <v>37</v>
      </c>
      <c r="I1433" s="2">
        <v>4.3</v>
      </c>
      <c r="J1433" s="4">
        <v>21</v>
      </c>
      <c r="K1433" s="3">
        <v>8</v>
      </c>
      <c r="L1433" s="1">
        <f t="shared" si="66"/>
        <v>49.8095</v>
      </c>
      <c r="M1433" t="str" cm="1">
        <f t="array" ref="M1433">_xlfn.IFS(B1433&lt;18,"Under 18",B1433 &lt;=25,"18-25",B1433&lt;=35,"26-35",B1433&lt;=45,"36-45",B1433&lt;=60,"46-60",TRUE,"60+")</f>
        <v>18-25</v>
      </c>
      <c r="N1433" t="str">
        <f t="shared" si="67"/>
        <v>Discounted</v>
      </c>
      <c r="O1433" t="str">
        <f t="shared" si="68"/>
        <v>Returning</v>
      </c>
    </row>
    <row r="1434" spans="1:15" x14ac:dyDescent="0.25">
      <c r="A1434">
        <v>1433</v>
      </c>
      <c r="B1434">
        <v>35</v>
      </c>
      <c r="C1434" t="s">
        <v>16</v>
      </c>
      <c r="D1434" t="s">
        <v>27</v>
      </c>
      <c r="E1434" t="s">
        <v>32</v>
      </c>
      <c r="F1434" s="1">
        <v>2360.5</v>
      </c>
      <c r="G1434" t="s">
        <v>31</v>
      </c>
      <c r="H1434" t="s">
        <v>15</v>
      </c>
      <c r="I1434" s="2">
        <v>4.4000000000000004</v>
      </c>
      <c r="J1434" s="4">
        <v>12</v>
      </c>
      <c r="K1434" s="3">
        <v>6</v>
      </c>
      <c r="L1434" s="1">
        <f t="shared" si="66"/>
        <v>2077.2400000000002</v>
      </c>
      <c r="M1434" t="str" cm="1">
        <f t="array" ref="M1434">_xlfn.IFS(B1434&lt;18,"Under 18",B1434 &lt;=25,"18-25",B1434&lt;=35,"26-35",B1434&lt;=45,"36-45",B1434&lt;=60,"46-60",TRUE,"60+")</f>
        <v>26-35</v>
      </c>
      <c r="N1434" t="str">
        <f t="shared" si="67"/>
        <v>Discounted</v>
      </c>
      <c r="O1434" t="str">
        <f t="shared" si="68"/>
        <v>Returning</v>
      </c>
    </row>
    <row r="1435" spans="1:15" x14ac:dyDescent="0.25">
      <c r="A1435">
        <v>1434</v>
      </c>
      <c r="B1435">
        <v>23</v>
      </c>
      <c r="C1435" t="s">
        <v>11</v>
      </c>
      <c r="D1435" t="s">
        <v>41</v>
      </c>
      <c r="E1435" t="s">
        <v>45</v>
      </c>
      <c r="F1435" s="1">
        <v>104.09</v>
      </c>
      <c r="G1435" t="s">
        <v>19</v>
      </c>
      <c r="H1435" t="s">
        <v>15</v>
      </c>
      <c r="I1435" s="2">
        <v>3.8</v>
      </c>
      <c r="J1435" s="4">
        <v>16</v>
      </c>
      <c r="K1435" s="3">
        <v>8</v>
      </c>
      <c r="L1435" s="1">
        <f t="shared" si="66"/>
        <v>87.435599999999994</v>
      </c>
      <c r="M1435" t="str" cm="1">
        <f t="array" ref="M1435">_xlfn.IFS(B1435&lt;18,"Under 18",B1435 &lt;=25,"18-25",B1435&lt;=35,"26-35",B1435&lt;=45,"36-45",B1435&lt;=60,"46-60",TRUE,"60+")</f>
        <v>18-25</v>
      </c>
      <c r="N1435" t="str">
        <f t="shared" si="67"/>
        <v>Discounted</v>
      </c>
      <c r="O1435" t="str">
        <f t="shared" si="68"/>
        <v>Returning</v>
      </c>
    </row>
    <row r="1436" spans="1:15" x14ac:dyDescent="0.25">
      <c r="A1436">
        <v>1435</v>
      </c>
      <c r="B1436">
        <v>52</v>
      </c>
      <c r="C1436" t="s">
        <v>11</v>
      </c>
      <c r="D1436" t="s">
        <v>20</v>
      </c>
      <c r="E1436" t="s">
        <v>21</v>
      </c>
      <c r="F1436" s="1">
        <v>245.46</v>
      </c>
      <c r="G1436" t="s">
        <v>19</v>
      </c>
      <c r="H1436" t="s">
        <v>15</v>
      </c>
      <c r="I1436" s="2">
        <v>5</v>
      </c>
      <c r="J1436" s="4">
        <v>19</v>
      </c>
      <c r="K1436" s="3">
        <v>7</v>
      </c>
      <c r="L1436" s="1">
        <f t="shared" si="66"/>
        <v>198.82260000000002</v>
      </c>
      <c r="M1436" t="str" cm="1">
        <f t="array" ref="M1436">_xlfn.IFS(B1436&lt;18,"Under 18",B1436 &lt;=25,"18-25",B1436&lt;=35,"26-35",B1436&lt;=45,"36-45",B1436&lt;=60,"46-60",TRUE,"60+")</f>
        <v>46-60</v>
      </c>
      <c r="N1436" t="str">
        <f t="shared" si="67"/>
        <v>Discounted</v>
      </c>
      <c r="O1436" t="str">
        <f t="shared" si="68"/>
        <v>Returning</v>
      </c>
    </row>
    <row r="1437" spans="1:15" x14ac:dyDescent="0.25">
      <c r="A1437">
        <v>1436</v>
      </c>
      <c r="B1437">
        <v>68</v>
      </c>
      <c r="C1437" t="s">
        <v>16</v>
      </c>
      <c r="D1437" t="s">
        <v>17</v>
      </c>
      <c r="E1437" t="s">
        <v>42</v>
      </c>
      <c r="F1437" s="1">
        <v>175.43</v>
      </c>
      <c r="G1437" t="s">
        <v>31</v>
      </c>
      <c r="H1437" t="s">
        <v>15</v>
      </c>
      <c r="I1437" s="2">
        <v>3.7</v>
      </c>
      <c r="J1437" s="4">
        <v>10</v>
      </c>
      <c r="K1437" s="3">
        <v>5</v>
      </c>
      <c r="L1437" s="1">
        <f t="shared" si="66"/>
        <v>157.887</v>
      </c>
      <c r="M1437" t="str" cm="1">
        <f t="array" ref="M1437">_xlfn.IFS(B1437&lt;18,"Under 18",B1437 &lt;=25,"18-25",B1437&lt;=35,"26-35",B1437&lt;=45,"36-45",B1437&lt;=60,"46-60",TRUE,"60+")</f>
        <v>60+</v>
      </c>
      <c r="N1437" t="str">
        <f t="shared" si="67"/>
        <v>Discounted</v>
      </c>
      <c r="O1437" t="str">
        <f t="shared" si="68"/>
        <v>Returning</v>
      </c>
    </row>
    <row r="1438" spans="1:15" x14ac:dyDescent="0.25">
      <c r="A1438">
        <v>1437</v>
      </c>
      <c r="B1438">
        <v>55</v>
      </c>
      <c r="C1438" t="s">
        <v>11</v>
      </c>
      <c r="D1438" t="s">
        <v>12</v>
      </c>
      <c r="E1438" t="s">
        <v>50</v>
      </c>
      <c r="F1438" s="1">
        <v>169.49</v>
      </c>
      <c r="G1438" t="s">
        <v>24</v>
      </c>
      <c r="H1438" t="s">
        <v>15</v>
      </c>
      <c r="I1438" s="2">
        <v>3.6</v>
      </c>
      <c r="J1438" s="4">
        <v>18</v>
      </c>
      <c r="K1438" s="3">
        <v>4</v>
      </c>
      <c r="L1438" s="1">
        <f t="shared" si="66"/>
        <v>138.98180000000002</v>
      </c>
      <c r="M1438" t="str" cm="1">
        <f t="array" ref="M1438">_xlfn.IFS(B1438&lt;18,"Under 18",B1438 &lt;=25,"18-25",B1438&lt;=35,"26-35",B1438&lt;=45,"36-45",B1438&lt;=60,"46-60",TRUE,"60+")</f>
        <v>46-60</v>
      </c>
      <c r="N1438" t="str">
        <f t="shared" si="67"/>
        <v>Discounted</v>
      </c>
      <c r="O1438" t="str">
        <f t="shared" si="68"/>
        <v>Returning</v>
      </c>
    </row>
    <row r="1439" spans="1:15" x14ac:dyDescent="0.25">
      <c r="A1439">
        <v>1438</v>
      </c>
      <c r="B1439">
        <v>59</v>
      </c>
      <c r="C1439" t="s">
        <v>11</v>
      </c>
      <c r="D1439" t="s">
        <v>29</v>
      </c>
      <c r="E1439" t="s">
        <v>55</v>
      </c>
      <c r="F1439" s="1">
        <v>101.48</v>
      </c>
      <c r="G1439" t="s">
        <v>24</v>
      </c>
      <c r="H1439" t="s">
        <v>15</v>
      </c>
      <c r="I1439" s="2">
        <v>4.3</v>
      </c>
      <c r="J1439" s="4">
        <v>4</v>
      </c>
      <c r="K1439" s="3">
        <v>2</v>
      </c>
      <c r="L1439" s="1">
        <f t="shared" si="66"/>
        <v>97.4208</v>
      </c>
      <c r="M1439" t="str" cm="1">
        <f t="array" ref="M1439">_xlfn.IFS(B1439&lt;18,"Under 18",B1439 &lt;=25,"18-25",B1439&lt;=35,"26-35",B1439&lt;=45,"36-45",B1439&lt;=60,"46-60",TRUE,"60+")</f>
        <v>46-60</v>
      </c>
      <c r="N1439" t="str">
        <f t="shared" si="67"/>
        <v>Discounted</v>
      </c>
      <c r="O1439" t="str">
        <f t="shared" si="68"/>
        <v>Returning</v>
      </c>
    </row>
    <row r="1440" spans="1:15" x14ac:dyDescent="0.25">
      <c r="A1440">
        <v>1439</v>
      </c>
      <c r="B1440">
        <v>22</v>
      </c>
      <c r="C1440" t="s">
        <v>16</v>
      </c>
      <c r="D1440" t="s">
        <v>27</v>
      </c>
      <c r="E1440" t="s">
        <v>49</v>
      </c>
      <c r="F1440" s="1">
        <v>2140.58</v>
      </c>
      <c r="G1440" t="s">
        <v>24</v>
      </c>
      <c r="H1440" t="s">
        <v>15</v>
      </c>
      <c r="I1440" s="2">
        <v>3.5</v>
      </c>
      <c r="J1440" s="4">
        <v>18</v>
      </c>
      <c r="K1440" s="3">
        <v>4</v>
      </c>
      <c r="L1440" s="1">
        <f t="shared" si="66"/>
        <v>1755.2756000000002</v>
      </c>
      <c r="M1440" t="str" cm="1">
        <f t="array" ref="M1440">_xlfn.IFS(B1440&lt;18,"Under 18",B1440 &lt;=25,"18-25",B1440&lt;=35,"26-35",B1440&lt;=45,"36-45",B1440&lt;=60,"46-60",TRUE,"60+")</f>
        <v>18-25</v>
      </c>
      <c r="N1440" t="str">
        <f t="shared" si="67"/>
        <v>Discounted</v>
      </c>
      <c r="O1440" t="str">
        <f t="shared" si="68"/>
        <v>Returning</v>
      </c>
    </row>
    <row r="1441" spans="1:15" x14ac:dyDescent="0.25">
      <c r="A1441">
        <v>1440</v>
      </c>
      <c r="B1441">
        <v>47</v>
      </c>
      <c r="C1441" t="s">
        <v>16</v>
      </c>
      <c r="D1441" t="s">
        <v>20</v>
      </c>
      <c r="E1441" t="s">
        <v>21</v>
      </c>
      <c r="F1441" s="1">
        <v>203.57</v>
      </c>
      <c r="G1441" t="s">
        <v>14</v>
      </c>
      <c r="H1441" t="s">
        <v>15</v>
      </c>
      <c r="I1441" s="2">
        <v>3.7</v>
      </c>
      <c r="J1441" s="4">
        <v>16</v>
      </c>
      <c r="K1441" s="3">
        <v>3</v>
      </c>
      <c r="L1441" s="1">
        <f t="shared" si="66"/>
        <v>170.99879999999999</v>
      </c>
      <c r="M1441" t="str" cm="1">
        <f t="array" ref="M1441">_xlfn.IFS(B1441&lt;18,"Under 18",B1441 &lt;=25,"18-25",B1441&lt;=35,"26-35",B1441&lt;=45,"36-45",B1441&lt;=60,"46-60",TRUE,"60+")</f>
        <v>46-60</v>
      </c>
      <c r="N1441" t="str">
        <f t="shared" si="67"/>
        <v>Discounted</v>
      </c>
      <c r="O1441" t="str">
        <f t="shared" si="68"/>
        <v>Returning</v>
      </c>
    </row>
    <row r="1442" spans="1:15" x14ac:dyDescent="0.25">
      <c r="A1442">
        <v>1441</v>
      </c>
      <c r="B1442">
        <v>40</v>
      </c>
      <c r="C1442" t="s">
        <v>11</v>
      </c>
      <c r="D1442" t="s">
        <v>41</v>
      </c>
      <c r="E1442" t="s">
        <v>45</v>
      </c>
      <c r="F1442" s="1">
        <v>139.26</v>
      </c>
      <c r="G1442" t="s">
        <v>19</v>
      </c>
      <c r="H1442" t="s">
        <v>15</v>
      </c>
      <c r="I1442" s="2">
        <v>3.3</v>
      </c>
      <c r="J1442" s="4">
        <v>24</v>
      </c>
      <c r="K1442" s="3">
        <v>7</v>
      </c>
      <c r="L1442" s="1">
        <f t="shared" si="66"/>
        <v>105.83759999999999</v>
      </c>
      <c r="M1442" t="str" cm="1">
        <f t="array" ref="M1442">_xlfn.IFS(B1442&lt;18,"Under 18",B1442 &lt;=25,"18-25",B1442&lt;=35,"26-35",B1442&lt;=45,"36-45",B1442&lt;=60,"46-60",TRUE,"60+")</f>
        <v>36-45</v>
      </c>
      <c r="N1442" t="str">
        <f t="shared" si="67"/>
        <v>Discounted</v>
      </c>
      <c r="O1442" t="str">
        <f t="shared" si="68"/>
        <v>Returning</v>
      </c>
    </row>
    <row r="1443" spans="1:15" x14ac:dyDescent="0.25">
      <c r="A1443">
        <v>1442</v>
      </c>
      <c r="B1443">
        <v>67</v>
      </c>
      <c r="C1443" t="s">
        <v>11</v>
      </c>
      <c r="D1443" t="s">
        <v>41</v>
      </c>
      <c r="E1443" t="s">
        <v>45</v>
      </c>
      <c r="F1443" s="1">
        <v>67.400000000000006</v>
      </c>
      <c r="G1443" t="s">
        <v>19</v>
      </c>
      <c r="H1443" t="s">
        <v>37</v>
      </c>
      <c r="I1443" s="2">
        <v>3.3</v>
      </c>
      <c r="J1443" s="4">
        <v>22</v>
      </c>
      <c r="K1443" s="3">
        <v>6</v>
      </c>
      <c r="L1443" s="1">
        <f t="shared" si="66"/>
        <v>52.572000000000003</v>
      </c>
      <c r="M1443" t="str" cm="1">
        <f t="array" ref="M1443">_xlfn.IFS(B1443&lt;18,"Under 18",B1443 &lt;=25,"18-25",B1443&lt;=35,"26-35",B1443&lt;=45,"36-45",B1443&lt;=60,"46-60",TRUE,"60+")</f>
        <v>60+</v>
      </c>
      <c r="N1443" t="str">
        <f t="shared" si="67"/>
        <v>Discounted</v>
      </c>
      <c r="O1443" t="str">
        <f t="shared" si="68"/>
        <v>Returning</v>
      </c>
    </row>
    <row r="1444" spans="1:15" x14ac:dyDescent="0.25">
      <c r="A1444">
        <v>1443</v>
      </c>
      <c r="B1444">
        <v>34</v>
      </c>
      <c r="C1444" t="s">
        <v>11</v>
      </c>
      <c r="D1444" t="s">
        <v>29</v>
      </c>
      <c r="E1444" t="s">
        <v>51</v>
      </c>
      <c r="F1444" s="1">
        <v>116.44</v>
      </c>
      <c r="G1444" t="s">
        <v>31</v>
      </c>
      <c r="H1444" t="s">
        <v>15</v>
      </c>
      <c r="I1444" s="2">
        <v>4</v>
      </c>
      <c r="J1444" s="4">
        <v>25</v>
      </c>
      <c r="K1444" s="3">
        <v>10</v>
      </c>
      <c r="L1444" s="1">
        <f t="shared" si="66"/>
        <v>87.33</v>
      </c>
      <c r="M1444" t="str" cm="1">
        <f t="array" ref="M1444">_xlfn.IFS(B1444&lt;18,"Under 18",B1444 &lt;=25,"18-25",B1444&lt;=35,"26-35",B1444&lt;=45,"36-45",B1444&lt;=60,"46-60",TRUE,"60+")</f>
        <v>26-35</v>
      </c>
      <c r="N1444" t="str">
        <f t="shared" si="67"/>
        <v>Discounted</v>
      </c>
      <c r="O1444" t="str">
        <f t="shared" si="68"/>
        <v>Returning</v>
      </c>
    </row>
    <row r="1445" spans="1:15" x14ac:dyDescent="0.25">
      <c r="A1445">
        <v>1444</v>
      </c>
      <c r="B1445">
        <v>50</v>
      </c>
      <c r="C1445" t="s">
        <v>16</v>
      </c>
      <c r="D1445" t="s">
        <v>20</v>
      </c>
      <c r="E1445" t="s">
        <v>36</v>
      </c>
      <c r="F1445" s="1">
        <v>184.94</v>
      </c>
      <c r="G1445" t="s">
        <v>31</v>
      </c>
      <c r="H1445" t="s">
        <v>15</v>
      </c>
      <c r="I1445" s="2">
        <v>2.5</v>
      </c>
      <c r="J1445" s="4">
        <v>8</v>
      </c>
      <c r="K1445" s="3">
        <v>4</v>
      </c>
      <c r="L1445" s="1">
        <f t="shared" si="66"/>
        <v>170.1448</v>
      </c>
      <c r="M1445" t="str" cm="1">
        <f t="array" ref="M1445">_xlfn.IFS(B1445&lt;18,"Under 18",B1445 &lt;=25,"18-25",B1445&lt;=35,"26-35",B1445&lt;=45,"36-45",B1445&lt;=60,"46-60",TRUE,"60+")</f>
        <v>46-60</v>
      </c>
      <c r="N1445" t="str">
        <f t="shared" si="67"/>
        <v>Discounted</v>
      </c>
      <c r="O1445" t="str">
        <f t="shared" si="68"/>
        <v>Returning</v>
      </c>
    </row>
    <row r="1446" spans="1:15" x14ac:dyDescent="0.25">
      <c r="A1446">
        <v>1445</v>
      </c>
      <c r="B1446">
        <v>70</v>
      </c>
      <c r="C1446" t="s">
        <v>11</v>
      </c>
      <c r="D1446" t="s">
        <v>12</v>
      </c>
      <c r="E1446" t="s">
        <v>56</v>
      </c>
      <c r="F1446" s="1">
        <v>103.96</v>
      </c>
      <c r="G1446" t="s">
        <v>24</v>
      </c>
      <c r="H1446" t="s">
        <v>15</v>
      </c>
      <c r="I1446" s="2">
        <v>5</v>
      </c>
      <c r="J1446" s="4">
        <v>2</v>
      </c>
      <c r="K1446" s="3">
        <v>1</v>
      </c>
      <c r="L1446" s="1">
        <f t="shared" si="66"/>
        <v>101.88079999999999</v>
      </c>
      <c r="M1446" t="str" cm="1">
        <f t="array" ref="M1446">_xlfn.IFS(B1446&lt;18,"Under 18",B1446 &lt;=25,"18-25",B1446&lt;=35,"26-35",B1446&lt;=45,"36-45",B1446&lt;=60,"46-60",TRUE,"60+")</f>
        <v>60+</v>
      </c>
      <c r="N1446" t="str">
        <f t="shared" si="67"/>
        <v>Discounted</v>
      </c>
      <c r="O1446" t="str">
        <f t="shared" si="68"/>
        <v>Returning</v>
      </c>
    </row>
    <row r="1447" spans="1:15" x14ac:dyDescent="0.25">
      <c r="A1447">
        <v>1446</v>
      </c>
      <c r="B1447">
        <v>49</v>
      </c>
      <c r="C1447" t="s">
        <v>16</v>
      </c>
      <c r="D1447" t="s">
        <v>17</v>
      </c>
      <c r="E1447" t="s">
        <v>18</v>
      </c>
      <c r="F1447" s="1">
        <v>181.17</v>
      </c>
      <c r="G1447" t="s">
        <v>19</v>
      </c>
      <c r="H1447" t="s">
        <v>15</v>
      </c>
      <c r="I1447" s="2">
        <v>4.4000000000000004</v>
      </c>
      <c r="J1447" s="4">
        <v>18</v>
      </c>
      <c r="K1447" s="3">
        <v>4</v>
      </c>
      <c r="L1447" s="1">
        <f t="shared" si="66"/>
        <v>148.55940000000001</v>
      </c>
      <c r="M1447" t="str" cm="1">
        <f t="array" ref="M1447">_xlfn.IFS(B1447&lt;18,"Under 18",B1447 &lt;=25,"18-25",B1447&lt;=35,"26-35",B1447&lt;=45,"36-45",B1447&lt;=60,"46-60",TRUE,"60+")</f>
        <v>46-60</v>
      </c>
      <c r="N1447" t="str">
        <f t="shared" si="67"/>
        <v>Discounted</v>
      </c>
      <c r="O1447" t="str">
        <f t="shared" si="68"/>
        <v>Returning</v>
      </c>
    </row>
    <row r="1448" spans="1:15" x14ac:dyDescent="0.25">
      <c r="A1448">
        <v>1447</v>
      </c>
      <c r="B1448">
        <v>30</v>
      </c>
      <c r="C1448" t="s">
        <v>11</v>
      </c>
      <c r="D1448" t="s">
        <v>29</v>
      </c>
      <c r="E1448" t="s">
        <v>55</v>
      </c>
      <c r="F1448" s="1">
        <v>68.95</v>
      </c>
      <c r="G1448" t="s">
        <v>31</v>
      </c>
      <c r="H1448" t="s">
        <v>15</v>
      </c>
      <c r="I1448" s="2">
        <v>4.4000000000000004</v>
      </c>
      <c r="J1448" s="4">
        <v>22</v>
      </c>
      <c r="K1448" s="3">
        <v>6</v>
      </c>
      <c r="L1448" s="1">
        <f t="shared" si="66"/>
        <v>53.781000000000006</v>
      </c>
      <c r="M1448" t="str" cm="1">
        <f t="array" ref="M1448">_xlfn.IFS(B1448&lt;18,"Under 18",B1448 &lt;=25,"18-25",B1448&lt;=35,"26-35",B1448&lt;=45,"36-45",B1448&lt;=60,"46-60",TRUE,"60+")</f>
        <v>26-35</v>
      </c>
      <c r="N1448" t="str">
        <f t="shared" si="67"/>
        <v>Discounted</v>
      </c>
      <c r="O1448" t="str">
        <f t="shared" si="68"/>
        <v>Returning</v>
      </c>
    </row>
    <row r="1449" spans="1:15" x14ac:dyDescent="0.25">
      <c r="A1449">
        <v>1448</v>
      </c>
      <c r="B1449">
        <v>66</v>
      </c>
      <c r="C1449" t="s">
        <v>16</v>
      </c>
      <c r="D1449" t="s">
        <v>33</v>
      </c>
      <c r="E1449" t="s">
        <v>40</v>
      </c>
      <c r="F1449" s="1">
        <v>111.46</v>
      </c>
      <c r="G1449" t="s">
        <v>14</v>
      </c>
      <c r="H1449" t="s">
        <v>15</v>
      </c>
      <c r="I1449" s="2">
        <v>2.2999999999999998</v>
      </c>
      <c r="J1449" s="4">
        <v>10</v>
      </c>
      <c r="K1449" s="3">
        <v>0</v>
      </c>
      <c r="L1449" s="1">
        <f t="shared" si="66"/>
        <v>100.31399999999999</v>
      </c>
      <c r="M1449" t="str" cm="1">
        <f t="array" ref="M1449">_xlfn.IFS(B1449&lt;18,"Under 18",B1449 &lt;=25,"18-25",B1449&lt;=35,"26-35",B1449&lt;=45,"36-45",B1449&lt;=60,"46-60",TRUE,"60+")</f>
        <v>60+</v>
      </c>
      <c r="N1449" t="str">
        <f t="shared" si="67"/>
        <v>Discounted</v>
      </c>
      <c r="O1449" t="str">
        <f t="shared" si="68"/>
        <v>New</v>
      </c>
    </row>
    <row r="1450" spans="1:15" x14ac:dyDescent="0.25">
      <c r="A1450">
        <v>1449</v>
      </c>
      <c r="B1450">
        <v>46</v>
      </c>
      <c r="C1450" t="s">
        <v>11</v>
      </c>
      <c r="D1450" t="s">
        <v>41</v>
      </c>
      <c r="E1450" t="s">
        <v>45</v>
      </c>
      <c r="F1450" s="1">
        <v>145.36000000000001</v>
      </c>
      <c r="G1450" t="s">
        <v>31</v>
      </c>
      <c r="H1450" t="s">
        <v>15</v>
      </c>
      <c r="I1450" s="2">
        <v>4.3</v>
      </c>
      <c r="J1450" s="4">
        <v>22</v>
      </c>
      <c r="K1450" s="3">
        <v>6</v>
      </c>
      <c r="L1450" s="1">
        <f t="shared" si="66"/>
        <v>113.38080000000001</v>
      </c>
      <c r="M1450" t="str" cm="1">
        <f t="array" ref="M1450">_xlfn.IFS(B1450&lt;18,"Under 18",B1450 &lt;=25,"18-25",B1450&lt;=35,"26-35",B1450&lt;=45,"36-45",B1450&lt;=60,"46-60",TRUE,"60+")</f>
        <v>46-60</v>
      </c>
      <c r="N1450" t="str">
        <f t="shared" si="67"/>
        <v>Discounted</v>
      </c>
      <c r="O1450" t="str">
        <f t="shared" si="68"/>
        <v>Returning</v>
      </c>
    </row>
    <row r="1451" spans="1:15" x14ac:dyDescent="0.25">
      <c r="A1451">
        <v>1450</v>
      </c>
      <c r="B1451">
        <v>40</v>
      </c>
      <c r="C1451" t="s">
        <v>11</v>
      </c>
      <c r="D1451" t="s">
        <v>29</v>
      </c>
      <c r="E1451" t="s">
        <v>30</v>
      </c>
      <c r="F1451" s="1">
        <v>46.27</v>
      </c>
      <c r="G1451" t="s">
        <v>19</v>
      </c>
      <c r="H1451" t="s">
        <v>15</v>
      </c>
      <c r="I1451" s="2">
        <v>4.5</v>
      </c>
      <c r="J1451" s="4">
        <v>18</v>
      </c>
      <c r="K1451" s="3">
        <v>4</v>
      </c>
      <c r="L1451" s="1">
        <f t="shared" si="66"/>
        <v>37.941400000000009</v>
      </c>
      <c r="M1451" t="str" cm="1">
        <f t="array" ref="M1451">_xlfn.IFS(B1451&lt;18,"Under 18",B1451 &lt;=25,"18-25",B1451&lt;=35,"26-35",B1451&lt;=45,"36-45",B1451&lt;=60,"46-60",TRUE,"60+")</f>
        <v>36-45</v>
      </c>
      <c r="N1451" t="str">
        <f t="shared" si="67"/>
        <v>Discounted</v>
      </c>
      <c r="O1451" t="str">
        <f t="shared" si="68"/>
        <v>Returning</v>
      </c>
    </row>
    <row r="1452" spans="1:15" x14ac:dyDescent="0.25">
      <c r="A1452">
        <v>1451</v>
      </c>
      <c r="B1452">
        <v>38</v>
      </c>
      <c r="C1452" t="s">
        <v>16</v>
      </c>
      <c r="D1452" t="s">
        <v>17</v>
      </c>
      <c r="E1452" t="s">
        <v>18</v>
      </c>
      <c r="F1452" s="1">
        <v>57.51</v>
      </c>
      <c r="G1452" t="s">
        <v>24</v>
      </c>
      <c r="H1452" t="s">
        <v>37</v>
      </c>
      <c r="I1452" s="2">
        <v>3.9</v>
      </c>
      <c r="J1452" s="4">
        <v>9</v>
      </c>
      <c r="K1452" s="3">
        <v>2</v>
      </c>
      <c r="L1452" s="1">
        <f t="shared" si="66"/>
        <v>52.334099999999999</v>
      </c>
      <c r="M1452" t="str" cm="1">
        <f t="array" ref="M1452">_xlfn.IFS(B1452&lt;18,"Under 18",B1452 &lt;=25,"18-25",B1452&lt;=35,"26-35",B1452&lt;=45,"36-45",B1452&lt;=60,"46-60",TRUE,"60+")</f>
        <v>36-45</v>
      </c>
      <c r="N1452" t="str">
        <f t="shared" si="67"/>
        <v>Discounted</v>
      </c>
      <c r="O1452" t="str">
        <f t="shared" si="68"/>
        <v>Returning</v>
      </c>
    </row>
    <row r="1453" spans="1:15" x14ac:dyDescent="0.25">
      <c r="A1453">
        <v>1452</v>
      </c>
      <c r="B1453">
        <v>55</v>
      </c>
      <c r="C1453" t="s">
        <v>11</v>
      </c>
      <c r="D1453" t="s">
        <v>41</v>
      </c>
      <c r="E1453" t="s">
        <v>42</v>
      </c>
      <c r="F1453" s="1">
        <v>138.96</v>
      </c>
      <c r="G1453" t="s">
        <v>14</v>
      </c>
      <c r="H1453" t="s">
        <v>15</v>
      </c>
      <c r="I1453" s="2">
        <v>4.7</v>
      </c>
      <c r="J1453" s="4">
        <v>25</v>
      </c>
      <c r="K1453" s="3">
        <v>10</v>
      </c>
      <c r="L1453" s="1">
        <f t="shared" si="66"/>
        <v>104.22</v>
      </c>
      <c r="M1453" t="str" cm="1">
        <f t="array" ref="M1453">_xlfn.IFS(B1453&lt;18,"Under 18",B1453 &lt;=25,"18-25",B1453&lt;=35,"26-35",B1453&lt;=45,"36-45",B1453&lt;=60,"46-60",TRUE,"60+")</f>
        <v>46-60</v>
      </c>
      <c r="N1453" t="str">
        <f t="shared" si="67"/>
        <v>Discounted</v>
      </c>
      <c r="O1453" t="str">
        <f t="shared" si="68"/>
        <v>Returning</v>
      </c>
    </row>
    <row r="1454" spans="1:15" x14ac:dyDescent="0.25">
      <c r="A1454">
        <v>1453</v>
      </c>
      <c r="B1454">
        <v>63</v>
      </c>
      <c r="C1454" t="s">
        <v>16</v>
      </c>
      <c r="D1454" t="s">
        <v>17</v>
      </c>
      <c r="E1454" t="s">
        <v>35</v>
      </c>
      <c r="F1454" s="1">
        <v>47.65</v>
      </c>
      <c r="G1454" t="s">
        <v>24</v>
      </c>
      <c r="H1454" t="s">
        <v>15</v>
      </c>
      <c r="I1454" s="2">
        <v>4.4000000000000004</v>
      </c>
      <c r="J1454" s="4">
        <v>19</v>
      </c>
      <c r="K1454" s="3">
        <v>7</v>
      </c>
      <c r="L1454" s="1">
        <f t="shared" si="66"/>
        <v>38.596499999999999</v>
      </c>
      <c r="M1454" t="str" cm="1">
        <f t="array" ref="M1454">_xlfn.IFS(B1454&lt;18,"Under 18",B1454 &lt;=25,"18-25",B1454&lt;=35,"26-35",B1454&lt;=45,"36-45",B1454&lt;=60,"46-60",TRUE,"60+")</f>
        <v>60+</v>
      </c>
      <c r="N1454" t="str">
        <f t="shared" si="67"/>
        <v>Discounted</v>
      </c>
      <c r="O1454" t="str">
        <f t="shared" si="68"/>
        <v>Returning</v>
      </c>
    </row>
    <row r="1455" spans="1:15" x14ac:dyDescent="0.25">
      <c r="A1455">
        <v>1454</v>
      </c>
      <c r="B1455">
        <v>44</v>
      </c>
      <c r="C1455" t="s">
        <v>11</v>
      </c>
      <c r="D1455" t="s">
        <v>12</v>
      </c>
      <c r="E1455" t="s">
        <v>13</v>
      </c>
      <c r="F1455" s="1">
        <v>154.97999999999999</v>
      </c>
      <c r="G1455" t="s">
        <v>19</v>
      </c>
      <c r="H1455" t="s">
        <v>15</v>
      </c>
      <c r="I1455" s="2">
        <v>3.8</v>
      </c>
      <c r="J1455" s="4">
        <v>26</v>
      </c>
      <c r="K1455" s="3">
        <v>8</v>
      </c>
      <c r="L1455" s="1">
        <f t="shared" si="66"/>
        <v>114.68519999999999</v>
      </c>
      <c r="M1455" t="str" cm="1">
        <f t="array" ref="M1455">_xlfn.IFS(B1455&lt;18,"Under 18",B1455 &lt;=25,"18-25",B1455&lt;=35,"26-35",B1455&lt;=45,"36-45",B1455&lt;=60,"46-60",TRUE,"60+")</f>
        <v>36-45</v>
      </c>
      <c r="N1455" t="str">
        <f t="shared" si="67"/>
        <v>Discounted</v>
      </c>
      <c r="O1455" t="str">
        <f t="shared" si="68"/>
        <v>Returning</v>
      </c>
    </row>
    <row r="1456" spans="1:15" x14ac:dyDescent="0.25">
      <c r="A1456">
        <v>1455</v>
      </c>
      <c r="B1456">
        <v>58</v>
      </c>
      <c r="C1456" t="s">
        <v>16</v>
      </c>
      <c r="D1456" t="s">
        <v>25</v>
      </c>
      <c r="E1456" t="s">
        <v>26</v>
      </c>
      <c r="F1456" s="1">
        <v>60.75</v>
      </c>
      <c r="G1456" t="s">
        <v>14</v>
      </c>
      <c r="H1456" t="s">
        <v>37</v>
      </c>
      <c r="I1456" s="2">
        <v>4.5</v>
      </c>
      <c r="J1456" s="4">
        <v>25</v>
      </c>
      <c r="K1456" s="3">
        <v>10</v>
      </c>
      <c r="L1456" s="1">
        <f t="shared" si="66"/>
        <v>45.5625</v>
      </c>
      <c r="M1456" t="str" cm="1">
        <f t="array" ref="M1456">_xlfn.IFS(B1456&lt;18,"Under 18",B1456 &lt;=25,"18-25",B1456&lt;=35,"26-35",B1456&lt;=45,"36-45",B1456&lt;=60,"46-60",TRUE,"60+")</f>
        <v>46-60</v>
      </c>
      <c r="N1456" t="str">
        <f t="shared" si="67"/>
        <v>Discounted</v>
      </c>
      <c r="O1456" t="str">
        <f t="shared" si="68"/>
        <v>Returning</v>
      </c>
    </row>
    <row r="1457" spans="1:15" x14ac:dyDescent="0.25">
      <c r="A1457">
        <v>1456</v>
      </c>
      <c r="B1457">
        <v>51</v>
      </c>
      <c r="C1457" t="s">
        <v>11</v>
      </c>
      <c r="D1457" t="s">
        <v>41</v>
      </c>
      <c r="E1457" t="s">
        <v>44</v>
      </c>
      <c r="F1457" s="1">
        <v>102.64</v>
      </c>
      <c r="G1457" t="s">
        <v>19</v>
      </c>
      <c r="H1457" t="s">
        <v>15</v>
      </c>
      <c r="I1457" s="2">
        <v>3.9</v>
      </c>
      <c r="J1457" s="4">
        <v>10</v>
      </c>
      <c r="K1457" s="3">
        <v>5</v>
      </c>
      <c r="L1457" s="1">
        <f t="shared" si="66"/>
        <v>92.376000000000005</v>
      </c>
      <c r="M1457" t="str" cm="1">
        <f t="array" ref="M1457">_xlfn.IFS(B1457&lt;18,"Under 18",B1457 &lt;=25,"18-25",B1457&lt;=35,"26-35",B1457&lt;=45,"36-45",B1457&lt;=60,"46-60",TRUE,"60+")</f>
        <v>46-60</v>
      </c>
      <c r="N1457" t="str">
        <f t="shared" si="67"/>
        <v>Discounted</v>
      </c>
      <c r="O1457" t="str">
        <f t="shared" si="68"/>
        <v>Returning</v>
      </c>
    </row>
    <row r="1458" spans="1:15" x14ac:dyDescent="0.25">
      <c r="A1458">
        <v>1457</v>
      </c>
      <c r="B1458">
        <v>21</v>
      </c>
      <c r="C1458" t="s">
        <v>11</v>
      </c>
      <c r="D1458" t="s">
        <v>12</v>
      </c>
      <c r="E1458" t="s">
        <v>56</v>
      </c>
      <c r="F1458" s="1">
        <v>98.79</v>
      </c>
      <c r="G1458" t="s">
        <v>14</v>
      </c>
      <c r="H1458" t="s">
        <v>15</v>
      </c>
      <c r="I1458" s="2">
        <v>3.3</v>
      </c>
      <c r="J1458" s="4">
        <v>4</v>
      </c>
      <c r="K1458" s="3">
        <v>2</v>
      </c>
      <c r="L1458" s="1">
        <f t="shared" si="66"/>
        <v>94.838400000000007</v>
      </c>
      <c r="M1458" t="str" cm="1">
        <f t="array" ref="M1458">_xlfn.IFS(B1458&lt;18,"Under 18",B1458 &lt;=25,"18-25",B1458&lt;=35,"26-35",B1458&lt;=45,"36-45",B1458&lt;=60,"46-60",TRUE,"60+")</f>
        <v>18-25</v>
      </c>
      <c r="N1458" t="str">
        <f t="shared" si="67"/>
        <v>Discounted</v>
      </c>
      <c r="O1458" t="str">
        <f t="shared" si="68"/>
        <v>Returning</v>
      </c>
    </row>
    <row r="1459" spans="1:15" x14ac:dyDescent="0.25">
      <c r="A1459">
        <v>1458</v>
      </c>
      <c r="B1459">
        <v>33</v>
      </c>
      <c r="C1459" t="s">
        <v>16</v>
      </c>
      <c r="D1459" t="s">
        <v>27</v>
      </c>
      <c r="E1459" t="s">
        <v>49</v>
      </c>
      <c r="F1459" s="1">
        <v>2572.06</v>
      </c>
      <c r="G1459" t="s">
        <v>14</v>
      </c>
      <c r="H1459" t="s">
        <v>15</v>
      </c>
      <c r="I1459" s="2">
        <v>2.7</v>
      </c>
      <c r="J1459" s="4">
        <v>21</v>
      </c>
      <c r="K1459" s="3">
        <v>8</v>
      </c>
      <c r="L1459" s="1">
        <f t="shared" si="66"/>
        <v>2031.9274</v>
      </c>
      <c r="M1459" t="str" cm="1">
        <f t="array" ref="M1459">_xlfn.IFS(B1459&lt;18,"Under 18",B1459 &lt;=25,"18-25",B1459&lt;=35,"26-35",B1459&lt;=45,"36-45",B1459&lt;=60,"46-60",TRUE,"60+")</f>
        <v>26-35</v>
      </c>
      <c r="N1459" t="str">
        <f t="shared" si="67"/>
        <v>Discounted</v>
      </c>
      <c r="O1459" t="str">
        <f t="shared" si="68"/>
        <v>Returning</v>
      </c>
    </row>
    <row r="1460" spans="1:15" x14ac:dyDescent="0.25">
      <c r="A1460">
        <v>1459</v>
      </c>
      <c r="B1460">
        <v>26</v>
      </c>
      <c r="C1460" t="s">
        <v>11</v>
      </c>
      <c r="D1460" t="s">
        <v>33</v>
      </c>
      <c r="E1460" t="s">
        <v>38</v>
      </c>
      <c r="F1460" s="1">
        <v>240.32</v>
      </c>
      <c r="G1460" t="s">
        <v>14</v>
      </c>
      <c r="H1460" t="s">
        <v>15</v>
      </c>
      <c r="I1460" s="2">
        <v>4.2</v>
      </c>
      <c r="J1460" s="4">
        <v>18</v>
      </c>
      <c r="K1460" s="3">
        <v>9</v>
      </c>
      <c r="L1460" s="1">
        <f t="shared" si="66"/>
        <v>197.0624</v>
      </c>
      <c r="M1460" t="str" cm="1">
        <f t="array" ref="M1460">_xlfn.IFS(B1460&lt;18,"Under 18",B1460 &lt;=25,"18-25",B1460&lt;=35,"26-35",B1460&lt;=45,"36-45",B1460&lt;=60,"46-60",TRUE,"60+")</f>
        <v>26-35</v>
      </c>
      <c r="N1460" t="str">
        <f t="shared" si="67"/>
        <v>Discounted</v>
      </c>
      <c r="O1460" t="str">
        <f t="shared" si="68"/>
        <v>Returning</v>
      </c>
    </row>
    <row r="1461" spans="1:15" x14ac:dyDescent="0.25">
      <c r="A1461">
        <v>1460</v>
      </c>
      <c r="B1461">
        <v>30</v>
      </c>
      <c r="C1461" t="s">
        <v>11</v>
      </c>
      <c r="D1461" t="s">
        <v>20</v>
      </c>
      <c r="E1461" t="s">
        <v>36</v>
      </c>
      <c r="F1461" s="1">
        <v>238.27</v>
      </c>
      <c r="G1461" t="s">
        <v>31</v>
      </c>
      <c r="H1461" t="s">
        <v>15</v>
      </c>
      <c r="I1461" s="2">
        <v>2.7</v>
      </c>
      <c r="J1461" s="4">
        <v>13</v>
      </c>
      <c r="K1461" s="3">
        <v>4</v>
      </c>
      <c r="L1461" s="1">
        <f t="shared" si="66"/>
        <v>207.29490000000001</v>
      </c>
      <c r="M1461" t="str" cm="1">
        <f t="array" ref="M1461">_xlfn.IFS(B1461&lt;18,"Under 18",B1461 &lt;=25,"18-25",B1461&lt;=35,"26-35",B1461&lt;=45,"36-45",B1461&lt;=60,"46-60",TRUE,"60+")</f>
        <v>26-35</v>
      </c>
      <c r="N1461" t="str">
        <f t="shared" si="67"/>
        <v>Discounted</v>
      </c>
      <c r="O1461" t="str">
        <f t="shared" si="68"/>
        <v>Returning</v>
      </c>
    </row>
    <row r="1462" spans="1:15" x14ac:dyDescent="0.25">
      <c r="A1462">
        <v>1461</v>
      </c>
      <c r="B1462">
        <v>23</v>
      </c>
      <c r="C1462" t="s">
        <v>11</v>
      </c>
      <c r="D1462" t="s">
        <v>20</v>
      </c>
      <c r="E1462" t="s">
        <v>36</v>
      </c>
      <c r="F1462" s="1">
        <v>115.62</v>
      </c>
      <c r="G1462" t="s">
        <v>19</v>
      </c>
      <c r="H1462" t="s">
        <v>15</v>
      </c>
      <c r="I1462" s="2">
        <v>5</v>
      </c>
      <c r="J1462" s="4">
        <v>13</v>
      </c>
      <c r="K1462" s="3">
        <v>4</v>
      </c>
      <c r="L1462" s="1">
        <f t="shared" si="66"/>
        <v>100.5894</v>
      </c>
      <c r="M1462" t="str" cm="1">
        <f t="array" ref="M1462">_xlfn.IFS(B1462&lt;18,"Under 18",B1462 &lt;=25,"18-25",B1462&lt;=35,"26-35",B1462&lt;=45,"36-45",B1462&lt;=60,"46-60",TRUE,"60+")</f>
        <v>18-25</v>
      </c>
      <c r="N1462" t="str">
        <f t="shared" si="67"/>
        <v>Discounted</v>
      </c>
      <c r="O1462" t="str">
        <f t="shared" si="68"/>
        <v>Returning</v>
      </c>
    </row>
    <row r="1463" spans="1:15" x14ac:dyDescent="0.25">
      <c r="A1463">
        <v>1462</v>
      </c>
      <c r="B1463">
        <v>26</v>
      </c>
      <c r="C1463" t="s">
        <v>11</v>
      </c>
      <c r="D1463" t="s">
        <v>41</v>
      </c>
      <c r="E1463" t="s">
        <v>45</v>
      </c>
      <c r="F1463" s="1">
        <v>73.14</v>
      </c>
      <c r="G1463" t="s">
        <v>19</v>
      </c>
      <c r="H1463" t="s">
        <v>15</v>
      </c>
      <c r="I1463" s="2">
        <v>2.9</v>
      </c>
      <c r="J1463" s="4">
        <v>11</v>
      </c>
      <c r="K1463" s="3">
        <v>3</v>
      </c>
      <c r="L1463" s="1">
        <f t="shared" si="66"/>
        <v>65.0946</v>
      </c>
      <c r="M1463" t="str" cm="1">
        <f t="array" ref="M1463">_xlfn.IFS(B1463&lt;18,"Under 18",B1463 &lt;=25,"18-25",B1463&lt;=35,"26-35",B1463&lt;=45,"36-45",B1463&lt;=60,"46-60",TRUE,"60+")</f>
        <v>26-35</v>
      </c>
      <c r="N1463" t="str">
        <f t="shared" si="67"/>
        <v>Discounted</v>
      </c>
      <c r="O1463" t="str">
        <f t="shared" si="68"/>
        <v>Returning</v>
      </c>
    </row>
    <row r="1464" spans="1:15" x14ac:dyDescent="0.25">
      <c r="A1464">
        <v>1463</v>
      </c>
      <c r="B1464">
        <v>68</v>
      </c>
      <c r="C1464" t="s">
        <v>16</v>
      </c>
      <c r="D1464" t="s">
        <v>33</v>
      </c>
      <c r="E1464" t="s">
        <v>34</v>
      </c>
      <c r="F1464" s="1">
        <v>161.34</v>
      </c>
      <c r="G1464" t="s">
        <v>19</v>
      </c>
      <c r="H1464" t="s">
        <v>15</v>
      </c>
      <c r="I1464" s="2">
        <v>4.0999999999999996</v>
      </c>
      <c r="J1464" s="4">
        <v>10</v>
      </c>
      <c r="K1464" s="3">
        <v>5</v>
      </c>
      <c r="L1464" s="1">
        <f t="shared" si="66"/>
        <v>145.20600000000002</v>
      </c>
      <c r="M1464" t="str" cm="1">
        <f t="array" ref="M1464">_xlfn.IFS(B1464&lt;18,"Under 18",B1464 &lt;=25,"18-25",B1464&lt;=35,"26-35",B1464&lt;=45,"36-45",B1464&lt;=60,"46-60",TRUE,"60+")</f>
        <v>60+</v>
      </c>
      <c r="N1464" t="str">
        <f t="shared" si="67"/>
        <v>Discounted</v>
      </c>
      <c r="O1464" t="str">
        <f t="shared" si="68"/>
        <v>Returning</v>
      </c>
    </row>
    <row r="1465" spans="1:15" x14ac:dyDescent="0.25">
      <c r="A1465">
        <v>1464</v>
      </c>
      <c r="B1465">
        <v>64</v>
      </c>
      <c r="C1465" t="s">
        <v>16</v>
      </c>
      <c r="D1465" t="s">
        <v>17</v>
      </c>
      <c r="E1465" t="s">
        <v>18</v>
      </c>
      <c r="F1465" s="1">
        <v>199.98</v>
      </c>
      <c r="G1465" t="s">
        <v>24</v>
      </c>
      <c r="H1465" t="s">
        <v>15</v>
      </c>
      <c r="I1465" s="2">
        <v>3.6</v>
      </c>
      <c r="J1465" s="4">
        <v>26</v>
      </c>
      <c r="K1465" s="3">
        <v>8</v>
      </c>
      <c r="L1465" s="1">
        <f t="shared" si="66"/>
        <v>147.98519999999999</v>
      </c>
      <c r="M1465" t="str" cm="1">
        <f t="array" ref="M1465">_xlfn.IFS(B1465&lt;18,"Under 18",B1465 &lt;=25,"18-25",B1465&lt;=35,"26-35",B1465&lt;=45,"36-45",B1465&lt;=60,"46-60",TRUE,"60+")</f>
        <v>60+</v>
      </c>
      <c r="N1465" t="str">
        <f t="shared" si="67"/>
        <v>Discounted</v>
      </c>
      <c r="O1465" t="str">
        <f t="shared" si="68"/>
        <v>Returning</v>
      </c>
    </row>
    <row r="1466" spans="1:15" x14ac:dyDescent="0.25">
      <c r="A1466">
        <v>1465</v>
      </c>
      <c r="B1466">
        <v>65</v>
      </c>
      <c r="C1466" t="s">
        <v>11</v>
      </c>
      <c r="D1466" t="s">
        <v>12</v>
      </c>
      <c r="E1466" t="s">
        <v>50</v>
      </c>
      <c r="F1466" s="1">
        <v>138.32</v>
      </c>
      <c r="G1466" t="s">
        <v>31</v>
      </c>
      <c r="H1466" t="s">
        <v>15</v>
      </c>
      <c r="I1466" s="2">
        <v>4.9000000000000004</v>
      </c>
      <c r="J1466" s="4">
        <v>6</v>
      </c>
      <c r="K1466" s="3">
        <v>3</v>
      </c>
      <c r="L1466" s="1">
        <f t="shared" si="66"/>
        <v>130.02079999999998</v>
      </c>
      <c r="M1466" t="str" cm="1">
        <f t="array" ref="M1466">_xlfn.IFS(B1466&lt;18,"Under 18",B1466 &lt;=25,"18-25",B1466&lt;=35,"26-35",B1466&lt;=45,"36-45",B1466&lt;=60,"46-60",TRUE,"60+")</f>
        <v>60+</v>
      </c>
      <c r="N1466" t="str">
        <f t="shared" si="67"/>
        <v>Discounted</v>
      </c>
      <c r="O1466" t="str">
        <f t="shared" si="68"/>
        <v>Returning</v>
      </c>
    </row>
    <row r="1467" spans="1:15" x14ac:dyDescent="0.25">
      <c r="A1467">
        <v>1466</v>
      </c>
      <c r="B1467">
        <v>68</v>
      </c>
      <c r="C1467" t="s">
        <v>16</v>
      </c>
      <c r="D1467" t="s">
        <v>17</v>
      </c>
      <c r="E1467" t="s">
        <v>42</v>
      </c>
      <c r="F1467" s="1">
        <v>173.95</v>
      </c>
      <c r="G1467" t="s">
        <v>14</v>
      </c>
      <c r="H1467" t="s">
        <v>15</v>
      </c>
      <c r="I1467" s="2">
        <v>3.8</v>
      </c>
      <c r="J1467" s="4">
        <v>13</v>
      </c>
      <c r="K1467" s="3">
        <v>4</v>
      </c>
      <c r="L1467" s="1">
        <f t="shared" si="66"/>
        <v>151.3365</v>
      </c>
      <c r="M1467" t="str" cm="1">
        <f t="array" ref="M1467">_xlfn.IFS(B1467&lt;18,"Under 18",B1467 &lt;=25,"18-25",B1467&lt;=35,"26-35",B1467&lt;=45,"36-45",B1467&lt;=60,"46-60",TRUE,"60+")</f>
        <v>60+</v>
      </c>
      <c r="N1467" t="str">
        <f t="shared" si="67"/>
        <v>Discounted</v>
      </c>
      <c r="O1467" t="str">
        <f t="shared" si="68"/>
        <v>Returning</v>
      </c>
    </row>
    <row r="1468" spans="1:15" x14ac:dyDescent="0.25">
      <c r="A1468">
        <v>1467</v>
      </c>
      <c r="B1468">
        <v>51</v>
      </c>
      <c r="C1468" t="s">
        <v>16</v>
      </c>
      <c r="D1468" t="s">
        <v>20</v>
      </c>
      <c r="E1468" t="s">
        <v>39</v>
      </c>
      <c r="F1468" s="1">
        <v>155.72999999999999</v>
      </c>
      <c r="G1468" t="s">
        <v>31</v>
      </c>
      <c r="H1468" t="s">
        <v>15</v>
      </c>
      <c r="I1468" s="2">
        <v>4.5999999999999996</v>
      </c>
      <c r="J1468" s="4">
        <v>19</v>
      </c>
      <c r="K1468" s="3">
        <v>7</v>
      </c>
      <c r="L1468" s="1">
        <f t="shared" si="66"/>
        <v>126.1413</v>
      </c>
      <c r="M1468" t="str" cm="1">
        <f t="array" ref="M1468">_xlfn.IFS(B1468&lt;18,"Under 18",B1468 &lt;=25,"18-25",B1468&lt;=35,"26-35",B1468&lt;=45,"36-45",B1468&lt;=60,"46-60",TRUE,"60+")</f>
        <v>46-60</v>
      </c>
      <c r="N1468" t="str">
        <f t="shared" si="67"/>
        <v>Discounted</v>
      </c>
      <c r="O1468" t="str">
        <f t="shared" si="68"/>
        <v>Returning</v>
      </c>
    </row>
    <row r="1469" spans="1:15" x14ac:dyDescent="0.25">
      <c r="A1469">
        <v>1468</v>
      </c>
      <c r="B1469">
        <v>43</v>
      </c>
      <c r="C1469" t="s">
        <v>16</v>
      </c>
      <c r="D1469" t="s">
        <v>27</v>
      </c>
      <c r="E1469" t="s">
        <v>32</v>
      </c>
      <c r="F1469" s="1">
        <v>1286.3599999999999</v>
      </c>
      <c r="G1469" t="s">
        <v>14</v>
      </c>
      <c r="H1469" t="s">
        <v>15</v>
      </c>
      <c r="I1469" s="2">
        <v>3.3</v>
      </c>
      <c r="J1469" s="4">
        <v>4</v>
      </c>
      <c r="K1469" s="3">
        <v>2</v>
      </c>
      <c r="L1469" s="1">
        <f t="shared" si="66"/>
        <v>1234.9055999999998</v>
      </c>
      <c r="M1469" t="str" cm="1">
        <f t="array" ref="M1469">_xlfn.IFS(B1469&lt;18,"Under 18",B1469 &lt;=25,"18-25",B1469&lt;=35,"26-35",B1469&lt;=45,"36-45",B1469&lt;=60,"46-60",TRUE,"60+")</f>
        <v>36-45</v>
      </c>
      <c r="N1469" t="str">
        <f t="shared" si="67"/>
        <v>Discounted</v>
      </c>
      <c r="O1469" t="str">
        <f t="shared" si="68"/>
        <v>Returning</v>
      </c>
    </row>
    <row r="1470" spans="1:15" x14ac:dyDescent="0.25">
      <c r="A1470">
        <v>1469</v>
      </c>
      <c r="B1470">
        <v>39</v>
      </c>
      <c r="C1470" t="s">
        <v>16</v>
      </c>
      <c r="D1470" t="s">
        <v>33</v>
      </c>
      <c r="E1470" t="s">
        <v>38</v>
      </c>
      <c r="F1470" s="1">
        <v>178.64</v>
      </c>
      <c r="G1470" t="s">
        <v>31</v>
      </c>
      <c r="H1470" t="s">
        <v>15</v>
      </c>
      <c r="I1470" s="2">
        <v>3.8</v>
      </c>
      <c r="J1470" s="4">
        <v>20</v>
      </c>
      <c r="K1470" s="3">
        <v>5</v>
      </c>
      <c r="L1470" s="1">
        <f t="shared" si="66"/>
        <v>142.91200000000001</v>
      </c>
      <c r="M1470" t="str" cm="1">
        <f t="array" ref="M1470">_xlfn.IFS(B1470&lt;18,"Under 18",B1470 &lt;=25,"18-25",B1470&lt;=35,"26-35",B1470&lt;=45,"36-45",B1470&lt;=60,"46-60",TRUE,"60+")</f>
        <v>36-45</v>
      </c>
      <c r="N1470" t="str">
        <f t="shared" si="67"/>
        <v>Discounted</v>
      </c>
      <c r="O1470" t="str">
        <f t="shared" si="68"/>
        <v>Returning</v>
      </c>
    </row>
    <row r="1471" spans="1:15" x14ac:dyDescent="0.25">
      <c r="A1471">
        <v>1470</v>
      </c>
      <c r="B1471">
        <v>56</v>
      </c>
      <c r="C1471" t="s">
        <v>11</v>
      </c>
      <c r="D1471" t="s">
        <v>29</v>
      </c>
      <c r="E1471" t="s">
        <v>55</v>
      </c>
      <c r="F1471" s="1">
        <v>48.87</v>
      </c>
      <c r="G1471" t="s">
        <v>24</v>
      </c>
      <c r="H1471" t="s">
        <v>15</v>
      </c>
      <c r="I1471" s="2">
        <v>3.9</v>
      </c>
      <c r="J1471" s="4">
        <v>16</v>
      </c>
      <c r="K1471" s="3">
        <v>3</v>
      </c>
      <c r="L1471" s="1">
        <f t="shared" si="66"/>
        <v>41.050799999999995</v>
      </c>
      <c r="M1471" t="str" cm="1">
        <f t="array" ref="M1471">_xlfn.IFS(B1471&lt;18,"Under 18",B1471 &lt;=25,"18-25",B1471&lt;=35,"26-35",B1471&lt;=45,"36-45",B1471&lt;=60,"46-60",TRUE,"60+")</f>
        <v>46-60</v>
      </c>
      <c r="N1471" t="str">
        <f t="shared" si="67"/>
        <v>Discounted</v>
      </c>
      <c r="O1471" t="str">
        <f t="shared" si="68"/>
        <v>Returning</v>
      </c>
    </row>
    <row r="1472" spans="1:15" x14ac:dyDescent="0.25">
      <c r="A1472">
        <v>1471</v>
      </c>
      <c r="B1472">
        <v>53</v>
      </c>
      <c r="C1472" t="s">
        <v>11</v>
      </c>
      <c r="D1472" t="s">
        <v>12</v>
      </c>
      <c r="E1472" t="s">
        <v>56</v>
      </c>
      <c r="F1472" s="1">
        <v>56.39</v>
      </c>
      <c r="G1472" t="s">
        <v>14</v>
      </c>
      <c r="H1472" t="s">
        <v>15</v>
      </c>
      <c r="I1472" s="2">
        <v>3.1</v>
      </c>
      <c r="J1472" s="4">
        <v>18</v>
      </c>
      <c r="K1472" s="3">
        <v>4</v>
      </c>
      <c r="L1472" s="1">
        <f t="shared" si="66"/>
        <v>46.239800000000002</v>
      </c>
      <c r="M1472" t="str" cm="1">
        <f t="array" ref="M1472">_xlfn.IFS(B1472&lt;18,"Under 18",B1472 &lt;=25,"18-25",B1472&lt;=35,"26-35",B1472&lt;=45,"36-45",B1472&lt;=60,"46-60",TRUE,"60+")</f>
        <v>46-60</v>
      </c>
      <c r="N1472" t="str">
        <f t="shared" si="67"/>
        <v>Discounted</v>
      </c>
      <c r="O1472" t="str">
        <f t="shared" si="68"/>
        <v>Returning</v>
      </c>
    </row>
    <row r="1473" spans="1:15" x14ac:dyDescent="0.25">
      <c r="A1473">
        <v>1472</v>
      </c>
      <c r="B1473">
        <v>46</v>
      </c>
      <c r="C1473" t="s">
        <v>16</v>
      </c>
      <c r="D1473" t="s">
        <v>25</v>
      </c>
      <c r="E1473" t="s">
        <v>54</v>
      </c>
      <c r="F1473" s="1">
        <v>53.3</v>
      </c>
      <c r="G1473" t="s">
        <v>14</v>
      </c>
      <c r="H1473" t="s">
        <v>15</v>
      </c>
      <c r="I1473" s="2">
        <v>2.9</v>
      </c>
      <c r="J1473" s="4">
        <v>13</v>
      </c>
      <c r="K1473" s="3">
        <v>4</v>
      </c>
      <c r="L1473" s="1">
        <f t="shared" si="66"/>
        <v>46.370999999999995</v>
      </c>
      <c r="M1473" t="str" cm="1">
        <f t="array" ref="M1473">_xlfn.IFS(B1473&lt;18,"Under 18",B1473 &lt;=25,"18-25",B1473&lt;=35,"26-35",B1473&lt;=45,"36-45",B1473&lt;=60,"46-60",TRUE,"60+")</f>
        <v>46-60</v>
      </c>
      <c r="N1473" t="str">
        <f t="shared" si="67"/>
        <v>Discounted</v>
      </c>
      <c r="O1473" t="str">
        <f t="shared" si="68"/>
        <v>Returning</v>
      </c>
    </row>
    <row r="1474" spans="1:15" x14ac:dyDescent="0.25">
      <c r="A1474">
        <v>1473</v>
      </c>
      <c r="B1474">
        <v>67</v>
      </c>
      <c r="C1474" t="s">
        <v>16</v>
      </c>
      <c r="D1474" t="s">
        <v>17</v>
      </c>
      <c r="E1474" t="s">
        <v>35</v>
      </c>
      <c r="F1474" s="1">
        <v>62.98</v>
      </c>
      <c r="G1474" t="s">
        <v>31</v>
      </c>
      <c r="H1474" t="s">
        <v>37</v>
      </c>
      <c r="I1474" s="2">
        <v>4.2</v>
      </c>
      <c r="J1474" s="4">
        <v>6</v>
      </c>
      <c r="K1474" s="3">
        <v>3</v>
      </c>
      <c r="L1474" s="1">
        <f t="shared" si="66"/>
        <v>59.201199999999993</v>
      </c>
      <c r="M1474" t="str" cm="1">
        <f t="array" ref="M1474">_xlfn.IFS(B1474&lt;18,"Under 18",B1474 &lt;=25,"18-25",B1474&lt;=35,"26-35",B1474&lt;=45,"36-45",B1474&lt;=60,"46-60",TRUE,"60+")</f>
        <v>60+</v>
      </c>
      <c r="N1474" t="str">
        <f t="shared" si="67"/>
        <v>Discounted</v>
      </c>
      <c r="O1474" t="str">
        <f t="shared" si="68"/>
        <v>Returning</v>
      </c>
    </row>
    <row r="1475" spans="1:15" x14ac:dyDescent="0.25">
      <c r="A1475">
        <v>1474</v>
      </c>
      <c r="B1475">
        <v>59</v>
      </c>
      <c r="C1475" t="s">
        <v>16</v>
      </c>
      <c r="D1475" t="s">
        <v>20</v>
      </c>
      <c r="E1475" t="s">
        <v>21</v>
      </c>
      <c r="F1475" s="1">
        <v>152.31</v>
      </c>
      <c r="G1475" t="s">
        <v>14</v>
      </c>
      <c r="H1475" t="s">
        <v>15</v>
      </c>
      <c r="I1475" s="2">
        <v>3.9</v>
      </c>
      <c r="J1475" s="4">
        <v>16</v>
      </c>
      <c r="K1475" s="3">
        <v>3</v>
      </c>
      <c r="L1475" s="1">
        <f t="shared" ref="L1475:L1538" si="69">F1475 * (1 - J1475 / 100)</f>
        <v>127.9404</v>
      </c>
      <c r="M1475" t="str" cm="1">
        <f t="array" ref="M1475">_xlfn.IFS(B1475&lt;18,"Under 18",B1475 &lt;=25,"18-25",B1475&lt;=35,"26-35",B1475&lt;=45,"36-45",B1475&lt;=60,"46-60",TRUE,"60+")</f>
        <v>46-60</v>
      </c>
      <c r="N1475" t="str">
        <f t="shared" ref="N1475:N1538" si="70">IF(J1475&gt;0,"Discounted","No Discount")</f>
        <v>Discounted</v>
      </c>
      <c r="O1475" t="str">
        <f t="shared" ref="O1475:O1538" si="71">IF(K1475&gt;0,"Returning","New")</f>
        <v>Returning</v>
      </c>
    </row>
    <row r="1476" spans="1:15" x14ac:dyDescent="0.25">
      <c r="A1476">
        <v>1475</v>
      </c>
      <c r="B1476">
        <v>51</v>
      </c>
      <c r="C1476" t="s">
        <v>11</v>
      </c>
      <c r="D1476" t="s">
        <v>29</v>
      </c>
      <c r="E1476" t="s">
        <v>55</v>
      </c>
      <c r="F1476" s="1">
        <v>46.25</v>
      </c>
      <c r="G1476" t="s">
        <v>24</v>
      </c>
      <c r="H1476" t="s">
        <v>15</v>
      </c>
      <c r="I1476" s="2">
        <v>3.9</v>
      </c>
      <c r="J1476" s="4">
        <v>18</v>
      </c>
      <c r="K1476" s="3">
        <v>4</v>
      </c>
      <c r="L1476" s="1">
        <f t="shared" si="69"/>
        <v>37.925000000000004</v>
      </c>
      <c r="M1476" t="str" cm="1">
        <f t="array" ref="M1476">_xlfn.IFS(B1476&lt;18,"Under 18",B1476 &lt;=25,"18-25",B1476&lt;=35,"26-35",B1476&lt;=45,"36-45",B1476&lt;=60,"46-60",TRUE,"60+")</f>
        <v>46-60</v>
      </c>
      <c r="N1476" t="str">
        <f t="shared" si="70"/>
        <v>Discounted</v>
      </c>
      <c r="O1476" t="str">
        <f t="shared" si="71"/>
        <v>Returning</v>
      </c>
    </row>
    <row r="1477" spans="1:15" x14ac:dyDescent="0.25">
      <c r="A1477">
        <v>1476</v>
      </c>
      <c r="B1477">
        <v>22</v>
      </c>
      <c r="C1477" t="s">
        <v>11</v>
      </c>
      <c r="D1477" t="s">
        <v>33</v>
      </c>
      <c r="E1477" t="s">
        <v>34</v>
      </c>
      <c r="F1477" s="1">
        <v>217.07</v>
      </c>
      <c r="G1477" t="s">
        <v>24</v>
      </c>
      <c r="H1477" t="s">
        <v>15</v>
      </c>
      <c r="I1477" s="2">
        <v>3.4</v>
      </c>
      <c r="J1477" s="4">
        <v>16</v>
      </c>
      <c r="K1477" s="3">
        <v>3</v>
      </c>
      <c r="L1477" s="1">
        <f t="shared" si="69"/>
        <v>182.33879999999999</v>
      </c>
      <c r="M1477" t="str" cm="1">
        <f t="array" ref="M1477">_xlfn.IFS(B1477&lt;18,"Under 18",B1477 &lt;=25,"18-25",B1477&lt;=35,"26-35",B1477&lt;=45,"36-45",B1477&lt;=60,"46-60",TRUE,"60+")</f>
        <v>18-25</v>
      </c>
      <c r="N1477" t="str">
        <f t="shared" si="70"/>
        <v>Discounted</v>
      </c>
      <c r="O1477" t="str">
        <f t="shared" si="71"/>
        <v>Returning</v>
      </c>
    </row>
    <row r="1478" spans="1:15" x14ac:dyDescent="0.25">
      <c r="A1478">
        <v>1477</v>
      </c>
      <c r="B1478">
        <v>53</v>
      </c>
      <c r="C1478" t="s">
        <v>11</v>
      </c>
      <c r="D1478" t="s">
        <v>12</v>
      </c>
      <c r="E1478" t="s">
        <v>50</v>
      </c>
      <c r="F1478" s="1">
        <v>46.68</v>
      </c>
      <c r="G1478" t="s">
        <v>14</v>
      </c>
      <c r="H1478" t="s">
        <v>37</v>
      </c>
      <c r="I1478" s="2">
        <v>4.4000000000000004</v>
      </c>
      <c r="J1478" s="4">
        <v>12</v>
      </c>
      <c r="K1478" s="3">
        <v>6</v>
      </c>
      <c r="L1478" s="1">
        <f t="shared" si="69"/>
        <v>41.078400000000002</v>
      </c>
      <c r="M1478" t="str" cm="1">
        <f t="array" ref="M1478">_xlfn.IFS(B1478&lt;18,"Under 18",B1478 &lt;=25,"18-25",B1478&lt;=35,"26-35",B1478&lt;=45,"36-45",B1478&lt;=60,"46-60",TRUE,"60+")</f>
        <v>46-60</v>
      </c>
      <c r="N1478" t="str">
        <f t="shared" si="70"/>
        <v>Discounted</v>
      </c>
      <c r="O1478" t="str">
        <f t="shared" si="71"/>
        <v>Returning</v>
      </c>
    </row>
    <row r="1479" spans="1:15" x14ac:dyDescent="0.25">
      <c r="A1479">
        <v>1478</v>
      </c>
      <c r="B1479">
        <v>70</v>
      </c>
      <c r="C1479" t="s">
        <v>11</v>
      </c>
      <c r="D1479" t="s">
        <v>41</v>
      </c>
      <c r="E1479" t="s">
        <v>45</v>
      </c>
      <c r="F1479" s="1">
        <v>186.33</v>
      </c>
      <c r="G1479" t="s">
        <v>19</v>
      </c>
      <c r="H1479" t="s">
        <v>15</v>
      </c>
      <c r="I1479" s="2">
        <v>4.5999999999999996</v>
      </c>
      <c r="J1479" s="4">
        <v>10</v>
      </c>
      <c r="K1479" s="3">
        <v>5</v>
      </c>
      <c r="L1479" s="1">
        <f t="shared" si="69"/>
        <v>167.697</v>
      </c>
      <c r="M1479" t="str" cm="1">
        <f t="array" ref="M1479">_xlfn.IFS(B1479&lt;18,"Under 18",B1479 &lt;=25,"18-25",B1479&lt;=35,"26-35",B1479&lt;=45,"36-45",B1479&lt;=60,"46-60",TRUE,"60+")</f>
        <v>60+</v>
      </c>
      <c r="N1479" t="str">
        <f t="shared" si="70"/>
        <v>Discounted</v>
      </c>
      <c r="O1479" t="str">
        <f t="shared" si="71"/>
        <v>Returning</v>
      </c>
    </row>
    <row r="1480" spans="1:15" x14ac:dyDescent="0.25">
      <c r="A1480">
        <v>1479</v>
      </c>
      <c r="B1480">
        <v>44</v>
      </c>
      <c r="C1480" t="s">
        <v>11</v>
      </c>
      <c r="D1480" t="s">
        <v>29</v>
      </c>
      <c r="E1480" t="s">
        <v>30</v>
      </c>
      <c r="F1480" s="1">
        <v>34.06</v>
      </c>
      <c r="G1480" t="s">
        <v>14</v>
      </c>
      <c r="H1480" t="s">
        <v>15</v>
      </c>
      <c r="I1480" s="2">
        <v>2.8</v>
      </c>
      <c r="J1480" s="4">
        <v>17</v>
      </c>
      <c r="K1480" s="3">
        <v>6</v>
      </c>
      <c r="L1480" s="1">
        <f t="shared" si="69"/>
        <v>28.2698</v>
      </c>
      <c r="M1480" t="str" cm="1">
        <f t="array" ref="M1480">_xlfn.IFS(B1480&lt;18,"Under 18",B1480 &lt;=25,"18-25",B1480&lt;=35,"26-35",B1480&lt;=45,"36-45",B1480&lt;=60,"46-60",TRUE,"60+")</f>
        <v>36-45</v>
      </c>
      <c r="N1480" t="str">
        <f t="shared" si="70"/>
        <v>Discounted</v>
      </c>
      <c r="O1480" t="str">
        <f t="shared" si="71"/>
        <v>Returning</v>
      </c>
    </row>
    <row r="1481" spans="1:15" x14ac:dyDescent="0.25">
      <c r="A1481">
        <v>1480</v>
      </c>
      <c r="B1481">
        <v>47</v>
      </c>
      <c r="C1481" t="s">
        <v>16</v>
      </c>
      <c r="D1481" t="s">
        <v>33</v>
      </c>
      <c r="E1481" t="s">
        <v>38</v>
      </c>
      <c r="F1481" s="1">
        <v>119.82</v>
      </c>
      <c r="G1481" t="s">
        <v>14</v>
      </c>
      <c r="H1481" t="s">
        <v>15</v>
      </c>
      <c r="I1481" s="2">
        <v>3.5</v>
      </c>
      <c r="J1481" s="4">
        <v>13</v>
      </c>
      <c r="K1481" s="3">
        <v>4</v>
      </c>
      <c r="L1481" s="1">
        <f t="shared" si="69"/>
        <v>104.24339999999999</v>
      </c>
      <c r="M1481" t="str" cm="1">
        <f t="array" ref="M1481">_xlfn.IFS(B1481&lt;18,"Under 18",B1481 &lt;=25,"18-25",B1481&lt;=35,"26-35",B1481&lt;=45,"36-45",B1481&lt;=60,"46-60",TRUE,"60+")</f>
        <v>46-60</v>
      </c>
      <c r="N1481" t="str">
        <f t="shared" si="70"/>
        <v>Discounted</v>
      </c>
      <c r="O1481" t="str">
        <f t="shared" si="71"/>
        <v>Returning</v>
      </c>
    </row>
    <row r="1482" spans="1:15" x14ac:dyDescent="0.25">
      <c r="A1482">
        <v>1481</v>
      </c>
      <c r="B1482">
        <v>38</v>
      </c>
      <c r="C1482" t="s">
        <v>11</v>
      </c>
      <c r="D1482" t="s">
        <v>22</v>
      </c>
      <c r="E1482" t="s">
        <v>43</v>
      </c>
      <c r="F1482" s="1">
        <v>294.52</v>
      </c>
      <c r="G1482" t="s">
        <v>14</v>
      </c>
      <c r="H1482" t="s">
        <v>15</v>
      </c>
      <c r="I1482" s="2">
        <v>3.8</v>
      </c>
      <c r="J1482" s="4">
        <v>16</v>
      </c>
      <c r="K1482" s="3">
        <v>8</v>
      </c>
      <c r="L1482" s="1">
        <f t="shared" si="69"/>
        <v>247.39679999999998</v>
      </c>
      <c r="M1482" t="str" cm="1">
        <f t="array" ref="M1482">_xlfn.IFS(B1482&lt;18,"Under 18",B1482 &lt;=25,"18-25",B1482&lt;=35,"26-35",B1482&lt;=45,"36-45",B1482&lt;=60,"46-60",TRUE,"60+")</f>
        <v>36-45</v>
      </c>
      <c r="N1482" t="str">
        <f t="shared" si="70"/>
        <v>Discounted</v>
      </c>
      <c r="O1482" t="str">
        <f t="shared" si="71"/>
        <v>Returning</v>
      </c>
    </row>
    <row r="1483" spans="1:15" x14ac:dyDescent="0.25">
      <c r="A1483">
        <v>1482</v>
      </c>
      <c r="B1483">
        <v>46</v>
      </c>
      <c r="C1483" t="s">
        <v>16</v>
      </c>
      <c r="D1483" t="s">
        <v>25</v>
      </c>
      <c r="E1483" t="s">
        <v>47</v>
      </c>
      <c r="F1483" s="1">
        <v>71.239999999999995</v>
      </c>
      <c r="G1483" t="s">
        <v>31</v>
      </c>
      <c r="H1483" t="s">
        <v>15</v>
      </c>
      <c r="I1483" s="2">
        <v>4.3</v>
      </c>
      <c r="J1483" s="4">
        <v>15</v>
      </c>
      <c r="K1483" s="3">
        <v>5</v>
      </c>
      <c r="L1483" s="1">
        <f t="shared" si="69"/>
        <v>60.553999999999995</v>
      </c>
      <c r="M1483" t="str" cm="1">
        <f t="array" ref="M1483">_xlfn.IFS(B1483&lt;18,"Under 18",B1483 &lt;=25,"18-25",B1483&lt;=35,"26-35",B1483&lt;=45,"36-45",B1483&lt;=60,"46-60",TRUE,"60+")</f>
        <v>46-60</v>
      </c>
      <c r="N1483" t="str">
        <f t="shared" si="70"/>
        <v>Discounted</v>
      </c>
      <c r="O1483" t="str">
        <f t="shared" si="71"/>
        <v>Returning</v>
      </c>
    </row>
    <row r="1484" spans="1:15" x14ac:dyDescent="0.25">
      <c r="A1484">
        <v>1483</v>
      </c>
      <c r="B1484">
        <v>30</v>
      </c>
      <c r="C1484" t="s">
        <v>11</v>
      </c>
      <c r="D1484" t="s">
        <v>41</v>
      </c>
      <c r="E1484" t="s">
        <v>42</v>
      </c>
      <c r="F1484" s="1">
        <v>151.65</v>
      </c>
      <c r="G1484" t="s">
        <v>31</v>
      </c>
      <c r="H1484" t="s">
        <v>15</v>
      </c>
      <c r="I1484" s="2">
        <v>3.5</v>
      </c>
      <c r="J1484" s="4">
        <v>18</v>
      </c>
      <c r="K1484" s="3">
        <v>4</v>
      </c>
      <c r="L1484" s="1">
        <f t="shared" si="69"/>
        <v>124.35300000000001</v>
      </c>
      <c r="M1484" t="str" cm="1">
        <f t="array" ref="M1484">_xlfn.IFS(B1484&lt;18,"Under 18",B1484 &lt;=25,"18-25",B1484&lt;=35,"26-35",B1484&lt;=45,"36-45",B1484&lt;=60,"46-60",TRUE,"60+")</f>
        <v>26-35</v>
      </c>
      <c r="N1484" t="str">
        <f t="shared" si="70"/>
        <v>Discounted</v>
      </c>
      <c r="O1484" t="str">
        <f t="shared" si="71"/>
        <v>Returning</v>
      </c>
    </row>
    <row r="1485" spans="1:15" x14ac:dyDescent="0.25">
      <c r="A1485">
        <v>1484</v>
      </c>
      <c r="B1485">
        <v>36</v>
      </c>
      <c r="C1485" t="s">
        <v>16</v>
      </c>
      <c r="D1485" t="s">
        <v>20</v>
      </c>
      <c r="E1485" t="s">
        <v>39</v>
      </c>
      <c r="F1485" s="1">
        <v>80.95</v>
      </c>
      <c r="G1485" t="s">
        <v>31</v>
      </c>
      <c r="H1485" t="s">
        <v>15</v>
      </c>
      <c r="I1485" s="2">
        <v>4</v>
      </c>
      <c r="J1485" s="4">
        <v>17</v>
      </c>
      <c r="K1485" s="3">
        <v>6</v>
      </c>
      <c r="L1485" s="1">
        <f t="shared" si="69"/>
        <v>67.188500000000005</v>
      </c>
      <c r="M1485" t="str" cm="1">
        <f t="array" ref="M1485">_xlfn.IFS(B1485&lt;18,"Under 18",B1485 &lt;=25,"18-25",B1485&lt;=35,"26-35",B1485&lt;=45,"36-45",B1485&lt;=60,"46-60",TRUE,"60+")</f>
        <v>36-45</v>
      </c>
      <c r="N1485" t="str">
        <f t="shared" si="70"/>
        <v>Discounted</v>
      </c>
      <c r="O1485" t="str">
        <f t="shared" si="71"/>
        <v>Returning</v>
      </c>
    </row>
    <row r="1486" spans="1:15" x14ac:dyDescent="0.25">
      <c r="A1486">
        <v>1485</v>
      </c>
      <c r="B1486">
        <v>67</v>
      </c>
      <c r="C1486" t="s">
        <v>16</v>
      </c>
      <c r="D1486" t="s">
        <v>20</v>
      </c>
      <c r="E1486" t="s">
        <v>21</v>
      </c>
      <c r="F1486" s="1">
        <v>185.85</v>
      </c>
      <c r="G1486" t="s">
        <v>31</v>
      </c>
      <c r="H1486" t="s">
        <v>15</v>
      </c>
      <c r="I1486" s="2">
        <v>5</v>
      </c>
      <c r="J1486" s="4">
        <v>20</v>
      </c>
      <c r="K1486" s="3">
        <v>10</v>
      </c>
      <c r="L1486" s="1">
        <f t="shared" si="69"/>
        <v>148.68</v>
      </c>
      <c r="M1486" t="str" cm="1">
        <f t="array" ref="M1486">_xlfn.IFS(B1486&lt;18,"Under 18",B1486 &lt;=25,"18-25",B1486&lt;=35,"26-35",B1486&lt;=45,"36-45",B1486&lt;=60,"46-60",TRUE,"60+")</f>
        <v>60+</v>
      </c>
      <c r="N1486" t="str">
        <f t="shared" si="70"/>
        <v>Discounted</v>
      </c>
      <c r="O1486" t="str">
        <f t="shared" si="71"/>
        <v>Returning</v>
      </c>
    </row>
    <row r="1487" spans="1:15" x14ac:dyDescent="0.25">
      <c r="A1487">
        <v>1486</v>
      </c>
      <c r="B1487">
        <v>32</v>
      </c>
      <c r="C1487" t="s">
        <v>16</v>
      </c>
      <c r="D1487" t="s">
        <v>33</v>
      </c>
      <c r="E1487" t="s">
        <v>34</v>
      </c>
      <c r="F1487" s="1">
        <v>77.209999999999994</v>
      </c>
      <c r="G1487" t="s">
        <v>14</v>
      </c>
      <c r="H1487" t="s">
        <v>15</v>
      </c>
      <c r="I1487" s="2">
        <v>4.0999999999999996</v>
      </c>
      <c r="J1487" s="4">
        <v>16</v>
      </c>
      <c r="K1487" s="3">
        <v>3</v>
      </c>
      <c r="L1487" s="1">
        <f t="shared" si="69"/>
        <v>64.856399999999994</v>
      </c>
      <c r="M1487" t="str" cm="1">
        <f t="array" ref="M1487">_xlfn.IFS(B1487&lt;18,"Under 18",B1487 &lt;=25,"18-25",B1487&lt;=35,"26-35",B1487&lt;=45,"36-45",B1487&lt;=60,"46-60",TRUE,"60+")</f>
        <v>26-35</v>
      </c>
      <c r="N1487" t="str">
        <f t="shared" si="70"/>
        <v>Discounted</v>
      </c>
      <c r="O1487" t="str">
        <f t="shared" si="71"/>
        <v>Returning</v>
      </c>
    </row>
    <row r="1488" spans="1:15" x14ac:dyDescent="0.25">
      <c r="A1488">
        <v>1487</v>
      </c>
      <c r="B1488">
        <v>66</v>
      </c>
      <c r="C1488" t="s">
        <v>11</v>
      </c>
      <c r="D1488" t="s">
        <v>41</v>
      </c>
      <c r="E1488" t="s">
        <v>44</v>
      </c>
      <c r="F1488" s="1">
        <v>192.04</v>
      </c>
      <c r="G1488" t="s">
        <v>24</v>
      </c>
      <c r="H1488" t="s">
        <v>15</v>
      </c>
      <c r="I1488" s="2">
        <v>3.9</v>
      </c>
      <c r="J1488" s="4">
        <v>15</v>
      </c>
      <c r="K1488" s="3">
        <v>5</v>
      </c>
      <c r="L1488" s="1">
        <f t="shared" si="69"/>
        <v>163.23399999999998</v>
      </c>
      <c r="M1488" t="str" cm="1">
        <f t="array" ref="M1488">_xlfn.IFS(B1488&lt;18,"Under 18",B1488 &lt;=25,"18-25",B1488&lt;=35,"26-35",B1488&lt;=45,"36-45",B1488&lt;=60,"46-60",TRUE,"60+")</f>
        <v>60+</v>
      </c>
      <c r="N1488" t="str">
        <f t="shared" si="70"/>
        <v>Discounted</v>
      </c>
      <c r="O1488" t="str">
        <f t="shared" si="71"/>
        <v>Returning</v>
      </c>
    </row>
    <row r="1489" spans="1:15" x14ac:dyDescent="0.25">
      <c r="A1489">
        <v>1488</v>
      </c>
      <c r="B1489">
        <v>60</v>
      </c>
      <c r="C1489" t="s">
        <v>11</v>
      </c>
      <c r="D1489" t="s">
        <v>33</v>
      </c>
      <c r="E1489" t="s">
        <v>40</v>
      </c>
      <c r="F1489" s="1">
        <v>73.34</v>
      </c>
      <c r="G1489" t="s">
        <v>31</v>
      </c>
      <c r="H1489" t="s">
        <v>37</v>
      </c>
      <c r="I1489" s="2">
        <v>4.8</v>
      </c>
      <c r="J1489" s="4">
        <v>17</v>
      </c>
      <c r="K1489" s="3">
        <v>6</v>
      </c>
      <c r="L1489" s="1">
        <f t="shared" si="69"/>
        <v>60.872199999999999</v>
      </c>
      <c r="M1489" t="str" cm="1">
        <f t="array" ref="M1489">_xlfn.IFS(B1489&lt;18,"Under 18",B1489 &lt;=25,"18-25",B1489&lt;=35,"26-35",B1489&lt;=45,"36-45",B1489&lt;=60,"46-60",TRUE,"60+")</f>
        <v>46-60</v>
      </c>
      <c r="N1489" t="str">
        <f t="shared" si="70"/>
        <v>Discounted</v>
      </c>
      <c r="O1489" t="str">
        <f t="shared" si="71"/>
        <v>Returning</v>
      </c>
    </row>
    <row r="1490" spans="1:15" x14ac:dyDescent="0.25">
      <c r="A1490">
        <v>1489</v>
      </c>
      <c r="B1490">
        <v>35</v>
      </c>
      <c r="C1490" t="s">
        <v>11</v>
      </c>
      <c r="D1490" t="s">
        <v>33</v>
      </c>
      <c r="E1490" t="s">
        <v>34</v>
      </c>
      <c r="F1490" s="1">
        <v>239.36</v>
      </c>
      <c r="G1490" t="s">
        <v>31</v>
      </c>
      <c r="H1490" t="s">
        <v>15</v>
      </c>
      <c r="I1490" s="2">
        <v>4.3</v>
      </c>
      <c r="J1490" s="4">
        <v>20</v>
      </c>
      <c r="K1490" s="3">
        <v>5</v>
      </c>
      <c r="L1490" s="1">
        <f t="shared" si="69"/>
        <v>191.48800000000003</v>
      </c>
      <c r="M1490" t="str" cm="1">
        <f t="array" ref="M1490">_xlfn.IFS(B1490&lt;18,"Under 18",B1490 &lt;=25,"18-25",B1490&lt;=35,"26-35",B1490&lt;=45,"36-45",B1490&lt;=60,"46-60",TRUE,"60+")</f>
        <v>26-35</v>
      </c>
      <c r="N1490" t="str">
        <f t="shared" si="70"/>
        <v>Discounted</v>
      </c>
      <c r="O1490" t="str">
        <f t="shared" si="71"/>
        <v>Returning</v>
      </c>
    </row>
    <row r="1491" spans="1:15" x14ac:dyDescent="0.25">
      <c r="A1491">
        <v>1490</v>
      </c>
      <c r="B1491">
        <v>26</v>
      </c>
      <c r="C1491" t="s">
        <v>11</v>
      </c>
      <c r="D1491" t="s">
        <v>41</v>
      </c>
      <c r="E1491" t="s">
        <v>42</v>
      </c>
      <c r="F1491" s="1">
        <v>175.79</v>
      </c>
      <c r="G1491" t="s">
        <v>24</v>
      </c>
      <c r="H1491" t="s">
        <v>15</v>
      </c>
      <c r="I1491" s="2">
        <v>3</v>
      </c>
      <c r="J1491" s="4">
        <v>15</v>
      </c>
      <c r="K1491" s="3">
        <v>5</v>
      </c>
      <c r="L1491" s="1">
        <f t="shared" si="69"/>
        <v>149.42149999999998</v>
      </c>
      <c r="M1491" t="str" cm="1">
        <f t="array" ref="M1491">_xlfn.IFS(B1491&lt;18,"Under 18",B1491 &lt;=25,"18-25",B1491&lt;=35,"26-35",B1491&lt;=45,"36-45",B1491&lt;=60,"46-60",TRUE,"60+")</f>
        <v>26-35</v>
      </c>
      <c r="N1491" t="str">
        <f t="shared" si="70"/>
        <v>Discounted</v>
      </c>
      <c r="O1491" t="str">
        <f t="shared" si="71"/>
        <v>Returning</v>
      </c>
    </row>
    <row r="1492" spans="1:15" x14ac:dyDescent="0.25">
      <c r="A1492">
        <v>1491</v>
      </c>
      <c r="B1492">
        <v>57</v>
      </c>
      <c r="C1492" t="s">
        <v>11</v>
      </c>
      <c r="D1492" t="s">
        <v>29</v>
      </c>
      <c r="E1492" t="s">
        <v>55</v>
      </c>
      <c r="F1492" s="1">
        <v>24.93</v>
      </c>
      <c r="G1492" t="s">
        <v>24</v>
      </c>
      <c r="H1492" t="s">
        <v>15</v>
      </c>
      <c r="I1492" s="2">
        <v>4.7</v>
      </c>
      <c r="J1492" s="4">
        <v>18</v>
      </c>
      <c r="K1492" s="3">
        <v>4</v>
      </c>
      <c r="L1492" s="1">
        <f t="shared" si="69"/>
        <v>20.442600000000002</v>
      </c>
      <c r="M1492" t="str" cm="1">
        <f t="array" ref="M1492">_xlfn.IFS(B1492&lt;18,"Under 18",B1492 &lt;=25,"18-25",B1492&lt;=35,"26-35",B1492&lt;=45,"36-45",B1492&lt;=60,"46-60",TRUE,"60+")</f>
        <v>46-60</v>
      </c>
      <c r="N1492" t="str">
        <f t="shared" si="70"/>
        <v>Discounted</v>
      </c>
      <c r="O1492" t="str">
        <f t="shared" si="71"/>
        <v>Returning</v>
      </c>
    </row>
    <row r="1493" spans="1:15" x14ac:dyDescent="0.25">
      <c r="A1493">
        <v>1492</v>
      </c>
      <c r="B1493">
        <v>47</v>
      </c>
      <c r="C1493" t="s">
        <v>11</v>
      </c>
      <c r="D1493" t="s">
        <v>25</v>
      </c>
      <c r="E1493" t="s">
        <v>57</v>
      </c>
      <c r="F1493" s="1">
        <v>34.74</v>
      </c>
      <c r="G1493" t="s">
        <v>19</v>
      </c>
      <c r="H1493" t="s">
        <v>37</v>
      </c>
      <c r="I1493" s="2">
        <v>4.3</v>
      </c>
      <c r="J1493" s="4">
        <v>18</v>
      </c>
      <c r="K1493" s="3">
        <v>4</v>
      </c>
      <c r="L1493" s="1">
        <f t="shared" si="69"/>
        <v>28.486800000000002</v>
      </c>
      <c r="M1493" t="str" cm="1">
        <f t="array" ref="M1493">_xlfn.IFS(B1493&lt;18,"Under 18",B1493 &lt;=25,"18-25",B1493&lt;=35,"26-35",B1493&lt;=45,"36-45",B1493&lt;=60,"46-60",TRUE,"60+")</f>
        <v>46-60</v>
      </c>
      <c r="N1493" t="str">
        <f t="shared" si="70"/>
        <v>Discounted</v>
      </c>
      <c r="O1493" t="str">
        <f t="shared" si="71"/>
        <v>Returning</v>
      </c>
    </row>
    <row r="1494" spans="1:15" x14ac:dyDescent="0.25">
      <c r="A1494">
        <v>1493</v>
      </c>
      <c r="B1494">
        <v>46</v>
      </c>
      <c r="C1494" t="s">
        <v>16</v>
      </c>
      <c r="D1494" t="s">
        <v>25</v>
      </c>
      <c r="E1494" t="s">
        <v>47</v>
      </c>
      <c r="F1494" s="1">
        <v>36.61</v>
      </c>
      <c r="G1494" t="s">
        <v>31</v>
      </c>
      <c r="H1494" t="s">
        <v>15</v>
      </c>
      <c r="I1494" s="2">
        <v>4</v>
      </c>
      <c r="J1494" s="4">
        <v>24</v>
      </c>
      <c r="K1494" s="3">
        <v>7</v>
      </c>
      <c r="L1494" s="1">
        <f t="shared" si="69"/>
        <v>27.823599999999999</v>
      </c>
      <c r="M1494" t="str" cm="1">
        <f t="array" ref="M1494">_xlfn.IFS(B1494&lt;18,"Under 18",B1494 &lt;=25,"18-25",B1494&lt;=35,"26-35",B1494&lt;=45,"36-45",B1494&lt;=60,"46-60",TRUE,"60+")</f>
        <v>46-60</v>
      </c>
      <c r="N1494" t="str">
        <f t="shared" si="70"/>
        <v>Discounted</v>
      </c>
      <c r="O1494" t="str">
        <f t="shared" si="71"/>
        <v>Returning</v>
      </c>
    </row>
    <row r="1495" spans="1:15" x14ac:dyDescent="0.25">
      <c r="A1495">
        <v>1494</v>
      </c>
      <c r="B1495">
        <v>29</v>
      </c>
      <c r="C1495" t="s">
        <v>16</v>
      </c>
      <c r="D1495" t="s">
        <v>27</v>
      </c>
      <c r="E1495" t="s">
        <v>28</v>
      </c>
      <c r="F1495" s="1">
        <v>2302.21</v>
      </c>
      <c r="G1495" t="s">
        <v>24</v>
      </c>
      <c r="H1495" t="s">
        <v>15</v>
      </c>
      <c r="I1495" s="2">
        <v>3.1</v>
      </c>
      <c r="J1495" s="4">
        <v>20</v>
      </c>
      <c r="K1495" s="3">
        <v>5</v>
      </c>
      <c r="L1495" s="1">
        <f t="shared" si="69"/>
        <v>1841.768</v>
      </c>
      <c r="M1495" t="str" cm="1">
        <f t="array" ref="M1495">_xlfn.IFS(B1495&lt;18,"Under 18",B1495 &lt;=25,"18-25",B1495&lt;=35,"26-35",B1495&lt;=45,"36-45",B1495&lt;=60,"46-60",TRUE,"60+")</f>
        <v>26-35</v>
      </c>
      <c r="N1495" t="str">
        <f t="shared" si="70"/>
        <v>Discounted</v>
      </c>
      <c r="O1495" t="str">
        <f t="shared" si="71"/>
        <v>Returning</v>
      </c>
    </row>
    <row r="1496" spans="1:15" x14ac:dyDescent="0.25">
      <c r="A1496">
        <v>1495</v>
      </c>
      <c r="B1496">
        <v>33</v>
      </c>
      <c r="C1496" t="s">
        <v>11</v>
      </c>
      <c r="D1496" t="s">
        <v>29</v>
      </c>
      <c r="E1496" t="s">
        <v>55</v>
      </c>
      <c r="F1496" s="1">
        <v>48.6</v>
      </c>
      <c r="G1496" t="s">
        <v>31</v>
      </c>
      <c r="H1496" t="s">
        <v>37</v>
      </c>
      <c r="I1496" s="2">
        <v>4.0999999999999996</v>
      </c>
      <c r="J1496" s="4">
        <v>11</v>
      </c>
      <c r="K1496" s="3">
        <v>3</v>
      </c>
      <c r="L1496" s="1">
        <f t="shared" si="69"/>
        <v>43.254000000000005</v>
      </c>
      <c r="M1496" t="str" cm="1">
        <f t="array" ref="M1496">_xlfn.IFS(B1496&lt;18,"Under 18",B1496 &lt;=25,"18-25",B1496&lt;=35,"26-35",B1496&lt;=45,"36-45",B1496&lt;=60,"46-60",TRUE,"60+")</f>
        <v>26-35</v>
      </c>
      <c r="N1496" t="str">
        <f t="shared" si="70"/>
        <v>Discounted</v>
      </c>
      <c r="O1496" t="str">
        <f t="shared" si="71"/>
        <v>Returning</v>
      </c>
    </row>
    <row r="1497" spans="1:15" x14ac:dyDescent="0.25">
      <c r="A1497">
        <v>1496</v>
      </c>
      <c r="B1497">
        <v>26</v>
      </c>
      <c r="C1497" t="s">
        <v>16</v>
      </c>
      <c r="D1497" t="s">
        <v>27</v>
      </c>
      <c r="E1497" t="s">
        <v>49</v>
      </c>
      <c r="F1497" s="1">
        <v>534.41</v>
      </c>
      <c r="G1497" t="s">
        <v>14</v>
      </c>
      <c r="H1497" t="s">
        <v>15</v>
      </c>
      <c r="I1497" s="2">
        <v>3.6</v>
      </c>
      <c r="J1497" s="4">
        <v>6</v>
      </c>
      <c r="K1497" s="3">
        <v>3</v>
      </c>
      <c r="L1497" s="1">
        <f t="shared" si="69"/>
        <v>502.34539999999993</v>
      </c>
      <c r="M1497" t="str" cm="1">
        <f t="array" ref="M1497">_xlfn.IFS(B1497&lt;18,"Under 18",B1497 &lt;=25,"18-25",B1497&lt;=35,"26-35",B1497&lt;=45,"36-45",B1497&lt;=60,"46-60",TRUE,"60+")</f>
        <v>26-35</v>
      </c>
      <c r="N1497" t="str">
        <f t="shared" si="70"/>
        <v>Discounted</v>
      </c>
      <c r="O1497" t="str">
        <f t="shared" si="71"/>
        <v>Returning</v>
      </c>
    </row>
    <row r="1498" spans="1:15" x14ac:dyDescent="0.25">
      <c r="A1498">
        <v>1497</v>
      </c>
      <c r="B1498">
        <v>67</v>
      </c>
      <c r="C1498" t="s">
        <v>11</v>
      </c>
      <c r="D1498" t="s">
        <v>12</v>
      </c>
      <c r="E1498" t="s">
        <v>13</v>
      </c>
      <c r="F1498" s="1">
        <v>175.36</v>
      </c>
      <c r="G1498" t="s">
        <v>31</v>
      </c>
      <c r="H1498" t="s">
        <v>15</v>
      </c>
      <c r="I1498" s="2">
        <v>4.0999999999999996</v>
      </c>
      <c r="J1498" s="4">
        <v>26</v>
      </c>
      <c r="K1498" s="3">
        <v>8</v>
      </c>
      <c r="L1498" s="1">
        <f t="shared" si="69"/>
        <v>129.7664</v>
      </c>
      <c r="M1498" t="str" cm="1">
        <f t="array" ref="M1498">_xlfn.IFS(B1498&lt;18,"Under 18",B1498 &lt;=25,"18-25",B1498&lt;=35,"26-35",B1498&lt;=45,"36-45",B1498&lt;=60,"46-60",TRUE,"60+")</f>
        <v>60+</v>
      </c>
      <c r="N1498" t="str">
        <f t="shared" si="70"/>
        <v>Discounted</v>
      </c>
      <c r="O1498" t="str">
        <f t="shared" si="71"/>
        <v>Returning</v>
      </c>
    </row>
    <row r="1499" spans="1:15" x14ac:dyDescent="0.25">
      <c r="A1499">
        <v>1498</v>
      </c>
      <c r="B1499">
        <v>21</v>
      </c>
      <c r="C1499" t="s">
        <v>11</v>
      </c>
      <c r="D1499" t="s">
        <v>12</v>
      </c>
      <c r="E1499" t="s">
        <v>13</v>
      </c>
      <c r="F1499" s="1">
        <v>34.6</v>
      </c>
      <c r="G1499" t="s">
        <v>31</v>
      </c>
      <c r="H1499" t="s">
        <v>37</v>
      </c>
      <c r="I1499" s="2">
        <v>3.1</v>
      </c>
      <c r="J1499" s="4">
        <v>22</v>
      </c>
      <c r="K1499" s="3">
        <v>6</v>
      </c>
      <c r="L1499" s="1">
        <f t="shared" si="69"/>
        <v>26.988000000000003</v>
      </c>
      <c r="M1499" t="str" cm="1">
        <f t="array" ref="M1499">_xlfn.IFS(B1499&lt;18,"Under 18",B1499 &lt;=25,"18-25",B1499&lt;=35,"26-35",B1499&lt;=45,"36-45",B1499&lt;=60,"46-60",TRUE,"60+")</f>
        <v>18-25</v>
      </c>
      <c r="N1499" t="str">
        <f t="shared" si="70"/>
        <v>Discounted</v>
      </c>
      <c r="O1499" t="str">
        <f t="shared" si="71"/>
        <v>Returning</v>
      </c>
    </row>
    <row r="1500" spans="1:15" x14ac:dyDescent="0.25">
      <c r="A1500">
        <v>1499</v>
      </c>
      <c r="B1500">
        <v>26</v>
      </c>
      <c r="C1500" t="s">
        <v>16</v>
      </c>
      <c r="D1500" t="s">
        <v>20</v>
      </c>
      <c r="E1500" t="s">
        <v>36</v>
      </c>
      <c r="F1500" s="1">
        <v>118.37</v>
      </c>
      <c r="G1500" t="s">
        <v>31</v>
      </c>
      <c r="H1500" t="s">
        <v>15</v>
      </c>
      <c r="I1500" s="2">
        <v>3.1</v>
      </c>
      <c r="J1500" s="4">
        <v>2</v>
      </c>
      <c r="K1500" s="3">
        <v>1</v>
      </c>
      <c r="L1500" s="1">
        <f t="shared" si="69"/>
        <v>116.0026</v>
      </c>
      <c r="M1500" t="str" cm="1">
        <f t="array" ref="M1500">_xlfn.IFS(B1500&lt;18,"Under 18",B1500 &lt;=25,"18-25",B1500&lt;=35,"26-35",B1500&lt;=45,"36-45",B1500&lt;=60,"46-60",TRUE,"60+")</f>
        <v>26-35</v>
      </c>
      <c r="N1500" t="str">
        <f t="shared" si="70"/>
        <v>Discounted</v>
      </c>
      <c r="O1500" t="str">
        <f t="shared" si="71"/>
        <v>Returning</v>
      </c>
    </row>
    <row r="1501" spans="1:15" x14ac:dyDescent="0.25">
      <c r="A1501">
        <v>1500</v>
      </c>
      <c r="B1501">
        <v>55</v>
      </c>
      <c r="C1501" t="s">
        <v>16</v>
      </c>
      <c r="D1501" t="s">
        <v>33</v>
      </c>
      <c r="E1501" t="s">
        <v>34</v>
      </c>
      <c r="F1501" s="1">
        <v>203.25</v>
      </c>
      <c r="G1501" t="s">
        <v>19</v>
      </c>
      <c r="H1501" t="s">
        <v>15</v>
      </c>
      <c r="I1501" s="2">
        <v>4.3</v>
      </c>
      <c r="J1501" s="4">
        <v>18</v>
      </c>
      <c r="K1501" s="3">
        <v>4</v>
      </c>
      <c r="L1501" s="1">
        <f t="shared" si="69"/>
        <v>166.66500000000002</v>
      </c>
      <c r="M1501" t="str" cm="1">
        <f t="array" ref="M1501">_xlfn.IFS(B1501&lt;18,"Under 18",B1501 &lt;=25,"18-25",B1501&lt;=35,"26-35",B1501&lt;=45,"36-45",B1501&lt;=60,"46-60",TRUE,"60+")</f>
        <v>46-60</v>
      </c>
      <c r="N1501" t="str">
        <f t="shared" si="70"/>
        <v>Discounted</v>
      </c>
      <c r="O1501" t="str">
        <f t="shared" si="71"/>
        <v>Returning</v>
      </c>
    </row>
    <row r="1502" spans="1:15" x14ac:dyDescent="0.25">
      <c r="A1502">
        <v>1501</v>
      </c>
      <c r="B1502">
        <v>23</v>
      </c>
      <c r="C1502" t="s">
        <v>11</v>
      </c>
      <c r="D1502" t="s">
        <v>33</v>
      </c>
      <c r="E1502" t="s">
        <v>34</v>
      </c>
      <c r="F1502" s="1">
        <v>133.44</v>
      </c>
      <c r="G1502" t="s">
        <v>31</v>
      </c>
      <c r="H1502" t="s">
        <v>15</v>
      </c>
      <c r="I1502" s="2">
        <v>4.7</v>
      </c>
      <c r="J1502" s="4">
        <v>12</v>
      </c>
      <c r="K1502" s="3">
        <v>6</v>
      </c>
      <c r="L1502" s="1">
        <f t="shared" si="69"/>
        <v>117.4272</v>
      </c>
      <c r="M1502" t="str" cm="1">
        <f t="array" ref="M1502">_xlfn.IFS(B1502&lt;18,"Under 18",B1502 &lt;=25,"18-25",B1502&lt;=35,"26-35",B1502&lt;=45,"36-45",B1502&lt;=60,"46-60",TRUE,"60+")</f>
        <v>18-25</v>
      </c>
      <c r="N1502" t="str">
        <f t="shared" si="70"/>
        <v>Discounted</v>
      </c>
      <c r="O1502" t="str">
        <f t="shared" si="71"/>
        <v>Returning</v>
      </c>
    </row>
    <row r="1503" spans="1:15" x14ac:dyDescent="0.25">
      <c r="A1503">
        <v>1502</v>
      </c>
      <c r="B1503">
        <v>21</v>
      </c>
      <c r="C1503" t="s">
        <v>11</v>
      </c>
      <c r="D1503" t="s">
        <v>12</v>
      </c>
      <c r="E1503" t="s">
        <v>13</v>
      </c>
      <c r="F1503" s="1">
        <v>100</v>
      </c>
      <c r="G1503" t="s">
        <v>19</v>
      </c>
      <c r="H1503" t="s">
        <v>37</v>
      </c>
      <c r="I1503" s="2">
        <v>4.0999999999999996</v>
      </c>
      <c r="J1503" s="4">
        <v>15</v>
      </c>
      <c r="K1503" s="3">
        <v>5</v>
      </c>
      <c r="L1503" s="1">
        <f t="shared" si="69"/>
        <v>85</v>
      </c>
      <c r="M1503" t="str" cm="1">
        <f t="array" ref="M1503">_xlfn.IFS(B1503&lt;18,"Under 18",B1503 &lt;=25,"18-25",B1503&lt;=35,"26-35",B1503&lt;=45,"36-45",B1503&lt;=60,"46-60",TRUE,"60+")</f>
        <v>18-25</v>
      </c>
      <c r="N1503" t="str">
        <f t="shared" si="70"/>
        <v>Discounted</v>
      </c>
      <c r="O1503" t="str">
        <f t="shared" si="71"/>
        <v>Returning</v>
      </c>
    </row>
    <row r="1504" spans="1:15" x14ac:dyDescent="0.25">
      <c r="A1504">
        <v>1503</v>
      </c>
      <c r="B1504">
        <v>23</v>
      </c>
      <c r="C1504" t="s">
        <v>11</v>
      </c>
      <c r="D1504" t="s">
        <v>22</v>
      </c>
      <c r="E1504" t="s">
        <v>52</v>
      </c>
      <c r="F1504" s="1">
        <v>55.34</v>
      </c>
      <c r="G1504" t="s">
        <v>24</v>
      </c>
      <c r="H1504" t="s">
        <v>15</v>
      </c>
      <c r="I1504" s="2">
        <v>4.2</v>
      </c>
      <c r="J1504" s="4">
        <v>17</v>
      </c>
      <c r="K1504" s="3">
        <v>6</v>
      </c>
      <c r="L1504" s="1">
        <f t="shared" si="69"/>
        <v>45.932200000000002</v>
      </c>
      <c r="M1504" t="str" cm="1">
        <f t="array" ref="M1504">_xlfn.IFS(B1504&lt;18,"Under 18",B1504 &lt;=25,"18-25",B1504&lt;=35,"26-35",B1504&lt;=45,"36-45",B1504&lt;=60,"46-60",TRUE,"60+")</f>
        <v>18-25</v>
      </c>
      <c r="N1504" t="str">
        <f t="shared" si="70"/>
        <v>Discounted</v>
      </c>
      <c r="O1504" t="str">
        <f t="shared" si="71"/>
        <v>Returning</v>
      </c>
    </row>
    <row r="1505" spans="1:15" x14ac:dyDescent="0.25">
      <c r="A1505">
        <v>1504</v>
      </c>
      <c r="B1505">
        <v>36</v>
      </c>
      <c r="C1505" t="s">
        <v>11</v>
      </c>
      <c r="D1505" t="s">
        <v>33</v>
      </c>
      <c r="E1505" t="s">
        <v>34</v>
      </c>
      <c r="F1505" s="1">
        <v>136.43</v>
      </c>
      <c r="G1505" t="s">
        <v>19</v>
      </c>
      <c r="H1505" t="s">
        <v>15</v>
      </c>
      <c r="I1505" s="2">
        <v>4</v>
      </c>
      <c r="J1505" s="4">
        <v>12</v>
      </c>
      <c r="K1505" s="3">
        <v>6</v>
      </c>
      <c r="L1505" s="1">
        <f t="shared" si="69"/>
        <v>120.05840000000001</v>
      </c>
      <c r="M1505" t="str" cm="1">
        <f t="array" ref="M1505">_xlfn.IFS(B1505&lt;18,"Under 18",B1505 &lt;=25,"18-25",B1505&lt;=35,"26-35",B1505&lt;=45,"36-45",B1505&lt;=60,"46-60",TRUE,"60+")</f>
        <v>36-45</v>
      </c>
      <c r="N1505" t="str">
        <f t="shared" si="70"/>
        <v>Discounted</v>
      </c>
      <c r="O1505" t="str">
        <f t="shared" si="71"/>
        <v>Returning</v>
      </c>
    </row>
    <row r="1506" spans="1:15" x14ac:dyDescent="0.25">
      <c r="A1506">
        <v>1505</v>
      </c>
      <c r="B1506">
        <v>35</v>
      </c>
      <c r="C1506" t="s">
        <v>11</v>
      </c>
      <c r="D1506" t="s">
        <v>41</v>
      </c>
      <c r="E1506" t="s">
        <v>45</v>
      </c>
      <c r="F1506" s="1">
        <v>67.510000000000005</v>
      </c>
      <c r="G1506" t="s">
        <v>19</v>
      </c>
      <c r="H1506" t="s">
        <v>15</v>
      </c>
      <c r="I1506" s="2">
        <v>4.0999999999999996</v>
      </c>
      <c r="J1506" s="4">
        <v>10</v>
      </c>
      <c r="K1506" s="3">
        <v>5</v>
      </c>
      <c r="L1506" s="1">
        <f t="shared" si="69"/>
        <v>60.759000000000007</v>
      </c>
      <c r="M1506" t="str" cm="1">
        <f t="array" ref="M1506">_xlfn.IFS(B1506&lt;18,"Under 18",B1506 &lt;=25,"18-25",B1506&lt;=35,"26-35",B1506&lt;=45,"36-45",B1506&lt;=60,"46-60",TRUE,"60+")</f>
        <v>26-35</v>
      </c>
      <c r="N1506" t="str">
        <f t="shared" si="70"/>
        <v>Discounted</v>
      </c>
      <c r="O1506" t="str">
        <f t="shared" si="71"/>
        <v>Returning</v>
      </c>
    </row>
    <row r="1507" spans="1:15" x14ac:dyDescent="0.25">
      <c r="A1507">
        <v>1506</v>
      </c>
      <c r="B1507">
        <v>29</v>
      </c>
      <c r="C1507" t="s">
        <v>16</v>
      </c>
      <c r="D1507" t="s">
        <v>33</v>
      </c>
      <c r="E1507" t="s">
        <v>40</v>
      </c>
      <c r="F1507" s="1">
        <v>245.39</v>
      </c>
      <c r="G1507" t="s">
        <v>24</v>
      </c>
      <c r="H1507" t="s">
        <v>15</v>
      </c>
      <c r="I1507" s="2">
        <v>4.5</v>
      </c>
      <c r="J1507" s="4">
        <v>15</v>
      </c>
      <c r="K1507" s="3">
        <v>5</v>
      </c>
      <c r="L1507" s="1">
        <f t="shared" si="69"/>
        <v>208.58149999999998</v>
      </c>
      <c r="M1507" t="str" cm="1">
        <f t="array" ref="M1507">_xlfn.IFS(B1507&lt;18,"Under 18",B1507 &lt;=25,"18-25",B1507&lt;=35,"26-35",B1507&lt;=45,"36-45",B1507&lt;=60,"46-60",TRUE,"60+")</f>
        <v>26-35</v>
      </c>
      <c r="N1507" t="str">
        <f t="shared" si="70"/>
        <v>Discounted</v>
      </c>
      <c r="O1507" t="str">
        <f t="shared" si="71"/>
        <v>Returning</v>
      </c>
    </row>
    <row r="1508" spans="1:15" x14ac:dyDescent="0.25">
      <c r="A1508">
        <v>1507</v>
      </c>
      <c r="B1508">
        <v>20</v>
      </c>
      <c r="C1508" t="s">
        <v>16</v>
      </c>
      <c r="D1508" t="s">
        <v>33</v>
      </c>
      <c r="E1508" t="s">
        <v>34</v>
      </c>
      <c r="F1508" s="1">
        <v>113.11</v>
      </c>
      <c r="G1508" t="s">
        <v>31</v>
      </c>
      <c r="H1508" t="s">
        <v>15</v>
      </c>
      <c r="I1508" s="2">
        <v>3.4</v>
      </c>
      <c r="J1508" s="4">
        <v>8</v>
      </c>
      <c r="K1508" s="3">
        <v>4</v>
      </c>
      <c r="L1508" s="1">
        <f t="shared" si="69"/>
        <v>104.0612</v>
      </c>
      <c r="M1508" t="str" cm="1">
        <f t="array" ref="M1508">_xlfn.IFS(B1508&lt;18,"Under 18",B1508 &lt;=25,"18-25",B1508&lt;=35,"26-35",B1508&lt;=45,"36-45",B1508&lt;=60,"46-60",TRUE,"60+")</f>
        <v>18-25</v>
      </c>
      <c r="N1508" t="str">
        <f t="shared" si="70"/>
        <v>Discounted</v>
      </c>
      <c r="O1508" t="str">
        <f t="shared" si="71"/>
        <v>Returning</v>
      </c>
    </row>
    <row r="1509" spans="1:15" x14ac:dyDescent="0.25">
      <c r="A1509">
        <v>1508</v>
      </c>
      <c r="B1509">
        <v>64</v>
      </c>
      <c r="C1509" t="s">
        <v>11</v>
      </c>
      <c r="D1509" t="s">
        <v>33</v>
      </c>
      <c r="E1509" t="s">
        <v>38</v>
      </c>
      <c r="F1509" s="1">
        <v>80.180000000000007</v>
      </c>
      <c r="G1509" t="s">
        <v>19</v>
      </c>
      <c r="H1509" t="s">
        <v>15</v>
      </c>
      <c r="I1509" s="2">
        <v>4.4000000000000004</v>
      </c>
      <c r="J1509" s="4">
        <v>13</v>
      </c>
      <c r="K1509" s="3">
        <v>4</v>
      </c>
      <c r="L1509" s="1">
        <f t="shared" si="69"/>
        <v>69.756600000000006</v>
      </c>
      <c r="M1509" t="str" cm="1">
        <f t="array" ref="M1509">_xlfn.IFS(B1509&lt;18,"Under 18",B1509 &lt;=25,"18-25",B1509&lt;=35,"26-35",B1509&lt;=45,"36-45",B1509&lt;=60,"46-60",TRUE,"60+")</f>
        <v>60+</v>
      </c>
      <c r="N1509" t="str">
        <f t="shared" si="70"/>
        <v>Discounted</v>
      </c>
      <c r="O1509" t="str">
        <f t="shared" si="71"/>
        <v>Returning</v>
      </c>
    </row>
    <row r="1510" spans="1:15" x14ac:dyDescent="0.25">
      <c r="A1510">
        <v>1509</v>
      </c>
      <c r="B1510">
        <v>67</v>
      </c>
      <c r="C1510" t="s">
        <v>16</v>
      </c>
      <c r="D1510" t="s">
        <v>27</v>
      </c>
      <c r="E1510" t="s">
        <v>28</v>
      </c>
      <c r="F1510" s="1">
        <v>1105.76</v>
      </c>
      <c r="G1510" t="s">
        <v>24</v>
      </c>
      <c r="H1510" t="s">
        <v>15</v>
      </c>
      <c r="I1510" s="2">
        <v>3.8</v>
      </c>
      <c r="J1510" s="4">
        <v>19</v>
      </c>
      <c r="K1510" s="3">
        <v>7</v>
      </c>
      <c r="L1510" s="1">
        <f t="shared" si="69"/>
        <v>895.66560000000004</v>
      </c>
      <c r="M1510" t="str" cm="1">
        <f t="array" ref="M1510">_xlfn.IFS(B1510&lt;18,"Under 18",B1510 &lt;=25,"18-25",B1510&lt;=35,"26-35",B1510&lt;=45,"36-45",B1510&lt;=60,"46-60",TRUE,"60+")</f>
        <v>60+</v>
      </c>
      <c r="N1510" t="str">
        <f t="shared" si="70"/>
        <v>Discounted</v>
      </c>
      <c r="O1510" t="str">
        <f t="shared" si="71"/>
        <v>Returning</v>
      </c>
    </row>
    <row r="1511" spans="1:15" x14ac:dyDescent="0.25">
      <c r="A1511">
        <v>1510</v>
      </c>
      <c r="B1511">
        <v>26</v>
      </c>
      <c r="C1511" t="s">
        <v>11</v>
      </c>
      <c r="D1511" t="s">
        <v>33</v>
      </c>
      <c r="E1511" t="s">
        <v>34</v>
      </c>
      <c r="F1511" s="1">
        <v>96.55</v>
      </c>
      <c r="G1511" t="s">
        <v>24</v>
      </c>
      <c r="H1511" t="s">
        <v>37</v>
      </c>
      <c r="I1511" s="2">
        <v>4.5</v>
      </c>
      <c r="J1511" s="4">
        <v>10</v>
      </c>
      <c r="K1511" s="3">
        <v>5</v>
      </c>
      <c r="L1511" s="1">
        <f t="shared" si="69"/>
        <v>86.894999999999996</v>
      </c>
      <c r="M1511" t="str" cm="1">
        <f t="array" ref="M1511">_xlfn.IFS(B1511&lt;18,"Under 18",B1511 &lt;=25,"18-25",B1511&lt;=35,"26-35",B1511&lt;=45,"36-45",B1511&lt;=60,"46-60",TRUE,"60+")</f>
        <v>26-35</v>
      </c>
      <c r="N1511" t="str">
        <f t="shared" si="70"/>
        <v>Discounted</v>
      </c>
      <c r="O1511" t="str">
        <f t="shared" si="71"/>
        <v>Returning</v>
      </c>
    </row>
    <row r="1512" spans="1:15" x14ac:dyDescent="0.25">
      <c r="A1512">
        <v>1511</v>
      </c>
      <c r="B1512">
        <v>54</v>
      </c>
      <c r="C1512" t="s">
        <v>16</v>
      </c>
      <c r="D1512" t="s">
        <v>20</v>
      </c>
      <c r="E1512" t="s">
        <v>39</v>
      </c>
      <c r="F1512" s="1">
        <v>106.35</v>
      </c>
      <c r="G1512" t="s">
        <v>19</v>
      </c>
      <c r="H1512" t="s">
        <v>15</v>
      </c>
      <c r="I1512" s="2">
        <v>4.8</v>
      </c>
      <c r="J1512" s="4">
        <v>16</v>
      </c>
      <c r="K1512" s="3">
        <v>8</v>
      </c>
      <c r="L1512" s="1">
        <f t="shared" si="69"/>
        <v>89.333999999999989</v>
      </c>
      <c r="M1512" t="str" cm="1">
        <f t="array" ref="M1512">_xlfn.IFS(B1512&lt;18,"Under 18",B1512 &lt;=25,"18-25",B1512&lt;=35,"26-35",B1512&lt;=45,"36-45",B1512&lt;=60,"46-60",TRUE,"60+")</f>
        <v>46-60</v>
      </c>
      <c r="N1512" t="str">
        <f t="shared" si="70"/>
        <v>Discounted</v>
      </c>
      <c r="O1512" t="str">
        <f t="shared" si="71"/>
        <v>Returning</v>
      </c>
    </row>
    <row r="1513" spans="1:15" x14ac:dyDescent="0.25">
      <c r="A1513">
        <v>1512</v>
      </c>
      <c r="B1513">
        <v>28</v>
      </c>
      <c r="C1513" t="s">
        <v>11</v>
      </c>
      <c r="D1513" t="s">
        <v>25</v>
      </c>
      <c r="E1513" t="s">
        <v>26</v>
      </c>
      <c r="F1513" s="1">
        <v>13.26</v>
      </c>
      <c r="G1513" t="s">
        <v>19</v>
      </c>
      <c r="H1513" t="s">
        <v>37</v>
      </c>
      <c r="I1513" s="2">
        <v>4.4000000000000004</v>
      </c>
      <c r="J1513" s="4">
        <v>14</v>
      </c>
      <c r="K1513" s="3">
        <v>2</v>
      </c>
      <c r="L1513" s="1">
        <f t="shared" si="69"/>
        <v>11.403599999999999</v>
      </c>
      <c r="M1513" t="str" cm="1">
        <f t="array" ref="M1513">_xlfn.IFS(B1513&lt;18,"Under 18",B1513 &lt;=25,"18-25",B1513&lt;=35,"26-35",B1513&lt;=45,"36-45",B1513&lt;=60,"46-60",TRUE,"60+")</f>
        <v>26-35</v>
      </c>
      <c r="N1513" t="str">
        <f t="shared" si="70"/>
        <v>Discounted</v>
      </c>
      <c r="O1513" t="str">
        <f t="shared" si="71"/>
        <v>Returning</v>
      </c>
    </row>
    <row r="1514" spans="1:15" x14ac:dyDescent="0.25">
      <c r="A1514">
        <v>1513</v>
      </c>
      <c r="B1514">
        <v>64</v>
      </c>
      <c r="C1514" t="s">
        <v>11</v>
      </c>
      <c r="D1514" t="s">
        <v>41</v>
      </c>
      <c r="E1514" t="s">
        <v>45</v>
      </c>
      <c r="F1514" s="1">
        <v>180.55</v>
      </c>
      <c r="G1514" t="s">
        <v>19</v>
      </c>
      <c r="H1514" t="s">
        <v>15</v>
      </c>
      <c r="I1514" s="2">
        <v>3.9</v>
      </c>
      <c r="J1514" s="4">
        <v>4</v>
      </c>
      <c r="K1514" s="3">
        <v>2</v>
      </c>
      <c r="L1514" s="1">
        <f t="shared" si="69"/>
        <v>173.328</v>
      </c>
      <c r="M1514" t="str" cm="1">
        <f t="array" ref="M1514">_xlfn.IFS(B1514&lt;18,"Under 18",B1514 &lt;=25,"18-25",B1514&lt;=35,"26-35",B1514&lt;=45,"36-45",B1514&lt;=60,"46-60",TRUE,"60+")</f>
        <v>60+</v>
      </c>
      <c r="N1514" t="str">
        <f t="shared" si="70"/>
        <v>Discounted</v>
      </c>
      <c r="O1514" t="str">
        <f t="shared" si="71"/>
        <v>Returning</v>
      </c>
    </row>
    <row r="1515" spans="1:15" x14ac:dyDescent="0.25">
      <c r="A1515">
        <v>1514</v>
      </c>
      <c r="B1515">
        <v>32</v>
      </c>
      <c r="C1515" t="s">
        <v>11</v>
      </c>
      <c r="D1515" t="s">
        <v>41</v>
      </c>
      <c r="E1515" t="s">
        <v>44</v>
      </c>
      <c r="F1515" s="1">
        <v>156.68</v>
      </c>
      <c r="G1515" t="s">
        <v>14</v>
      </c>
      <c r="H1515" t="s">
        <v>15</v>
      </c>
      <c r="I1515" s="2">
        <v>4.3</v>
      </c>
      <c r="J1515" s="4">
        <v>6</v>
      </c>
      <c r="K1515" s="3">
        <v>3</v>
      </c>
      <c r="L1515" s="1">
        <f t="shared" si="69"/>
        <v>147.2792</v>
      </c>
      <c r="M1515" t="str" cm="1">
        <f t="array" ref="M1515">_xlfn.IFS(B1515&lt;18,"Under 18",B1515 &lt;=25,"18-25",B1515&lt;=35,"26-35",B1515&lt;=45,"36-45",B1515&lt;=60,"46-60",TRUE,"60+")</f>
        <v>26-35</v>
      </c>
      <c r="N1515" t="str">
        <f t="shared" si="70"/>
        <v>Discounted</v>
      </c>
      <c r="O1515" t="str">
        <f t="shared" si="71"/>
        <v>Returning</v>
      </c>
    </row>
    <row r="1516" spans="1:15" x14ac:dyDescent="0.25">
      <c r="A1516">
        <v>1515</v>
      </c>
      <c r="B1516">
        <v>44</v>
      </c>
      <c r="C1516" t="s">
        <v>16</v>
      </c>
      <c r="D1516" t="s">
        <v>20</v>
      </c>
      <c r="E1516" t="s">
        <v>36</v>
      </c>
      <c r="F1516" s="1">
        <v>187.98</v>
      </c>
      <c r="G1516" t="s">
        <v>24</v>
      </c>
      <c r="H1516" t="s">
        <v>15</v>
      </c>
      <c r="I1516" s="2">
        <v>3.6</v>
      </c>
      <c r="J1516" s="4">
        <v>19</v>
      </c>
      <c r="K1516" s="3">
        <v>7</v>
      </c>
      <c r="L1516" s="1">
        <f t="shared" si="69"/>
        <v>152.2638</v>
      </c>
      <c r="M1516" t="str" cm="1">
        <f t="array" ref="M1516">_xlfn.IFS(B1516&lt;18,"Under 18",B1516 &lt;=25,"18-25",B1516&lt;=35,"26-35",B1516&lt;=45,"36-45",B1516&lt;=60,"46-60",TRUE,"60+")</f>
        <v>36-45</v>
      </c>
      <c r="N1516" t="str">
        <f t="shared" si="70"/>
        <v>Discounted</v>
      </c>
      <c r="O1516" t="str">
        <f t="shared" si="71"/>
        <v>Returning</v>
      </c>
    </row>
    <row r="1517" spans="1:15" x14ac:dyDescent="0.25">
      <c r="A1517">
        <v>1516</v>
      </c>
      <c r="B1517">
        <v>31</v>
      </c>
      <c r="C1517" t="s">
        <v>11</v>
      </c>
      <c r="D1517" t="s">
        <v>29</v>
      </c>
      <c r="E1517" t="s">
        <v>30</v>
      </c>
      <c r="F1517" s="1">
        <v>117.64</v>
      </c>
      <c r="G1517" t="s">
        <v>24</v>
      </c>
      <c r="H1517" t="s">
        <v>15</v>
      </c>
      <c r="I1517" s="2">
        <v>3.8</v>
      </c>
      <c r="J1517" s="4">
        <v>21</v>
      </c>
      <c r="K1517" s="3">
        <v>8</v>
      </c>
      <c r="L1517" s="1">
        <f t="shared" si="69"/>
        <v>92.935600000000008</v>
      </c>
      <c r="M1517" t="str" cm="1">
        <f t="array" ref="M1517">_xlfn.IFS(B1517&lt;18,"Under 18",B1517 &lt;=25,"18-25",B1517&lt;=35,"26-35",B1517&lt;=45,"36-45",B1517&lt;=60,"46-60",TRUE,"60+")</f>
        <v>26-35</v>
      </c>
      <c r="N1517" t="str">
        <f t="shared" si="70"/>
        <v>Discounted</v>
      </c>
      <c r="O1517" t="str">
        <f t="shared" si="71"/>
        <v>Returning</v>
      </c>
    </row>
    <row r="1518" spans="1:15" x14ac:dyDescent="0.25">
      <c r="A1518">
        <v>1517</v>
      </c>
      <c r="B1518">
        <v>46</v>
      </c>
      <c r="C1518" t="s">
        <v>16</v>
      </c>
      <c r="D1518" t="s">
        <v>20</v>
      </c>
      <c r="E1518" t="s">
        <v>39</v>
      </c>
      <c r="F1518" s="1">
        <v>153.87</v>
      </c>
      <c r="G1518" t="s">
        <v>24</v>
      </c>
      <c r="H1518" t="s">
        <v>15</v>
      </c>
      <c r="I1518" s="2">
        <v>4.3</v>
      </c>
      <c r="J1518" s="4">
        <v>12</v>
      </c>
      <c r="K1518" s="3">
        <v>6</v>
      </c>
      <c r="L1518" s="1">
        <f t="shared" si="69"/>
        <v>135.40559999999999</v>
      </c>
      <c r="M1518" t="str" cm="1">
        <f t="array" ref="M1518">_xlfn.IFS(B1518&lt;18,"Under 18",B1518 &lt;=25,"18-25",B1518&lt;=35,"26-35",B1518&lt;=45,"36-45",B1518&lt;=60,"46-60",TRUE,"60+")</f>
        <v>46-60</v>
      </c>
      <c r="N1518" t="str">
        <f t="shared" si="70"/>
        <v>Discounted</v>
      </c>
      <c r="O1518" t="str">
        <f t="shared" si="71"/>
        <v>Returning</v>
      </c>
    </row>
    <row r="1519" spans="1:15" x14ac:dyDescent="0.25">
      <c r="A1519">
        <v>1518</v>
      </c>
      <c r="B1519">
        <v>23</v>
      </c>
      <c r="C1519" t="s">
        <v>11</v>
      </c>
      <c r="D1519" t="s">
        <v>20</v>
      </c>
      <c r="E1519" t="s">
        <v>39</v>
      </c>
      <c r="F1519" s="1">
        <v>42.64</v>
      </c>
      <c r="G1519" t="s">
        <v>19</v>
      </c>
      <c r="H1519" t="s">
        <v>15</v>
      </c>
      <c r="I1519" s="2">
        <v>3.4</v>
      </c>
      <c r="J1519" s="4">
        <v>4</v>
      </c>
      <c r="K1519" s="3">
        <v>2</v>
      </c>
      <c r="L1519" s="1">
        <f t="shared" si="69"/>
        <v>40.934399999999997</v>
      </c>
      <c r="M1519" t="str" cm="1">
        <f t="array" ref="M1519">_xlfn.IFS(B1519&lt;18,"Under 18",B1519 &lt;=25,"18-25",B1519&lt;=35,"26-35",B1519&lt;=45,"36-45",B1519&lt;=60,"46-60",TRUE,"60+")</f>
        <v>18-25</v>
      </c>
      <c r="N1519" t="str">
        <f t="shared" si="70"/>
        <v>Discounted</v>
      </c>
      <c r="O1519" t="str">
        <f t="shared" si="71"/>
        <v>Returning</v>
      </c>
    </row>
    <row r="1520" spans="1:15" x14ac:dyDescent="0.25">
      <c r="A1520">
        <v>1519</v>
      </c>
      <c r="B1520">
        <v>31</v>
      </c>
      <c r="C1520" t="s">
        <v>16</v>
      </c>
      <c r="D1520" t="s">
        <v>27</v>
      </c>
      <c r="E1520" t="s">
        <v>32</v>
      </c>
      <c r="F1520" s="1">
        <v>2438.54</v>
      </c>
      <c r="G1520" t="s">
        <v>31</v>
      </c>
      <c r="H1520" t="s">
        <v>15</v>
      </c>
      <c r="I1520" s="2">
        <v>4.5</v>
      </c>
      <c r="J1520" s="4">
        <v>8</v>
      </c>
      <c r="K1520" s="3">
        <v>4</v>
      </c>
      <c r="L1520" s="1">
        <f t="shared" si="69"/>
        <v>2243.4567999999999</v>
      </c>
      <c r="M1520" t="str" cm="1">
        <f t="array" ref="M1520">_xlfn.IFS(B1520&lt;18,"Under 18",B1520 &lt;=25,"18-25",B1520&lt;=35,"26-35",B1520&lt;=45,"36-45",B1520&lt;=60,"46-60",TRUE,"60+")</f>
        <v>26-35</v>
      </c>
      <c r="N1520" t="str">
        <f t="shared" si="70"/>
        <v>Discounted</v>
      </c>
      <c r="O1520" t="str">
        <f t="shared" si="71"/>
        <v>Returning</v>
      </c>
    </row>
    <row r="1521" spans="1:15" x14ac:dyDescent="0.25">
      <c r="A1521">
        <v>1520</v>
      </c>
      <c r="B1521">
        <v>47</v>
      </c>
      <c r="C1521" t="s">
        <v>16</v>
      </c>
      <c r="D1521" t="s">
        <v>33</v>
      </c>
      <c r="E1521" t="s">
        <v>38</v>
      </c>
      <c r="F1521" s="1">
        <v>135.83000000000001</v>
      </c>
      <c r="G1521" t="s">
        <v>24</v>
      </c>
      <c r="H1521" t="s">
        <v>15</v>
      </c>
      <c r="I1521" s="2">
        <v>4.5999999999999996</v>
      </c>
      <c r="J1521" s="4">
        <v>17</v>
      </c>
      <c r="K1521" s="3">
        <v>6</v>
      </c>
      <c r="L1521" s="1">
        <f t="shared" si="69"/>
        <v>112.7389</v>
      </c>
      <c r="M1521" t="str" cm="1">
        <f t="array" ref="M1521">_xlfn.IFS(B1521&lt;18,"Under 18",B1521 &lt;=25,"18-25",B1521&lt;=35,"26-35",B1521&lt;=45,"36-45",B1521&lt;=60,"46-60",TRUE,"60+")</f>
        <v>46-60</v>
      </c>
      <c r="N1521" t="str">
        <f t="shared" si="70"/>
        <v>Discounted</v>
      </c>
      <c r="O1521" t="str">
        <f t="shared" si="71"/>
        <v>Returning</v>
      </c>
    </row>
    <row r="1522" spans="1:15" x14ac:dyDescent="0.25">
      <c r="A1522">
        <v>1521</v>
      </c>
      <c r="B1522">
        <v>43</v>
      </c>
      <c r="C1522" t="s">
        <v>16</v>
      </c>
      <c r="D1522" t="s">
        <v>33</v>
      </c>
      <c r="E1522" t="s">
        <v>38</v>
      </c>
      <c r="F1522" s="1">
        <v>160.25</v>
      </c>
      <c r="G1522" t="s">
        <v>24</v>
      </c>
      <c r="H1522" t="s">
        <v>15</v>
      </c>
      <c r="I1522" s="2">
        <v>4.8</v>
      </c>
      <c r="J1522" s="4">
        <v>28</v>
      </c>
      <c r="K1522" s="3">
        <v>9</v>
      </c>
      <c r="L1522" s="1">
        <f t="shared" si="69"/>
        <v>115.38</v>
      </c>
      <c r="M1522" t="str" cm="1">
        <f t="array" ref="M1522">_xlfn.IFS(B1522&lt;18,"Under 18",B1522 &lt;=25,"18-25",B1522&lt;=35,"26-35",B1522&lt;=45,"36-45",B1522&lt;=60,"46-60",TRUE,"60+")</f>
        <v>36-45</v>
      </c>
      <c r="N1522" t="str">
        <f t="shared" si="70"/>
        <v>Discounted</v>
      </c>
      <c r="O1522" t="str">
        <f t="shared" si="71"/>
        <v>Returning</v>
      </c>
    </row>
    <row r="1523" spans="1:15" x14ac:dyDescent="0.25">
      <c r="A1523">
        <v>1522</v>
      </c>
      <c r="B1523">
        <v>27</v>
      </c>
      <c r="C1523" t="s">
        <v>11</v>
      </c>
      <c r="D1523" t="s">
        <v>29</v>
      </c>
      <c r="E1523" t="s">
        <v>51</v>
      </c>
      <c r="F1523" s="1">
        <v>68.53</v>
      </c>
      <c r="G1523" t="s">
        <v>19</v>
      </c>
      <c r="H1523" t="s">
        <v>15</v>
      </c>
      <c r="I1523" s="2">
        <v>3.7</v>
      </c>
      <c r="J1523" s="4">
        <v>17</v>
      </c>
      <c r="K1523" s="3">
        <v>6</v>
      </c>
      <c r="L1523" s="1">
        <f t="shared" si="69"/>
        <v>56.879899999999999</v>
      </c>
      <c r="M1523" t="str" cm="1">
        <f t="array" ref="M1523">_xlfn.IFS(B1523&lt;18,"Under 18",B1523 &lt;=25,"18-25",B1523&lt;=35,"26-35",B1523&lt;=45,"36-45",B1523&lt;=60,"46-60",TRUE,"60+")</f>
        <v>26-35</v>
      </c>
      <c r="N1523" t="str">
        <f t="shared" si="70"/>
        <v>Discounted</v>
      </c>
      <c r="O1523" t="str">
        <f t="shared" si="71"/>
        <v>Returning</v>
      </c>
    </row>
    <row r="1524" spans="1:15" x14ac:dyDescent="0.25">
      <c r="A1524">
        <v>1523</v>
      </c>
      <c r="B1524">
        <v>37</v>
      </c>
      <c r="C1524" t="s">
        <v>11</v>
      </c>
      <c r="D1524" t="s">
        <v>41</v>
      </c>
      <c r="E1524" t="s">
        <v>44</v>
      </c>
      <c r="F1524" s="1">
        <v>64.5</v>
      </c>
      <c r="G1524" t="s">
        <v>14</v>
      </c>
      <c r="H1524" t="s">
        <v>37</v>
      </c>
      <c r="I1524" s="2">
        <v>4</v>
      </c>
      <c r="J1524" s="4">
        <v>6</v>
      </c>
      <c r="K1524" s="3">
        <v>3</v>
      </c>
      <c r="L1524" s="1">
        <f t="shared" si="69"/>
        <v>60.629999999999995</v>
      </c>
      <c r="M1524" t="str" cm="1">
        <f t="array" ref="M1524">_xlfn.IFS(B1524&lt;18,"Under 18",B1524 &lt;=25,"18-25",B1524&lt;=35,"26-35",B1524&lt;=45,"36-45",B1524&lt;=60,"46-60",TRUE,"60+")</f>
        <v>36-45</v>
      </c>
      <c r="N1524" t="str">
        <f t="shared" si="70"/>
        <v>Discounted</v>
      </c>
      <c r="O1524" t="str">
        <f t="shared" si="71"/>
        <v>Returning</v>
      </c>
    </row>
    <row r="1525" spans="1:15" x14ac:dyDescent="0.25">
      <c r="A1525">
        <v>1524</v>
      </c>
      <c r="B1525">
        <v>57</v>
      </c>
      <c r="C1525" t="s">
        <v>11</v>
      </c>
      <c r="D1525" t="s">
        <v>20</v>
      </c>
      <c r="E1525" t="s">
        <v>39</v>
      </c>
      <c r="F1525" s="1">
        <v>213.01</v>
      </c>
      <c r="G1525" t="s">
        <v>24</v>
      </c>
      <c r="H1525" t="s">
        <v>15</v>
      </c>
      <c r="I1525" s="2">
        <v>4.3</v>
      </c>
      <c r="J1525" s="4">
        <v>9</v>
      </c>
      <c r="K1525" s="3">
        <v>2</v>
      </c>
      <c r="L1525" s="1">
        <f t="shared" si="69"/>
        <v>193.8391</v>
      </c>
      <c r="M1525" t="str" cm="1">
        <f t="array" ref="M1525">_xlfn.IFS(B1525&lt;18,"Under 18",B1525 &lt;=25,"18-25",B1525&lt;=35,"26-35",B1525&lt;=45,"36-45",B1525&lt;=60,"46-60",TRUE,"60+")</f>
        <v>46-60</v>
      </c>
      <c r="N1525" t="str">
        <f t="shared" si="70"/>
        <v>Discounted</v>
      </c>
      <c r="O1525" t="str">
        <f t="shared" si="71"/>
        <v>Returning</v>
      </c>
    </row>
    <row r="1526" spans="1:15" x14ac:dyDescent="0.25">
      <c r="A1526">
        <v>1525</v>
      </c>
      <c r="B1526">
        <v>44</v>
      </c>
      <c r="C1526" t="s">
        <v>16</v>
      </c>
      <c r="D1526" t="s">
        <v>33</v>
      </c>
      <c r="E1526" t="s">
        <v>40</v>
      </c>
      <c r="F1526" s="1">
        <v>175.76</v>
      </c>
      <c r="G1526" t="s">
        <v>19</v>
      </c>
      <c r="H1526" t="s">
        <v>15</v>
      </c>
      <c r="I1526" s="2">
        <v>4.7</v>
      </c>
      <c r="J1526" s="4">
        <v>21</v>
      </c>
      <c r="K1526" s="3">
        <v>8</v>
      </c>
      <c r="L1526" s="1">
        <f t="shared" si="69"/>
        <v>138.85040000000001</v>
      </c>
      <c r="M1526" t="str" cm="1">
        <f t="array" ref="M1526">_xlfn.IFS(B1526&lt;18,"Under 18",B1526 &lt;=25,"18-25",B1526&lt;=35,"26-35",B1526&lt;=45,"36-45",B1526&lt;=60,"46-60",TRUE,"60+")</f>
        <v>36-45</v>
      </c>
      <c r="N1526" t="str">
        <f t="shared" si="70"/>
        <v>Discounted</v>
      </c>
      <c r="O1526" t="str">
        <f t="shared" si="71"/>
        <v>Returning</v>
      </c>
    </row>
    <row r="1527" spans="1:15" x14ac:dyDescent="0.25">
      <c r="A1527">
        <v>1526</v>
      </c>
      <c r="B1527">
        <v>51</v>
      </c>
      <c r="C1527" t="s">
        <v>16</v>
      </c>
      <c r="D1527" t="s">
        <v>33</v>
      </c>
      <c r="E1527" t="s">
        <v>34</v>
      </c>
      <c r="F1527" s="1">
        <v>136.07</v>
      </c>
      <c r="G1527" t="s">
        <v>19</v>
      </c>
      <c r="H1527" t="s">
        <v>15</v>
      </c>
      <c r="I1527" s="2">
        <v>4.3</v>
      </c>
      <c r="J1527" s="4">
        <v>26</v>
      </c>
      <c r="K1527" s="3">
        <v>8</v>
      </c>
      <c r="L1527" s="1">
        <f t="shared" si="69"/>
        <v>100.6918</v>
      </c>
      <c r="M1527" t="str" cm="1">
        <f t="array" ref="M1527">_xlfn.IFS(B1527&lt;18,"Under 18",B1527 &lt;=25,"18-25",B1527&lt;=35,"26-35",B1527&lt;=45,"36-45",B1527&lt;=60,"46-60",TRUE,"60+")</f>
        <v>46-60</v>
      </c>
      <c r="N1527" t="str">
        <f t="shared" si="70"/>
        <v>Discounted</v>
      </c>
      <c r="O1527" t="str">
        <f t="shared" si="71"/>
        <v>Returning</v>
      </c>
    </row>
    <row r="1528" spans="1:15" x14ac:dyDescent="0.25">
      <c r="A1528">
        <v>1527</v>
      </c>
      <c r="B1528">
        <v>66</v>
      </c>
      <c r="C1528" t="s">
        <v>16</v>
      </c>
      <c r="D1528" t="s">
        <v>27</v>
      </c>
      <c r="E1528" t="s">
        <v>53</v>
      </c>
      <c r="F1528" s="1">
        <v>632.67999999999995</v>
      </c>
      <c r="G1528" t="s">
        <v>24</v>
      </c>
      <c r="H1528" t="s">
        <v>15</v>
      </c>
      <c r="I1528" s="2">
        <v>5</v>
      </c>
      <c r="J1528" s="4">
        <v>24</v>
      </c>
      <c r="K1528" s="3">
        <v>7</v>
      </c>
      <c r="L1528" s="1">
        <f t="shared" si="69"/>
        <v>480.83679999999998</v>
      </c>
      <c r="M1528" t="str" cm="1">
        <f t="array" ref="M1528">_xlfn.IFS(B1528&lt;18,"Under 18",B1528 &lt;=25,"18-25",B1528&lt;=35,"26-35",B1528&lt;=45,"36-45",B1528&lt;=60,"46-60",TRUE,"60+")</f>
        <v>60+</v>
      </c>
      <c r="N1528" t="str">
        <f t="shared" si="70"/>
        <v>Discounted</v>
      </c>
      <c r="O1528" t="str">
        <f t="shared" si="71"/>
        <v>Returning</v>
      </c>
    </row>
    <row r="1529" spans="1:15" x14ac:dyDescent="0.25">
      <c r="A1529">
        <v>1528</v>
      </c>
      <c r="B1529">
        <v>68</v>
      </c>
      <c r="C1529" t="s">
        <v>16</v>
      </c>
      <c r="D1529" t="s">
        <v>20</v>
      </c>
      <c r="E1529" t="s">
        <v>21</v>
      </c>
      <c r="F1529" s="1">
        <v>213.91</v>
      </c>
      <c r="G1529" t="s">
        <v>31</v>
      </c>
      <c r="H1529" t="s">
        <v>15</v>
      </c>
      <c r="I1529" s="2">
        <v>3.3</v>
      </c>
      <c r="J1529" s="4">
        <v>4</v>
      </c>
      <c r="K1529" s="3">
        <v>2</v>
      </c>
      <c r="L1529" s="1">
        <f t="shared" si="69"/>
        <v>205.3536</v>
      </c>
      <c r="M1529" t="str" cm="1">
        <f t="array" ref="M1529">_xlfn.IFS(B1529&lt;18,"Under 18",B1529 &lt;=25,"18-25",B1529&lt;=35,"26-35",B1529&lt;=45,"36-45",B1529&lt;=60,"46-60",TRUE,"60+")</f>
        <v>60+</v>
      </c>
      <c r="N1529" t="str">
        <f t="shared" si="70"/>
        <v>Discounted</v>
      </c>
      <c r="O1529" t="str">
        <f t="shared" si="71"/>
        <v>Returning</v>
      </c>
    </row>
    <row r="1530" spans="1:15" x14ac:dyDescent="0.25">
      <c r="A1530">
        <v>1529</v>
      </c>
      <c r="B1530">
        <v>52</v>
      </c>
      <c r="C1530" t="s">
        <v>16</v>
      </c>
      <c r="D1530" t="s">
        <v>27</v>
      </c>
      <c r="E1530" t="s">
        <v>28</v>
      </c>
      <c r="F1530" s="1">
        <v>631.19000000000005</v>
      </c>
      <c r="G1530" t="s">
        <v>31</v>
      </c>
      <c r="H1530" t="s">
        <v>15</v>
      </c>
      <c r="I1530" s="2">
        <v>4.7</v>
      </c>
      <c r="J1530" s="4">
        <v>17</v>
      </c>
      <c r="K1530" s="3">
        <v>6</v>
      </c>
      <c r="L1530" s="1">
        <f t="shared" si="69"/>
        <v>523.8877</v>
      </c>
      <c r="M1530" t="str" cm="1">
        <f t="array" ref="M1530">_xlfn.IFS(B1530&lt;18,"Under 18",B1530 &lt;=25,"18-25",B1530&lt;=35,"26-35",B1530&lt;=45,"36-45",B1530&lt;=60,"46-60",TRUE,"60+")</f>
        <v>46-60</v>
      </c>
      <c r="N1530" t="str">
        <f t="shared" si="70"/>
        <v>Discounted</v>
      </c>
      <c r="O1530" t="str">
        <f t="shared" si="71"/>
        <v>Returning</v>
      </c>
    </row>
    <row r="1531" spans="1:15" x14ac:dyDescent="0.25">
      <c r="A1531">
        <v>1530</v>
      </c>
      <c r="B1531">
        <v>30</v>
      </c>
      <c r="C1531" t="s">
        <v>11</v>
      </c>
      <c r="D1531" t="s">
        <v>33</v>
      </c>
      <c r="E1531" t="s">
        <v>38</v>
      </c>
      <c r="F1531" s="1">
        <v>122.86</v>
      </c>
      <c r="G1531" t="s">
        <v>24</v>
      </c>
      <c r="H1531" t="s">
        <v>15</v>
      </c>
      <c r="I1531" s="2">
        <v>2.9</v>
      </c>
      <c r="J1531" s="4">
        <v>10</v>
      </c>
      <c r="K1531" s="3">
        <v>5</v>
      </c>
      <c r="L1531" s="1">
        <f t="shared" si="69"/>
        <v>110.574</v>
      </c>
      <c r="M1531" t="str" cm="1">
        <f t="array" ref="M1531">_xlfn.IFS(B1531&lt;18,"Under 18",B1531 &lt;=25,"18-25",B1531&lt;=35,"26-35",B1531&lt;=45,"36-45",B1531&lt;=60,"46-60",TRUE,"60+")</f>
        <v>26-35</v>
      </c>
      <c r="N1531" t="str">
        <f t="shared" si="70"/>
        <v>Discounted</v>
      </c>
      <c r="O1531" t="str">
        <f t="shared" si="71"/>
        <v>Returning</v>
      </c>
    </row>
    <row r="1532" spans="1:15" x14ac:dyDescent="0.25">
      <c r="A1532">
        <v>1531</v>
      </c>
      <c r="B1532">
        <v>50</v>
      </c>
      <c r="C1532" t="s">
        <v>11</v>
      </c>
      <c r="D1532" t="s">
        <v>41</v>
      </c>
      <c r="E1532" t="s">
        <v>44</v>
      </c>
      <c r="F1532" s="1">
        <v>146.57</v>
      </c>
      <c r="G1532" t="s">
        <v>14</v>
      </c>
      <c r="H1532" t="s">
        <v>15</v>
      </c>
      <c r="I1532" s="2">
        <v>3.3</v>
      </c>
      <c r="J1532" s="4">
        <v>17</v>
      </c>
      <c r="K1532" s="3">
        <v>6</v>
      </c>
      <c r="L1532" s="1">
        <f t="shared" si="69"/>
        <v>121.65309999999999</v>
      </c>
      <c r="M1532" t="str" cm="1">
        <f t="array" ref="M1532">_xlfn.IFS(B1532&lt;18,"Under 18",B1532 &lt;=25,"18-25",B1532&lt;=35,"26-35",B1532&lt;=45,"36-45",B1532&lt;=60,"46-60",TRUE,"60+")</f>
        <v>46-60</v>
      </c>
      <c r="N1532" t="str">
        <f t="shared" si="70"/>
        <v>Discounted</v>
      </c>
      <c r="O1532" t="str">
        <f t="shared" si="71"/>
        <v>Returning</v>
      </c>
    </row>
    <row r="1533" spans="1:15" x14ac:dyDescent="0.25">
      <c r="A1533">
        <v>1532</v>
      </c>
      <c r="B1533">
        <v>58</v>
      </c>
      <c r="C1533" t="s">
        <v>16</v>
      </c>
      <c r="D1533" t="s">
        <v>22</v>
      </c>
      <c r="E1533" t="s">
        <v>43</v>
      </c>
      <c r="F1533" s="1">
        <v>171.7</v>
      </c>
      <c r="G1533" t="s">
        <v>24</v>
      </c>
      <c r="H1533" t="s">
        <v>15</v>
      </c>
      <c r="I1533" s="2">
        <v>3.7</v>
      </c>
      <c r="J1533" s="4">
        <v>12</v>
      </c>
      <c r="K1533" s="3">
        <v>6</v>
      </c>
      <c r="L1533" s="1">
        <f t="shared" si="69"/>
        <v>151.096</v>
      </c>
      <c r="M1533" t="str" cm="1">
        <f t="array" ref="M1533">_xlfn.IFS(B1533&lt;18,"Under 18",B1533 &lt;=25,"18-25",B1533&lt;=35,"26-35",B1533&lt;=45,"36-45",B1533&lt;=60,"46-60",TRUE,"60+")</f>
        <v>46-60</v>
      </c>
      <c r="N1533" t="str">
        <f t="shared" si="70"/>
        <v>Discounted</v>
      </c>
      <c r="O1533" t="str">
        <f t="shared" si="71"/>
        <v>Returning</v>
      </c>
    </row>
    <row r="1534" spans="1:15" x14ac:dyDescent="0.25">
      <c r="A1534">
        <v>1533</v>
      </c>
      <c r="B1534">
        <v>36</v>
      </c>
      <c r="C1534" t="s">
        <v>16</v>
      </c>
      <c r="D1534" t="s">
        <v>27</v>
      </c>
      <c r="E1534" t="s">
        <v>32</v>
      </c>
      <c r="F1534" s="1">
        <v>1385.6</v>
      </c>
      <c r="G1534" t="s">
        <v>19</v>
      </c>
      <c r="H1534" t="s">
        <v>15</v>
      </c>
      <c r="I1534" s="2">
        <v>3.4</v>
      </c>
      <c r="J1534" s="4">
        <v>8</v>
      </c>
      <c r="K1534" s="3">
        <v>4</v>
      </c>
      <c r="L1534" s="1">
        <f t="shared" si="69"/>
        <v>1274.752</v>
      </c>
      <c r="M1534" t="str" cm="1">
        <f t="array" ref="M1534">_xlfn.IFS(B1534&lt;18,"Under 18",B1534 &lt;=25,"18-25",B1534&lt;=35,"26-35",B1534&lt;=45,"36-45",B1534&lt;=60,"46-60",TRUE,"60+")</f>
        <v>36-45</v>
      </c>
      <c r="N1534" t="str">
        <f t="shared" si="70"/>
        <v>Discounted</v>
      </c>
      <c r="O1534" t="str">
        <f t="shared" si="71"/>
        <v>Returning</v>
      </c>
    </row>
    <row r="1535" spans="1:15" x14ac:dyDescent="0.25">
      <c r="A1535">
        <v>1534</v>
      </c>
      <c r="B1535">
        <v>38</v>
      </c>
      <c r="C1535" t="s">
        <v>16</v>
      </c>
      <c r="D1535" t="s">
        <v>17</v>
      </c>
      <c r="E1535" t="s">
        <v>42</v>
      </c>
      <c r="F1535" s="1">
        <v>91</v>
      </c>
      <c r="G1535" t="s">
        <v>19</v>
      </c>
      <c r="H1535" t="s">
        <v>37</v>
      </c>
      <c r="I1535" s="2">
        <v>4.2</v>
      </c>
      <c r="J1535" s="4">
        <v>14</v>
      </c>
      <c r="K1535" s="3">
        <v>7</v>
      </c>
      <c r="L1535" s="1">
        <f t="shared" si="69"/>
        <v>78.260000000000005</v>
      </c>
      <c r="M1535" t="str" cm="1">
        <f t="array" ref="M1535">_xlfn.IFS(B1535&lt;18,"Under 18",B1535 &lt;=25,"18-25",B1535&lt;=35,"26-35",B1535&lt;=45,"36-45",B1535&lt;=60,"46-60",TRUE,"60+")</f>
        <v>36-45</v>
      </c>
      <c r="N1535" t="str">
        <f t="shared" si="70"/>
        <v>Discounted</v>
      </c>
      <c r="O1535" t="str">
        <f t="shared" si="71"/>
        <v>Returning</v>
      </c>
    </row>
    <row r="1536" spans="1:15" x14ac:dyDescent="0.25">
      <c r="A1536">
        <v>1535</v>
      </c>
      <c r="B1536">
        <v>23</v>
      </c>
      <c r="C1536" t="s">
        <v>16</v>
      </c>
      <c r="D1536" t="s">
        <v>33</v>
      </c>
      <c r="E1536" t="s">
        <v>40</v>
      </c>
      <c r="F1536" s="1">
        <v>191.42</v>
      </c>
      <c r="G1536" t="s">
        <v>24</v>
      </c>
      <c r="H1536" t="s">
        <v>15</v>
      </c>
      <c r="I1536" s="2">
        <v>3.9</v>
      </c>
      <c r="J1536" s="4">
        <v>18</v>
      </c>
      <c r="K1536" s="3">
        <v>4</v>
      </c>
      <c r="L1536" s="1">
        <f t="shared" si="69"/>
        <v>156.96440000000001</v>
      </c>
      <c r="M1536" t="str" cm="1">
        <f t="array" ref="M1536">_xlfn.IFS(B1536&lt;18,"Under 18",B1536 &lt;=25,"18-25",B1536&lt;=35,"26-35",B1536&lt;=45,"36-45",B1536&lt;=60,"46-60",TRUE,"60+")</f>
        <v>18-25</v>
      </c>
      <c r="N1536" t="str">
        <f t="shared" si="70"/>
        <v>Discounted</v>
      </c>
      <c r="O1536" t="str">
        <f t="shared" si="71"/>
        <v>Returning</v>
      </c>
    </row>
    <row r="1537" spans="1:15" x14ac:dyDescent="0.25">
      <c r="A1537">
        <v>1536</v>
      </c>
      <c r="B1537">
        <v>56</v>
      </c>
      <c r="C1537" t="s">
        <v>11</v>
      </c>
      <c r="D1537" t="s">
        <v>12</v>
      </c>
      <c r="E1537" t="s">
        <v>13</v>
      </c>
      <c r="F1537" s="1">
        <v>114.28</v>
      </c>
      <c r="G1537" t="s">
        <v>31</v>
      </c>
      <c r="H1537" t="s">
        <v>15</v>
      </c>
      <c r="I1537" s="2">
        <v>4</v>
      </c>
      <c r="J1537" s="4">
        <v>20</v>
      </c>
      <c r="K1537" s="3">
        <v>5</v>
      </c>
      <c r="L1537" s="1">
        <f t="shared" si="69"/>
        <v>91.424000000000007</v>
      </c>
      <c r="M1537" t="str" cm="1">
        <f t="array" ref="M1537">_xlfn.IFS(B1537&lt;18,"Under 18",B1537 &lt;=25,"18-25",B1537&lt;=35,"26-35",B1537&lt;=45,"36-45",B1537&lt;=60,"46-60",TRUE,"60+")</f>
        <v>46-60</v>
      </c>
      <c r="N1537" t="str">
        <f t="shared" si="70"/>
        <v>Discounted</v>
      </c>
      <c r="O1537" t="str">
        <f t="shared" si="71"/>
        <v>Returning</v>
      </c>
    </row>
    <row r="1538" spans="1:15" x14ac:dyDescent="0.25">
      <c r="A1538">
        <v>1537</v>
      </c>
      <c r="B1538">
        <v>46</v>
      </c>
      <c r="C1538" t="s">
        <v>16</v>
      </c>
      <c r="D1538" t="s">
        <v>25</v>
      </c>
      <c r="E1538" t="s">
        <v>26</v>
      </c>
      <c r="F1538" s="1">
        <v>48.42</v>
      </c>
      <c r="G1538" t="s">
        <v>31</v>
      </c>
      <c r="H1538" t="s">
        <v>15</v>
      </c>
      <c r="I1538" s="2">
        <v>3.7</v>
      </c>
      <c r="J1538" s="4">
        <v>19</v>
      </c>
      <c r="K1538" s="3">
        <v>7</v>
      </c>
      <c r="L1538" s="1">
        <f t="shared" si="69"/>
        <v>39.220200000000006</v>
      </c>
      <c r="M1538" t="str" cm="1">
        <f t="array" ref="M1538">_xlfn.IFS(B1538&lt;18,"Under 18",B1538 &lt;=25,"18-25",B1538&lt;=35,"26-35",B1538&lt;=45,"36-45",B1538&lt;=60,"46-60",TRUE,"60+")</f>
        <v>46-60</v>
      </c>
      <c r="N1538" t="str">
        <f t="shared" si="70"/>
        <v>Discounted</v>
      </c>
      <c r="O1538" t="str">
        <f t="shared" si="71"/>
        <v>Returning</v>
      </c>
    </row>
    <row r="1539" spans="1:15" x14ac:dyDescent="0.25">
      <c r="A1539">
        <v>1538</v>
      </c>
      <c r="B1539">
        <v>48</v>
      </c>
      <c r="C1539" t="s">
        <v>16</v>
      </c>
      <c r="D1539" t="s">
        <v>33</v>
      </c>
      <c r="E1539" t="s">
        <v>40</v>
      </c>
      <c r="F1539" s="1">
        <v>84.31</v>
      </c>
      <c r="G1539" t="s">
        <v>19</v>
      </c>
      <c r="H1539" t="s">
        <v>37</v>
      </c>
      <c r="I1539" s="2">
        <v>4.5</v>
      </c>
      <c r="J1539" s="4">
        <v>10</v>
      </c>
      <c r="K1539" s="3">
        <v>0</v>
      </c>
      <c r="L1539" s="1">
        <f t="shared" ref="L1539:L1602" si="72">F1539 * (1 - J1539 / 100)</f>
        <v>75.879000000000005</v>
      </c>
      <c r="M1539" t="str" cm="1">
        <f t="array" ref="M1539">_xlfn.IFS(B1539&lt;18,"Under 18",B1539 &lt;=25,"18-25",B1539&lt;=35,"26-35",B1539&lt;=45,"36-45",B1539&lt;=60,"46-60",TRUE,"60+")</f>
        <v>46-60</v>
      </c>
      <c r="N1539" t="str">
        <f t="shared" ref="N1539:N1602" si="73">IF(J1539&gt;0,"Discounted","No Discount")</f>
        <v>Discounted</v>
      </c>
      <c r="O1539" t="str">
        <f t="shared" ref="O1539:O1602" si="74">IF(K1539&gt;0,"Returning","New")</f>
        <v>New</v>
      </c>
    </row>
    <row r="1540" spans="1:15" x14ac:dyDescent="0.25">
      <c r="A1540">
        <v>1539</v>
      </c>
      <c r="B1540">
        <v>40</v>
      </c>
      <c r="C1540" t="s">
        <v>16</v>
      </c>
      <c r="D1540" t="s">
        <v>33</v>
      </c>
      <c r="E1540" t="s">
        <v>38</v>
      </c>
      <c r="F1540" s="1">
        <v>73.92</v>
      </c>
      <c r="G1540" t="s">
        <v>19</v>
      </c>
      <c r="H1540" t="s">
        <v>15</v>
      </c>
      <c r="I1540" s="2">
        <v>3.4</v>
      </c>
      <c r="J1540" s="4">
        <v>24</v>
      </c>
      <c r="K1540" s="3">
        <v>7</v>
      </c>
      <c r="L1540" s="1">
        <f t="shared" si="72"/>
        <v>56.179200000000002</v>
      </c>
      <c r="M1540" t="str" cm="1">
        <f t="array" ref="M1540">_xlfn.IFS(B1540&lt;18,"Under 18",B1540 &lt;=25,"18-25",B1540&lt;=35,"26-35",B1540&lt;=45,"36-45",B1540&lt;=60,"46-60",TRUE,"60+")</f>
        <v>36-45</v>
      </c>
      <c r="N1540" t="str">
        <f t="shared" si="73"/>
        <v>Discounted</v>
      </c>
      <c r="O1540" t="str">
        <f t="shared" si="74"/>
        <v>Returning</v>
      </c>
    </row>
    <row r="1541" spans="1:15" x14ac:dyDescent="0.25">
      <c r="A1541">
        <v>1540</v>
      </c>
      <c r="B1541">
        <v>47</v>
      </c>
      <c r="C1541" t="s">
        <v>16</v>
      </c>
      <c r="D1541" t="s">
        <v>33</v>
      </c>
      <c r="E1541" t="s">
        <v>38</v>
      </c>
      <c r="F1541" s="1">
        <v>67.400000000000006</v>
      </c>
      <c r="G1541" t="s">
        <v>31</v>
      </c>
      <c r="H1541" t="s">
        <v>37</v>
      </c>
      <c r="I1541" s="2">
        <v>4.3</v>
      </c>
      <c r="J1541" s="4">
        <v>7</v>
      </c>
      <c r="K1541" s="3">
        <v>1</v>
      </c>
      <c r="L1541" s="1">
        <f t="shared" si="72"/>
        <v>62.682000000000002</v>
      </c>
      <c r="M1541" t="str" cm="1">
        <f t="array" ref="M1541">_xlfn.IFS(B1541&lt;18,"Under 18",B1541 &lt;=25,"18-25",B1541&lt;=35,"26-35",B1541&lt;=45,"36-45",B1541&lt;=60,"46-60",TRUE,"60+")</f>
        <v>46-60</v>
      </c>
      <c r="N1541" t="str">
        <f t="shared" si="73"/>
        <v>Discounted</v>
      </c>
      <c r="O1541" t="str">
        <f t="shared" si="74"/>
        <v>Returning</v>
      </c>
    </row>
    <row r="1542" spans="1:15" x14ac:dyDescent="0.25">
      <c r="A1542">
        <v>1541</v>
      </c>
      <c r="B1542">
        <v>67</v>
      </c>
      <c r="C1542" t="s">
        <v>16</v>
      </c>
      <c r="D1542" t="s">
        <v>22</v>
      </c>
      <c r="E1542" t="s">
        <v>52</v>
      </c>
      <c r="F1542" s="1">
        <v>295.08999999999997</v>
      </c>
      <c r="G1542" t="s">
        <v>14</v>
      </c>
      <c r="H1542" t="s">
        <v>15</v>
      </c>
      <c r="I1542" s="2">
        <v>3.6</v>
      </c>
      <c r="J1542" s="4">
        <v>4</v>
      </c>
      <c r="K1542" s="3">
        <v>2</v>
      </c>
      <c r="L1542" s="1">
        <f t="shared" si="72"/>
        <v>283.28639999999996</v>
      </c>
      <c r="M1542" t="str" cm="1">
        <f t="array" ref="M1542">_xlfn.IFS(B1542&lt;18,"Under 18",B1542 &lt;=25,"18-25",B1542&lt;=35,"26-35",B1542&lt;=45,"36-45",B1542&lt;=60,"46-60",TRUE,"60+")</f>
        <v>60+</v>
      </c>
      <c r="N1542" t="str">
        <f t="shared" si="73"/>
        <v>Discounted</v>
      </c>
      <c r="O1542" t="str">
        <f t="shared" si="74"/>
        <v>Returning</v>
      </c>
    </row>
    <row r="1543" spans="1:15" x14ac:dyDescent="0.25">
      <c r="A1543">
        <v>1542</v>
      </c>
      <c r="B1543">
        <v>30</v>
      </c>
      <c r="C1543" t="s">
        <v>11</v>
      </c>
      <c r="D1543" t="s">
        <v>33</v>
      </c>
      <c r="E1543" t="s">
        <v>40</v>
      </c>
      <c r="F1543" s="1">
        <v>121.3</v>
      </c>
      <c r="G1543" t="s">
        <v>19</v>
      </c>
      <c r="H1543" t="s">
        <v>15</v>
      </c>
      <c r="I1543" s="2">
        <v>3.1</v>
      </c>
      <c r="J1543" s="4">
        <v>10</v>
      </c>
      <c r="K1543" s="3">
        <v>5</v>
      </c>
      <c r="L1543" s="1">
        <f t="shared" si="72"/>
        <v>109.17</v>
      </c>
      <c r="M1543" t="str" cm="1">
        <f t="array" ref="M1543">_xlfn.IFS(B1543&lt;18,"Under 18",B1543 &lt;=25,"18-25",B1543&lt;=35,"26-35",B1543&lt;=45,"36-45",B1543&lt;=60,"46-60",TRUE,"60+")</f>
        <v>26-35</v>
      </c>
      <c r="N1543" t="str">
        <f t="shared" si="73"/>
        <v>Discounted</v>
      </c>
      <c r="O1543" t="str">
        <f t="shared" si="74"/>
        <v>Returning</v>
      </c>
    </row>
    <row r="1544" spans="1:15" x14ac:dyDescent="0.25">
      <c r="A1544">
        <v>1543</v>
      </c>
      <c r="B1544">
        <v>46</v>
      </c>
      <c r="C1544" t="s">
        <v>16</v>
      </c>
      <c r="D1544" t="s">
        <v>27</v>
      </c>
      <c r="E1544" t="s">
        <v>53</v>
      </c>
      <c r="F1544" s="1">
        <v>2344.0300000000002</v>
      </c>
      <c r="G1544" t="s">
        <v>14</v>
      </c>
      <c r="H1544" t="s">
        <v>15</v>
      </c>
      <c r="I1544" s="2">
        <v>4.8</v>
      </c>
      <c r="J1544" s="4">
        <v>17</v>
      </c>
      <c r="K1544" s="3">
        <v>6</v>
      </c>
      <c r="L1544" s="1">
        <f t="shared" si="72"/>
        <v>1945.5449000000001</v>
      </c>
      <c r="M1544" t="str" cm="1">
        <f t="array" ref="M1544">_xlfn.IFS(B1544&lt;18,"Under 18",B1544 &lt;=25,"18-25",B1544&lt;=35,"26-35",B1544&lt;=45,"36-45",B1544&lt;=60,"46-60",TRUE,"60+")</f>
        <v>46-60</v>
      </c>
      <c r="N1544" t="str">
        <f t="shared" si="73"/>
        <v>Discounted</v>
      </c>
      <c r="O1544" t="str">
        <f t="shared" si="74"/>
        <v>Returning</v>
      </c>
    </row>
    <row r="1545" spans="1:15" x14ac:dyDescent="0.25">
      <c r="A1545">
        <v>1544</v>
      </c>
      <c r="B1545">
        <v>64</v>
      </c>
      <c r="C1545" t="s">
        <v>11</v>
      </c>
      <c r="D1545" t="s">
        <v>29</v>
      </c>
      <c r="E1545" t="s">
        <v>51</v>
      </c>
      <c r="F1545" s="1">
        <v>87.85</v>
      </c>
      <c r="G1545" t="s">
        <v>19</v>
      </c>
      <c r="H1545" t="s">
        <v>37</v>
      </c>
      <c r="I1545" s="2">
        <v>2.1</v>
      </c>
      <c r="J1545" s="4">
        <v>16</v>
      </c>
      <c r="K1545" s="3">
        <v>8</v>
      </c>
      <c r="L1545" s="1">
        <f t="shared" si="72"/>
        <v>73.793999999999997</v>
      </c>
      <c r="M1545" t="str" cm="1">
        <f t="array" ref="M1545">_xlfn.IFS(B1545&lt;18,"Under 18",B1545 &lt;=25,"18-25",B1545&lt;=35,"26-35",B1545&lt;=45,"36-45",B1545&lt;=60,"46-60",TRUE,"60+")</f>
        <v>60+</v>
      </c>
      <c r="N1545" t="str">
        <f t="shared" si="73"/>
        <v>Discounted</v>
      </c>
      <c r="O1545" t="str">
        <f t="shared" si="74"/>
        <v>Returning</v>
      </c>
    </row>
    <row r="1546" spans="1:15" x14ac:dyDescent="0.25">
      <c r="A1546">
        <v>1545</v>
      </c>
      <c r="B1546">
        <v>50</v>
      </c>
      <c r="C1546" t="s">
        <v>11</v>
      </c>
      <c r="D1546" t="s">
        <v>29</v>
      </c>
      <c r="E1546" t="s">
        <v>51</v>
      </c>
      <c r="F1546" s="1">
        <v>31.22</v>
      </c>
      <c r="G1546" t="s">
        <v>19</v>
      </c>
      <c r="H1546" t="s">
        <v>15</v>
      </c>
      <c r="I1546" s="2">
        <v>3.8</v>
      </c>
      <c r="J1546" s="4">
        <v>20</v>
      </c>
      <c r="K1546" s="3">
        <v>10</v>
      </c>
      <c r="L1546" s="1">
        <f t="shared" si="72"/>
        <v>24.975999999999999</v>
      </c>
      <c r="M1546" t="str" cm="1">
        <f t="array" ref="M1546">_xlfn.IFS(B1546&lt;18,"Under 18",B1546 &lt;=25,"18-25",B1546&lt;=35,"26-35",B1546&lt;=45,"36-45",B1546&lt;=60,"46-60",TRUE,"60+")</f>
        <v>46-60</v>
      </c>
      <c r="N1546" t="str">
        <f t="shared" si="73"/>
        <v>Discounted</v>
      </c>
      <c r="O1546" t="str">
        <f t="shared" si="74"/>
        <v>Returning</v>
      </c>
    </row>
    <row r="1547" spans="1:15" x14ac:dyDescent="0.25">
      <c r="A1547">
        <v>1546</v>
      </c>
      <c r="B1547">
        <v>60</v>
      </c>
      <c r="C1547" t="s">
        <v>11</v>
      </c>
      <c r="D1547" t="s">
        <v>12</v>
      </c>
      <c r="E1547" t="s">
        <v>56</v>
      </c>
      <c r="F1547" s="1">
        <v>74.33</v>
      </c>
      <c r="G1547" t="s">
        <v>24</v>
      </c>
      <c r="H1547" t="s">
        <v>15</v>
      </c>
      <c r="I1547" s="2">
        <v>3.8</v>
      </c>
      <c r="J1547" s="4">
        <v>24</v>
      </c>
      <c r="K1547" s="3">
        <v>7</v>
      </c>
      <c r="L1547" s="1">
        <f t="shared" si="72"/>
        <v>56.4908</v>
      </c>
      <c r="M1547" t="str" cm="1">
        <f t="array" ref="M1547">_xlfn.IFS(B1547&lt;18,"Under 18",B1547 &lt;=25,"18-25",B1547&lt;=35,"26-35",B1547&lt;=45,"36-45",B1547&lt;=60,"46-60",TRUE,"60+")</f>
        <v>46-60</v>
      </c>
      <c r="N1547" t="str">
        <f t="shared" si="73"/>
        <v>Discounted</v>
      </c>
      <c r="O1547" t="str">
        <f t="shared" si="74"/>
        <v>Returning</v>
      </c>
    </row>
    <row r="1548" spans="1:15" x14ac:dyDescent="0.25">
      <c r="A1548">
        <v>1547</v>
      </c>
      <c r="B1548">
        <v>36</v>
      </c>
      <c r="C1548" t="s">
        <v>11</v>
      </c>
      <c r="D1548" t="s">
        <v>20</v>
      </c>
      <c r="E1548" t="s">
        <v>39</v>
      </c>
      <c r="F1548" s="1">
        <v>142.80000000000001</v>
      </c>
      <c r="G1548" t="s">
        <v>24</v>
      </c>
      <c r="H1548" t="s">
        <v>15</v>
      </c>
      <c r="I1548" s="2">
        <v>5</v>
      </c>
      <c r="J1548" s="4">
        <v>18</v>
      </c>
      <c r="K1548" s="3">
        <v>4</v>
      </c>
      <c r="L1548" s="1">
        <f t="shared" si="72"/>
        <v>117.09600000000002</v>
      </c>
      <c r="M1548" t="str" cm="1">
        <f t="array" ref="M1548">_xlfn.IFS(B1548&lt;18,"Under 18",B1548 &lt;=25,"18-25",B1548&lt;=35,"26-35",B1548&lt;=45,"36-45",B1548&lt;=60,"46-60",TRUE,"60+")</f>
        <v>36-45</v>
      </c>
      <c r="N1548" t="str">
        <f t="shared" si="73"/>
        <v>Discounted</v>
      </c>
      <c r="O1548" t="str">
        <f t="shared" si="74"/>
        <v>Returning</v>
      </c>
    </row>
    <row r="1549" spans="1:15" x14ac:dyDescent="0.25">
      <c r="A1549">
        <v>1548</v>
      </c>
      <c r="B1549">
        <v>25</v>
      </c>
      <c r="C1549" t="s">
        <v>16</v>
      </c>
      <c r="D1549" t="s">
        <v>20</v>
      </c>
      <c r="E1549" t="s">
        <v>21</v>
      </c>
      <c r="F1549" s="1">
        <v>76.08</v>
      </c>
      <c r="G1549" t="s">
        <v>31</v>
      </c>
      <c r="H1549" t="s">
        <v>15</v>
      </c>
      <c r="I1549" s="2">
        <v>3.7</v>
      </c>
      <c r="J1549" s="4">
        <v>16</v>
      </c>
      <c r="K1549" s="3">
        <v>3</v>
      </c>
      <c r="L1549" s="1">
        <f t="shared" si="72"/>
        <v>63.907199999999996</v>
      </c>
      <c r="M1549" t="str" cm="1">
        <f t="array" ref="M1549">_xlfn.IFS(B1549&lt;18,"Under 18",B1549 &lt;=25,"18-25",B1549&lt;=35,"26-35",B1549&lt;=45,"36-45",B1549&lt;=60,"46-60",TRUE,"60+")</f>
        <v>18-25</v>
      </c>
      <c r="N1549" t="str">
        <f t="shared" si="73"/>
        <v>Discounted</v>
      </c>
      <c r="O1549" t="str">
        <f t="shared" si="74"/>
        <v>Returning</v>
      </c>
    </row>
    <row r="1550" spans="1:15" x14ac:dyDescent="0.25">
      <c r="A1550">
        <v>1549</v>
      </c>
      <c r="B1550">
        <v>59</v>
      </c>
      <c r="C1550" t="s">
        <v>16</v>
      </c>
      <c r="D1550" t="s">
        <v>17</v>
      </c>
      <c r="E1550" t="s">
        <v>18</v>
      </c>
      <c r="F1550" s="1">
        <v>71.09</v>
      </c>
      <c r="G1550" t="s">
        <v>19</v>
      </c>
      <c r="H1550" t="s">
        <v>37</v>
      </c>
      <c r="I1550" s="2">
        <v>3.8</v>
      </c>
      <c r="J1550" s="4">
        <v>10</v>
      </c>
      <c r="K1550" s="3">
        <v>5</v>
      </c>
      <c r="L1550" s="1">
        <f t="shared" si="72"/>
        <v>63.981000000000002</v>
      </c>
      <c r="M1550" t="str" cm="1">
        <f t="array" ref="M1550">_xlfn.IFS(B1550&lt;18,"Under 18",B1550 &lt;=25,"18-25",B1550&lt;=35,"26-35",B1550&lt;=45,"36-45",B1550&lt;=60,"46-60",TRUE,"60+")</f>
        <v>46-60</v>
      </c>
      <c r="N1550" t="str">
        <f t="shared" si="73"/>
        <v>Discounted</v>
      </c>
      <c r="O1550" t="str">
        <f t="shared" si="74"/>
        <v>Returning</v>
      </c>
    </row>
    <row r="1551" spans="1:15" x14ac:dyDescent="0.25">
      <c r="A1551">
        <v>1550</v>
      </c>
      <c r="B1551">
        <v>21</v>
      </c>
      <c r="C1551" t="s">
        <v>16</v>
      </c>
      <c r="D1551" t="s">
        <v>33</v>
      </c>
      <c r="E1551" t="s">
        <v>40</v>
      </c>
      <c r="F1551" s="1">
        <v>210.67</v>
      </c>
      <c r="G1551" t="s">
        <v>24</v>
      </c>
      <c r="H1551" t="s">
        <v>15</v>
      </c>
      <c r="I1551" s="2">
        <v>3.4</v>
      </c>
      <c r="J1551" s="4">
        <v>6</v>
      </c>
      <c r="K1551" s="3">
        <v>3</v>
      </c>
      <c r="L1551" s="1">
        <f t="shared" si="72"/>
        <v>198.02979999999997</v>
      </c>
      <c r="M1551" t="str" cm="1">
        <f t="array" ref="M1551">_xlfn.IFS(B1551&lt;18,"Under 18",B1551 &lt;=25,"18-25",B1551&lt;=35,"26-35",B1551&lt;=45,"36-45",B1551&lt;=60,"46-60",TRUE,"60+")</f>
        <v>18-25</v>
      </c>
      <c r="N1551" t="str">
        <f t="shared" si="73"/>
        <v>Discounted</v>
      </c>
      <c r="O1551" t="str">
        <f t="shared" si="74"/>
        <v>Returning</v>
      </c>
    </row>
    <row r="1552" spans="1:15" x14ac:dyDescent="0.25">
      <c r="A1552">
        <v>1551</v>
      </c>
      <c r="B1552">
        <v>21</v>
      </c>
      <c r="C1552" t="s">
        <v>11</v>
      </c>
      <c r="D1552" t="s">
        <v>29</v>
      </c>
      <c r="E1552" t="s">
        <v>30</v>
      </c>
      <c r="F1552" s="1">
        <v>131.55000000000001</v>
      </c>
      <c r="G1552" t="s">
        <v>31</v>
      </c>
      <c r="H1552" t="s">
        <v>15</v>
      </c>
      <c r="I1552" s="2">
        <v>4.3</v>
      </c>
      <c r="J1552" s="4">
        <v>13</v>
      </c>
      <c r="K1552" s="3">
        <v>4</v>
      </c>
      <c r="L1552" s="1">
        <f t="shared" si="72"/>
        <v>114.44850000000001</v>
      </c>
      <c r="M1552" t="str" cm="1">
        <f t="array" ref="M1552">_xlfn.IFS(B1552&lt;18,"Under 18",B1552 &lt;=25,"18-25",B1552&lt;=35,"26-35",B1552&lt;=45,"36-45",B1552&lt;=60,"46-60",TRUE,"60+")</f>
        <v>18-25</v>
      </c>
      <c r="N1552" t="str">
        <f t="shared" si="73"/>
        <v>Discounted</v>
      </c>
      <c r="O1552" t="str">
        <f t="shared" si="74"/>
        <v>Returning</v>
      </c>
    </row>
    <row r="1553" spans="1:15" x14ac:dyDescent="0.25">
      <c r="A1553">
        <v>1552</v>
      </c>
      <c r="B1553">
        <v>28</v>
      </c>
      <c r="C1553" t="s">
        <v>16</v>
      </c>
      <c r="D1553" t="s">
        <v>20</v>
      </c>
      <c r="E1553" t="s">
        <v>39</v>
      </c>
      <c r="F1553" s="1">
        <v>123.55</v>
      </c>
      <c r="G1553" t="s">
        <v>31</v>
      </c>
      <c r="H1553" t="s">
        <v>15</v>
      </c>
      <c r="I1553" s="2">
        <v>4.0999999999999996</v>
      </c>
      <c r="J1553" s="4">
        <v>21</v>
      </c>
      <c r="K1553" s="3">
        <v>8</v>
      </c>
      <c r="L1553" s="1">
        <f t="shared" si="72"/>
        <v>97.604500000000002</v>
      </c>
      <c r="M1553" t="str" cm="1">
        <f t="array" ref="M1553">_xlfn.IFS(B1553&lt;18,"Under 18",B1553 &lt;=25,"18-25",B1553&lt;=35,"26-35",B1553&lt;=45,"36-45",B1553&lt;=60,"46-60",TRUE,"60+")</f>
        <v>26-35</v>
      </c>
      <c r="N1553" t="str">
        <f t="shared" si="73"/>
        <v>Discounted</v>
      </c>
      <c r="O1553" t="str">
        <f t="shared" si="74"/>
        <v>Returning</v>
      </c>
    </row>
    <row r="1554" spans="1:15" x14ac:dyDescent="0.25">
      <c r="A1554">
        <v>1553</v>
      </c>
      <c r="B1554">
        <v>21</v>
      </c>
      <c r="C1554" t="s">
        <v>11</v>
      </c>
      <c r="D1554" t="s">
        <v>12</v>
      </c>
      <c r="E1554" t="s">
        <v>13</v>
      </c>
      <c r="F1554" s="1">
        <v>130.77000000000001</v>
      </c>
      <c r="G1554" t="s">
        <v>24</v>
      </c>
      <c r="H1554" t="s">
        <v>15</v>
      </c>
      <c r="I1554" s="2">
        <v>4.8</v>
      </c>
      <c r="J1554" s="4">
        <v>4</v>
      </c>
      <c r="K1554" s="3">
        <v>2</v>
      </c>
      <c r="L1554" s="1">
        <f t="shared" si="72"/>
        <v>125.53920000000001</v>
      </c>
      <c r="M1554" t="str" cm="1">
        <f t="array" ref="M1554">_xlfn.IFS(B1554&lt;18,"Under 18",B1554 &lt;=25,"18-25",B1554&lt;=35,"26-35",B1554&lt;=45,"36-45",B1554&lt;=60,"46-60",TRUE,"60+")</f>
        <v>18-25</v>
      </c>
      <c r="N1554" t="str">
        <f t="shared" si="73"/>
        <v>Discounted</v>
      </c>
      <c r="O1554" t="str">
        <f t="shared" si="74"/>
        <v>Returning</v>
      </c>
    </row>
    <row r="1555" spans="1:15" x14ac:dyDescent="0.25">
      <c r="A1555">
        <v>1554</v>
      </c>
      <c r="B1555">
        <v>56</v>
      </c>
      <c r="C1555" t="s">
        <v>16</v>
      </c>
      <c r="D1555" t="s">
        <v>17</v>
      </c>
      <c r="E1555" t="s">
        <v>48</v>
      </c>
      <c r="F1555" s="1">
        <v>110.31</v>
      </c>
      <c r="G1555" t="s">
        <v>31</v>
      </c>
      <c r="H1555" t="s">
        <v>15</v>
      </c>
      <c r="I1555" s="2">
        <v>3</v>
      </c>
      <c r="J1555" s="4">
        <v>2</v>
      </c>
      <c r="K1555" s="3">
        <v>1</v>
      </c>
      <c r="L1555" s="1">
        <f t="shared" si="72"/>
        <v>108.10380000000001</v>
      </c>
      <c r="M1555" t="str" cm="1">
        <f t="array" ref="M1555">_xlfn.IFS(B1555&lt;18,"Under 18",B1555 &lt;=25,"18-25",B1555&lt;=35,"26-35",B1555&lt;=45,"36-45",B1555&lt;=60,"46-60",TRUE,"60+")</f>
        <v>46-60</v>
      </c>
      <c r="N1555" t="str">
        <f t="shared" si="73"/>
        <v>Discounted</v>
      </c>
      <c r="O1555" t="str">
        <f t="shared" si="74"/>
        <v>Returning</v>
      </c>
    </row>
    <row r="1556" spans="1:15" x14ac:dyDescent="0.25">
      <c r="A1556">
        <v>1555</v>
      </c>
      <c r="B1556">
        <v>29</v>
      </c>
      <c r="C1556" t="s">
        <v>16</v>
      </c>
      <c r="D1556" t="s">
        <v>20</v>
      </c>
      <c r="E1556" t="s">
        <v>36</v>
      </c>
      <c r="F1556" s="1">
        <v>238.27</v>
      </c>
      <c r="G1556" t="s">
        <v>24</v>
      </c>
      <c r="H1556" t="s">
        <v>15</v>
      </c>
      <c r="I1556" s="2">
        <v>5</v>
      </c>
      <c r="J1556" s="4">
        <v>14</v>
      </c>
      <c r="K1556" s="3">
        <v>2</v>
      </c>
      <c r="L1556" s="1">
        <f t="shared" si="72"/>
        <v>204.91220000000001</v>
      </c>
      <c r="M1556" t="str" cm="1">
        <f t="array" ref="M1556">_xlfn.IFS(B1556&lt;18,"Under 18",B1556 &lt;=25,"18-25",B1556&lt;=35,"26-35",B1556&lt;=45,"36-45",B1556&lt;=60,"46-60",TRUE,"60+")</f>
        <v>26-35</v>
      </c>
      <c r="N1556" t="str">
        <f t="shared" si="73"/>
        <v>Discounted</v>
      </c>
      <c r="O1556" t="str">
        <f t="shared" si="74"/>
        <v>Returning</v>
      </c>
    </row>
    <row r="1557" spans="1:15" x14ac:dyDescent="0.25">
      <c r="A1557">
        <v>1556</v>
      </c>
      <c r="B1557">
        <v>20</v>
      </c>
      <c r="C1557" t="s">
        <v>16</v>
      </c>
      <c r="D1557" t="s">
        <v>22</v>
      </c>
      <c r="E1557" t="s">
        <v>52</v>
      </c>
      <c r="F1557" s="1">
        <v>201.69</v>
      </c>
      <c r="G1557" t="s">
        <v>14</v>
      </c>
      <c r="H1557" t="s">
        <v>15</v>
      </c>
      <c r="I1557" s="2">
        <v>2.9</v>
      </c>
      <c r="J1557" s="4">
        <v>23</v>
      </c>
      <c r="K1557" s="3">
        <v>9</v>
      </c>
      <c r="L1557" s="1">
        <f t="shared" si="72"/>
        <v>155.3013</v>
      </c>
      <c r="M1557" t="str" cm="1">
        <f t="array" ref="M1557">_xlfn.IFS(B1557&lt;18,"Under 18",B1557 &lt;=25,"18-25",B1557&lt;=35,"26-35",B1557&lt;=45,"36-45",B1557&lt;=60,"46-60",TRUE,"60+")</f>
        <v>18-25</v>
      </c>
      <c r="N1557" t="str">
        <f t="shared" si="73"/>
        <v>Discounted</v>
      </c>
      <c r="O1557" t="str">
        <f t="shared" si="74"/>
        <v>Returning</v>
      </c>
    </row>
    <row r="1558" spans="1:15" x14ac:dyDescent="0.25">
      <c r="A1558">
        <v>1557</v>
      </c>
      <c r="B1558">
        <v>49</v>
      </c>
      <c r="C1558" t="s">
        <v>11</v>
      </c>
      <c r="D1558" t="s">
        <v>20</v>
      </c>
      <c r="E1558" t="s">
        <v>39</v>
      </c>
      <c r="F1558" s="1">
        <v>199.72</v>
      </c>
      <c r="G1558" t="s">
        <v>14</v>
      </c>
      <c r="H1558" t="s">
        <v>15</v>
      </c>
      <c r="I1558" s="2">
        <v>3.9</v>
      </c>
      <c r="J1558" s="4">
        <v>24</v>
      </c>
      <c r="K1558" s="3">
        <v>7</v>
      </c>
      <c r="L1558" s="1">
        <f t="shared" si="72"/>
        <v>151.78720000000001</v>
      </c>
      <c r="M1558" t="str" cm="1">
        <f t="array" ref="M1558">_xlfn.IFS(B1558&lt;18,"Under 18",B1558 &lt;=25,"18-25",B1558&lt;=35,"26-35",B1558&lt;=45,"36-45",B1558&lt;=60,"46-60",TRUE,"60+")</f>
        <v>46-60</v>
      </c>
      <c r="N1558" t="str">
        <f t="shared" si="73"/>
        <v>Discounted</v>
      </c>
      <c r="O1558" t="str">
        <f t="shared" si="74"/>
        <v>Returning</v>
      </c>
    </row>
    <row r="1559" spans="1:15" x14ac:dyDescent="0.25">
      <c r="A1559">
        <v>1558</v>
      </c>
      <c r="B1559">
        <v>48</v>
      </c>
      <c r="C1559" t="s">
        <v>16</v>
      </c>
      <c r="D1559" t="s">
        <v>22</v>
      </c>
      <c r="E1559" t="s">
        <v>43</v>
      </c>
      <c r="F1559" s="1">
        <v>113.79</v>
      </c>
      <c r="G1559" t="s">
        <v>24</v>
      </c>
      <c r="H1559" t="s">
        <v>15</v>
      </c>
      <c r="I1559" s="2">
        <v>3.3</v>
      </c>
      <c r="J1559" s="4">
        <v>2</v>
      </c>
      <c r="K1559" s="3">
        <v>1</v>
      </c>
      <c r="L1559" s="1">
        <f t="shared" si="72"/>
        <v>111.5142</v>
      </c>
      <c r="M1559" t="str" cm="1">
        <f t="array" ref="M1559">_xlfn.IFS(B1559&lt;18,"Under 18",B1559 &lt;=25,"18-25",B1559&lt;=35,"26-35",B1559&lt;=45,"36-45",B1559&lt;=60,"46-60",TRUE,"60+")</f>
        <v>46-60</v>
      </c>
      <c r="N1559" t="str">
        <f t="shared" si="73"/>
        <v>Discounted</v>
      </c>
      <c r="O1559" t="str">
        <f t="shared" si="74"/>
        <v>Returning</v>
      </c>
    </row>
    <row r="1560" spans="1:15" x14ac:dyDescent="0.25">
      <c r="A1560">
        <v>1559</v>
      </c>
      <c r="B1560">
        <v>42</v>
      </c>
      <c r="C1560" t="s">
        <v>16</v>
      </c>
      <c r="D1560" t="s">
        <v>20</v>
      </c>
      <c r="E1560" t="s">
        <v>21</v>
      </c>
      <c r="F1560" s="1">
        <v>216.19</v>
      </c>
      <c r="G1560" t="s">
        <v>24</v>
      </c>
      <c r="H1560" t="s">
        <v>15</v>
      </c>
      <c r="I1560" s="2">
        <v>4.5</v>
      </c>
      <c r="J1560" s="4">
        <v>13</v>
      </c>
      <c r="K1560" s="3">
        <v>4</v>
      </c>
      <c r="L1560" s="1">
        <f t="shared" si="72"/>
        <v>188.08529999999999</v>
      </c>
      <c r="M1560" t="str" cm="1">
        <f t="array" ref="M1560">_xlfn.IFS(B1560&lt;18,"Under 18",B1560 &lt;=25,"18-25",B1560&lt;=35,"26-35",B1560&lt;=45,"36-45",B1560&lt;=60,"46-60",TRUE,"60+")</f>
        <v>36-45</v>
      </c>
      <c r="N1560" t="str">
        <f t="shared" si="73"/>
        <v>Discounted</v>
      </c>
      <c r="O1560" t="str">
        <f t="shared" si="74"/>
        <v>Returning</v>
      </c>
    </row>
    <row r="1561" spans="1:15" x14ac:dyDescent="0.25">
      <c r="A1561">
        <v>1560</v>
      </c>
      <c r="B1561">
        <v>35</v>
      </c>
      <c r="C1561" t="s">
        <v>11</v>
      </c>
      <c r="D1561" t="s">
        <v>12</v>
      </c>
      <c r="E1561" t="s">
        <v>56</v>
      </c>
      <c r="F1561" s="1">
        <v>157.94999999999999</v>
      </c>
      <c r="G1561" t="s">
        <v>19</v>
      </c>
      <c r="H1561" t="s">
        <v>15</v>
      </c>
      <c r="I1561" s="2">
        <v>3.8</v>
      </c>
      <c r="J1561" s="4">
        <v>14</v>
      </c>
      <c r="K1561" s="3">
        <v>2</v>
      </c>
      <c r="L1561" s="1">
        <f t="shared" si="72"/>
        <v>135.83699999999999</v>
      </c>
      <c r="M1561" t="str" cm="1">
        <f t="array" ref="M1561">_xlfn.IFS(B1561&lt;18,"Under 18",B1561 &lt;=25,"18-25",B1561&lt;=35,"26-35",B1561&lt;=45,"36-45",B1561&lt;=60,"46-60",TRUE,"60+")</f>
        <v>26-35</v>
      </c>
      <c r="N1561" t="str">
        <f t="shared" si="73"/>
        <v>Discounted</v>
      </c>
      <c r="O1561" t="str">
        <f t="shared" si="74"/>
        <v>Returning</v>
      </c>
    </row>
    <row r="1562" spans="1:15" x14ac:dyDescent="0.25">
      <c r="A1562">
        <v>1561</v>
      </c>
      <c r="B1562">
        <v>61</v>
      </c>
      <c r="C1562" t="s">
        <v>11</v>
      </c>
      <c r="D1562" t="s">
        <v>41</v>
      </c>
      <c r="E1562" t="s">
        <v>44</v>
      </c>
      <c r="F1562" s="1">
        <v>144.71</v>
      </c>
      <c r="G1562" t="s">
        <v>19</v>
      </c>
      <c r="H1562" t="s">
        <v>15</v>
      </c>
      <c r="I1562" s="2">
        <v>5</v>
      </c>
      <c r="J1562" s="4">
        <v>16</v>
      </c>
      <c r="K1562" s="3">
        <v>8</v>
      </c>
      <c r="L1562" s="1">
        <f t="shared" si="72"/>
        <v>121.5564</v>
      </c>
      <c r="M1562" t="str" cm="1">
        <f t="array" ref="M1562">_xlfn.IFS(B1562&lt;18,"Under 18",B1562 &lt;=25,"18-25",B1562&lt;=35,"26-35",B1562&lt;=45,"36-45",B1562&lt;=60,"46-60",TRUE,"60+")</f>
        <v>60+</v>
      </c>
      <c r="N1562" t="str">
        <f t="shared" si="73"/>
        <v>Discounted</v>
      </c>
      <c r="O1562" t="str">
        <f t="shared" si="74"/>
        <v>Returning</v>
      </c>
    </row>
    <row r="1563" spans="1:15" x14ac:dyDescent="0.25">
      <c r="A1563">
        <v>1562</v>
      </c>
      <c r="B1563">
        <v>27</v>
      </c>
      <c r="C1563" t="s">
        <v>16</v>
      </c>
      <c r="D1563" t="s">
        <v>20</v>
      </c>
      <c r="E1563" t="s">
        <v>36</v>
      </c>
      <c r="F1563" s="1">
        <v>123.19</v>
      </c>
      <c r="G1563" t="s">
        <v>24</v>
      </c>
      <c r="H1563" t="s">
        <v>15</v>
      </c>
      <c r="I1563" s="2">
        <v>5</v>
      </c>
      <c r="J1563" s="4">
        <v>12</v>
      </c>
      <c r="K1563" s="3">
        <v>6</v>
      </c>
      <c r="L1563" s="1">
        <f t="shared" si="72"/>
        <v>108.4072</v>
      </c>
      <c r="M1563" t="str" cm="1">
        <f t="array" ref="M1563">_xlfn.IFS(B1563&lt;18,"Under 18",B1563 &lt;=25,"18-25",B1563&lt;=35,"26-35",B1563&lt;=45,"36-45",B1563&lt;=60,"46-60",TRUE,"60+")</f>
        <v>26-35</v>
      </c>
      <c r="N1563" t="str">
        <f t="shared" si="73"/>
        <v>Discounted</v>
      </c>
      <c r="O1563" t="str">
        <f t="shared" si="74"/>
        <v>Returning</v>
      </c>
    </row>
    <row r="1564" spans="1:15" x14ac:dyDescent="0.25">
      <c r="A1564">
        <v>1563</v>
      </c>
      <c r="B1564">
        <v>56</v>
      </c>
      <c r="C1564" t="s">
        <v>16</v>
      </c>
      <c r="D1564" t="s">
        <v>20</v>
      </c>
      <c r="E1564" t="s">
        <v>39</v>
      </c>
      <c r="F1564" s="1">
        <v>174.68</v>
      </c>
      <c r="G1564" t="s">
        <v>14</v>
      </c>
      <c r="H1564" t="s">
        <v>15</v>
      </c>
      <c r="I1564" s="2">
        <v>3.1</v>
      </c>
      <c r="J1564" s="4">
        <v>22</v>
      </c>
      <c r="K1564" s="3">
        <v>6</v>
      </c>
      <c r="L1564" s="1">
        <f t="shared" si="72"/>
        <v>136.25040000000001</v>
      </c>
      <c r="M1564" t="str" cm="1">
        <f t="array" ref="M1564">_xlfn.IFS(B1564&lt;18,"Under 18",B1564 &lt;=25,"18-25",B1564&lt;=35,"26-35",B1564&lt;=45,"36-45",B1564&lt;=60,"46-60",TRUE,"60+")</f>
        <v>46-60</v>
      </c>
      <c r="N1564" t="str">
        <f t="shared" si="73"/>
        <v>Discounted</v>
      </c>
      <c r="O1564" t="str">
        <f t="shared" si="74"/>
        <v>Returning</v>
      </c>
    </row>
    <row r="1565" spans="1:15" x14ac:dyDescent="0.25">
      <c r="A1565">
        <v>1564</v>
      </c>
      <c r="B1565">
        <v>54</v>
      </c>
      <c r="C1565" t="s">
        <v>16</v>
      </c>
      <c r="D1565" t="s">
        <v>33</v>
      </c>
      <c r="E1565" t="s">
        <v>38</v>
      </c>
      <c r="F1565" s="1">
        <v>80.349999999999994</v>
      </c>
      <c r="G1565" t="s">
        <v>14</v>
      </c>
      <c r="H1565" t="s">
        <v>37</v>
      </c>
      <c r="I1565" s="2">
        <v>3.8</v>
      </c>
      <c r="J1565" s="4">
        <v>14</v>
      </c>
      <c r="K1565" s="3">
        <v>2</v>
      </c>
      <c r="L1565" s="1">
        <f t="shared" si="72"/>
        <v>69.100999999999999</v>
      </c>
      <c r="M1565" t="str" cm="1">
        <f t="array" ref="M1565">_xlfn.IFS(B1565&lt;18,"Under 18",B1565 &lt;=25,"18-25",B1565&lt;=35,"26-35",B1565&lt;=45,"36-45",B1565&lt;=60,"46-60",TRUE,"60+")</f>
        <v>46-60</v>
      </c>
      <c r="N1565" t="str">
        <f t="shared" si="73"/>
        <v>Discounted</v>
      </c>
      <c r="O1565" t="str">
        <f t="shared" si="74"/>
        <v>Returning</v>
      </c>
    </row>
    <row r="1566" spans="1:15" x14ac:dyDescent="0.25">
      <c r="A1566">
        <v>1565</v>
      </c>
      <c r="B1566">
        <v>46</v>
      </c>
      <c r="C1566" t="s">
        <v>11</v>
      </c>
      <c r="D1566" t="s">
        <v>22</v>
      </c>
      <c r="E1566" t="s">
        <v>23</v>
      </c>
      <c r="F1566" s="1">
        <v>196.05</v>
      </c>
      <c r="G1566" t="s">
        <v>14</v>
      </c>
      <c r="H1566" t="s">
        <v>15</v>
      </c>
      <c r="I1566" s="2">
        <v>4.5999999999999996</v>
      </c>
      <c r="J1566" s="4">
        <v>12</v>
      </c>
      <c r="K1566" s="3">
        <v>1</v>
      </c>
      <c r="L1566" s="1">
        <f t="shared" si="72"/>
        <v>172.524</v>
      </c>
      <c r="M1566" t="str" cm="1">
        <f t="array" ref="M1566">_xlfn.IFS(B1566&lt;18,"Under 18",B1566 &lt;=25,"18-25",B1566&lt;=35,"26-35",B1566&lt;=45,"36-45",B1566&lt;=60,"46-60",TRUE,"60+")</f>
        <v>46-60</v>
      </c>
      <c r="N1566" t="str">
        <f t="shared" si="73"/>
        <v>Discounted</v>
      </c>
      <c r="O1566" t="str">
        <f t="shared" si="74"/>
        <v>Returning</v>
      </c>
    </row>
    <row r="1567" spans="1:15" x14ac:dyDescent="0.25">
      <c r="A1567">
        <v>1566</v>
      </c>
      <c r="B1567">
        <v>55</v>
      </c>
      <c r="C1567" t="s">
        <v>11</v>
      </c>
      <c r="D1567" t="s">
        <v>29</v>
      </c>
      <c r="E1567" t="s">
        <v>51</v>
      </c>
      <c r="F1567" s="1">
        <v>127.11</v>
      </c>
      <c r="G1567" t="s">
        <v>19</v>
      </c>
      <c r="H1567" t="s">
        <v>15</v>
      </c>
      <c r="I1567" s="2">
        <v>4.0999999999999996</v>
      </c>
      <c r="J1567" s="4">
        <v>15</v>
      </c>
      <c r="K1567" s="3">
        <v>5</v>
      </c>
      <c r="L1567" s="1">
        <f t="shared" si="72"/>
        <v>108.04349999999999</v>
      </c>
      <c r="M1567" t="str" cm="1">
        <f t="array" ref="M1567">_xlfn.IFS(B1567&lt;18,"Under 18",B1567 &lt;=25,"18-25",B1567&lt;=35,"26-35",B1567&lt;=45,"36-45",B1567&lt;=60,"46-60",TRUE,"60+")</f>
        <v>46-60</v>
      </c>
      <c r="N1567" t="str">
        <f t="shared" si="73"/>
        <v>Discounted</v>
      </c>
      <c r="O1567" t="str">
        <f t="shared" si="74"/>
        <v>Returning</v>
      </c>
    </row>
    <row r="1568" spans="1:15" x14ac:dyDescent="0.25">
      <c r="A1568">
        <v>1567</v>
      </c>
      <c r="B1568">
        <v>30</v>
      </c>
      <c r="C1568" t="s">
        <v>11</v>
      </c>
      <c r="D1568" t="s">
        <v>29</v>
      </c>
      <c r="E1568" t="s">
        <v>30</v>
      </c>
      <c r="F1568" s="1">
        <v>69.8</v>
      </c>
      <c r="G1568" t="s">
        <v>24</v>
      </c>
      <c r="H1568" t="s">
        <v>37</v>
      </c>
      <c r="I1568" s="2">
        <v>2.8</v>
      </c>
      <c r="J1568" s="4">
        <v>18</v>
      </c>
      <c r="K1568" s="3">
        <v>4</v>
      </c>
      <c r="L1568" s="1">
        <f t="shared" si="72"/>
        <v>57.236000000000004</v>
      </c>
      <c r="M1568" t="str" cm="1">
        <f t="array" ref="M1568">_xlfn.IFS(B1568&lt;18,"Under 18",B1568 &lt;=25,"18-25",B1568&lt;=35,"26-35",B1568&lt;=45,"36-45",B1568&lt;=60,"46-60",TRUE,"60+")</f>
        <v>26-35</v>
      </c>
      <c r="N1568" t="str">
        <f t="shared" si="73"/>
        <v>Discounted</v>
      </c>
      <c r="O1568" t="str">
        <f t="shared" si="74"/>
        <v>Returning</v>
      </c>
    </row>
    <row r="1569" spans="1:15" x14ac:dyDescent="0.25">
      <c r="A1569">
        <v>1568</v>
      </c>
      <c r="B1569">
        <v>27</v>
      </c>
      <c r="C1569" t="s">
        <v>16</v>
      </c>
      <c r="D1569" t="s">
        <v>20</v>
      </c>
      <c r="E1569" t="s">
        <v>36</v>
      </c>
      <c r="F1569" s="1">
        <v>210.43</v>
      </c>
      <c r="G1569" t="s">
        <v>14</v>
      </c>
      <c r="H1569" t="s">
        <v>15</v>
      </c>
      <c r="I1569" s="2">
        <v>3.9</v>
      </c>
      <c r="J1569" s="4">
        <v>16</v>
      </c>
      <c r="K1569" s="3">
        <v>3</v>
      </c>
      <c r="L1569" s="1">
        <f t="shared" si="72"/>
        <v>176.7612</v>
      </c>
      <c r="M1569" t="str" cm="1">
        <f t="array" ref="M1569">_xlfn.IFS(B1569&lt;18,"Under 18",B1569 &lt;=25,"18-25",B1569&lt;=35,"26-35",B1569&lt;=45,"36-45",B1569&lt;=60,"46-60",TRUE,"60+")</f>
        <v>26-35</v>
      </c>
      <c r="N1569" t="str">
        <f t="shared" si="73"/>
        <v>Discounted</v>
      </c>
      <c r="O1569" t="str">
        <f t="shared" si="74"/>
        <v>Returning</v>
      </c>
    </row>
    <row r="1570" spans="1:15" x14ac:dyDescent="0.25">
      <c r="A1570">
        <v>1569</v>
      </c>
      <c r="B1570">
        <v>56</v>
      </c>
      <c r="C1570" t="s">
        <v>16</v>
      </c>
      <c r="D1570" t="s">
        <v>20</v>
      </c>
      <c r="E1570" t="s">
        <v>36</v>
      </c>
      <c r="F1570" s="1">
        <v>219.8</v>
      </c>
      <c r="G1570" t="s">
        <v>24</v>
      </c>
      <c r="H1570" t="s">
        <v>15</v>
      </c>
      <c r="I1570" s="2">
        <v>3.9</v>
      </c>
      <c r="J1570" s="4">
        <v>6</v>
      </c>
      <c r="K1570" s="3">
        <v>3</v>
      </c>
      <c r="L1570" s="1">
        <f t="shared" si="72"/>
        <v>206.61199999999999</v>
      </c>
      <c r="M1570" t="str" cm="1">
        <f t="array" ref="M1570">_xlfn.IFS(B1570&lt;18,"Under 18",B1570 &lt;=25,"18-25",B1570&lt;=35,"26-35",B1570&lt;=45,"36-45",B1570&lt;=60,"46-60",TRUE,"60+")</f>
        <v>46-60</v>
      </c>
      <c r="N1570" t="str">
        <f t="shared" si="73"/>
        <v>Discounted</v>
      </c>
      <c r="O1570" t="str">
        <f t="shared" si="74"/>
        <v>Returning</v>
      </c>
    </row>
    <row r="1571" spans="1:15" x14ac:dyDescent="0.25">
      <c r="A1571">
        <v>1570</v>
      </c>
      <c r="B1571">
        <v>42</v>
      </c>
      <c r="C1571" t="s">
        <v>11</v>
      </c>
      <c r="D1571" t="s">
        <v>33</v>
      </c>
      <c r="E1571" t="s">
        <v>38</v>
      </c>
      <c r="F1571" s="1">
        <v>74.97</v>
      </c>
      <c r="G1571" t="s">
        <v>31</v>
      </c>
      <c r="H1571" t="s">
        <v>37</v>
      </c>
      <c r="I1571" s="2">
        <v>2.2000000000000002</v>
      </c>
      <c r="J1571" s="4">
        <v>6</v>
      </c>
      <c r="K1571" s="3">
        <v>3</v>
      </c>
      <c r="L1571" s="1">
        <f t="shared" si="72"/>
        <v>70.471800000000002</v>
      </c>
      <c r="M1571" t="str" cm="1">
        <f t="array" ref="M1571">_xlfn.IFS(B1571&lt;18,"Under 18",B1571 &lt;=25,"18-25",B1571&lt;=35,"26-35",B1571&lt;=45,"36-45",B1571&lt;=60,"46-60",TRUE,"60+")</f>
        <v>36-45</v>
      </c>
      <c r="N1571" t="str">
        <f t="shared" si="73"/>
        <v>Discounted</v>
      </c>
      <c r="O1571" t="str">
        <f t="shared" si="74"/>
        <v>Returning</v>
      </c>
    </row>
    <row r="1572" spans="1:15" x14ac:dyDescent="0.25">
      <c r="A1572">
        <v>1571</v>
      </c>
      <c r="B1572">
        <v>34</v>
      </c>
      <c r="C1572" t="s">
        <v>11</v>
      </c>
      <c r="D1572" t="s">
        <v>29</v>
      </c>
      <c r="E1572" t="s">
        <v>51</v>
      </c>
      <c r="F1572" s="1">
        <v>103.19</v>
      </c>
      <c r="G1572" t="s">
        <v>31</v>
      </c>
      <c r="H1572" t="s">
        <v>15</v>
      </c>
      <c r="I1572" s="2">
        <v>4</v>
      </c>
      <c r="J1572" s="4">
        <v>10</v>
      </c>
      <c r="K1572" s="3">
        <v>5</v>
      </c>
      <c r="L1572" s="1">
        <f t="shared" si="72"/>
        <v>92.870999999999995</v>
      </c>
      <c r="M1572" t="str" cm="1">
        <f t="array" ref="M1572">_xlfn.IFS(B1572&lt;18,"Under 18",B1572 &lt;=25,"18-25",B1572&lt;=35,"26-35",B1572&lt;=45,"36-45",B1572&lt;=60,"46-60",TRUE,"60+")</f>
        <v>26-35</v>
      </c>
      <c r="N1572" t="str">
        <f t="shared" si="73"/>
        <v>Discounted</v>
      </c>
      <c r="O1572" t="str">
        <f t="shared" si="74"/>
        <v>Returning</v>
      </c>
    </row>
    <row r="1573" spans="1:15" x14ac:dyDescent="0.25">
      <c r="A1573">
        <v>1572</v>
      </c>
      <c r="B1573">
        <v>21</v>
      </c>
      <c r="C1573" t="s">
        <v>11</v>
      </c>
      <c r="D1573" t="s">
        <v>29</v>
      </c>
      <c r="E1573" t="s">
        <v>55</v>
      </c>
      <c r="F1573" s="1">
        <v>138.69</v>
      </c>
      <c r="G1573" t="s">
        <v>24</v>
      </c>
      <c r="H1573" t="s">
        <v>15</v>
      </c>
      <c r="I1573" s="2">
        <v>4.5</v>
      </c>
      <c r="J1573" s="4">
        <v>16</v>
      </c>
      <c r="K1573" s="3">
        <v>3</v>
      </c>
      <c r="L1573" s="1">
        <f t="shared" si="72"/>
        <v>116.49959999999999</v>
      </c>
      <c r="M1573" t="str" cm="1">
        <f t="array" ref="M1573">_xlfn.IFS(B1573&lt;18,"Under 18",B1573 &lt;=25,"18-25",B1573&lt;=35,"26-35",B1573&lt;=45,"36-45",B1573&lt;=60,"46-60",TRUE,"60+")</f>
        <v>18-25</v>
      </c>
      <c r="N1573" t="str">
        <f t="shared" si="73"/>
        <v>Discounted</v>
      </c>
      <c r="O1573" t="str">
        <f t="shared" si="74"/>
        <v>Returning</v>
      </c>
    </row>
    <row r="1574" spans="1:15" x14ac:dyDescent="0.25">
      <c r="A1574">
        <v>1573</v>
      </c>
      <c r="B1574">
        <v>49</v>
      </c>
      <c r="C1574" t="s">
        <v>16</v>
      </c>
      <c r="D1574" t="s">
        <v>20</v>
      </c>
      <c r="E1574" t="s">
        <v>36</v>
      </c>
      <c r="F1574" s="1">
        <v>164.76</v>
      </c>
      <c r="G1574" t="s">
        <v>31</v>
      </c>
      <c r="H1574" t="s">
        <v>15</v>
      </c>
      <c r="I1574" s="2">
        <v>3.5</v>
      </c>
      <c r="J1574" s="4">
        <v>26</v>
      </c>
      <c r="K1574" s="3">
        <v>8</v>
      </c>
      <c r="L1574" s="1">
        <f t="shared" si="72"/>
        <v>121.9224</v>
      </c>
      <c r="M1574" t="str" cm="1">
        <f t="array" ref="M1574">_xlfn.IFS(B1574&lt;18,"Under 18",B1574 &lt;=25,"18-25",B1574&lt;=35,"26-35",B1574&lt;=45,"36-45",B1574&lt;=60,"46-60",TRUE,"60+")</f>
        <v>46-60</v>
      </c>
      <c r="N1574" t="str">
        <f t="shared" si="73"/>
        <v>Discounted</v>
      </c>
      <c r="O1574" t="str">
        <f t="shared" si="74"/>
        <v>Returning</v>
      </c>
    </row>
    <row r="1575" spans="1:15" x14ac:dyDescent="0.25">
      <c r="A1575">
        <v>1574</v>
      </c>
      <c r="B1575">
        <v>25</v>
      </c>
      <c r="C1575" t="s">
        <v>16</v>
      </c>
      <c r="D1575" t="s">
        <v>20</v>
      </c>
      <c r="E1575" t="s">
        <v>36</v>
      </c>
      <c r="F1575" s="1">
        <v>182.09</v>
      </c>
      <c r="G1575" t="s">
        <v>24</v>
      </c>
      <c r="H1575" t="s">
        <v>15</v>
      </c>
      <c r="I1575" s="2">
        <v>3.9</v>
      </c>
      <c r="J1575" s="4">
        <v>8</v>
      </c>
      <c r="K1575" s="3">
        <v>4</v>
      </c>
      <c r="L1575" s="1">
        <f t="shared" si="72"/>
        <v>167.52280000000002</v>
      </c>
      <c r="M1575" t="str" cm="1">
        <f t="array" ref="M1575">_xlfn.IFS(B1575&lt;18,"Under 18",B1575 &lt;=25,"18-25",B1575&lt;=35,"26-35",B1575&lt;=45,"36-45",B1575&lt;=60,"46-60",TRUE,"60+")</f>
        <v>18-25</v>
      </c>
      <c r="N1575" t="str">
        <f t="shared" si="73"/>
        <v>Discounted</v>
      </c>
      <c r="O1575" t="str">
        <f t="shared" si="74"/>
        <v>Returning</v>
      </c>
    </row>
    <row r="1576" spans="1:15" x14ac:dyDescent="0.25">
      <c r="A1576">
        <v>1575</v>
      </c>
      <c r="B1576">
        <v>50</v>
      </c>
      <c r="C1576" t="s">
        <v>16</v>
      </c>
      <c r="D1576" t="s">
        <v>33</v>
      </c>
      <c r="E1576" t="s">
        <v>38</v>
      </c>
      <c r="F1576" s="1">
        <v>180.26</v>
      </c>
      <c r="G1576" t="s">
        <v>19</v>
      </c>
      <c r="H1576" t="s">
        <v>15</v>
      </c>
      <c r="I1576" s="2">
        <v>3.9</v>
      </c>
      <c r="J1576" s="4">
        <v>2</v>
      </c>
      <c r="K1576" s="3">
        <v>1</v>
      </c>
      <c r="L1576" s="1">
        <f t="shared" si="72"/>
        <v>176.65479999999999</v>
      </c>
      <c r="M1576" t="str" cm="1">
        <f t="array" ref="M1576">_xlfn.IFS(B1576&lt;18,"Under 18",B1576 &lt;=25,"18-25",B1576&lt;=35,"26-35",B1576&lt;=45,"36-45",B1576&lt;=60,"46-60",TRUE,"60+")</f>
        <v>46-60</v>
      </c>
      <c r="N1576" t="str">
        <f t="shared" si="73"/>
        <v>Discounted</v>
      </c>
      <c r="O1576" t="str">
        <f t="shared" si="74"/>
        <v>Returning</v>
      </c>
    </row>
    <row r="1577" spans="1:15" x14ac:dyDescent="0.25">
      <c r="A1577">
        <v>1576</v>
      </c>
      <c r="B1577">
        <v>45</v>
      </c>
      <c r="C1577" t="s">
        <v>11</v>
      </c>
      <c r="D1577" t="s">
        <v>12</v>
      </c>
      <c r="E1577" t="s">
        <v>50</v>
      </c>
      <c r="F1577" s="1">
        <v>159.72999999999999</v>
      </c>
      <c r="G1577" t="s">
        <v>19</v>
      </c>
      <c r="H1577" t="s">
        <v>15</v>
      </c>
      <c r="I1577" s="2">
        <v>3.7</v>
      </c>
      <c r="J1577" s="4">
        <v>10</v>
      </c>
      <c r="K1577" s="3">
        <v>5</v>
      </c>
      <c r="L1577" s="1">
        <f t="shared" si="72"/>
        <v>143.75700000000001</v>
      </c>
      <c r="M1577" t="str" cm="1">
        <f t="array" ref="M1577">_xlfn.IFS(B1577&lt;18,"Under 18",B1577 &lt;=25,"18-25",B1577&lt;=35,"26-35",B1577&lt;=45,"36-45",B1577&lt;=60,"46-60",TRUE,"60+")</f>
        <v>36-45</v>
      </c>
      <c r="N1577" t="str">
        <f t="shared" si="73"/>
        <v>Discounted</v>
      </c>
      <c r="O1577" t="str">
        <f t="shared" si="74"/>
        <v>Returning</v>
      </c>
    </row>
    <row r="1578" spans="1:15" x14ac:dyDescent="0.25">
      <c r="A1578">
        <v>1577</v>
      </c>
      <c r="B1578">
        <v>36</v>
      </c>
      <c r="C1578" t="s">
        <v>11</v>
      </c>
      <c r="D1578" t="s">
        <v>41</v>
      </c>
      <c r="E1578" t="s">
        <v>45</v>
      </c>
      <c r="F1578" s="1">
        <v>178.61</v>
      </c>
      <c r="G1578" t="s">
        <v>19</v>
      </c>
      <c r="H1578" t="s">
        <v>15</v>
      </c>
      <c r="I1578" s="2">
        <v>3.7</v>
      </c>
      <c r="J1578" s="4">
        <v>16</v>
      </c>
      <c r="K1578" s="3">
        <v>3</v>
      </c>
      <c r="L1578" s="1">
        <f t="shared" si="72"/>
        <v>150.0324</v>
      </c>
      <c r="M1578" t="str" cm="1">
        <f t="array" ref="M1578">_xlfn.IFS(B1578&lt;18,"Under 18",B1578 &lt;=25,"18-25",B1578&lt;=35,"26-35",B1578&lt;=45,"36-45",B1578&lt;=60,"46-60",TRUE,"60+")</f>
        <v>36-45</v>
      </c>
      <c r="N1578" t="str">
        <f t="shared" si="73"/>
        <v>Discounted</v>
      </c>
      <c r="O1578" t="str">
        <f t="shared" si="74"/>
        <v>Returning</v>
      </c>
    </row>
    <row r="1579" spans="1:15" x14ac:dyDescent="0.25">
      <c r="A1579">
        <v>1578</v>
      </c>
      <c r="B1579">
        <v>55</v>
      </c>
      <c r="C1579" t="s">
        <v>11</v>
      </c>
      <c r="D1579" t="s">
        <v>41</v>
      </c>
      <c r="E1579" t="s">
        <v>44</v>
      </c>
      <c r="F1579" s="1">
        <v>100.75</v>
      </c>
      <c r="G1579" t="s">
        <v>14</v>
      </c>
      <c r="H1579" t="s">
        <v>15</v>
      </c>
      <c r="I1579" s="2">
        <v>4.2</v>
      </c>
      <c r="J1579" s="4">
        <v>26</v>
      </c>
      <c r="K1579" s="3">
        <v>8</v>
      </c>
      <c r="L1579" s="1">
        <f t="shared" si="72"/>
        <v>74.554999999999993</v>
      </c>
      <c r="M1579" t="str" cm="1">
        <f t="array" ref="M1579">_xlfn.IFS(B1579&lt;18,"Under 18",B1579 &lt;=25,"18-25",B1579&lt;=35,"26-35",B1579&lt;=45,"36-45",B1579&lt;=60,"46-60",TRUE,"60+")</f>
        <v>46-60</v>
      </c>
      <c r="N1579" t="str">
        <f t="shared" si="73"/>
        <v>Discounted</v>
      </c>
      <c r="O1579" t="str">
        <f t="shared" si="74"/>
        <v>Returning</v>
      </c>
    </row>
    <row r="1580" spans="1:15" x14ac:dyDescent="0.25">
      <c r="A1580">
        <v>1579</v>
      </c>
      <c r="B1580">
        <v>67</v>
      </c>
      <c r="C1580" t="s">
        <v>11</v>
      </c>
      <c r="D1580" t="s">
        <v>20</v>
      </c>
      <c r="E1580" t="s">
        <v>36</v>
      </c>
      <c r="F1580" s="1">
        <v>65.25</v>
      </c>
      <c r="G1580" t="s">
        <v>24</v>
      </c>
      <c r="H1580" t="s">
        <v>15</v>
      </c>
      <c r="I1580" s="2">
        <v>3.8</v>
      </c>
      <c r="J1580" s="4">
        <v>17</v>
      </c>
      <c r="K1580" s="3">
        <v>6</v>
      </c>
      <c r="L1580" s="1">
        <f t="shared" si="72"/>
        <v>54.157499999999999</v>
      </c>
      <c r="M1580" t="str" cm="1">
        <f t="array" ref="M1580">_xlfn.IFS(B1580&lt;18,"Under 18",B1580 &lt;=25,"18-25",B1580&lt;=35,"26-35",B1580&lt;=45,"36-45",B1580&lt;=60,"46-60",TRUE,"60+")</f>
        <v>60+</v>
      </c>
      <c r="N1580" t="str">
        <f t="shared" si="73"/>
        <v>Discounted</v>
      </c>
      <c r="O1580" t="str">
        <f t="shared" si="74"/>
        <v>Returning</v>
      </c>
    </row>
    <row r="1581" spans="1:15" x14ac:dyDescent="0.25">
      <c r="A1581">
        <v>1580</v>
      </c>
      <c r="B1581">
        <v>31</v>
      </c>
      <c r="C1581" t="s">
        <v>16</v>
      </c>
      <c r="D1581" t="s">
        <v>17</v>
      </c>
      <c r="E1581" t="s">
        <v>18</v>
      </c>
      <c r="F1581" s="1">
        <v>191.96</v>
      </c>
      <c r="G1581" t="s">
        <v>31</v>
      </c>
      <c r="H1581" t="s">
        <v>15</v>
      </c>
      <c r="I1581" s="2">
        <v>3.7</v>
      </c>
      <c r="J1581" s="4">
        <v>13</v>
      </c>
      <c r="K1581" s="3">
        <v>4</v>
      </c>
      <c r="L1581" s="1">
        <f t="shared" si="72"/>
        <v>167.0052</v>
      </c>
      <c r="M1581" t="str" cm="1">
        <f t="array" ref="M1581">_xlfn.IFS(B1581&lt;18,"Under 18",B1581 &lt;=25,"18-25",B1581&lt;=35,"26-35",B1581&lt;=45,"36-45",B1581&lt;=60,"46-60",TRUE,"60+")</f>
        <v>26-35</v>
      </c>
      <c r="N1581" t="str">
        <f t="shared" si="73"/>
        <v>Discounted</v>
      </c>
      <c r="O1581" t="str">
        <f t="shared" si="74"/>
        <v>Returning</v>
      </c>
    </row>
    <row r="1582" spans="1:15" x14ac:dyDescent="0.25">
      <c r="A1582">
        <v>1581</v>
      </c>
      <c r="B1582">
        <v>42</v>
      </c>
      <c r="C1582" t="s">
        <v>11</v>
      </c>
      <c r="D1582" t="s">
        <v>41</v>
      </c>
      <c r="E1582" t="s">
        <v>46</v>
      </c>
      <c r="F1582" s="1">
        <v>152.61000000000001</v>
      </c>
      <c r="G1582" t="s">
        <v>31</v>
      </c>
      <c r="H1582" t="s">
        <v>15</v>
      </c>
      <c r="I1582" s="2">
        <v>3.2</v>
      </c>
      <c r="J1582" s="4">
        <v>18</v>
      </c>
      <c r="K1582" s="3">
        <v>4</v>
      </c>
      <c r="L1582" s="1">
        <f t="shared" si="72"/>
        <v>125.14020000000002</v>
      </c>
      <c r="M1582" t="str" cm="1">
        <f t="array" ref="M1582">_xlfn.IFS(B1582&lt;18,"Under 18",B1582 &lt;=25,"18-25",B1582&lt;=35,"26-35",B1582&lt;=45,"36-45",B1582&lt;=60,"46-60",TRUE,"60+")</f>
        <v>36-45</v>
      </c>
      <c r="N1582" t="str">
        <f t="shared" si="73"/>
        <v>Discounted</v>
      </c>
      <c r="O1582" t="str">
        <f t="shared" si="74"/>
        <v>Returning</v>
      </c>
    </row>
    <row r="1583" spans="1:15" x14ac:dyDescent="0.25">
      <c r="A1583">
        <v>1582</v>
      </c>
      <c r="B1583">
        <v>37</v>
      </c>
      <c r="C1583" t="s">
        <v>16</v>
      </c>
      <c r="D1583" t="s">
        <v>20</v>
      </c>
      <c r="E1583" t="s">
        <v>36</v>
      </c>
      <c r="F1583" s="1">
        <v>118.07</v>
      </c>
      <c r="G1583" t="s">
        <v>24</v>
      </c>
      <c r="H1583" t="s">
        <v>15</v>
      </c>
      <c r="I1583" s="2">
        <v>2.8</v>
      </c>
      <c r="J1583" s="4">
        <v>22</v>
      </c>
      <c r="K1583" s="3">
        <v>6</v>
      </c>
      <c r="L1583" s="1">
        <f t="shared" si="72"/>
        <v>92.0946</v>
      </c>
      <c r="M1583" t="str" cm="1">
        <f t="array" ref="M1583">_xlfn.IFS(B1583&lt;18,"Under 18",B1583 &lt;=25,"18-25",B1583&lt;=35,"26-35",B1583&lt;=45,"36-45",B1583&lt;=60,"46-60",TRUE,"60+")</f>
        <v>36-45</v>
      </c>
      <c r="N1583" t="str">
        <f t="shared" si="73"/>
        <v>Discounted</v>
      </c>
      <c r="O1583" t="str">
        <f t="shared" si="74"/>
        <v>Returning</v>
      </c>
    </row>
    <row r="1584" spans="1:15" x14ac:dyDescent="0.25">
      <c r="A1584">
        <v>1583</v>
      </c>
      <c r="B1584">
        <v>39</v>
      </c>
      <c r="C1584" t="s">
        <v>11</v>
      </c>
      <c r="D1584" t="s">
        <v>29</v>
      </c>
      <c r="E1584" t="s">
        <v>51</v>
      </c>
      <c r="F1584" s="1">
        <v>100.38</v>
      </c>
      <c r="G1584" t="s">
        <v>14</v>
      </c>
      <c r="H1584" t="s">
        <v>15</v>
      </c>
      <c r="I1584" s="2">
        <v>4.3</v>
      </c>
      <c r="J1584" s="4">
        <v>10</v>
      </c>
      <c r="K1584" s="3">
        <v>5</v>
      </c>
      <c r="L1584" s="1">
        <f t="shared" si="72"/>
        <v>90.341999999999999</v>
      </c>
      <c r="M1584" t="str" cm="1">
        <f t="array" ref="M1584">_xlfn.IFS(B1584&lt;18,"Under 18",B1584 &lt;=25,"18-25",B1584&lt;=35,"26-35",B1584&lt;=45,"36-45",B1584&lt;=60,"46-60",TRUE,"60+")</f>
        <v>36-45</v>
      </c>
      <c r="N1584" t="str">
        <f t="shared" si="73"/>
        <v>Discounted</v>
      </c>
      <c r="O1584" t="str">
        <f t="shared" si="74"/>
        <v>Returning</v>
      </c>
    </row>
    <row r="1585" spans="1:15" x14ac:dyDescent="0.25">
      <c r="A1585">
        <v>1584</v>
      </c>
      <c r="B1585">
        <v>53</v>
      </c>
      <c r="C1585" t="s">
        <v>11</v>
      </c>
      <c r="D1585" t="s">
        <v>22</v>
      </c>
      <c r="E1585" t="s">
        <v>52</v>
      </c>
      <c r="F1585" s="1">
        <v>198.76</v>
      </c>
      <c r="G1585" t="s">
        <v>19</v>
      </c>
      <c r="H1585" t="s">
        <v>15</v>
      </c>
      <c r="I1585" s="2">
        <v>3.8</v>
      </c>
      <c r="J1585" s="4">
        <v>15</v>
      </c>
      <c r="K1585" s="3">
        <v>5</v>
      </c>
      <c r="L1585" s="1">
        <f t="shared" si="72"/>
        <v>168.946</v>
      </c>
      <c r="M1585" t="str" cm="1">
        <f t="array" ref="M1585">_xlfn.IFS(B1585&lt;18,"Under 18",B1585 &lt;=25,"18-25",B1585&lt;=35,"26-35",B1585&lt;=45,"36-45",B1585&lt;=60,"46-60",TRUE,"60+")</f>
        <v>46-60</v>
      </c>
      <c r="N1585" t="str">
        <f t="shared" si="73"/>
        <v>Discounted</v>
      </c>
      <c r="O1585" t="str">
        <f t="shared" si="74"/>
        <v>Returning</v>
      </c>
    </row>
    <row r="1586" spans="1:15" x14ac:dyDescent="0.25">
      <c r="A1586">
        <v>1585</v>
      </c>
      <c r="B1586">
        <v>48</v>
      </c>
      <c r="C1586" t="s">
        <v>16</v>
      </c>
      <c r="D1586" t="s">
        <v>20</v>
      </c>
      <c r="E1586" t="s">
        <v>21</v>
      </c>
      <c r="F1586" s="1">
        <v>33.840000000000003</v>
      </c>
      <c r="G1586" t="s">
        <v>14</v>
      </c>
      <c r="H1586" t="s">
        <v>15</v>
      </c>
      <c r="I1586" s="2">
        <v>4.0999999999999996</v>
      </c>
      <c r="J1586" s="4">
        <v>13</v>
      </c>
      <c r="K1586" s="3">
        <v>4</v>
      </c>
      <c r="L1586" s="1">
        <f t="shared" si="72"/>
        <v>29.440800000000003</v>
      </c>
      <c r="M1586" t="str" cm="1">
        <f t="array" ref="M1586">_xlfn.IFS(B1586&lt;18,"Under 18",B1586 &lt;=25,"18-25",B1586&lt;=35,"26-35",B1586&lt;=45,"36-45",B1586&lt;=60,"46-60",TRUE,"60+")</f>
        <v>46-60</v>
      </c>
      <c r="N1586" t="str">
        <f t="shared" si="73"/>
        <v>Discounted</v>
      </c>
      <c r="O1586" t="str">
        <f t="shared" si="74"/>
        <v>Returning</v>
      </c>
    </row>
    <row r="1587" spans="1:15" x14ac:dyDescent="0.25">
      <c r="A1587">
        <v>1586</v>
      </c>
      <c r="B1587">
        <v>30</v>
      </c>
      <c r="C1587" t="s">
        <v>16</v>
      </c>
      <c r="D1587" t="s">
        <v>33</v>
      </c>
      <c r="E1587" t="s">
        <v>34</v>
      </c>
      <c r="F1587" s="1">
        <v>106.05</v>
      </c>
      <c r="G1587" t="s">
        <v>14</v>
      </c>
      <c r="H1587" t="s">
        <v>15</v>
      </c>
      <c r="I1587" s="2">
        <v>4.4000000000000004</v>
      </c>
      <c r="J1587" s="4">
        <v>13</v>
      </c>
      <c r="K1587" s="3">
        <v>4</v>
      </c>
      <c r="L1587" s="1">
        <f t="shared" si="72"/>
        <v>92.263499999999993</v>
      </c>
      <c r="M1587" t="str" cm="1">
        <f t="array" ref="M1587">_xlfn.IFS(B1587&lt;18,"Under 18",B1587 &lt;=25,"18-25",B1587&lt;=35,"26-35",B1587&lt;=45,"36-45",B1587&lt;=60,"46-60",TRUE,"60+")</f>
        <v>26-35</v>
      </c>
      <c r="N1587" t="str">
        <f t="shared" si="73"/>
        <v>Discounted</v>
      </c>
      <c r="O1587" t="str">
        <f t="shared" si="74"/>
        <v>Returning</v>
      </c>
    </row>
    <row r="1588" spans="1:15" x14ac:dyDescent="0.25">
      <c r="A1588">
        <v>1587</v>
      </c>
      <c r="B1588">
        <v>40</v>
      </c>
      <c r="C1588" t="s">
        <v>11</v>
      </c>
      <c r="D1588" t="s">
        <v>33</v>
      </c>
      <c r="E1588" t="s">
        <v>34</v>
      </c>
      <c r="F1588" s="1">
        <v>54.39</v>
      </c>
      <c r="G1588" t="s">
        <v>14</v>
      </c>
      <c r="H1588" t="s">
        <v>15</v>
      </c>
      <c r="I1588" s="2">
        <v>3.9</v>
      </c>
      <c r="J1588" s="4">
        <v>8</v>
      </c>
      <c r="K1588" s="3">
        <v>4</v>
      </c>
      <c r="L1588" s="1">
        <f t="shared" si="72"/>
        <v>50.038800000000002</v>
      </c>
      <c r="M1588" t="str" cm="1">
        <f t="array" ref="M1588">_xlfn.IFS(B1588&lt;18,"Under 18",B1588 &lt;=25,"18-25",B1588&lt;=35,"26-35",B1588&lt;=45,"36-45",B1588&lt;=60,"46-60",TRUE,"60+")</f>
        <v>36-45</v>
      </c>
      <c r="N1588" t="str">
        <f t="shared" si="73"/>
        <v>Discounted</v>
      </c>
      <c r="O1588" t="str">
        <f t="shared" si="74"/>
        <v>Returning</v>
      </c>
    </row>
    <row r="1589" spans="1:15" x14ac:dyDescent="0.25">
      <c r="A1589">
        <v>1588</v>
      </c>
      <c r="B1589">
        <v>52</v>
      </c>
      <c r="C1589" t="s">
        <v>11</v>
      </c>
      <c r="D1589" t="s">
        <v>25</v>
      </c>
      <c r="E1589" t="s">
        <v>57</v>
      </c>
      <c r="F1589" s="1">
        <v>11.01</v>
      </c>
      <c r="G1589" t="s">
        <v>24</v>
      </c>
      <c r="H1589" t="s">
        <v>37</v>
      </c>
      <c r="I1589" s="2">
        <v>4.0999999999999996</v>
      </c>
      <c r="J1589" s="4">
        <v>8</v>
      </c>
      <c r="K1589" s="3">
        <v>4</v>
      </c>
      <c r="L1589" s="1">
        <f t="shared" si="72"/>
        <v>10.129200000000001</v>
      </c>
      <c r="M1589" t="str" cm="1">
        <f t="array" ref="M1589">_xlfn.IFS(B1589&lt;18,"Under 18",B1589 &lt;=25,"18-25",B1589&lt;=35,"26-35",B1589&lt;=45,"36-45",B1589&lt;=60,"46-60",TRUE,"60+")</f>
        <v>46-60</v>
      </c>
      <c r="N1589" t="str">
        <f t="shared" si="73"/>
        <v>Discounted</v>
      </c>
      <c r="O1589" t="str">
        <f t="shared" si="74"/>
        <v>Returning</v>
      </c>
    </row>
    <row r="1590" spans="1:15" x14ac:dyDescent="0.25">
      <c r="A1590">
        <v>1589</v>
      </c>
      <c r="B1590">
        <v>67</v>
      </c>
      <c r="C1590" t="s">
        <v>11</v>
      </c>
      <c r="D1590" t="s">
        <v>33</v>
      </c>
      <c r="E1590" t="s">
        <v>34</v>
      </c>
      <c r="F1590" s="1">
        <v>126.08</v>
      </c>
      <c r="G1590" t="s">
        <v>31</v>
      </c>
      <c r="H1590" t="s">
        <v>15</v>
      </c>
      <c r="I1590" s="2">
        <v>3.8</v>
      </c>
      <c r="J1590" s="4">
        <v>22</v>
      </c>
      <c r="K1590" s="3">
        <v>6</v>
      </c>
      <c r="L1590" s="1">
        <f t="shared" si="72"/>
        <v>98.342399999999998</v>
      </c>
      <c r="M1590" t="str" cm="1">
        <f t="array" ref="M1590">_xlfn.IFS(B1590&lt;18,"Under 18",B1590 &lt;=25,"18-25",B1590&lt;=35,"26-35",B1590&lt;=45,"36-45",B1590&lt;=60,"46-60",TRUE,"60+")</f>
        <v>60+</v>
      </c>
      <c r="N1590" t="str">
        <f t="shared" si="73"/>
        <v>Discounted</v>
      </c>
      <c r="O1590" t="str">
        <f t="shared" si="74"/>
        <v>Returning</v>
      </c>
    </row>
    <row r="1591" spans="1:15" x14ac:dyDescent="0.25">
      <c r="A1591">
        <v>1590</v>
      </c>
      <c r="B1591">
        <v>43</v>
      </c>
      <c r="C1591" t="s">
        <v>16</v>
      </c>
      <c r="D1591" t="s">
        <v>17</v>
      </c>
      <c r="E1591" t="s">
        <v>35</v>
      </c>
      <c r="F1591" s="1">
        <v>114.33</v>
      </c>
      <c r="G1591" t="s">
        <v>31</v>
      </c>
      <c r="H1591" t="s">
        <v>15</v>
      </c>
      <c r="I1591" s="2">
        <v>3.9</v>
      </c>
      <c r="J1591" s="4">
        <v>13</v>
      </c>
      <c r="K1591" s="3">
        <v>4</v>
      </c>
      <c r="L1591" s="1">
        <f t="shared" si="72"/>
        <v>99.467100000000002</v>
      </c>
      <c r="M1591" t="str" cm="1">
        <f t="array" ref="M1591">_xlfn.IFS(B1591&lt;18,"Under 18",B1591 &lt;=25,"18-25",B1591&lt;=35,"26-35",B1591&lt;=45,"36-45",B1591&lt;=60,"46-60",TRUE,"60+")</f>
        <v>36-45</v>
      </c>
      <c r="N1591" t="str">
        <f t="shared" si="73"/>
        <v>Discounted</v>
      </c>
      <c r="O1591" t="str">
        <f t="shared" si="74"/>
        <v>Returning</v>
      </c>
    </row>
    <row r="1592" spans="1:15" x14ac:dyDescent="0.25">
      <c r="A1592">
        <v>1591</v>
      </c>
      <c r="B1592">
        <v>52</v>
      </c>
      <c r="C1592" t="s">
        <v>16</v>
      </c>
      <c r="D1592" t="s">
        <v>17</v>
      </c>
      <c r="E1592" t="s">
        <v>42</v>
      </c>
      <c r="F1592" s="1">
        <v>157.41</v>
      </c>
      <c r="G1592" t="s">
        <v>31</v>
      </c>
      <c r="H1592" t="s">
        <v>15</v>
      </c>
      <c r="I1592" s="2">
        <v>4.7</v>
      </c>
      <c r="J1592" s="4">
        <v>16</v>
      </c>
      <c r="K1592" s="3">
        <v>3</v>
      </c>
      <c r="L1592" s="1">
        <f t="shared" si="72"/>
        <v>132.2244</v>
      </c>
      <c r="M1592" t="str" cm="1">
        <f t="array" ref="M1592">_xlfn.IFS(B1592&lt;18,"Under 18",B1592 &lt;=25,"18-25",B1592&lt;=35,"26-35",B1592&lt;=45,"36-45",B1592&lt;=60,"46-60",TRUE,"60+")</f>
        <v>46-60</v>
      </c>
      <c r="N1592" t="str">
        <f t="shared" si="73"/>
        <v>Discounted</v>
      </c>
      <c r="O1592" t="str">
        <f t="shared" si="74"/>
        <v>Returning</v>
      </c>
    </row>
    <row r="1593" spans="1:15" x14ac:dyDescent="0.25">
      <c r="A1593">
        <v>1592</v>
      </c>
      <c r="B1593">
        <v>70</v>
      </c>
      <c r="C1593" t="s">
        <v>11</v>
      </c>
      <c r="D1593" t="s">
        <v>33</v>
      </c>
      <c r="E1593" t="s">
        <v>34</v>
      </c>
      <c r="F1593" s="1">
        <v>157.88999999999999</v>
      </c>
      <c r="G1593" t="s">
        <v>14</v>
      </c>
      <c r="H1593" t="s">
        <v>15</v>
      </c>
      <c r="I1593" s="2">
        <v>4</v>
      </c>
      <c r="J1593" s="4">
        <v>16</v>
      </c>
      <c r="K1593" s="3">
        <v>3</v>
      </c>
      <c r="L1593" s="1">
        <f t="shared" si="72"/>
        <v>132.62759999999997</v>
      </c>
      <c r="M1593" t="str" cm="1">
        <f t="array" ref="M1593">_xlfn.IFS(B1593&lt;18,"Under 18",B1593 &lt;=25,"18-25",B1593&lt;=35,"26-35",B1593&lt;=45,"36-45",B1593&lt;=60,"46-60",TRUE,"60+")</f>
        <v>60+</v>
      </c>
      <c r="N1593" t="str">
        <f t="shared" si="73"/>
        <v>Discounted</v>
      </c>
      <c r="O1593" t="str">
        <f t="shared" si="74"/>
        <v>Returning</v>
      </c>
    </row>
    <row r="1594" spans="1:15" x14ac:dyDescent="0.25">
      <c r="A1594">
        <v>1593</v>
      </c>
      <c r="B1594">
        <v>46</v>
      </c>
      <c r="C1594" t="s">
        <v>11</v>
      </c>
      <c r="D1594" t="s">
        <v>41</v>
      </c>
      <c r="E1594" t="s">
        <v>45</v>
      </c>
      <c r="F1594" s="1">
        <v>52.6</v>
      </c>
      <c r="G1594" t="s">
        <v>31</v>
      </c>
      <c r="H1594" t="s">
        <v>15</v>
      </c>
      <c r="I1594" s="2">
        <v>4</v>
      </c>
      <c r="J1594" s="4">
        <v>7</v>
      </c>
      <c r="K1594" s="3">
        <v>1</v>
      </c>
      <c r="L1594" s="1">
        <f t="shared" si="72"/>
        <v>48.917999999999999</v>
      </c>
      <c r="M1594" t="str" cm="1">
        <f t="array" ref="M1594">_xlfn.IFS(B1594&lt;18,"Under 18",B1594 &lt;=25,"18-25",B1594&lt;=35,"26-35",B1594&lt;=45,"36-45",B1594&lt;=60,"46-60",TRUE,"60+")</f>
        <v>46-60</v>
      </c>
      <c r="N1594" t="str">
        <f t="shared" si="73"/>
        <v>Discounted</v>
      </c>
      <c r="O1594" t="str">
        <f t="shared" si="74"/>
        <v>Returning</v>
      </c>
    </row>
    <row r="1595" spans="1:15" x14ac:dyDescent="0.25">
      <c r="A1595">
        <v>1594</v>
      </c>
      <c r="B1595">
        <v>63</v>
      </c>
      <c r="C1595" t="s">
        <v>16</v>
      </c>
      <c r="D1595" t="s">
        <v>20</v>
      </c>
      <c r="E1595" t="s">
        <v>21</v>
      </c>
      <c r="F1595" s="1">
        <v>37.630000000000003</v>
      </c>
      <c r="G1595" t="s">
        <v>19</v>
      </c>
      <c r="H1595" t="s">
        <v>37</v>
      </c>
      <c r="I1595" s="2">
        <v>3.6</v>
      </c>
      <c r="J1595" s="4">
        <v>13</v>
      </c>
      <c r="K1595" s="3">
        <v>4</v>
      </c>
      <c r="L1595" s="1">
        <f t="shared" si="72"/>
        <v>32.738100000000003</v>
      </c>
      <c r="M1595" t="str" cm="1">
        <f t="array" ref="M1595">_xlfn.IFS(B1595&lt;18,"Under 18",B1595 &lt;=25,"18-25",B1595&lt;=35,"26-35",B1595&lt;=45,"36-45",B1595&lt;=60,"46-60",TRUE,"60+")</f>
        <v>60+</v>
      </c>
      <c r="N1595" t="str">
        <f t="shared" si="73"/>
        <v>Discounted</v>
      </c>
      <c r="O1595" t="str">
        <f t="shared" si="74"/>
        <v>Returning</v>
      </c>
    </row>
    <row r="1596" spans="1:15" x14ac:dyDescent="0.25">
      <c r="A1596">
        <v>1595</v>
      </c>
      <c r="B1596">
        <v>60</v>
      </c>
      <c r="C1596" t="s">
        <v>16</v>
      </c>
      <c r="D1596" t="s">
        <v>27</v>
      </c>
      <c r="E1596" t="s">
        <v>28</v>
      </c>
      <c r="F1596" s="1">
        <v>1061.83</v>
      </c>
      <c r="G1596" t="s">
        <v>31</v>
      </c>
      <c r="H1596" t="s">
        <v>15</v>
      </c>
      <c r="I1596" s="2">
        <v>4.9000000000000004</v>
      </c>
      <c r="J1596" s="4">
        <v>10</v>
      </c>
      <c r="K1596" s="3">
        <v>5</v>
      </c>
      <c r="L1596" s="1">
        <f t="shared" si="72"/>
        <v>955.64699999999993</v>
      </c>
      <c r="M1596" t="str" cm="1">
        <f t="array" ref="M1596">_xlfn.IFS(B1596&lt;18,"Under 18",B1596 &lt;=25,"18-25",B1596&lt;=35,"26-35",B1596&lt;=45,"36-45",B1596&lt;=60,"46-60",TRUE,"60+")</f>
        <v>46-60</v>
      </c>
      <c r="N1596" t="str">
        <f t="shared" si="73"/>
        <v>Discounted</v>
      </c>
      <c r="O1596" t="str">
        <f t="shared" si="74"/>
        <v>Returning</v>
      </c>
    </row>
    <row r="1597" spans="1:15" x14ac:dyDescent="0.25">
      <c r="A1597">
        <v>1596</v>
      </c>
      <c r="B1597">
        <v>53</v>
      </c>
      <c r="C1597" t="s">
        <v>16</v>
      </c>
      <c r="D1597" t="s">
        <v>17</v>
      </c>
      <c r="E1597" t="s">
        <v>18</v>
      </c>
      <c r="F1597" s="1">
        <v>44.56</v>
      </c>
      <c r="G1597" t="s">
        <v>31</v>
      </c>
      <c r="H1597" t="s">
        <v>15</v>
      </c>
      <c r="I1597" s="2">
        <v>3.9</v>
      </c>
      <c r="J1597" s="4">
        <v>26</v>
      </c>
      <c r="K1597" s="3">
        <v>8</v>
      </c>
      <c r="L1597" s="1">
        <f t="shared" si="72"/>
        <v>32.974400000000003</v>
      </c>
      <c r="M1597" t="str" cm="1">
        <f t="array" ref="M1597">_xlfn.IFS(B1597&lt;18,"Under 18",B1597 &lt;=25,"18-25",B1597&lt;=35,"26-35",B1597&lt;=45,"36-45",B1597&lt;=60,"46-60",TRUE,"60+")</f>
        <v>46-60</v>
      </c>
      <c r="N1597" t="str">
        <f t="shared" si="73"/>
        <v>Discounted</v>
      </c>
      <c r="O1597" t="str">
        <f t="shared" si="74"/>
        <v>Returning</v>
      </c>
    </row>
    <row r="1598" spans="1:15" x14ac:dyDescent="0.25">
      <c r="A1598">
        <v>1597</v>
      </c>
      <c r="B1598">
        <v>43</v>
      </c>
      <c r="C1598" t="s">
        <v>11</v>
      </c>
      <c r="D1598" t="s">
        <v>41</v>
      </c>
      <c r="E1598" t="s">
        <v>42</v>
      </c>
      <c r="F1598" s="1">
        <v>57.06</v>
      </c>
      <c r="G1598" t="s">
        <v>19</v>
      </c>
      <c r="H1598" t="s">
        <v>15</v>
      </c>
      <c r="I1598" s="2">
        <v>3.9</v>
      </c>
      <c r="J1598" s="4">
        <v>26</v>
      </c>
      <c r="K1598" s="3">
        <v>8</v>
      </c>
      <c r="L1598" s="1">
        <f t="shared" si="72"/>
        <v>42.224400000000003</v>
      </c>
      <c r="M1598" t="str" cm="1">
        <f t="array" ref="M1598">_xlfn.IFS(B1598&lt;18,"Under 18",B1598 &lt;=25,"18-25",B1598&lt;=35,"26-35",B1598&lt;=45,"36-45",B1598&lt;=60,"46-60",TRUE,"60+")</f>
        <v>36-45</v>
      </c>
      <c r="N1598" t="str">
        <f t="shared" si="73"/>
        <v>Discounted</v>
      </c>
      <c r="O1598" t="str">
        <f t="shared" si="74"/>
        <v>Returning</v>
      </c>
    </row>
    <row r="1599" spans="1:15" x14ac:dyDescent="0.25">
      <c r="A1599">
        <v>1598</v>
      </c>
      <c r="B1599">
        <v>44</v>
      </c>
      <c r="C1599" t="s">
        <v>11</v>
      </c>
      <c r="D1599" t="s">
        <v>41</v>
      </c>
      <c r="E1599" t="s">
        <v>46</v>
      </c>
      <c r="F1599" s="1">
        <v>34.94</v>
      </c>
      <c r="G1599" t="s">
        <v>14</v>
      </c>
      <c r="H1599" t="s">
        <v>37</v>
      </c>
      <c r="I1599" s="2">
        <v>1.6</v>
      </c>
      <c r="J1599" s="4">
        <v>22</v>
      </c>
      <c r="K1599" s="3">
        <v>11</v>
      </c>
      <c r="L1599" s="1">
        <f t="shared" si="72"/>
        <v>27.2532</v>
      </c>
      <c r="M1599" t="str" cm="1">
        <f t="array" ref="M1599">_xlfn.IFS(B1599&lt;18,"Under 18",B1599 &lt;=25,"18-25",B1599&lt;=35,"26-35",B1599&lt;=45,"36-45",B1599&lt;=60,"46-60",TRUE,"60+")</f>
        <v>36-45</v>
      </c>
      <c r="N1599" t="str">
        <f t="shared" si="73"/>
        <v>Discounted</v>
      </c>
      <c r="O1599" t="str">
        <f t="shared" si="74"/>
        <v>Returning</v>
      </c>
    </row>
    <row r="1600" spans="1:15" x14ac:dyDescent="0.25">
      <c r="A1600">
        <v>1599</v>
      </c>
      <c r="B1600">
        <v>32</v>
      </c>
      <c r="C1600" t="s">
        <v>16</v>
      </c>
      <c r="D1600" t="s">
        <v>25</v>
      </c>
      <c r="E1600" t="s">
        <v>47</v>
      </c>
      <c r="F1600" s="1">
        <v>12.13</v>
      </c>
      <c r="G1600" t="s">
        <v>24</v>
      </c>
      <c r="H1600" t="s">
        <v>15</v>
      </c>
      <c r="I1600" s="2">
        <v>4.9000000000000004</v>
      </c>
      <c r="J1600" s="4">
        <v>16</v>
      </c>
      <c r="K1600" s="3">
        <v>3</v>
      </c>
      <c r="L1600" s="1">
        <f t="shared" si="72"/>
        <v>10.1892</v>
      </c>
      <c r="M1600" t="str" cm="1">
        <f t="array" ref="M1600">_xlfn.IFS(B1600&lt;18,"Under 18",B1600 &lt;=25,"18-25",B1600&lt;=35,"26-35",B1600&lt;=45,"36-45",B1600&lt;=60,"46-60",TRUE,"60+")</f>
        <v>26-35</v>
      </c>
      <c r="N1600" t="str">
        <f t="shared" si="73"/>
        <v>Discounted</v>
      </c>
      <c r="O1600" t="str">
        <f t="shared" si="74"/>
        <v>Returning</v>
      </c>
    </row>
    <row r="1601" spans="1:15" x14ac:dyDescent="0.25">
      <c r="A1601">
        <v>1600</v>
      </c>
      <c r="B1601">
        <v>53</v>
      </c>
      <c r="C1601" t="s">
        <v>16</v>
      </c>
      <c r="D1601" t="s">
        <v>27</v>
      </c>
      <c r="E1601" t="s">
        <v>28</v>
      </c>
      <c r="F1601" s="1">
        <v>930.34</v>
      </c>
      <c r="G1601" t="s">
        <v>31</v>
      </c>
      <c r="H1601" t="s">
        <v>15</v>
      </c>
      <c r="I1601" s="2">
        <v>4.5999999999999996</v>
      </c>
      <c r="J1601" s="4">
        <v>10</v>
      </c>
      <c r="K1601" s="3">
        <v>5</v>
      </c>
      <c r="L1601" s="1">
        <f t="shared" si="72"/>
        <v>837.30600000000004</v>
      </c>
      <c r="M1601" t="str" cm="1">
        <f t="array" ref="M1601">_xlfn.IFS(B1601&lt;18,"Under 18",B1601 &lt;=25,"18-25",B1601&lt;=35,"26-35",B1601&lt;=45,"36-45",B1601&lt;=60,"46-60",TRUE,"60+")</f>
        <v>46-60</v>
      </c>
      <c r="N1601" t="str">
        <f t="shared" si="73"/>
        <v>Discounted</v>
      </c>
      <c r="O1601" t="str">
        <f t="shared" si="74"/>
        <v>Returning</v>
      </c>
    </row>
    <row r="1602" spans="1:15" x14ac:dyDescent="0.25">
      <c r="A1602">
        <v>1601</v>
      </c>
      <c r="B1602">
        <v>24</v>
      </c>
      <c r="C1602" t="s">
        <v>16</v>
      </c>
      <c r="D1602" t="s">
        <v>27</v>
      </c>
      <c r="E1602" t="s">
        <v>28</v>
      </c>
      <c r="F1602" s="1">
        <v>2059.52</v>
      </c>
      <c r="G1602" t="s">
        <v>24</v>
      </c>
      <c r="H1602" t="s">
        <v>15</v>
      </c>
      <c r="I1602" s="2">
        <v>3.4</v>
      </c>
      <c r="J1602" s="4">
        <v>18</v>
      </c>
      <c r="K1602" s="3">
        <v>4</v>
      </c>
      <c r="L1602" s="1">
        <f t="shared" si="72"/>
        <v>1688.8064000000002</v>
      </c>
      <c r="M1602" t="str" cm="1">
        <f t="array" ref="M1602">_xlfn.IFS(B1602&lt;18,"Under 18",B1602 &lt;=25,"18-25",B1602&lt;=35,"26-35",B1602&lt;=45,"36-45",B1602&lt;=60,"46-60",TRUE,"60+")</f>
        <v>18-25</v>
      </c>
      <c r="N1602" t="str">
        <f t="shared" si="73"/>
        <v>Discounted</v>
      </c>
      <c r="O1602" t="str">
        <f t="shared" si="74"/>
        <v>Returning</v>
      </c>
    </row>
    <row r="1603" spans="1:15" x14ac:dyDescent="0.25">
      <c r="A1603">
        <v>1602</v>
      </c>
      <c r="B1603">
        <v>36</v>
      </c>
      <c r="C1603" t="s">
        <v>16</v>
      </c>
      <c r="D1603" t="s">
        <v>33</v>
      </c>
      <c r="E1603" t="s">
        <v>40</v>
      </c>
      <c r="F1603" s="1">
        <v>160.32</v>
      </c>
      <c r="G1603" t="s">
        <v>14</v>
      </c>
      <c r="H1603" t="s">
        <v>15</v>
      </c>
      <c r="I1603" s="2">
        <v>3.9</v>
      </c>
      <c r="J1603" s="4">
        <v>16</v>
      </c>
      <c r="K1603" s="3">
        <v>8</v>
      </c>
      <c r="L1603" s="1">
        <f t="shared" ref="L1603:L1666" si="75">F1603 * (1 - J1603 / 100)</f>
        <v>134.66879999999998</v>
      </c>
      <c r="M1603" t="str" cm="1">
        <f t="array" ref="M1603">_xlfn.IFS(B1603&lt;18,"Under 18",B1603 &lt;=25,"18-25",B1603&lt;=35,"26-35",B1603&lt;=45,"36-45",B1603&lt;=60,"46-60",TRUE,"60+")</f>
        <v>36-45</v>
      </c>
      <c r="N1603" t="str">
        <f t="shared" ref="N1603:N1666" si="76">IF(J1603&gt;0,"Discounted","No Discount")</f>
        <v>Discounted</v>
      </c>
      <c r="O1603" t="str">
        <f t="shared" ref="O1603:O1666" si="77">IF(K1603&gt;0,"Returning","New")</f>
        <v>Returning</v>
      </c>
    </row>
    <row r="1604" spans="1:15" x14ac:dyDescent="0.25">
      <c r="A1604">
        <v>1603</v>
      </c>
      <c r="B1604">
        <v>57</v>
      </c>
      <c r="C1604" t="s">
        <v>11</v>
      </c>
      <c r="D1604" t="s">
        <v>12</v>
      </c>
      <c r="E1604" t="s">
        <v>13</v>
      </c>
      <c r="F1604" s="1">
        <v>28.73</v>
      </c>
      <c r="G1604" t="s">
        <v>24</v>
      </c>
      <c r="H1604" t="s">
        <v>15</v>
      </c>
      <c r="I1604" s="2">
        <v>3.8</v>
      </c>
      <c r="J1604" s="4">
        <v>10</v>
      </c>
      <c r="K1604" s="3">
        <v>5</v>
      </c>
      <c r="L1604" s="1">
        <f t="shared" si="75"/>
        <v>25.856999999999999</v>
      </c>
      <c r="M1604" t="str" cm="1">
        <f t="array" ref="M1604">_xlfn.IFS(B1604&lt;18,"Under 18",B1604 &lt;=25,"18-25",B1604&lt;=35,"26-35",B1604&lt;=45,"36-45",B1604&lt;=60,"46-60",TRUE,"60+")</f>
        <v>46-60</v>
      </c>
      <c r="N1604" t="str">
        <f t="shared" si="76"/>
        <v>Discounted</v>
      </c>
      <c r="O1604" t="str">
        <f t="shared" si="77"/>
        <v>Returning</v>
      </c>
    </row>
    <row r="1605" spans="1:15" x14ac:dyDescent="0.25">
      <c r="A1605">
        <v>1604</v>
      </c>
      <c r="B1605">
        <v>67</v>
      </c>
      <c r="C1605" t="s">
        <v>16</v>
      </c>
      <c r="D1605" t="s">
        <v>33</v>
      </c>
      <c r="E1605" t="s">
        <v>34</v>
      </c>
      <c r="F1605" s="1">
        <v>229.11</v>
      </c>
      <c r="G1605" t="s">
        <v>31</v>
      </c>
      <c r="H1605" t="s">
        <v>15</v>
      </c>
      <c r="I1605" s="2">
        <v>4</v>
      </c>
      <c r="J1605" s="4">
        <v>13</v>
      </c>
      <c r="K1605" s="3">
        <v>4</v>
      </c>
      <c r="L1605" s="1">
        <f t="shared" si="75"/>
        <v>199.32570000000001</v>
      </c>
      <c r="M1605" t="str" cm="1">
        <f t="array" ref="M1605">_xlfn.IFS(B1605&lt;18,"Under 18",B1605 &lt;=25,"18-25",B1605&lt;=35,"26-35",B1605&lt;=45,"36-45",B1605&lt;=60,"46-60",TRUE,"60+")</f>
        <v>60+</v>
      </c>
      <c r="N1605" t="str">
        <f t="shared" si="76"/>
        <v>Discounted</v>
      </c>
      <c r="O1605" t="str">
        <f t="shared" si="77"/>
        <v>Returning</v>
      </c>
    </row>
    <row r="1606" spans="1:15" x14ac:dyDescent="0.25">
      <c r="A1606">
        <v>1605</v>
      </c>
      <c r="B1606">
        <v>38</v>
      </c>
      <c r="C1606" t="s">
        <v>16</v>
      </c>
      <c r="D1606" t="s">
        <v>20</v>
      </c>
      <c r="E1606" t="s">
        <v>36</v>
      </c>
      <c r="F1606" s="1">
        <v>163.57</v>
      </c>
      <c r="G1606" t="s">
        <v>19</v>
      </c>
      <c r="H1606" t="s">
        <v>15</v>
      </c>
      <c r="I1606" s="2">
        <v>4</v>
      </c>
      <c r="J1606" s="4">
        <v>11</v>
      </c>
      <c r="K1606" s="3">
        <v>3</v>
      </c>
      <c r="L1606" s="1">
        <f t="shared" si="75"/>
        <v>145.57730000000001</v>
      </c>
      <c r="M1606" t="str" cm="1">
        <f t="array" ref="M1606">_xlfn.IFS(B1606&lt;18,"Under 18",B1606 &lt;=25,"18-25",B1606&lt;=35,"26-35",B1606&lt;=45,"36-45",B1606&lt;=60,"46-60",TRUE,"60+")</f>
        <v>36-45</v>
      </c>
      <c r="N1606" t="str">
        <f t="shared" si="76"/>
        <v>Discounted</v>
      </c>
      <c r="O1606" t="str">
        <f t="shared" si="77"/>
        <v>Returning</v>
      </c>
    </row>
    <row r="1607" spans="1:15" x14ac:dyDescent="0.25">
      <c r="A1607">
        <v>1606</v>
      </c>
      <c r="B1607">
        <v>48</v>
      </c>
      <c r="C1607" t="s">
        <v>16</v>
      </c>
      <c r="D1607" t="s">
        <v>20</v>
      </c>
      <c r="E1607" t="s">
        <v>21</v>
      </c>
      <c r="F1607" s="1">
        <v>149.97999999999999</v>
      </c>
      <c r="G1607" t="s">
        <v>24</v>
      </c>
      <c r="H1607" t="s">
        <v>15</v>
      </c>
      <c r="I1607" s="2">
        <v>4.0999999999999996</v>
      </c>
      <c r="J1607" s="4">
        <v>9</v>
      </c>
      <c r="K1607" s="3">
        <v>2</v>
      </c>
      <c r="L1607" s="1">
        <f t="shared" si="75"/>
        <v>136.48179999999999</v>
      </c>
      <c r="M1607" t="str" cm="1">
        <f t="array" ref="M1607">_xlfn.IFS(B1607&lt;18,"Under 18",B1607 &lt;=25,"18-25",B1607&lt;=35,"26-35",B1607&lt;=45,"36-45",B1607&lt;=60,"46-60",TRUE,"60+")</f>
        <v>46-60</v>
      </c>
      <c r="N1607" t="str">
        <f t="shared" si="76"/>
        <v>Discounted</v>
      </c>
      <c r="O1607" t="str">
        <f t="shared" si="77"/>
        <v>Returning</v>
      </c>
    </row>
    <row r="1608" spans="1:15" x14ac:dyDescent="0.25">
      <c r="A1608">
        <v>1607</v>
      </c>
      <c r="B1608">
        <v>47</v>
      </c>
      <c r="C1608" t="s">
        <v>16</v>
      </c>
      <c r="D1608" t="s">
        <v>17</v>
      </c>
      <c r="E1608" t="s">
        <v>42</v>
      </c>
      <c r="F1608" s="1">
        <v>32.58</v>
      </c>
      <c r="G1608" t="s">
        <v>24</v>
      </c>
      <c r="H1608" t="s">
        <v>15</v>
      </c>
      <c r="I1608" s="2">
        <v>4.5</v>
      </c>
      <c r="J1608" s="4">
        <v>14</v>
      </c>
      <c r="K1608" s="3">
        <v>7</v>
      </c>
      <c r="L1608" s="1">
        <f t="shared" si="75"/>
        <v>28.018799999999999</v>
      </c>
      <c r="M1608" t="str" cm="1">
        <f t="array" ref="M1608">_xlfn.IFS(B1608&lt;18,"Under 18",B1608 &lt;=25,"18-25",B1608&lt;=35,"26-35",B1608&lt;=45,"36-45",B1608&lt;=60,"46-60",TRUE,"60+")</f>
        <v>46-60</v>
      </c>
      <c r="N1608" t="str">
        <f t="shared" si="76"/>
        <v>Discounted</v>
      </c>
      <c r="O1608" t="str">
        <f t="shared" si="77"/>
        <v>Returning</v>
      </c>
    </row>
    <row r="1609" spans="1:15" x14ac:dyDescent="0.25">
      <c r="A1609">
        <v>1608</v>
      </c>
      <c r="B1609">
        <v>60</v>
      </c>
      <c r="C1609" t="s">
        <v>16</v>
      </c>
      <c r="D1609" t="s">
        <v>20</v>
      </c>
      <c r="E1609" t="s">
        <v>36</v>
      </c>
      <c r="F1609" s="1">
        <v>61.48</v>
      </c>
      <c r="G1609" t="s">
        <v>19</v>
      </c>
      <c r="H1609" t="s">
        <v>15</v>
      </c>
      <c r="I1609" s="2">
        <v>3.9</v>
      </c>
      <c r="J1609" s="4">
        <v>22</v>
      </c>
      <c r="K1609" s="3">
        <v>6</v>
      </c>
      <c r="L1609" s="1">
        <f t="shared" si="75"/>
        <v>47.9544</v>
      </c>
      <c r="M1609" t="str" cm="1">
        <f t="array" ref="M1609">_xlfn.IFS(B1609&lt;18,"Under 18",B1609 &lt;=25,"18-25",B1609&lt;=35,"26-35",B1609&lt;=45,"36-45",B1609&lt;=60,"46-60",TRUE,"60+")</f>
        <v>46-60</v>
      </c>
      <c r="N1609" t="str">
        <f t="shared" si="76"/>
        <v>Discounted</v>
      </c>
      <c r="O1609" t="str">
        <f t="shared" si="77"/>
        <v>Returning</v>
      </c>
    </row>
    <row r="1610" spans="1:15" x14ac:dyDescent="0.25">
      <c r="A1610">
        <v>1609</v>
      </c>
      <c r="B1610">
        <v>56</v>
      </c>
      <c r="C1610" t="s">
        <v>11</v>
      </c>
      <c r="D1610" t="s">
        <v>33</v>
      </c>
      <c r="E1610" t="s">
        <v>38</v>
      </c>
      <c r="F1610" s="1">
        <v>140.04</v>
      </c>
      <c r="G1610" t="s">
        <v>24</v>
      </c>
      <c r="H1610" t="s">
        <v>15</v>
      </c>
      <c r="I1610" s="2">
        <v>3.2</v>
      </c>
      <c r="J1610" s="4">
        <v>11</v>
      </c>
      <c r="K1610" s="3">
        <v>3</v>
      </c>
      <c r="L1610" s="1">
        <f t="shared" si="75"/>
        <v>124.6356</v>
      </c>
      <c r="M1610" t="str" cm="1">
        <f t="array" ref="M1610">_xlfn.IFS(B1610&lt;18,"Under 18",B1610 &lt;=25,"18-25",B1610&lt;=35,"26-35",B1610&lt;=45,"36-45",B1610&lt;=60,"46-60",TRUE,"60+")</f>
        <v>46-60</v>
      </c>
      <c r="N1610" t="str">
        <f t="shared" si="76"/>
        <v>Discounted</v>
      </c>
      <c r="O1610" t="str">
        <f t="shared" si="77"/>
        <v>Returning</v>
      </c>
    </row>
    <row r="1611" spans="1:15" x14ac:dyDescent="0.25">
      <c r="A1611">
        <v>1610</v>
      </c>
      <c r="B1611">
        <v>60</v>
      </c>
      <c r="C1611" t="s">
        <v>11</v>
      </c>
      <c r="D1611" t="s">
        <v>12</v>
      </c>
      <c r="E1611" t="s">
        <v>50</v>
      </c>
      <c r="F1611" s="1">
        <v>47.05</v>
      </c>
      <c r="G1611" t="s">
        <v>24</v>
      </c>
      <c r="H1611" t="s">
        <v>15</v>
      </c>
      <c r="I1611" s="2">
        <v>2.2999999999999998</v>
      </c>
      <c r="J1611" s="4">
        <v>15</v>
      </c>
      <c r="K1611" s="3">
        <v>5</v>
      </c>
      <c r="L1611" s="1">
        <f t="shared" si="75"/>
        <v>39.9925</v>
      </c>
      <c r="M1611" t="str" cm="1">
        <f t="array" ref="M1611">_xlfn.IFS(B1611&lt;18,"Under 18",B1611 &lt;=25,"18-25",B1611&lt;=35,"26-35",B1611&lt;=45,"36-45",B1611&lt;=60,"46-60",TRUE,"60+")</f>
        <v>46-60</v>
      </c>
      <c r="N1611" t="str">
        <f t="shared" si="76"/>
        <v>Discounted</v>
      </c>
      <c r="O1611" t="str">
        <f t="shared" si="77"/>
        <v>Returning</v>
      </c>
    </row>
    <row r="1612" spans="1:15" x14ac:dyDescent="0.25">
      <c r="A1612">
        <v>1611</v>
      </c>
      <c r="B1612">
        <v>58</v>
      </c>
      <c r="C1612" t="s">
        <v>11</v>
      </c>
      <c r="D1612" t="s">
        <v>20</v>
      </c>
      <c r="E1612" t="s">
        <v>39</v>
      </c>
      <c r="F1612" s="1">
        <v>187.21</v>
      </c>
      <c r="G1612" t="s">
        <v>24</v>
      </c>
      <c r="H1612" t="s">
        <v>15</v>
      </c>
      <c r="I1612" s="2">
        <v>3.7</v>
      </c>
      <c r="J1612" s="4">
        <v>19</v>
      </c>
      <c r="K1612" s="3">
        <v>7</v>
      </c>
      <c r="L1612" s="1">
        <f t="shared" si="75"/>
        <v>151.64010000000002</v>
      </c>
      <c r="M1612" t="str" cm="1">
        <f t="array" ref="M1612">_xlfn.IFS(B1612&lt;18,"Under 18",B1612 &lt;=25,"18-25",B1612&lt;=35,"26-35",B1612&lt;=45,"36-45",B1612&lt;=60,"46-60",TRUE,"60+")</f>
        <v>46-60</v>
      </c>
      <c r="N1612" t="str">
        <f t="shared" si="76"/>
        <v>Discounted</v>
      </c>
      <c r="O1612" t="str">
        <f t="shared" si="77"/>
        <v>Returning</v>
      </c>
    </row>
    <row r="1613" spans="1:15" x14ac:dyDescent="0.25">
      <c r="A1613">
        <v>1612</v>
      </c>
      <c r="B1613">
        <v>67</v>
      </c>
      <c r="C1613" t="s">
        <v>11</v>
      </c>
      <c r="D1613" t="s">
        <v>33</v>
      </c>
      <c r="E1613" t="s">
        <v>40</v>
      </c>
      <c r="F1613" s="1">
        <v>211.09</v>
      </c>
      <c r="G1613" t="s">
        <v>19</v>
      </c>
      <c r="H1613" t="s">
        <v>15</v>
      </c>
      <c r="I1613" s="2">
        <v>3.8</v>
      </c>
      <c r="J1613" s="4">
        <v>9</v>
      </c>
      <c r="K1613" s="3">
        <v>2</v>
      </c>
      <c r="L1613" s="1">
        <f t="shared" si="75"/>
        <v>192.09190000000001</v>
      </c>
      <c r="M1613" t="str" cm="1">
        <f t="array" ref="M1613">_xlfn.IFS(B1613&lt;18,"Under 18",B1613 &lt;=25,"18-25",B1613&lt;=35,"26-35",B1613&lt;=45,"36-45",B1613&lt;=60,"46-60",TRUE,"60+")</f>
        <v>60+</v>
      </c>
      <c r="N1613" t="str">
        <f t="shared" si="76"/>
        <v>Discounted</v>
      </c>
      <c r="O1613" t="str">
        <f t="shared" si="77"/>
        <v>Returning</v>
      </c>
    </row>
    <row r="1614" spans="1:15" x14ac:dyDescent="0.25">
      <c r="A1614">
        <v>1613</v>
      </c>
      <c r="B1614">
        <v>56</v>
      </c>
      <c r="C1614" t="s">
        <v>11</v>
      </c>
      <c r="D1614" t="s">
        <v>33</v>
      </c>
      <c r="E1614" t="s">
        <v>40</v>
      </c>
      <c r="F1614" s="1">
        <v>181.83</v>
      </c>
      <c r="G1614" t="s">
        <v>19</v>
      </c>
      <c r="H1614" t="s">
        <v>15</v>
      </c>
      <c r="I1614" s="2">
        <v>4</v>
      </c>
      <c r="J1614" s="4">
        <v>2</v>
      </c>
      <c r="K1614" s="3">
        <v>1</v>
      </c>
      <c r="L1614" s="1">
        <f t="shared" si="75"/>
        <v>178.1934</v>
      </c>
      <c r="M1614" t="str" cm="1">
        <f t="array" ref="M1614">_xlfn.IFS(B1614&lt;18,"Under 18",B1614 &lt;=25,"18-25",B1614&lt;=35,"26-35",B1614&lt;=45,"36-45",B1614&lt;=60,"46-60",TRUE,"60+")</f>
        <v>46-60</v>
      </c>
      <c r="N1614" t="str">
        <f t="shared" si="76"/>
        <v>Discounted</v>
      </c>
      <c r="O1614" t="str">
        <f t="shared" si="77"/>
        <v>Returning</v>
      </c>
    </row>
    <row r="1615" spans="1:15" x14ac:dyDescent="0.25">
      <c r="A1615">
        <v>1614</v>
      </c>
      <c r="B1615">
        <v>39</v>
      </c>
      <c r="C1615" t="s">
        <v>11</v>
      </c>
      <c r="D1615" t="s">
        <v>29</v>
      </c>
      <c r="E1615" t="s">
        <v>30</v>
      </c>
      <c r="F1615" s="1">
        <v>96.55</v>
      </c>
      <c r="G1615" t="s">
        <v>24</v>
      </c>
      <c r="H1615" t="s">
        <v>37</v>
      </c>
      <c r="I1615" s="2">
        <v>3.5</v>
      </c>
      <c r="J1615" s="4">
        <v>21</v>
      </c>
      <c r="K1615" s="3">
        <v>8</v>
      </c>
      <c r="L1615" s="1">
        <f t="shared" si="75"/>
        <v>76.274500000000003</v>
      </c>
      <c r="M1615" t="str" cm="1">
        <f t="array" ref="M1615">_xlfn.IFS(B1615&lt;18,"Under 18",B1615 &lt;=25,"18-25",B1615&lt;=35,"26-35",B1615&lt;=45,"36-45",B1615&lt;=60,"46-60",TRUE,"60+")</f>
        <v>36-45</v>
      </c>
      <c r="N1615" t="str">
        <f t="shared" si="76"/>
        <v>Discounted</v>
      </c>
      <c r="O1615" t="str">
        <f t="shared" si="77"/>
        <v>Returning</v>
      </c>
    </row>
    <row r="1616" spans="1:15" x14ac:dyDescent="0.25">
      <c r="A1616">
        <v>1615</v>
      </c>
      <c r="B1616">
        <v>53</v>
      </c>
      <c r="C1616" t="s">
        <v>11</v>
      </c>
      <c r="D1616" t="s">
        <v>29</v>
      </c>
      <c r="E1616" t="s">
        <v>55</v>
      </c>
      <c r="F1616" s="1">
        <v>105.07</v>
      </c>
      <c r="G1616" t="s">
        <v>19</v>
      </c>
      <c r="H1616" t="s">
        <v>15</v>
      </c>
      <c r="I1616" s="2">
        <v>3.2</v>
      </c>
      <c r="J1616" s="4">
        <v>24</v>
      </c>
      <c r="K1616" s="3">
        <v>7</v>
      </c>
      <c r="L1616" s="1">
        <f t="shared" si="75"/>
        <v>79.853200000000001</v>
      </c>
      <c r="M1616" t="str" cm="1">
        <f t="array" ref="M1616">_xlfn.IFS(B1616&lt;18,"Under 18",B1616 &lt;=25,"18-25",B1616&lt;=35,"26-35",B1616&lt;=45,"36-45",B1616&lt;=60,"46-60",TRUE,"60+")</f>
        <v>46-60</v>
      </c>
      <c r="N1616" t="str">
        <f t="shared" si="76"/>
        <v>Discounted</v>
      </c>
      <c r="O1616" t="str">
        <f t="shared" si="77"/>
        <v>Returning</v>
      </c>
    </row>
    <row r="1617" spans="1:15" x14ac:dyDescent="0.25">
      <c r="A1617">
        <v>1616</v>
      </c>
      <c r="B1617">
        <v>50</v>
      </c>
      <c r="C1617" t="s">
        <v>11</v>
      </c>
      <c r="D1617" t="s">
        <v>29</v>
      </c>
      <c r="E1617" t="s">
        <v>55</v>
      </c>
      <c r="F1617" s="1">
        <v>140.66</v>
      </c>
      <c r="G1617" t="s">
        <v>24</v>
      </c>
      <c r="H1617" t="s">
        <v>15</v>
      </c>
      <c r="I1617" s="2">
        <v>4.5</v>
      </c>
      <c r="J1617" s="4">
        <v>22</v>
      </c>
      <c r="K1617" s="3">
        <v>6</v>
      </c>
      <c r="L1617" s="1">
        <f t="shared" si="75"/>
        <v>109.7148</v>
      </c>
      <c r="M1617" t="str" cm="1">
        <f t="array" ref="M1617">_xlfn.IFS(B1617&lt;18,"Under 18",B1617 &lt;=25,"18-25",B1617&lt;=35,"26-35",B1617&lt;=45,"36-45",B1617&lt;=60,"46-60",TRUE,"60+")</f>
        <v>46-60</v>
      </c>
      <c r="N1617" t="str">
        <f t="shared" si="76"/>
        <v>Discounted</v>
      </c>
      <c r="O1617" t="str">
        <f t="shared" si="77"/>
        <v>Returning</v>
      </c>
    </row>
    <row r="1618" spans="1:15" x14ac:dyDescent="0.25">
      <c r="A1618">
        <v>1617</v>
      </c>
      <c r="B1618">
        <v>38</v>
      </c>
      <c r="C1618" t="s">
        <v>11</v>
      </c>
      <c r="D1618" t="s">
        <v>29</v>
      </c>
      <c r="E1618" t="s">
        <v>30</v>
      </c>
      <c r="F1618" s="1">
        <v>48.99</v>
      </c>
      <c r="G1618" t="s">
        <v>31</v>
      </c>
      <c r="H1618" t="s">
        <v>37</v>
      </c>
      <c r="I1618" s="2">
        <v>4.5999999999999996</v>
      </c>
      <c r="J1618" s="4">
        <v>20</v>
      </c>
      <c r="K1618" s="3">
        <v>5</v>
      </c>
      <c r="L1618" s="1">
        <f t="shared" si="75"/>
        <v>39.192000000000007</v>
      </c>
      <c r="M1618" t="str" cm="1">
        <f t="array" ref="M1618">_xlfn.IFS(B1618&lt;18,"Under 18",B1618 &lt;=25,"18-25",B1618&lt;=35,"26-35",B1618&lt;=45,"36-45",B1618&lt;=60,"46-60",TRUE,"60+")</f>
        <v>36-45</v>
      </c>
      <c r="N1618" t="str">
        <f t="shared" si="76"/>
        <v>Discounted</v>
      </c>
      <c r="O1618" t="str">
        <f t="shared" si="77"/>
        <v>Returning</v>
      </c>
    </row>
    <row r="1619" spans="1:15" x14ac:dyDescent="0.25">
      <c r="A1619">
        <v>1618</v>
      </c>
      <c r="B1619">
        <v>20</v>
      </c>
      <c r="C1619" t="s">
        <v>11</v>
      </c>
      <c r="D1619" t="s">
        <v>33</v>
      </c>
      <c r="E1619" t="s">
        <v>40</v>
      </c>
      <c r="F1619" s="1">
        <v>43.11</v>
      </c>
      <c r="G1619" t="s">
        <v>14</v>
      </c>
      <c r="H1619" t="s">
        <v>37</v>
      </c>
      <c r="I1619" s="2">
        <v>2.7</v>
      </c>
      <c r="J1619" s="4">
        <v>11</v>
      </c>
      <c r="K1619" s="3">
        <v>3</v>
      </c>
      <c r="L1619" s="1">
        <f t="shared" si="75"/>
        <v>38.367899999999999</v>
      </c>
      <c r="M1619" t="str" cm="1">
        <f t="array" ref="M1619">_xlfn.IFS(B1619&lt;18,"Under 18",B1619 &lt;=25,"18-25",B1619&lt;=35,"26-35",B1619&lt;=45,"36-45",B1619&lt;=60,"46-60",TRUE,"60+")</f>
        <v>18-25</v>
      </c>
      <c r="N1619" t="str">
        <f t="shared" si="76"/>
        <v>Discounted</v>
      </c>
      <c r="O1619" t="str">
        <f t="shared" si="77"/>
        <v>Returning</v>
      </c>
    </row>
    <row r="1620" spans="1:15" x14ac:dyDescent="0.25">
      <c r="A1620">
        <v>1619</v>
      </c>
      <c r="B1620">
        <v>55</v>
      </c>
      <c r="C1620" t="s">
        <v>16</v>
      </c>
      <c r="D1620" t="s">
        <v>17</v>
      </c>
      <c r="E1620" t="s">
        <v>48</v>
      </c>
      <c r="F1620" s="1">
        <v>168.41</v>
      </c>
      <c r="G1620" t="s">
        <v>24</v>
      </c>
      <c r="H1620" t="s">
        <v>15</v>
      </c>
      <c r="I1620" s="2">
        <v>3.4</v>
      </c>
      <c r="J1620" s="4">
        <v>8</v>
      </c>
      <c r="K1620" s="3">
        <v>4</v>
      </c>
      <c r="L1620" s="1">
        <f t="shared" si="75"/>
        <v>154.93719999999999</v>
      </c>
      <c r="M1620" t="str" cm="1">
        <f t="array" ref="M1620">_xlfn.IFS(B1620&lt;18,"Under 18",B1620 &lt;=25,"18-25",B1620&lt;=35,"26-35",B1620&lt;=45,"36-45",B1620&lt;=60,"46-60",TRUE,"60+")</f>
        <v>46-60</v>
      </c>
      <c r="N1620" t="str">
        <f t="shared" si="76"/>
        <v>Discounted</v>
      </c>
      <c r="O1620" t="str">
        <f t="shared" si="77"/>
        <v>Returning</v>
      </c>
    </row>
    <row r="1621" spans="1:15" x14ac:dyDescent="0.25">
      <c r="A1621">
        <v>1620</v>
      </c>
      <c r="B1621">
        <v>33</v>
      </c>
      <c r="C1621" t="s">
        <v>16</v>
      </c>
      <c r="D1621" t="s">
        <v>20</v>
      </c>
      <c r="E1621" t="s">
        <v>39</v>
      </c>
      <c r="F1621" s="1">
        <v>174.82</v>
      </c>
      <c r="G1621" t="s">
        <v>31</v>
      </c>
      <c r="H1621" t="s">
        <v>15</v>
      </c>
      <c r="I1621" s="2">
        <v>3.2</v>
      </c>
      <c r="J1621" s="4">
        <v>11</v>
      </c>
      <c r="K1621" s="3">
        <v>3</v>
      </c>
      <c r="L1621" s="1">
        <f t="shared" si="75"/>
        <v>155.5898</v>
      </c>
      <c r="M1621" t="str" cm="1">
        <f t="array" ref="M1621">_xlfn.IFS(B1621&lt;18,"Under 18",B1621 &lt;=25,"18-25",B1621&lt;=35,"26-35",B1621&lt;=45,"36-45",B1621&lt;=60,"46-60",TRUE,"60+")</f>
        <v>26-35</v>
      </c>
      <c r="N1621" t="str">
        <f t="shared" si="76"/>
        <v>Discounted</v>
      </c>
      <c r="O1621" t="str">
        <f t="shared" si="77"/>
        <v>Returning</v>
      </c>
    </row>
    <row r="1622" spans="1:15" x14ac:dyDescent="0.25">
      <c r="A1622">
        <v>1621</v>
      </c>
      <c r="B1622">
        <v>68</v>
      </c>
      <c r="C1622" t="s">
        <v>11</v>
      </c>
      <c r="D1622" t="s">
        <v>29</v>
      </c>
      <c r="E1622" t="s">
        <v>55</v>
      </c>
      <c r="F1622" s="1">
        <v>76.84</v>
      </c>
      <c r="G1622" t="s">
        <v>14</v>
      </c>
      <c r="H1622" t="s">
        <v>37</v>
      </c>
      <c r="I1622" s="2">
        <v>3.2</v>
      </c>
      <c r="J1622" s="4">
        <v>15</v>
      </c>
      <c r="K1622" s="3">
        <v>5</v>
      </c>
      <c r="L1622" s="1">
        <f t="shared" si="75"/>
        <v>65.314000000000007</v>
      </c>
      <c r="M1622" t="str" cm="1">
        <f t="array" ref="M1622">_xlfn.IFS(B1622&lt;18,"Under 18",B1622 &lt;=25,"18-25",B1622&lt;=35,"26-35",B1622&lt;=45,"36-45",B1622&lt;=60,"46-60",TRUE,"60+")</f>
        <v>60+</v>
      </c>
      <c r="N1622" t="str">
        <f t="shared" si="76"/>
        <v>Discounted</v>
      </c>
      <c r="O1622" t="str">
        <f t="shared" si="77"/>
        <v>Returning</v>
      </c>
    </row>
    <row r="1623" spans="1:15" x14ac:dyDescent="0.25">
      <c r="A1623">
        <v>1622</v>
      </c>
      <c r="B1623">
        <v>41</v>
      </c>
      <c r="C1623" t="s">
        <v>11</v>
      </c>
      <c r="D1623" t="s">
        <v>29</v>
      </c>
      <c r="E1623" t="s">
        <v>55</v>
      </c>
      <c r="F1623" s="1">
        <v>106.37</v>
      </c>
      <c r="G1623" t="s">
        <v>24</v>
      </c>
      <c r="H1623" t="s">
        <v>15</v>
      </c>
      <c r="I1623" s="2">
        <v>2.2999999999999998</v>
      </c>
      <c r="J1623" s="4">
        <v>20</v>
      </c>
      <c r="K1623" s="3">
        <v>5</v>
      </c>
      <c r="L1623" s="1">
        <f t="shared" si="75"/>
        <v>85.096000000000004</v>
      </c>
      <c r="M1623" t="str" cm="1">
        <f t="array" ref="M1623">_xlfn.IFS(B1623&lt;18,"Under 18",B1623 &lt;=25,"18-25",B1623&lt;=35,"26-35",B1623&lt;=45,"36-45",B1623&lt;=60,"46-60",TRUE,"60+")</f>
        <v>36-45</v>
      </c>
      <c r="N1623" t="str">
        <f t="shared" si="76"/>
        <v>Discounted</v>
      </c>
      <c r="O1623" t="str">
        <f t="shared" si="77"/>
        <v>Returning</v>
      </c>
    </row>
    <row r="1624" spans="1:15" x14ac:dyDescent="0.25">
      <c r="A1624">
        <v>1623</v>
      </c>
      <c r="B1624">
        <v>54</v>
      </c>
      <c r="C1624" t="s">
        <v>16</v>
      </c>
      <c r="D1624" t="s">
        <v>27</v>
      </c>
      <c r="E1624" t="s">
        <v>28</v>
      </c>
      <c r="F1624" s="1">
        <v>2164.64</v>
      </c>
      <c r="G1624" t="s">
        <v>19</v>
      </c>
      <c r="H1624" t="s">
        <v>15</v>
      </c>
      <c r="I1624" s="2">
        <v>3.9</v>
      </c>
      <c r="J1624" s="4">
        <v>10</v>
      </c>
      <c r="K1624" s="3">
        <v>5</v>
      </c>
      <c r="L1624" s="1">
        <f t="shared" si="75"/>
        <v>1948.1759999999999</v>
      </c>
      <c r="M1624" t="str" cm="1">
        <f t="array" ref="M1624">_xlfn.IFS(B1624&lt;18,"Under 18",B1624 &lt;=25,"18-25",B1624&lt;=35,"26-35",B1624&lt;=45,"36-45",B1624&lt;=60,"46-60",TRUE,"60+")</f>
        <v>46-60</v>
      </c>
      <c r="N1624" t="str">
        <f t="shared" si="76"/>
        <v>Discounted</v>
      </c>
      <c r="O1624" t="str">
        <f t="shared" si="77"/>
        <v>Returning</v>
      </c>
    </row>
    <row r="1625" spans="1:15" x14ac:dyDescent="0.25">
      <c r="A1625">
        <v>1624</v>
      </c>
      <c r="B1625">
        <v>31</v>
      </c>
      <c r="C1625" t="s">
        <v>11</v>
      </c>
      <c r="D1625" t="s">
        <v>29</v>
      </c>
      <c r="E1625" t="s">
        <v>55</v>
      </c>
      <c r="F1625" s="1">
        <v>61.15</v>
      </c>
      <c r="G1625" t="s">
        <v>31</v>
      </c>
      <c r="H1625" t="s">
        <v>15</v>
      </c>
      <c r="I1625" s="2">
        <v>3.4</v>
      </c>
      <c r="J1625" s="4">
        <v>17</v>
      </c>
      <c r="K1625" s="3">
        <v>6</v>
      </c>
      <c r="L1625" s="1">
        <f t="shared" si="75"/>
        <v>50.754499999999993</v>
      </c>
      <c r="M1625" t="str" cm="1">
        <f t="array" ref="M1625">_xlfn.IFS(B1625&lt;18,"Under 18",B1625 &lt;=25,"18-25",B1625&lt;=35,"26-35",B1625&lt;=45,"36-45",B1625&lt;=60,"46-60",TRUE,"60+")</f>
        <v>26-35</v>
      </c>
      <c r="N1625" t="str">
        <f t="shared" si="76"/>
        <v>Discounted</v>
      </c>
      <c r="O1625" t="str">
        <f t="shared" si="77"/>
        <v>Returning</v>
      </c>
    </row>
    <row r="1626" spans="1:15" x14ac:dyDescent="0.25">
      <c r="A1626">
        <v>1625</v>
      </c>
      <c r="B1626">
        <v>31</v>
      </c>
      <c r="C1626" t="s">
        <v>16</v>
      </c>
      <c r="D1626" t="s">
        <v>27</v>
      </c>
      <c r="E1626" t="s">
        <v>53</v>
      </c>
      <c r="F1626" s="1">
        <v>1128.3</v>
      </c>
      <c r="G1626" t="s">
        <v>31</v>
      </c>
      <c r="H1626" t="s">
        <v>15</v>
      </c>
      <c r="I1626" s="2">
        <v>3.2</v>
      </c>
      <c r="J1626" s="4">
        <v>10</v>
      </c>
      <c r="K1626" s="3">
        <v>5</v>
      </c>
      <c r="L1626" s="1">
        <f t="shared" si="75"/>
        <v>1015.47</v>
      </c>
      <c r="M1626" t="str" cm="1">
        <f t="array" ref="M1626">_xlfn.IFS(B1626&lt;18,"Under 18",B1626 &lt;=25,"18-25",B1626&lt;=35,"26-35",B1626&lt;=45,"36-45",B1626&lt;=60,"46-60",TRUE,"60+")</f>
        <v>26-35</v>
      </c>
      <c r="N1626" t="str">
        <f t="shared" si="76"/>
        <v>Discounted</v>
      </c>
      <c r="O1626" t="str">
        <f t="shared" si="77"/>
        <v>Returning</v>
      </c>
    </row>
    <row r="1627" spans="1:15" x14ac:dyDescent="0.25">
      <c r="A1627">
        <v>1626</v>
      </c>
      <c r="B1627">
        <v>47</v>
      </c>
      <c r="C1627" t="s">
        <v>16</v>
      </c>
      <c r="D1627" t="s">
        <v>27</v>
      </c>
      <c r="E1627" t="s">
        <v>28</v>
      </c>
      <c r="F1627" s="1">
        <v>696.28</v>
      </c>
      <c r="G1627" t="s">
        <v>14</v>
      </c>
      <c r="H1627" t="s">
        <v>15</v>
      </c>
      <c r="I1627" s="2">
        <v>3.7</v>
      </c>
      <c r="J1627" s="4">
        <v>15</v>
      </c>
      <c r="K1627" s="3">
        <v>5</v>
      </c>
      <c r="L1627" s="1">
        <f t="shared" si="75"/>
        <v>591.83799999999997</v>
      </c>
      <c r="M1627" t="str" cm="1">
        <f t="array" ref="M1627">_xlfn.IFS(B1627&lt;18,"Under 18",B1627 &lt;=25,"18-25",B1627&lt;=35,"26-35",B1627&lt;=45,"36-45",B1627&lt;=60,"46-60",TRUE,"60+")</f>
        <v>46-60</v>
      </c>
      <c r="N1627" t="str">
        <f t="shared" si="76"/>
        <v>Discounted</v>
      </c>
      <c r="O1627" t="str">
        <f t="shared" si="77"/>
        <v>Returning</v>
      </c>
    </row>
    <row r="1628" spans="1:15" x14ac:dyDescent="0.25">
      <c r="A1628">
        <v>1627</v>
      </c>
      <c r="B1628">
        <v>55</v>
      </c>
      <c r="C1628" t="s">
        <v>16</v>
      </c>
      <c r="D1628" t="s">
        <v>33</v>
      </c>
      <c r="E1628" t="s">
        <v>34</v>
      </c>
      <c r="F1628" s="1">
        <v>212.95</v>
      </c>
      <c r="G1628" t="s">
        <v>24</v>
      </c>
      <c r="H1628" t="s">
        <v>15</v>
      </c>
      <c r="I1628" s="2">
        <v>3.4</v>
      </c>
      <c r="J1628" s="4">
        <v>12</v>
      </c>
      <c r="K1628" s="3">
        <v>6</v>
      </c>
      <c r="L1628" s="1">
        <f t="shared" si="75"/>
        <v>187.39599999999999</v>
      </c>
      <c r="M1628" t="str" cm="1">
        <f t="array" ref="M1628">_xlfn.IFS(B1628&lt;18,"Under 18",B1628 &lt;=25,"18-25",B1628&lt;=35,"26-35",B1628&lt;=45,"36-45",B1628&lt;=60,"46-60",TRUE,"60+")</f>
        <v>46-60</v>
      </c>
      <c r="N1628" t="str">
        <f t="shared" si="76"/>
        <v>Discounted</v>
      </c>
      <c r="O1628" t="str">
        <f t="shared" si="77"/>
        <v>Returning</v>
      </c>
    </row>
    <row r="1629" spans="1:15" x14ac:dyDescent="0.25">
      <c r="A1629">
        <v>1628</v>
      </c>
      <c r="B1629">
        <v>56</v>
      </c>
      <c r="C1629" t="s">
        <v>11</v>
      </c>
      <c r="D1629" t="s">
        <v>33</v>
      </c>
      <c r="E1629" t="s">
        <v>40</v>
      </c>
      <c r="F1629" s="1">
        <v>213.37</v>
      </c>
      <c r="G1629" t="s">
        <v>24</v>
      </c>
      <c r="H1629" t="s">
        <v>15</v>
      </c>
      <c r="I1629" s="2">
        <v>2.9</v>
      </c>
      <c r="J1629" s="4">
        <v>4</v>
      </c>
      <c r="K1629" s="3">
        <v>2</v>
      </c>
      <c r="L1629" s="1">
        <f t="shared" si="75"/>
        <v>204.83519999999999</v>
      </c>
      <c r="M1629" t="str" cm="1">
        <f t="array" ref="M1629">_xlfn.IFS(B1629&lt;18,"Under 18",B1629 &lt;=25,"18-25",B1629&lt;=35,"26-35",B1629&lt;=45,"36-45",B1629&lt;=60,"46-60",TRUE,"60+")</f>
        <v>46-60</v>
      </c>
      <c r="N1629" t="str">
        <f t="shared" si="76"/>
        <v>Discounted</v>
      </c>
      <c r="O1629" t="str">
        <f t="shared" si="77"/>
        <v>Returning</v>
      </c>
    </row>
    <row r="1630" spans="1:15" x14ac:dyDescent="0.25">
      <c r="A1630">
        <v>1629</v>
      </c>
      <c r="B1630">
        <v>57</v>
      </c>
      <c r="C1630" t="s">
        <v>11</v>
      </c>
      <c r="D1630" t="s">
        <v>25</v>
      </c>
      <c r="E1630" t="s">
        <v>47</v>
      </c>
      <c r="F1630" s="1">
        <v>30.58</v>
      </c>
      <c r="G1630" t="s">
        <v>31</v>
      </c>
      <c r="H1630" t="s">
        <v>15</v>
      </c>
      <c r="I1630" s="2">
        <v>4.4000000000000004</v>
      </c>
      <c r="J1630" s="4">
        <v>14</v>
      </c>
      <c r="K1630" s="3">
        <v>7</v>
      </c>
      <c r="L1630" s="1">
        <f t="shared" si="75"/>
        <v>26.298799999999996</v>
      </c>
      <c r="M1630" t="str" cm="1">
        <f t="array" ref="M1630">_xlfn.IFS(B1630&lt;18,"Under 18",B1630 &lt;=25,"18-25",B1630&lt;=35,"26-35",B1630&lt;=45,"36-45",B1630&lt;=60,"46-60",TRUE,"60+")</f>
        <v>46-60</v>
      </c>
      <c r="N1630" t="str">
        <f t="shared" si="76"/>
        <v>Discounted</v>
      </c>
      <c r="O1630" t="str">
        <f t="shared" si="77"/>
        <v>Returning</v>
      </c>
    </row>
    <row r="1631" spans="1:15" x14ac:dyDescent="0.25">
      <c r="A1631">
        <v>1630</v>
      </c>
      <c r="B1631">
        <v>54</v>
      </c>
      <c r="C1631" t="s">
        <v>11</v>
      </c>
      <c r="D1631" t="s">
        <v>33</v>
      </c>
      <c r="E1631" t="s">
        <v>34</v>
      </c>
      <c r="F1631" s="1">
        <v>146.74</v>
      </c>
      <c r="G1631" t="s">
        <v>31</v>
      </c>
      <c r="H1631" t="s">
        <v>15</v>
      </c>
      <c r="I1631" s="2">
        <v>3.7</v>
      </c>
      <c r="J1631" s="4">
        <v>28</v>
      </c>
      <c r="K1631" s="3">
        <v>9</v>
      </c>
      <c r="L1631" s="1">
        <f t="shared" si="75"/>
        <v>105.6528</v>
      </c>
      <c r="M1631" t="str" cm="1">
        <f t="array" ref="M1631">_xlfn.IFS(B1631&lt;18,"Under 18",B1631 &lt;=25,"18-25",B1631&lt;=35,"26-35",B1631&lt;=45,"36-45",B1631&lt;=60,"46-60",TRUE,"60+")</f>
        <v>46-60</v>
      </c>
      <c r="N1631" t="str">
        <f t="shared" si="76"/>
        <v>Discounted</v>
      </c>
      <c r="O1631" t="str">
        <f t="shared" si="77"/>
        <v>Returning</v>
      </c>
    </row>
    <row r="1632" spans="1:15" x14ac:dyDescent="0.25">
      <c r="A1632">
        <v>1631</v>
      </c>
      <c r="B1632">
        <v>44</v>
      </c>
      <c r="C1632" t="s">
        <v>11</v>
      </c>
      <c r="D1632" t="s">
        <v>25</v>
      </c>
      <c r="E1632" t="s">
        <v>26</v>
      </c>
      <c r="F1632" s="1">
        <v>14.22</v>
      </c>
      <c r="G1632" t="s">
        <v>19</v>
      </c>
      <c r="H1632" t="s">
        <v>37</v>
      </c>
      <c r="I1632" s="2">
        <v>2.5</v>
      </c>
      <c r="J1632" s="4">
        <v>14</v>
      </c>
      <c r="K1632" s="3">
        <v>7</v>
      </c>
      <c r="L1632" s="1">
        <f t="shared" si="75"/>
        <v>12.229200000000001</v>
      </c>
      <c r="M1632" t="str" cm="1">
        <f t="array" ref="M1632">_xlfn.IFS(B1632&lt;18,"Under 18",B1632 &lt;=25,"18-25",B1632&lt;=35,"26-35",B1632&lt;=45,"36-45",B1632&lt;=60,"46-60",TRUE,"60+")</f>
        <v>36-45</v>
      </c>
      <c r="N1632" t="str">
        <f t="shared" si="76"/>
        <v>Discounted</v>
      </c>
      <c r="O1632" t="str">
        <f t="shared" si="77"/>
        <v>Returning</v>
      </c>
    </row>
    <row r="1633" spans="1:15" x14ac:dyDescent="0.25">
      <c r="A1633">
        <v>1632</v>
      </c>
      <c r="B1633">
        <v>44</v>
      </c>
      <c r="C1633" t="s">
        <v>16</v>
      </c>
      <c r="D1633" t="s">
        <v>20</v>
      </c>
      <c r="E1633" t="s">
        <v>21</v>
      </c>
      <c r="F1633" s="1">
        <v>87.41</v>
      </c>
      <c r="G1633" t="s">
        <v>14</v>
      </c>
      <c r="H1633" t="s">
        <v>37</v>
      </c>
      <c r="I1633" s="2">
        <v>3.4</v>
      </c>
      <c r="J1633" s="4">
        <v>4</v>
      </c>
      <c r="K1633" s="3">
        <v>2</v>
      </c>
      <c r="L1633" s="1">
        <f t="shared" si="75"/>
        <v>83.913599999999988</v>
      </c>
      <c r="M1633" t="str" cm="1">
        <f t="array" ref="M1633">_xlfn.IFS(B1633&lt;18,"Under 18",B1633 &lt;=25,"18-25",B1633&lt;=35,"26-35",B1633&lt;=45,"36-45",B1633&lt;=60,"46-60",TRUE,"60+")</f>
        <v>36-45</v>
      </c>
      <c r="N1633" t="str">
        <f t="shared" si="76"/>
        <v>Discounted</v>
      </c>
      <c r="O1633" t="str">
        <f t="shared" si="77"/>
        <v>Returning</v>
      </c>
    </row>
    <row r="1634" spans="1:15" x14ac:dyDescent="0.25">
      <c r="A1634">
        <v>1633</v>
      </c>
      <c r="B1634">
        <v>23</v>
      </c>
      <c r="C1634" t="s">
        <v>11</v>
      </c>
      <c r="D1634" t="s">
        <v>25</v>
      </c>
      <c r="E1634" t="s">
        <v>47</v>
      </c>
      <c r="F1634" s="1">
        <v>78.14</v>
      </c>
      <c r="G1634" t="s">
        <v>24</v>
      </c>
      <c r="H1634" t="s">
        <v>15</v>
      </c>
      <c r="I1634" s="2">
        <v>3.7</v>
      </c>
      <c r="J1634" s="4">
        <v>14</v>
      </c>
      <c r="K1634" s="3">
        <v>7</v>
      </c>
      <c r="L1634" s="1">
        <f t="shared" si="75"/>
        <v>67.200400000000002</v>
      </c>
      <c r="M1634" t="str" cm="1">
        <f t="array" ref="M1634">_xlfn.IFS(B1634&lt;18,"Under 18",B1634 &lt;=25,"18-25",B1634&lt;=35,"26-35",B1634&lt;=45,"36-45",B1634&lt;=60,"46-60",TRUE,"60+")</f>
        <v>18-25</v>
      </c>
      <c r="N1634" t="str">
        <f t="shared" si="76"/>
        <v>Discounted</v>
      </c>
      <c r="O1634" t="str">
        <f t="shared" si="77"/>
        <v>Returning</v>
      </c>
    </row>
    <row r="1635" spans="1:15" x14ac:dyDescent="0.25">
      <c r="A1635">
        <v>1634</v>
      </c>
      <c r="B1635">
        <v>64</v>
      </c>
      <c r="C1635" t="s">
        <v>11</v>
      </c>
      <c r="D1635" t="s">
        <v>25</v>
      </c>
      <c r="E1635" t="s">
        <v>54</v>
      </c>
      <c r="F1635" s="1">
        <v>40.22</v>
      </c>
      <c r="G1635" t="s">
        <v>19</v>
      </c>
      <c r="H1635" t="s">
        <v>37</v>
      </c>
      <c r="I1635" s="2">
        <v>4.5</v>
      </c>
      <c r="J1635" s="4">
        <v>11</v>
      </c>
      <c r="K1635" s="3">
        <v>3</v>
      </c>
      <c r="L1635" s="1">
        <f t="shared" si="75"/>
        <v>35.7958</v>
      </c>
      <c r="M1635" t="str" cm="1">
        <f t="array" ref="M1635">_xlfn.IFS(B1635&lt;18,"Under 18",B1635 &lt;=25,"18-25",B1635&lt;=35,"26-35",B1635&lt;=45,"36-45",B1635&lt;=60,"46-60",TRUE,"60+")</f>
        <v>60+</v>
      </c>
      <c r="N1635" t="str">
        <f t="shared" si="76"/>
        <v>Discounted</v>
      </c>
      <c r="O1635" t="str">
        <f t="shared" si="77"/>
        <v>Returning</v>
      </c>
    </row>
    <row r="1636" spans="1:15" x14ac:dyDescent="0.25">
      <c r="A1636">
        <v>1635</v>
      </c>
      <c r="B1636">
        <v>39</v>
      </c>
      <c r="C1636" t="s">
        <v>16</v>
      </c>
      <c r="D1636" t="s">
        <v>22</v>
      </c>
      <c r="E1636" t="s">
        <v>23</v>
      </c>
      <c r="F1636" s="1">
        <v>199.12</v>
      </c>
      <c r="G1636" t="s">
        <v>31</v>
      </c>
      <c r="H1636" t="s">
        <v>15</v>
      </c>
      <c r="I1636" s="2">
        <v>3.7</v>
      </c>
      <c r="J1636" s="4">
        <v>19</v>
      </c>
      <c r="K1636" s="3">
        <v>7</v>
      </c>
      <c r="L1636" s="1">
        <f t="shared" si="75"/>
        <v>161.28720000000001</v>
      </c>
      <c r="M1636" t="str" cm="1">
        <f t="array" ref="M1636">_xlfn.IFS(B1636&lt;18,"Under 18",B1636 &lt;=25,"18-25",B1636&lt;=35,"26-35",B1636&lt;=45,"36-45",B1636&lt;=60,"46-60",TRUE,"60+")</f>
        <v>36-45</v>
      </c>
      <c r="N1636" t="str">
        <f t="shared" si="76"/>
        <v>Discounted</v>
      </c>
      <c r="O1636" t="str">
        <f t="shared" si="77"/>
        <v>Returning</v>
      </c>
    </row>
    <row r="1637" spans="1:15" x14ac:dyDescent="0.25">
      <c r="A1637">
        <v>1636</v>
      </c>
      <c r="B1637">
        <v>40</v>
      </c>
      <c r="C1637" t="s">
        <v>11</v>
      </c>
      <c r="D1637" t="s">
        <v>20</v>
      </c>
      <c r="E1637" t="s">
        <v>39</v>
      </c>
      <c r="F1637" s="1">
        <v>204.66</v>
      </c>
      <c r="G1637" t="s">
        <v>24</v>
      </c>
      <c r="H1637" t="s">
        <v>15</v>
      </c>
      <c r="I1637" s="2">
        <v>3</v>
      </c>
      <c r="J1637" s="4">
        <v>16</v>
      </c>
      <c r="K1637" s="3">
        <v>3</v>
      </c>
      <c r="L1637" s="1">
        <f t="shared" si="75"/>
        <v>171.9144</v>
      </c>
      <c r="M1637" t="str" cm="1">
        <f t="array" ref="M1637">_xlfn.IFS(B1637&lt;18,"Under 18",B1637 &lt;=25,"18-25",B1637&lt;=35,"26-35",B1637&lt;=45,"36-45",B1637&lt;=60,"46-60",TRUE,"60+")</f>
        <v>36-45</v>
      </c>
      <c r="N1637" t="str">
        <f t="shared" si="76"/>
        <v>Discounted</v>
      </c>
      <c r="O1637" t="str">
        <f t="shared" si="77"/>
        <v>Returning</v>
      </c>
    </row>
    <row r="1638" spans="1:15" x14ac:dyDescent="0.25">
      <c r="A1638">
        <v>1637</v>
      </c>
      <c r="B1638">
        <v>21</v>
      </c>
      <c r="C1638" t="s">
        <v>11</v>
      </c>
      <c r="D1638" t="s">
        <v>33</v>
      </c>
      <c r="E1638" t="s">
        <v>38</v>
      </c>
      <c r="F1638" s="1">
        <v>121.27</v>
      </c>
      <c r="G1638" t="s">
        <v>31</v>
      </c>
      <c r="H1638" t="s">
        <v>15</v>
      </c>
      <c r="I1638" s="2">
        <v>5</v>
      </c>
      <c r="J1638" s="4">
        <v>22</v>
      </c>
      <c r="K1638" s="3">
        <v>6</v>
      </c>
      <c r="L1638" s="1">
        <f t="shared" si="75"/>
        <v>94.590599999999995</v>
      </c>
      <c r="M1638" t="str" cm="1">
        <f t="array" ref="M1638">_xlfn.IFS(B1638&lt;18,"Under 18",B1638 &lt;=25,"18-25",B1638&lt;=35,"26-35",B1638&lt;=45,"36-45",B1638&lt;=60,"46-60",TRUE,"60+")</f>
        <v>18-25</v>
      </c>
      <c r="N1638" t="str">
        <f t="shared" si="76"/>
        <v>Discounted</v>
      </c>
      <c r="O1638" t="str">
        <f t="shared" si="77"/>
        <v>Returning</v>
      </c>
    </row>
    <row r="1639" spans="1:15" x14ac:dyDescent="0.25">
      <c r="A1639">
        <v>1638</v>
      </c>
      <c r="B1639">
        <v>28</v>
      </c>
      <c r="C1639" t="s">
        <v>11</v>
      </c>
      <c r="D1639" t="s">
        <v>12</v>
      </c>
      <c r="E1639" t="s">
        <v>50</v>
      </c>
      <c r="F1639" s="1">
        <v>63.38</v>
      </c>
      <c r="G1639" t="s">
        <v>31</v>
      </c>
      <c r="H1639" t="s">
        <v>37</v>
      </c>
      <c r="I1639" s="2">
        <v>4.9000000000000004</v>
      </c>
      <c r="J1639" s="4">
        <v>23</v>
      </c>
      <c r="K1639" s="3">
        <v>9</v>
      </c>
      <c r="L1639" s="1">
        <f t="shared" si="75"/>
        <v>48.802600000000005</v>
      </c>
      <c r="M1639" t="str" cm="1">
        <f t="array" ref="M1639">_xlfn.IFS(B1639&lt;18,"Under 18",B1639 &lt;=25,"18-25",B1639&lt;=35,"26-35",B1639&lt;=45,"36-45",B1639&lt;=60,"46-60",TRUE,"60+")</f>
        <v>26-35</v>
      </c>
      <c r="N1639" t="str">
        <f t="shared" si="76"/>
        <v>Discounted</v>
      </c>
      <c r="O1639" t="str">
        <f t="shared" si="77"/>
        <v>Returning</v>
      </c>
    </row>
    <row r="1640" spans="1:15" x14ac:dyDescent="0.25">
      <c r="A1640">
        <v>1639</v>
      </c>
      <c r="B1640">
        <v>34</v>
      </c>
      <c r="C1640" t="s">
        <v>16</v>
      </c>
      <c r="D1640" t="s">
        <v>27</v>
      </c>
      <c r="E1640" t="s">
        <v>53</v>
      </c>
      <c r="F1640" s="1">
        <v>1458.59</v>
      </c>
      <c r="G1640" t="s">
        <v>19</v>
      </c>
      <c r="H1640" t="s">
        <v>15</v>
      </c>
      <c r="I1640" s="2">
        <v>3.8</v>
      </c>
      <c r="J1640" s="4">
        <v>15</v>
      </c>
      <c r="K1640" s="3">
        <v>5</v>
      </c>
      <c r="L1640" s="1">
        <f t="shared" si="75"/>
        <v>1239.8014999999998</v>
      </c>
      <c r="M1640" t="str" cm="1">
        <f t="array" ref="M1640">_xlfn.IFS(B1640&lt;18,"Under 18",B1640 &lt;=25,"18-25",B1640&lt;=35,"26-35",B1640&lt;=45,"36-45",B1640&lt;=60,"46-60",TRUE,"60+")</f>
        <v>26-35</v>
      </c>
      <c r="N1640" t="str">
        <f t="shared" si="76"/>
        <v>Discounted</v>
      </c>
      <c r="O1640" t="str">
        <f t="shared" si="77"/>
        <v>Returning</v>
      </c>
    </row>
    <row r="1641" spans="1:15" x14ac:dyDescent="0.25">
      <c r="A1641">
        <v>1640</v>
      </c>
      <c r="B1641">
        <v>47</v>
      </c>
      <c r="C1641" t="s">
        <v>11</v>
      </c>
      <c r="D1641" t="s">
        <v>41</v>
      </c>
      <c r="E1641" t="s">
        <v>42</v>
      </c>
      <c r="F1641" s="1">
        <v>115.9</v>
      </c>
      <c r="G1641" t="s">
        <v>24</v>
      </c>
      <c r="H1641" t="s">
        <v>15</v>
      </c>
      <c r="I1641" s="2">
        <v>4</v>
      </c>
      <c r="J1641" s="4">
        <v>24</v>
      </c>
      <c r="K1641" s="3">
        <v>12</v>
      </c>
      <c r="L1641" s="1">
        <f t="shared" si="75"/>
        <v>88.084000000000003</v>
      </c>
      <c r="M1641" t="str" cm="1">
        <f t="array" ref="M1641">_xlfn.IFS(B1641&lt;18,"Under 18",B1641 &lt;=25,"18-25",B1641&lt;=35,"26-35",B1641&lt;=45,"36-45",B1641&lt;=60,"46-60",TRUE,"60+")</f>
        <v>46-60</v>
      </c>
      <c r="N1641" t="str">
        <f t="shared" si="76"/>
        <v>Discounted</v>
      </c>
      <c r="O1641" t="str">
        <f t="shared" si="77"/>
        <v>Returning</v>
      </c>
    </row>
    <row r="1642" spans="1:15" x14ac:dyDescent="0.25">
      <c r="A1642">
        <v>1641</v>
      </c>
      <c r="B1642">
        <v>30</v>
      </c>
      <c r="C1642" t="s">
        <v>11</v>
      </c>
      <c r="D1642" t="s">
        <v>12</v>
      </c>
      <c r="E1642" t="s">
        <v>50</v>
      </c>
      <c r="F1642" s="1">
        <v>45.95</v>
      </c>
      <c r="G1642" t="s">
        <v>24</v>
      </c>
      <c r="H1642" t="s">
        <v>37</v>
      </c>
      <c r="I1642" s="2">
        <v>3.8</v>
      </c>
      <c r="J1642" s="4">
        <v>14</v>
      </c>
      <c r="K1642" s="3">
        <v>2</v>
      </c>
      <c r="L1642" s="1">
        <f t="shared" si="75"/>
        <v>39.517000000000003</v>
      </c>
      <c r="M1642" t="str" cm="1">
        <f t="array" ref="M1642">_xlfn.IFS(B1642&lt;18,"Under 18",B1642 &lt;=25,"18-25",B1642&lt;=35,"26-35",B1642&lt;=45,"36-45",B1642&lt;=60,"46-60",TRUE,"60+")</f>
        <v>26-35</v>
      </c>
      <c r="N1642" t="str">
        <f t="shared" si="76"/>
        <v>Discounted</v>
      </c>
      <c r="O1642" t="str">
        <f t="shared" si="77"/>
        <v>Returning</v>
      </c>
    </row>
    <row r="1643" spans="1:15" x14ac:dyDescent="0.25">
      <c r="A1643">
        <v>1642</v>
      </c>
      <c r="B1643">
        <v>53</v>
      </c>
      <c r="C1643" t="s">
        <v>16</v>
      </c>
      <c r="D1643" t="s">
        <v>27</v>
      </c>
      <c r="E1643" t="s">
        <v>53</v>
      </c>
      <c r="F1643" s="1">
        <v>2248.9899999999998</v>
      </c>
      <c r="G1643" t="s">
        <v>19</v>
      </c>
      <c r="H1643" t="s">
        <v>15</v>
      </c>
      <c r="I1643" s="2">
        <v>3.6</v>
      </c>
      <c r="J1643" s="4">
        <v>14</v>
      </c>
      <c r="K1643" s="3">
        <v>2</v>
      </c>
      <c r="L1643" s="1">
        <f t="shared" si="75"/>
        <v>1934.1313999999998</v>
      </c>
      <c r="M1643" t="str" cm="1">
        <f t="array" ref="M1643">_xlfn.IFS(B1643&lt;18,"Under 18",B1643 &lt;=25,"18-25",B1643&lt;=35,"26-35",B1643&lt;=45,"36-45",B1643&lt;=60,"46-60",TRUE,"60+")</f>
        <v>46-60</v>
      </c>
      <c r="N1643" t="str">
        <f t="shared" si="76"/>
        <v>Discounted</v>
      </c>
      <c r="O1643" t="str">
        <f t="shared" si="77"/>
        <v>Returning</v>
      </c>
    </row>
    <row r="1644" spans="1:15" x14ac:dyDescent="0.25">
      <c r="A1644">
        <v>1643</v>
      </c>
      <c r="B1644">
        <v>33</v>
      </c>
      <c r="C1644" t="s">
        <v>11</v>
      </c>
      <c r="D1644" t="s">
        <v>33</v>
      </c>
      <c r="E1644" t="s">
        <v>38</v>
      </c>
      <c r="F1644" s="1">
        <v>168.21</v>
      </c>
      <c r="G1644" t="s">
        <v>24</v>
      </c>
      <c r="H1644" t="s">
        <v>15</v>
      </c>
      <c r="I1644" s="2">
        <v>3.1</v>
      </c>
      <c r="J1644" s="4">
        <v>18</v>
      </c>
      <c r="K1644" s="3">
        <v>9</v>
      </c>
      <c r="L1644" s="1">
        <f t="shared" si="75"/>
        <v>137.93220000000002</v>
      </c>
      <c r="M1644" t="str" cm="1">
        <f t="array" ref="M1644">_xlfn.IFS(B1644&lt;18,"Under 18",B1644 &lt;=25,"18-25",B1644&lt;=35,"26-35",B1644&lt;=45,"36-45",B1644&lt;=60,"46-60",TRUE,"60+")</f>
        <v>26-35</v>
      </c>
      <c r="N1644" t="str">
        <f t="shared" si="76"/>
        <v>Discounted</v>
      </c>
      <c r="O1644" t="str">
        <f t="shared" si="77"/>
        <v>Returning</v>
      </c>
    </row>
    <row r="1645" spans="1:15" x14ac:dyDescent="0.25">
      <c r="A1645">
        <v>1644</v>
      </c>
      <c r="B1645">
        <v>28</v>
      </c>
      <c r="C1645" t="s">
        <v>16</v>
      </c>
      <c r="D1645" t="s">
        <v>20</v>
      </c>
      <c r="E1645" t="s">
        <v>39</v>
      </c>
      <c r="F1645" s="1">
        <v>38.31</v>
      </c>
      <c r="G1645" t="s">
        <v>19</v>
      </c>
      <c r="H1645" t="s">
        <v>15</v>
      </c>
      <c r="I1645" s="2">
        <v>3.7</v>
      </c>
      <c r="J1645" s="4">
        <v>17</v>
      </c>
      <c r="K1645" s="3">
        <v>6</v>
      </c>
      <c r="L1645" s="1">
        <f t="shared" si="75"/>
        <v>31.7973</v>
      </c>
      <c r="M1645" t="str" cm="1">
        <f t="array" ref="M1645">_xlfn.IFS(B1645&lt;18,"Under 18",B1645 &lt;=25,"18-25",B1645&lt;=35,"26-35",B1645&lt;=45,"36-45",B1645&lt;=60,"46-60",TRUE,"60+")</f>
        <v>26-35</v>
      </c>
      <c r="N1645" t="str">
        <f t="shared" si="76"/>
        <v>Discounted</v>
      </c>
      <c r="O1645" t="str">
        <f t="shared" si="77"/>
        <v>Returning</v>
      </c>
    </row>
    <row r="1646" spans="1:15" x14ac:dyDescent="0.25">
      <c r="A1646">
        <v>1645</v>
      </c>
      <c r="B1646">
        <v>58</v>
      </c>
      <c r="C1646" t="s">
        <v>16</v>
      </c>
      <c r="D1646" t="s">
        <v>20</v>
      </c>
      <c r="E1646" t="s">
        <v>39</v>
      </c>
      <c r="F1646" s="1">
        <v>137.26</v>
      </c>
      <c r="G1646" t="s">
        <v>24</v>
      </c>
      <c r="H1646" t="s">
        <v>15</v>
      </c>
      <c r="I1646" s="2">
        <v>4.4000000000000004</v>
      </c>
      <c r="J1646" s="4">
        <v>13</v>
      </c>
      <c r="K1646" s="3">
        <v>4</v>
      </c>
      <c r="L1646" s="1">
        <f t="shared" si="75"/>
        <v>119.41619999999999</v>
      </c>
      <c r="M1646" t="str" cm="1">
        <f t="array" ref="M1646">_xlfn.IFS(B1646&lt;18,"Under 18",B1646 &lt;=25,"18-25",B1646&lt;=35,"26-35",B1646&lt;=45,"36-45",B1646&lt;=60,"46-60",TRUE,"60+")</f>
        <v>46-60</v>
      </c>
      <c r="N1646" t="str">
        <f t="shared" si="76"/>
        <v>Discounted</v>
      </c>
      <c r="O1646" t="str">
        <f t="shared" si="77"/>
        <v>Returning</v>
      </c>
    </row>
    <row r="1647" spans="1:15" x14ac:dyDescent="0.25">
      <c r="A1647">
        <v>1646</v>
      </c>
      <c r="B1647">
        <v>59</v>
      </c>
      <c r="C1647" t="s">
        <v>16</v>
      </c>
      <c r="D1647" t="s">
        <v>33</v>
      </c>
      <c r="E1647" t="s">
        <v>40</v>
      </c>
      <c r="F1647" s="1">
        <v>115.57</v>
      </c>
      <c r="G1647" t="s">
        <v>24</v>
      </c>
      <c r="H1647" t="s">
        <v>15</v>
      </c>
      <c r="I1647" s="2">
        <v>2.5</v>
      </c>
      <c r="J1647" s="4">
        <v>13</v>
      </c>
      <c r="K1647" s="3">
        <v>4</v>
      </c>
      <c r="L1647" s="1">
        <f t="shared" si="75"/>
        <v>100.54589999999999</v>
      </c>
      <c r="M1647" t="str" cm="1">
        <f t="array" ref="M1647">_xlfn.IFS(B1647&lt;18,"Under 18",B1647 &lt;=25,"18-25",B1647&lt;=35,"26-35",B1647&lt;=45,"36-45",B1647&lt;=60,"46-60",TRUE,"60+")</f>
        <v>46-60</v>
      </c>
      <c r="N1647" t="str">
        <f t="shared" si="76"/>
        <v>Discounted</v>
      </c>
      <c r="O1647" t="str">
        <f t="shared" si="77"/>
        <v>Returning</v>
      </c>
    </row>
    <row r="1648" spans="1:15" x14ac:dyDescent="0.25">
      <c r="A1648">
        <v>1647</v>
      </c>
      <c r="B1648">
        <v>54</v>
      </c>
      <c r="C1648" t="s">
        <v>16</v>
      </c>
      <c r="D1648" t="s">
        <v>33</v>
      </c>
      <c r="E1648" t="s">
        <v>40</v>
      </c>
      <c r="F1648" s="1">
        <v>189.63</v>
      </c>
      <c r="G1648" t="s">
        <v>31</v>
      </c>
      <c r="H1648" t="s">
        <v>15</v>
      </c>
      <c r="I1648" s="2">
        <v>4.4000000000000004</v>
      </c>
      <c r="J1648" s="4">
        <v>14</v>
      </c>
      <c r="K1648" s="3">
        <v>7</v>
      </c>
      <c r="L1648" s="1">
        <f t="shared" si="75"/>
        <v>163.08179999999999</v>
      </c>
      <c r="M1648" t="str" cm="1">
        <f t="array" ref="M1648">_xlfn.IFS(B1648&lt;18,"Under 18",B1648 &lt;=25,"18-25",B1648&lt;=35,"26-35",B1648&lt;=45,"36-45",B1648&lt;=60,"46-60",TRUE,"60+")</f>
        <v>46-60</v>
      </c>
      <c r="N1648" t="str">
        <f t="shared" si="76"/>
        <v>Discounted</v>
      </c>
      <c r="O1648" t="str">
        <f t="shared" si="77"/>
        <v>Returning</v>
      </c>
    </row>
    <row r="1649" spans="1:15" x14ac:dyDescent="0.25">
      <c r="A1649">
        <v>1648</v>
      </c>
      <c r="B1649">
        <v>67</v>
      </c>
      <c r="C1649" t="s">
        <v>11</v>
      </c>
      <c r="D1649" t="s">
        <v>29</v>
      </c>
      <c r="E1649" t="s">
        <v>30</v>
      </c>
      <c r="F1649" s="1">
        <v>58.44</v>
      </c>
      <c r="G1649" t="s">
        <v>24</v>
      </c>
      <c r="H1649" t="s">
        <v>15</v>
      </c>
      <c r="I1649" s="2">
        <v>3.4</v>
      </c>
      <c r="J1649" s="4">
        <v>18</v>
      </c>
      <c r="K1649" s="3">
        <v>4</v>
      </c>
      <c r="L1649" s="1">
        <f t="shared" si="75"/>
        <v>47.9208</v>
      </c>
      <c r="M1649" t="str" cm="1">
        <f t="array" ref="M1649">_xlfn.IFS(B1649&lt;18,"Under 18",B1649 &lt;=25,"18-25",B1649&lt;=35,"26-35",B1649&lt;=45,"36-45",B1649&lt;=60,"46-60",TRUE,"60+")</f>
        <v>60+</v>
      </c>
      <c r="N1649" t="str">
        <f t="shared" si="76"/>
        <v>Discounted</v>
      </c>
      <c r="O1649" t="str">
        <f t="shared" si="77"/>
        <v>Returning</v>
      </c>
    </row>
    <row r="1650" spans="1:15" x14ac:dyDescent="0.25">
      <c r="A1650">
        <v>1649</v>
      </c>
      <c r="B1650">
        <v>32</v>
      </c>
      <c r="C1650" t="s">
        <v>16</v>
      </c>
      <c r="D1650" t="s">
        <v>27</v>
      </c>
      <c r="E1650" t="s">
        <v>32</v>
      </c>
      <c r="F1650" s="1">
        <v>1800.7</v>
      </c>
      <c r="G1650" t="s">
        <v>31</v>
      </c>
      <c r="H1650" t="s">
        <v>15</v>
      </c>
      <c r="I1650" s="2">
        <v>3.6</v>
      </c>
      <c r="J1650" s="4">
        <v>10</v>
      </c>
      <c r="K1650" s="3">
        <v>5</v>
      </c>
      <c r="L1650" s="1">
        <f t="shared" si="75"/>
        <v>1620.63</v>
      </c>
      <c r="M1650" t="str" cm="1">
        <f t="array" ref="M1650">_xlfn.IFS(B1650&lt;18,"Under 18",B1650 &lt;=25,"18-25",B1650&lt;=35,"26-35",B1650&lt;=45,"36-45",B1650&lt;=60,"46-60",TRUE,"60+")</f>
        <v>26-35</v>
      </c>
      <c r="N1650" t="str">
        <f t="shared" si="76"/>
        <v>Discounted</v>
      </c>
      <c r="O1650" t="str">
        <f t="shared" si="77"/>
        <v>Returning</v>
      </c>
    </row>
    <row r="1651" spans="1:15" x14ac:dyDescent="0.25">
      <c r="A1651">
        <v>1650</v>
      </c>
      <c r="B1651">
        <v>23</v>
      </c>
      <c r="C1651" t="s">
        <v>16</v>
      </c>
      <c r="D1651" t="s">
        <v>25</v>
      </c>
      <c r="E1651" t="s">
        <v>57</v>
      </c>
      <c r="F1651" s="1">
        <v>8.34</v>
      </c>
      <c r="G1651" t="s">
        <v>14</v>
      </c>
      <c r="H1651" t="s">
        <v>15</v>
      </c>
      <c r="I1651" s="2">
        <v>4.0999999999999996</v>
      </c>
      <c r="J1651" s="4">
        <v>25</v>
      </c>
      <c r="K1651" s="3">
        <v>10</v>
      </c>
      <c r="L1651" s="1">
        <f t="shared" si="75"/>
        <v>6.2549999999999999</v>
      </c>
      <c r="M1651" t="str" cm="1">
        <f t="array" ref="M1651">_xlfn.IFS(B1651&lt;18,"Under 18",B1651 &lt;=25,"18-25",B1651&lt;=35,"26-35",B1651&lt;=45,"36-45",B1651&lt;=60,"46-60",TRUE,"60+")</f>
        <v>18-25</v>
      </c>
      <c r="N1651" t="str">
        <f t="shared" si="76"/>
        <v>Discounted</v>
      </c>
      <c r="O1651" t="str">
        <f t="shared" si="77"/>
        <v>Returning</v>
      </c>
    </row>
    <row r="1652" spans="1:15" x14ac:dyDescent="0.25">
      <c r="A1652">
        <v>1651</v>
      </c>
      <c r="B1652">
        <v>56</v>
      </c>
      <c r="C1652" t="s">
        <v>11</v>
      </c>
      <c r="D1652" t="s">
        <v>12</v>
      </c>
      <c r="E1652" t="s">
        <v>50</v>
      </c>
      <c r="F1652" s="1">
        <v>83.07</v>
      </c>
      <c r="G1652" t="s">
        <v>31</v>
      </c>
      <c r="H1652" t="s">
        <v>15</v>
      </c>
      <c r="I1652" s="2">
        <v>3.8</v>
      </c>
      <c r="J1652" s="4">
        <v>13</v>
      </c>
      <c r="K1652" s="3">
        <v>4</v>
      </c>
      <c r="L1652" s="1">
        <f t="shared" si="75"/>
        <v>72.270899999999997</v>
      </c>
      <c r="M1652" t="str" cm="1">
        <f t="array" ref="M1652">_xlfn.IFS(B1652&lt;18,"Under 18",B1652 &lt;=25,"18-25",B1652&lt;=35,"26-35",B1652&lt;=45,"36-45",B1652&lt;=60,"46-60",TRUE,"60+")</f>
        <v>46-60</v>
      </c>
      <c r="N1652" t="str">
        <f t="shared" si="76"/>
        <v>Discounted</v>
      </c>
      <c r="O1652" t="str">
        <f t="shared" si="77"/>
        <v>Returning</v>
      </c>
    </row>
    <row r="1653" spans="1:15" x14ac:dyDescent="0.25">
      <c r="A1653">
        <v>1652</v>
      </c>
      <c r="B1653">
        <v>65</v>
      </c>
      <c r="C1653" t="s">
        <v>16</v>
      </c>
      <c r="D1653" t="s">
        <v>22</v>
      </c>
      <c r="E1653" t="s">
        <v>52</v>
      </c>
      <c r="F1653" s="1">
        <v>173.82</v>
      </c>
      <c r="G1653" t="s">
        <v>14</v>
      </c>
      <c r="H1653" t="s">
        <v>15</v>
      </c>
      <c r="I1653" s="2">
        <v>5</v>
      </c>
      <c r="J1653" s="4">
        <v>22</v>
      </c>
      <c r="K1653" s="3">
        <v>6</v>
      </c>
      <c r="L1653" s="1">
        <f t="shared" si="75"/>
        <v>135.5796</v>
      </c>
      <c r="M1653" t="str" cm="1">
        <f t="array" ref="M1653">_xlfn.IFS(B1653&lt;18,"Under 18",B1653 &lt;=25,"18-25",B1653&lt;=35,"26-35",B1653&lt;=45,"36-45",B1653&lt;=60,"46-60",TRUE,"60+")</f>
        <v>60+</v>
      </c>
      <c r="N1653" t="str">
        <f t="shared" si="76"/>
        <v>Discounted</v>
      </c>
      <c r="O1653" t="str">
        <f t="shared" si="77"/>
        <v>Returning</v>
      </c>
    </row>
    <row r="1654" spans="1:15" x14ac:dyDescent="0.25">
      <c r="A1654">
        <v>1653</v>
      </c>
      <c r="B1654">
        <v>47</v>
      </c>
      <c r="C1654" t="s">
        <v>11</v>
      </c>
      <c r="D1654" t="s">
        <v>41</v>
      </c>
      <c r="E1654" t="s">
        <v>42</v>
      </c>
      <c r="F1654" s="1">
        <v>145.85</v>
      </c>
      <c r="G1654" t="s">
        <v>19</v>
      </c>
      <c r="H1654" t="s">
        <v>15</v>
      </c>
      <c r="I1654" s="2">
        <v>3</v>
      </c>
      <c r="J1654" s="4">
        <v>8</v>
      </c>
      <c r="K1654" s="3">
        <v>4</v>
      </c>
      <c r="L1654" s="1">
        <f t="shared" si="75"/>
        <v>134.18199999999999</v>
      </c>
      <c r="M1654" t="str" cm="1">
        <f t="array" ref="M1654">_xlfn.IFS(B1654&lt;18,"Under 18",B1654 &lt;=25,"18-25",B1654&lt;=35,"26-35",B1654&lt;=45,"36-45",B1654&lt;=60,"46-60",TRUE,"60+")</f>
        <v>46-60</v>
      </c>
      <c r="N1654" t="str">
        <f t="shared" si="76"/>
        <v>Discounted</v>
      </c>
      <c r="O1654" t="str">
        <f t="shared" si="77"/>
        <v>Returning</v>
      </c>
    </row>
    <row r="1655" spans="1:15" x14ac:dyDescent="0.25">
      <c r="A1655">
        <v>1654</v>
      </c>
      <c r="B1655">
        <v>22</v>
      </c>
      <c r="C1655" t="s">
        <v>11</v>
      </c>
      <c r="D1655" t="s">
        <v>41</v>
      </c>
      <c r="E1655" t="s">
        <v>42</v>
      </c>
      <c r="F1655" s="1">
        <v>79.34</v>
      </c>
      <c r="G1655" t="s">
        <v>24</v>
      </c>
      <c r="H1655" t="s">
        <v>37</v>
      </c>
      <c r="I1655" s="2">
        <v>3.5</v>
      </c>
      <c r="J1655" s="4">
        <v>24</v>
      </c>
      <c r="K1655" s="3">
        <v>7</v>
      </c>
      <c r="L1655" s="1">
        <f t="shared" si="75"/>
        <v>60.298400000000001</v>
      </c>
      <c r="M1655" t="str" cm="1">
        <f t="array" ref="M1655">_xlfn.IFS(B1655&lt;18,"Under 18",B1655 &lt;=25,"18-25",B1655&lt;=35,"26-35",B1655&lt;=45,"36-45",B1655&lt;=60,"46-60",TRUE,"60+")</f>
        <v>18-25</v>
      </c>
      <c r="N1655" t="str">
        <f t="shared" si="76"/>
        <v>Discounted</v>
      </c>
      <c r="O1655" t="str">
        <f t="shared" si="77"/>
        <v>Returning</v>
      </c>
    </row>
    <row r="1656" spans="1:15" x14ac:dyDescent="0.25">
      <c r="A1656">
        <v>1655</v>
      </c>
      <c r="B1656">
        <v>38</v>
      </c>
      <c r="C1656" t="s">
        <v>11</v>
      </c>
      <c r="D1656" t="s">
        <v>41</v>
      </c>
      <c r="E1656" t="s">
        <v>46</v>
      </c>
      <c r="F1656" s="1">
        <v>140</v>
      </c>
      <c r="G1656" t="s">
        <v>24</v>
      </c>
      <c r="H1656" t="s">
        <v>15</v>
      </c>
      <c r="I1656" s="2">
        <v>3.8</v>
      </c>
      <c r="J1656" s="4">
        <v>11</v>
      </c>
      <c r="K1656" s="3">
        <v>3</v>
      </c>
      <c r="L1656" s="1">
        <f t="shared" si="75"/>
        <v>124.60000000000001</v>
      </c>
      <c r="M1656" t="str" cm="1">
        <f t="array" ref="M1656">_xlfn.IFS(B1656&lt;18,"Under 18",B1656 &lt;=25,"18-25",B1656&lt;=35,"26-35",B1656&lt;=45,"36-45",B1656&lt;=60,"46-60",TRUE,"60+")</f>
        <v>36-45</v>
      </c>
      <c r="N1656" t="str">
        <f t="shared" si="76"/>
        <v>Discounted</v>
      </c>
      <c r="O1656" t="str">
        <f t="shared" si="77"/>
        <v>Returning</v>
      </c>
    </row>
    <row r="1657" spans="1:15" x14ac:dyDescent="0.25">
      <c r="A1657">
        <v>1656</v>
      </c>
      <c r="B1657">
        <v>48</v>
      </c>
      <c r="C1657" t="s">
        <v>16</v>
      </c>
      <c r="D1657" t="s">
        <v>27</v>
      </c>
      <c r="E1657" t="s">
        <v>28</v>
      </c>
      <c r="F1657" s="1">
        <v>532.67999999999995</v>
      </c>
      <c r="G1657" t="s">
        <v>31</v>
      </c>
      <c r="H1657" t="s">
        <v>15</v>
      </c>
      <c r="I1657" s="2">
        <v>3</v>
      </c>
      <c r="J1657" s="4">
        <v>6</v>
      </c>
      <c r="K1657" s="3">
        <v>3</v>
      </c>
      <c r="L1657" s="1">
        <f t="shared" si="75"/>
        <v>500.71919999999994</v>
      </c>
      <c r="M1657" t="str" cm="1">
        <f t="array" ref="M1657">_xlfn.IFS(B1657&lt;18,"Under 18",B1657 &lt;=25,"18-25",B1657&lt;=35,"26-35",B1657&lt;=45,"36-45",B1657&lt;=60,"46-60",TRUE,"60+")</f>
        <v>46-60</v>
      </c>
      <c r="N1657" t="str">
        <f t="shared" si="76"/>
        <v>Discounted</v>
      </c>
      <c r="O1657" t="str">
        <f t="shared" si="77"/>
        <v>Returning</v>
      </c>
    </row>
    <row r="1658" spans="1:15" x14ac:dyDescent="0.25">
      <c r="A1658">
        <v>1657</v>
      </c>
      <c r="B1658">
        <v>26</v>
      </c>
      <c r="C1658" t="s">
        <v>16</v>
      </c>
      <c r="D1658" t="s">
        <v>20</v>
      </c>
      <c r="E1658" t="s">
        <v>39</v>
      </c>
      <c r="F1658" s="1">
        <v>168.47</v>
      </c>
      <c r="G1658" t="s">
        <v>24</v>
      </c>
      <c r="H1658" t="s">
        <v>15</v>
      </c>
      <c r="I1658" s="2">
        <v>3.7</v>
      </c>
      <c r="J1658" s="4">
        <v>22</v>
      </c>
      <c r="K1658" s="3">
        <v>11</v>
      </c>
      <c r="L1658" s="1">
        <f t="shared" si="75"/>
        <v>131.4066</v>
      </c>
      <c r="M1658" t="str" cm="1">
        <f t="array" ref="M1658">_xlfn.IFS(B1658&lt;18,"Under 18",B1658 &lt;=25,"18-25",B1658&lt;=35,"26-35",B1658&lt;=45,"36-45",B1658&lt;=60,"46-60",TRUE,"60+")</f>
        <v>26-35</v>
      </c>
      <c r="N1658" t="str">
        <f t="shared" si="76"/>
        <v>Discounted</v>
      </c>
      <c r="O1658" t="str">
        <f t="shared" si="77"/>
        <v>Returning</v>
      </c>
    </row>
    <row r="1659" spans="1:15" x14ac:dyDescent="0.25">
      <c r="A1659">
        <v>1658</v>
      </c>
      <c r="B1659">
        <v>65</v>
      </c>
      <c r="C1659" t="s">
        <v>11</v>
      </c>
      <c r="D1659" t="s">
        <v>41</v>
      </c>
      <c r="E1659" t="s">
        <v>46</v>
      </c>
      <c r="F1659" s="1">
        <v>93.8</v>
      </c>
      <c r="G1659" t="s">
        <v>24</v>
      </c>
      <c r="H1659" t="s">
        <v>37</v>
      </c>
      <c r="I1659" s="2">
        <v>4.3</v>
      </c>
      <c r="J1659" s="4">
        <v>16</v>
      </c>
      <c r="K1659" s="3">
        <v>3</v>
      </c>
      <c r="L1659" s="1">
        <f t="shared" si="75"/>
        <v>78.792000000000002</v>
      </c>
      <c r="M1659" t="str" cm="1">
        <f t="array" ref="M1659">_xlfn.IFS(B1659&lt;18,"Under 18",B1659 &lt;=25,"18-25",B1659&lt;=35,"26-35",B1659&lt;=45,"36-45",B1659&lt;=60,"46-60",TRUE,"60+")</f>
        <v>60+</v>
      </c>
      <c r="N1659" t="str">
        <f t="shared" si="76"/>
        <v>Discounted</v>
      </c>
      <c r="O1659" t="str">
        <f t="shared" si="77"/>
        <v>Returning</v>
      </c>
    </row>
    <row r="1660" spans="1:15" x14ac:dyDescent="0.25">
      <c r="A1660">
        <v>1659</v>
      </c>
      <c r="B1660">
        <v>68</v>
      </c>
      <c r="C1660" t="s">
        <v>16</v>
      </c>
      <c r="D1660" t="s">
        <v>17</v>
      </c>
      <c r="E1660" t="s">
        <v>18</v>
      </c>
      <c r="F1660" s="1">
        <v>162.35</v>
      </c>
      <c r="G1660" t="s">
        <v>31</v>
      </c>
      <c r="H1660" t="s">
        <v>15</v>
      </c>
      <c r="I1660" s="2">
        <v>4.4000000000000004</v>
      </c>
      <c r="J1660" s="4">
        <v>17</v>
      </c>
      <c r="K1660" s="3">
        <v>6</v>
      </c>
      <c r="L1660" s="1">
        <f t="shared" si="75"/>
        <v>134.75049999999999</v>
      </c>
      <c r="M1660" t="str" cm="1">
        <f t="array" ref="M1660">_xlfn.IFS(B1660&lt;18,"Under 18",B1660 &lt;=25,"18-25",B1660&lt;=35,"26-35",B1660&lt;=45,"36-45",B1660&lt;=60,"46-60",TRUE,"60+")</f>
        <v>60+</v>
      </c>
      <c r="N1660" t="str">
        <f t="shared" si="76"/>
        <v>Discounted</v>
      </c>
      <c r="O1660" t="str">
        <f t="shared" si="77"/>
        <v>Returning</v>
      </c>
    </row>
    <row r="1661" spans="1:15" x14ac:dyDescent="0.25">
      <c r="A1661">
        <v>1660</v>
      </c>
      <c r="B1661">
        <v>58</v>
      </c>
      <c r="C1661" t="s">
        <v>16</v>
      </c>
      <c r="D1661" t="s">
        <v>17</v>
      </c>
      <c r="E1661" t="s">
        <v>35</v>
      </c>
      <c r="F1661" s="1">
        <v>62.32</v>
      </c>
      <c r="G1661" t="s">
        <v>19</v>
      </c>
      <c r="H1661" t="s">
        <v>15</v>
      </c>
      <c r="I1661" s="2">
        <v>3.9</v>
      </c>
      <c r="J1661" s="4">
        <v>13</v>
      </c>
      <c r="K1661" s="3">
        <v>4</v>
      </c>
      <c r="L1661" s="1">
        <f t="shared" si="75"/>
        <v>54.218400000000003</v>
      </c>
      <c r="M1661" t="str" cm="1">
        <f t="array" ref="M1661">_xlfn.IFS(B1661&lt;18,"Under 18",B1661 &lt;=25,"18-25",B1661&lt;=35,"26-35",B1661&lt;=45,"36-45",B1661&lt;=60,"46-60",TRUE,"60+")</f>
        <v>46-60</v>
      </c>
      <c r="N1661" t="str">
        <f t="shared" si="76"/>
        <v>Discounted</v>
      </c>
      <c r="O1661" t="str">
        <f t="shared" si="77"/>
        <v>Returning</v>
      </c>
    </row>
    <row r="1662" spans="1:15" x14ac:dyDescent="0.25">
      <c r="A1662">
        <v>1661</v>
      </c>
      <c r="B1662">
        <v>48</v>
      </c>
      <c r="C1662" t="s">
        <v>11</v>
      </c>
      <c r="D1662" t="s">
        <v>29</v>
      </c>
      <c r="E1662" t="s">
        <v>51</v>
      </c>
      <c r="F1662" s="1">
        <v>134.47999999999999</v>
      </c>
      <c r="G1662" t="s">
        <v>24</v>
      </c>
      <c r="H1662" t="s">
        <v>15</v>
      </c>
      <c r="I1662" s="2">
        <v>3.9</v>
      </c>
      <c r="J1662" s="4">
        <v>18</v>
      </c>
      <c r="K1662" s="3">
        <v>4</v>
      </c>
      <c r="L1662" s="1">
        <f t="shared" si="75"/>
        <v>110.2736</v>
      </c>
      <c r="M1662" t="str" cm="1">
        <f t="array" ref="M1662">_xlfn.IFS(B1662&lt;18,"Under 18",B1662 &lt;=25,"18-25",B1662&lt;=35,"26-35",B1662&lt;=45,"36-45",B1662&lt;=60,"46-60",TRUE,"60+")</f>
        <v>46-60</v>
      </c>
      <c r="N1662" t="str">
        <f t="shared" si="76"/>
        <v>Discounted</v>
      </c>
      <c r="O1662" t="str">
        <f t="shared" si="77"/>
        <v>Returning</v>
      </c>
    </row>
    <row r="1663" spans="1:15" x14ac:dyDescent="0.25">
      <c r="A1663">
        <v>1662</v>
      </c>
      <c r="B1663">
        <v>37</v>
      </c>
      <c r="C1663" t="s">
        <v>16</v>
      </c>
      <c r="D1663" t="s">
        <v>33</v>
      </c>
      <c r="E1663" t="s">
        <v>40</v>
      </c>
      <c r="F1663" s="1">
        <v>200.91</v>
      </c>
      <c r="G1663" t="s">
        <v>19</v>
      </c>
      <c r="H1663" t="s">
        <v>15</v>
      </c>
      <c r="I1663" s="2">
        <v>2.8</v>
      </c>
      <c r="J1663" s="4">
        <v>16</v>
      </c>
      <c r="K1663" s="3">
        <v>3</v>
      </c>
      <c r="L1663" s="1">
        <f t="shared" si="75"/>
        <v>168.76439999999999</v>
      </c>
      <c r="M1663" t="str" cm="1">
        <f t="array" ref="M1663">_xlfn.IFS(B1663&lt;18,"Under 18",B1663 &lt;=25,"18-25",B1663&lt;=35,"26-35",B1663&lt;=45,"36-45",B1663&lt;=60,"46-60",TRUE,"60+")</f>
        <v>36-45</v>
      </c>
      <c r="N1663" t="str">
        <f t="shared" si="76"/>
        <v>Discounted</v>
      </c>
      <c r="O1663" t="str">
        <f t="shared" si="77"/>
        <v>Returning</v>
      </c>
    </row>
    <row r="1664" spans="1:15" x14ac:dyDescent="0.25">
      <c r="A1664">
        <v>1663</v>
      </c>
      <c r="B1664">
        <v>31</v>
      </c>
      <c r="C1664" t="s">
        <v>11</v>
      </c>
      <c r="D1664" t="s">
        <v>29</v>
      </c>
      <c r="E1664" t="s">
        <v>55</v>
      </c>
      <c r="F1664" s="1">
        <v>137.99</v>
      </c>
      <c r="G1664" t="s">
        <v>24</v>
      </c>
      <c r="H1664" t="s">
        <v>15</v>
      </c>
      <c r="I1664" s="2">
        <v>3.8</v>
      </c>
      <c r="J1664" s="4">
        <v>10</v>
      </c>
      <c r="K1664" s="3">
        <v>5</v>
      </c>
      <c r="L1664" s="1">
        <f t="shared" si="75"/>
        <v>124.19100000000002</v>
      </c>
      <c r="M1664" t="str" cm="1">
        <f t="array" ref="M1664">_xlfn.IFS(B1664&lt;18,"Under 18",B1664 &lt;=25,"18-25",B1664&lt;=35,"26-35",B1664&lt;=45,"36-45",B1664&lt;=60,"46-60",TRUE,"60+")</f>
        <v>26-35</v>
      </c>
      <c r="N1664" t="str">
        <f t="shared" si="76"/>
        <v>Discounted</v>
      </c>
      <c r="O1664" t="str">
        <f t="shared" si="77"/>
        <v>Returning</v>
      </c>
    </row>
    <row r="1665" spans="1:15" x14ac:dyDescent="0.25">
      <c r="A1665">
        <v>1664</v>
      </c>
      <c r="B1665">
        <v>62</v>
      </c>
      <c r="C1665" t="s">
        <v>11</v>
      </c>
      <c r="D1665" t="s">
        <v>33</v>
      </c>
      <c r="E1665" t="s">
        <v>34</v>
      </c>
      <c r="F1665" s="1">
        <v>51.08</v>
      </c>
      <c r="G1665" t="s">
        <v>24</v>
      </c>
      <c r="H1665" t="s">
        <v>37</v>
      </c>
      <c r="I1665" s="2">
        <v>3.1</v>
      </c>
      <c r="J1665" s="4">
        <v>21</v>
      </c>
      <c r="K1665" s="3">
        <v>8</v>
      </c>
      <c r="L1665" s="1">
        <f t="shared" si="75"/>
        <v>40.353200000000001</v>
      </c>
      <c r="M1665" t="str" cm="1">
        <f t="array" ref="M1665">_xlfn.IFS(B1665&lt;18,"Under 18",B1665 &lt;=25,"18-25",B1665&lt;=35,"26-35",B1665&lt;=45,"36-45",B1665&lt;=60,"46-60",TRUE,"60+")</f>
        <v>60+</v>
      </c>
      <c r="N1665" t="str">
        <f t="shared" si="76"/>
        <v>Discounted</v>
      </c>
      <c r="O1665" t="str">
        <f t="shared" si="77"/>
        <v>Returning</v>
      </c>
    </row>
    <row r="1666" spans="1:15" x14ac:dyDescent="0.25">
      <c r="A1666">
        <v>1665</v>
      </c>
      <c r="B1666">
        <v>56</v>
      </c>
      <c r="C1666" t="s">
        <v>16</v>
      </c>
      <c r="D1666" t="s">
        <v>20</v>
      </c>
      <c r="E1666" t="s">
        <v>21</v>
      </c>
      <c r="F1666" s="1">
        <v>211</v>
      </c>
      <c r="G1666" t="s">
        <v>14</v>
      </c>
      <c r="H1666" t="s">
        <v>15</v>
      </c>
      <c r="I1666" s="2">
        <v>1.3</v>
      </c>
      <c r="J1666" s="4">
        <v>5</v>
      </c>
      <c r="K1666" s="3">
        <v>0</v>
      </c>
      <c r="L1666" s="1">
        <f t="shared" si="75"/>
        <v>200.45</v>
      </c>
      <c r="M1666" t="str" cm="1">
        <f t="array" ref="M1666">_xlfn.IFS(B1666&lt;18,"Under 18",B1666 &lt;=25,"18-25",B1666&lt;=35,"26-35",B1666&lt;=45,"36-45",B1666&lt;=60,"46-60",TRUE,"60+")</f>
        <v>46-60</v>
      </c>
      <c r="N1666" t="str">
        <f t="shared" si="76"/>
        <v>Discounted</v>
      </c>
      <c r="O1666" t="str">
        <f t="shared" si="77"/>
        <v>New</v>
      </c>
    </row>
    <row r="1667" spans="1:15" x14ac:dyDescent="0.25">
      <c r="A1667">
        <v>1666</v>
      </c>
      <c r="B1667">
        <v>28</v>
      </c>
      <c r="C1667" t="s">
        <v>11</v>
      </c>
      <c r="D1667" t="s">
        <v>41</v>
      </c>
      <c r="E1667" t="s">
        <v>46</v>
      </c>
      <c r="F1667" s="1">
        <v>40.1</v>
      </c>
      <c r="G1667" t="s">
        <v>14</v>
      </c>
      <c r="H1667" t="s">
        <v>15</v>
      </c>
      <c r="I1667" s="2">
        <v>3.5</v>
      </c>
      <c r="J1667" s="4">
        <v>20</v>
      </c>
      <c r="K1667" s="3">
        <v>5</v>
      </c>
      <c r="L1667" s="1">
        <f t="shared" ref="L1667:L1730" si="78">F1667 * (1 - J1667 / 100)</f>
        <v>32.080000000000005</v>
      </c>
      <c r="M1667" t="str" cm="1">
        <f t="array" ref="M1667">_xlfn.IFS(B1667&lt;18,"Under 18",B1667 &lt;=25,"18-25",B1667&lt;=35,"26-35",B1667&lt;=45,"36-45",B1667&lt;=60,"46-60",TRUE,"60+")</f>
        <v>26-35</v>
      </c>
      <c r="N1667" t="str">
        <f t="shared" ref="N1667:N1730" si="79">IF(J1667&gt;0,"Discounted","No Discount")</f>
        <v>Discounted</v>
      </c>
      <c r="O1667" t="str">
        <f t="shared" ref="O1667:O1730" si="80">IF(K1667&gt;0,"Returning","New")</f>
        <v>Returning</v>
      </c>
    </row>
    <row r="1668" spans="1:15" x14ac:dyDescent="0.25">
      <c r="A1668">
        <v>1667</v>
      </c>
      <c r="B1668">
        <v>27</v>
      </c>
      <c r="C1668" t="s">
        <v>16</v>
      </c>
      <c r="D1668" t="s">
        <v>25</v>
      </c>
      <c r="E1668" t="s">
        <v>54</v>
      </c>
      <c r="F1668" s="1">
        <v>19.89</v>
      </c>
      <c r="G1668" t="s">
        <v>31</v>
      </c>
      <c r="H1668" t="s">
        <v>15</v>
      </c>
      <c r="I1668" s="2">
        <v>4.0999999999999996</v>
      </c>
      <c r="J1668" s="4">
        <v>9</v>
      </c>
      <c r="K1668" s="3">
        <v>2</v>
      </c>
      <c r="L1668" s="1">
        <f t="shared" si="78"/>
        <v>18.099900000000002</v>
      </c>
      <c r="M1668" t="str" cm="1">
        <f t="array" ref="M1668">_xlfn.IFS(B1668&lt;18,"Under 18",B1668 &lt;=25,"18-25",B1668&lt;=35,"26-35",B1668&lt;=45,"36-45",B1668&lt;=60,"46-60",TRUE,"60+")</f>
        <v>26-35</v>
      </c>
      <c r="N1668" t="str">
        <f t="shared" si="79"/>
        <v>Discounted</v>
      </c>
      <c r="O1668" t="str">
        <f t="shared" si="80"/>
        <v>Returning</v>
      </c>
    </row>
    <row r="1669" spans="1:15" x14ac:dyDescent="0.25">
      <c r="A1669">
        <v>1668</v>
      </c>
      <c r="B1669">
        <v>61</v>
      </c>
      <c r="C1669" t="s">
        <v>16</v>
      </c>
      <c r="D1669" t="s">
        <v>20</v>
      </c>
      <c r="E1669" t="s">
        <v>36</v>
      </c>
      <c r="F1669" s="1">
        <v>135.32</v>
      </c>
      <c r="G1669" t="s">
        <v>14</v>
      </c>
      <c r="H1669" t="s">
        <v>15</v>
      </c>
      <c r="I1669" s="2">
        <v>3</v>
      </c>
      <c r="J1669" s="4">
        <v>14</v>
      </c>
      <c r="K1669" s="3">
        <v>7</v>
      </c>
      <c r="L1669" s="1">
        <f t="shared" si="78"/>
        <v>116.37519999999999</v>
      </c>
      <c r="M1669" t="str" cm="1">
        <f t="array" ref="M1669">_xlfn.IFS(B1669&lt;18,"Under 18",B1669 &lt;=25,"18-25",B1669&lt;=35,"26-35",B1669&lt;=45,"36-45",B1669&lt;=60,"46-60",TRUE,"60+")</f>
        <v>60+</v>
      </c>
      <c r="N1669" t="str">
        <f t="shared" si="79"/>
        <v>Discounted</v>
      </c>
      <c r="O1669" t="str">
        <f t="shared" si="80"/>
        <v>Returning</v>
      </c>
    </row>
    <row r="1670" spans="1:15" x14ac:dyDescent="0.25">
      <c r="A1670">
        <v>1669</v>
      </c>
      <c r="B1670">
        <v>23</v>
      </c>
      <c r="C1670" t="s">
        <v>11</v>
      </c>
      <c r="D1670" t="s">
        <v>12</v>
      </c>
      <c r="E1670" t="s">
        <v>56</v>
      </c>
      <c r="F1670" s="1">
        <v>101.21</v>
      </c>
      <c r="G1670" t="s">
        <v>24</v>
      </c>
      <c r="H1670" t="s">
        <v>15</v>
      </c>
      <c r="I1670" s="2">
        <v>3.6</v>
      </c>
      <c r="J1670" s="4">
        <v>28</v>
      </c>
      <c r="K1670" s="3">
        <v>9</v>
      </c>
      <c r="L1670" s="1">
        <f t="shared" si="78"/>
        <v>72.871199999999988</v>
      </c>
      <c r="M1670" t="str" cm="1">
        <f t="array" ref="M1670">_xlfn.IFS(B1670&lt;18,"Under 18",B1670 &lt;=25,"18-25",B1670&lt;=35,"26-35",B1670&lt;=45,"36-45",B1670&lt;=60,"46-60",TRUE,"60+")</f>
        <v>18-25</v>
      </c>
      <c r="N1670" t="str">
        <f t="shared" si="79"/>
        <v>Discounted</v>
      </c>
      <c r="O1670" t="str">
        <f t="shared" si="80"/>
        <v>Returning</v>
      </c>
    </row>
    <row r="1671" spans="1:15" x14ac:dyDescent="0.25">
      <c r="A1671">
        <v>1670</v>
      </c>
      <c r="B1671">
        <v>60</v>
      </c>
      <c r="C1671" t="s">
        <v>11</v>
      </c>
      <c r="D1671" t="s">
        <v>20</v>
      </c>
      <c r="E1671" t="s">
        <v>36</v>
      </c>
      <c r="F1671" s="1">
        <v>163.92</v>
      </c>
      <c r="G1671" t="s">
        <v>19</v>
      </c>
      <c r="H1671" t="s">
        <v>15</v>
      </c>
      <c r="I1671" s="2">
        <v>3.1</v>
      </c>
      <c r="J1671" s="4">
        <v>15</v>
      </c>
      <c r="K1671" s="3">
        <v>5</v>
      </c>
      <c r="L1671" s="1">
        <f t="shared" si="78"/>
        <v>139.33199999999999</v>
      </c>
      <c r="M1671" t="str" cm="1">
        <f t="array" ref="M1671">_xlfn.IFS(B1671&lt;18,"Under 18",B1671 &lt;=25,"18-25",B1671&lt;=35,"26-35",B1671&lt;=45,"36-45",B1671&lt;=60,"46-60",TRUE,"60+")</f>
        <v>46-60</v>
      </c>
      <c r="N1671" t="str">
        <f t="shared" si="79"/>
        <v>Discounted</v>
      </c>
      <c r="O1671" t="str">
        <f t="shared" si="80"/>
        <v>Returning</v>
      </c>
    </row>
    <row r="1672" spans="1:15" x14ac:dyDescent="0.25">
      <c r="A1672">
        <v>1671</v>
      </c>
      <c r="B1672">
        <v>54</v>
      </c>
      <c r="C1672" t="s">
        <v>16</v>
      </c>
      <c r="D1672" t="s">
        <v>33</v>
      </c>
      <c r="E1672" t="s">
        <v>40</v>
      </c>
      <c r="F1672" s="1">
        <v>138.78</v>
      </c>
      <c r="G1672" t="s">
        <v>31</v>
      </c>
      <c r="H1672" t="s">
        <v>15</v>
      </c>
      <c r="I1672" s="2">
        <v>3.7</v>
      </c>
      <c r="J1672" s="4">
        <v>15</v>
      </c>
      <c r="K1672" s="3">
        <v>5</v>
      </c>
      <c r="L1672" s="1">
        <f t="shared" si="78"/>
        <v>117.96299999999999</v>
      </c>
      <c r="M1672" t="str" cm="1">
        <f t="array" ref="M1672">_xlfn.IFS(B1672&lt;18,"Under 18",B1672 &lt;=25,"18-25",B1672&lt;=35,"26-35",B1672&lt;=45,"36-45",B1672&lt;=60,"46-60",TRUE,"60+")</f>
        <v>46-60</v>
      </c>
      <c r="N1672" t="str">
        <f t="shared" si="79"/>
        <v>Discounted</v>
      </c>
      <c r="O1672" t="str">
        <f t="shared" si="80"/>
        <v>Returning</v>
      </c>
    </row>
    <row r="1673" spans="1:15" x14ac:dyDescent="0.25">
      <c r="A1673">
        <v>1672</v>
      </c>
      <c r="B1673">
        <v>37</v>
      </c>
      <c r="C1673" t="s">
        <v>16</v>
      </c>
      <c r="D1673" t="s">
        <v>17</v>
      </c>
      <c r="E1673" t="s">
        <v>35</v>
      </c>
      <c r="F1673" s="1">
        <v>168.61</v>
      </c>
      <c r="G1673" t="s">
        <v>14</v>
      </c>
      <c r="H1673" t="s">
        <v>15</v>
      </c>
      <c r="I1673" s="2">
        <v>4.5999999999999996</v>
      </c>
      <c r="J1673" s="4">
        <v>15</v>
      </c>
      <c r="K1673" s="3">
        <v>5</v>
      </c>
      <c r="L1673" s="1">
        <f t="shared" si="78"/>
        <v>143.3185</v>
      </c>
      <c r="M1673" t="str" cm="1">
        <f t="array" ref="M1673">_xlfn.IFS(B1673&lt;18,"Under 18",B1673 &lt;=25,"18-25",B1673&lt;=35,"26-35",B1673&lt;=45,"36-45",B1673&lt;=60,"46-60",TRUE,"60+")</f>
        <v>36-45</v>
      </c>
      <c r="N1673" t="str">
        <f t="shared" si="79"/>
        <v>Discounted</v>
      </c>
      <c r="O1673" t="str">
        <f t="shared" si="80"/>
        <v>Returning</v>
      </c>
    </row>
    <row r="1674" spans="1:15" x14ac:dyDescent="0.25">
      <c r="A1674">
        <v>1673</v>
      </c>
      <c r="B1674">
        <v>60</v>
      </c>
      <c r="C1674" t="s">
        <v>11</v>
      </c>
      <c r="D1674" t="s">
        <v>41</v>
      </c>
      <c r="E1674" t="s">
        <v>44</v>
      </c>
      <c r="F1674" s="1">
        <v>177.44</v>
      </c>
      <c r="G1674" t="s">
        <v>14</v>
      </c>
      <c r="H1674" t="s">
        <v>15</v>
      </c>
      <c r="I1674" s="2">
        <v>3.8</v>
      </c>
      <c r="J1674" s="4">
        <v>9</v>
      </c>
      <c r="K1674" s="3">
        <v>2</v>
      </c>
      <c r="L1674" s="1">
        <f t="shared" si="78"/>
        <v>161.47040000000001</v>
      </c>
      <c r="M1674" t="str" cm="1">
        <f t="array" ref="M1674">_xlfn.IFS(B1674&lt;18,"Under 18",B1674 &lt;=25,"18-25",B1674&lt;=35,"26-35",B1674&lt;=45,"36-45",B1674&lt;=60,"46-60",TRUE,"60+")</f>
        <v>46-60</v>
      </c>
      <c r="N1674" t="str">
        <f t="shared" si="79"/>
        <v>Discounted</v>
      </c>
      <c r="O1674" t="str">
        <f t="shared" si="80"/>
        <v>Returning</v>
      </c>
    </row>
    <row r="1675" spans="1:15" x14ac:dyDescent="0.25">
      <c r="A1675">
        <v>1674</v>
      </c>
      <c r="B1675">
        <v>42</v>
      </c>
      <c r="C1675" t="s">
        <v>16</v>
      </c>
      <c r="D1675" t="s">
        <v>33</v>
      </c>
      <c r="E1675" t="s">
        <v>40</v>
      </c>
      <c r="F1675" s="1">
        <v>58.43</v>
      </c>
      <c r="G1675" t="s">
        <v>31</v>
      </c>
      <c r="H1675" t="s">
        <v>15</v>
      </c>
      <c r="I1675" s="2">
        <v>3.9</v>
      </c>
      <c r="J1675" s="4">
        <v>13</v>
      </c>
      <c r="K1675" s="3">
        <v>4</v>
      </c>
      <c r="L1675" s="1">
        <f t="shared" si="78"/>
        <v>50.834099999999999</v>
      </c>
      <c r="M1675" t="str" cm="1">
        <f t="array" ref="M1675">_xlfn.IFS(B1675&lt;18,"Under 18",B1675 &lt;=25,"18-25",B1675&lt;=35,"26-35",B1675&lt;=45,"36-45",B1675&lt;=60,"46-60",TRUE,"60+")</f>
        <v>36-45</v>
      </c>
      <c r="N1675" t="str">
        <f t="shared" si="79"/>
        <v>Discounted</v>
      </c>
      <c r="O1675" t="str">
        <f t="shared" si="80"/>
        <v>Returning</v>
      </c>
    </row>
    <row r="1676" spans="1:15" x14ac:dyDescent="0.25">
      <c r="A1676">
        <v>1675</v>
      </c>
      <c r="B1676">
        <v>27</v>
      </c>
      <c r="C1676" t="s">
        <v>16</v>
      </c>
      <c r="D1676" t="s">
        <v>22</v>
      </c>
      <c r="E1676" t="s">
        <v>43</v>
      </c>
      <c r="F1676" s="1">
        <v>184.18</v>
      </c>
      <c r="G1676" t="s">
        <v>24</v>
      </c>
      <c r="H1676" t="s">
        <v>15</v>
      </c>
      <c r="I1676" s="2">
        <v>4.2</v>
      </c>
      <c r="J1676" s="4">
        <v>23</v>
      </c>
      <c r="K1676" s="3">
        <v>9</v>
      </c>
      <c r="L1676" s="1">
        <f t="shared" si="78"/>
        <v>141.8186</v>
      </c>
      <c r="M1676" t="str" cm="1">
        <f t="array" ref="M1676">_xlfn.IFS(B1676&lt;18,"Under 18",B1676 &lt;=25,"18-25",B1676&lt;=35,"26-35",B1676&lt;=45,"36-45",B1676&lt;=60,"46-60",TRUE,"60+")</f>
        <v>26-35</v>
      </c>
      <c r="N1676" t="str">
        <f t="shared" si="79"/>
        <v>Discounted</v>
      </c>
      <c r="O1676" t="str">
        <f t="shared" si="80"/>
        <v>Returning</v>
      </c>
    </row>
    <row r="1677" spans="1:15" x14ac:dyDescent="0.25">
      <c r="A1677">
        <v>1676</v>
      </c>
      <c r="B1677">
        <v>54</v>
      </c>
      <c r="C1677" t="s">
        <v>11</v>
      </c>
      <c r="D1677" t="s">
        <v>33</v>
      </c>
      <c r="E1677" t="s">
        <v>34</v>
      </c>
      <c r="F1677" s="1">
        <v>180.54</v>
      </c>
      <c r="G1677" t="s">
        <v>14</v>
      </c>
      <c r="H1677" t="s">
        <v>15</v>
      </c>
      <c r="I1677" s="2">
        <v>3.9</v>
      </c>
      <c r="J1677" s="4">
        <v>15</v>
      </c>
      <c r="K1677" s="3">
        <v>5</v>
      </c>
      <c r="L1677" s="1">
        <f t="shared" si="78"/>
        <v>153.459</v>
      </c>
      <c r="M1677" t="str" cm="1">
        <f t="array" ref="M1677">_xlfn.IFS(B1677&lt;18,"Under 18",B1677 &lt;=25,"18-25",B1677&lt;=35,"26-35",B1677&lt;=45,"36-45",B1677&lt;=60,"46-60",TRUE,"60+")</f>
        <v>46-60</v>
      </c>
      <c r="N1677" t="str">
        <f t="shared" si="79"/>
        <v>Discounted</v>
      </c>
      <c r="O1677" t="str">
        <f t="shared" si="80"/>
        <v>Returning</v>
      </c>
    </row>
    <row r="1678" spans="1:15" x14ac:dyDescent="0.25">
      <c r="A1678">
        <v>1677</v>
      </c>
      <c r="B1678">
        <v>56</v>
      </c>
      <c r="C1678" t="s">
        <v>16</v>
      </c>
      <c r="D1678" t="s">
        <v>17</v>
      </c>
      <c r="E1678" t="s">
        <v>42</v>
      </c>
      <c r="F1678" s="1">
        <v>135.91</v>
      </c>
      <c r="G1678" t="s">
        <v>24</v>
      </c>
      <c r="H1678" t="s">
        <v>15</v>
      </c>
      <c r="I1678" s="2">
        <v>3.6</v>
      </c>
      <c r="J1678" s="4">
        <v>22</v>
      </c>
      <c r="K1678" s="3">
        <v>6</v>
      </c>
      <c r="L1678" s="1">
        <f t="shared" si="78"/>
        <v>106.0098</v>
      </c>
      <c r="M1678" t="str" cm="1">
        <f t="array" ref="M1678">_xlfn.IFS(B1678&lt;18,"Under 18",B1678 &lt;=25,"18-25",B1678&lt;=35,"26-35",B1678&lt;=45,"36-45",B1678&lt;=60,"46-60",TRUE,"60+")</f>
        <v>46-60</v>
      </c>
      <c r="N1678" t="str">
        <f t="shared" si="79"/>
        <v>Discounted</v>
      </c>
      <c r="O1678" t="str">
        <f t="shared" si="80"/>
        <v>Returning</v>
      </c>
    </row>
    <row r="1679" spans="1:15" x14ac:dyDescent="0.25">
      <c r="A1679">
        <v>1678</v>
      </c>
      <c r="B1679">
        <v>44</v>
      </c>
      <c r="C1679" t="s">
        <v>11</v>
      </c>
      <c r="D1679" t="s">
        <v>41</v>
      </c>
      <c r="E1679" t="s">
        <v>46</v>
      </c>
      <c r="F1679" s="1">
        <v>183.99</v>
      </c>
      <c r="G1679" t="s">
        <v>14</v>
      </c>
      <c r="H1679" t="s">
        <v>15</v>
      </c>
      <c r="I1679" s="2">
        <v>3.1</v>
      </c>
      <c r="J1679" s="4">
        <v>16</v>
      </c>
      <c r="K1679" s="3">
        <v>8</v>
      </c>
      <c r="L1679" s="1">
        <f t="shared" si="78"/>
        <v>154.55160000000001</v>
      </c>
      <c r="M1679" t="str" cm="1">
        <f t="array" ref="M1679">_xlfn.IFS(B1679&lt;18,"Under 18",B1679 &lt;=25,"18-25",B1679&lt;=35,"26-35",B1679&lt;=45,"36-45",B1679&lt;=60,"46-60",TRUE,"60+")</f>
        <v>36-45</v>
      </c>
      <c r="N1679" t="str">
        <f t="shared" si="79"/>
        <v>Discounted</v>
      </c>
      <c r="O1679" t="str">
        <f t="shared" si="80"/>
        <v>Returning</v>
      </c>
    </row>
    <row r="1680" spans="1:15" x14ac:dyDescent="0.25">
      <c r="A1680">
        <v>1679</v>
      </c>
      <c r="B1680">
        <v>32</v>
      </c>
      <c r="C1680" t="s">
        <v>11</v>
      </c>
      <c r="D1680" t="s">
        <v>33</v>
      </c>
      <c r="E1680" t="s">
        <v>40</v>
      </c>
      <c r="F1680" s="1">
        <v>188.12</v>
      </c>
      <c r="G1680" t="s">
        <v>24</v>
      </c>
      <c r="H1680" t="s">
        <v>15</v>
      </c>
      <c r="I1680" s="2">
        <v>2.7</v>
      </c>
      <c r="J1680" s="4">
        <v>6</v>
      </c>
      <c r="K1680" s="3">
        <v>3</v>
      </c>
      <c r="L1680" s="1">
        <f t="shared" si="78"/>
        <v>176.83279999999999</v>
      </c>
      <c r="M1680" t="str" cm="1">
        <f t="array" ref="M1680">_xlfn.IFS(B1680&lt;18,"Under 18",B1680 &lt;=25,"18-25",B1680&lt;=35,"26-35",B1680&lt;=45,"36-45",B1680&lt;=60,"46-60",TRUE,"60+")</f>
        <v>26-35</v>
      </c>
      <c r="N1680" t="str">
        <f t="shared" si="79"/>
        <v>Discounted</v>
      </c>
      <c r="O1680" t="str">
        <f t="shared" si="80"/>
        <v>Returning</v>
      </c>
    </row>
    <row r="1681" spans="1:15" x14ac:dyDescent="0.25">
      <c r="A1681">
        <v>1680</v>
      </c>
      <c r="B1681">
        <v>60</v>
      </c>
      <c r="C1681" t="s">
        <v>11</v>
      </c>
      <c r="D1681" t="s">
        <v>33</v>
      </c>
      <c r="E1681" t="s">
        <v>40</v>
      </c>
      <c r="F1681" s="1">
        <v>81.88</v>
      </c>
      <c r="G1681" t="s">
        <v>24</v>
      </c>
      <c r="H1681" t="s">
        <v>37</v>
      </c>
      <c r="I1681" s="2">
        <v>4.5</v>
      </c>
      <c r="J1681" s="4">
        <v>14</v>
      </c>
      <c r="K1681" s="3">
        <v>7</v>
      </c>
      <c r="L1681" s="1">
        <f t="shared" si="78"/>
        <v>70.416799999999995</v>
      </c>
      <c r="M1681" t="str" cm="1">
        <f t="array" ref="M1681">_xlfn.IFS(B1681&lt;18,"Under 18",B1681 &lt;=25,"18-25",B1681&lt;=35,"26-35",B1681&lt;=45,"36-45",B1681&lt;=60,"46-60",TRUE,"60+")</f>
        <v>46-60</v>
      </c>
      <c r="N1681" t="str">
        <f t="shared" si="79"/>
        <v>Discounted</v>
      </c>
      <c r="O1681" t="str">
        <f t="shared" si="80"/>
        <v>Returning</v>
      </c>
    </row>
    <row r="1682" spans="1:15" x14ac:dyDescent="0.25">
      <c r="A1682">
        <v>1681</v>
      </c>
      <c r="B1682">
        <v>55</v>
      </c>
      <c r="C1682" t="s">
        <v>11</v>
      </c>
      <c r="D1682" t="s">
        <v>33</v>
      </c>
      <c r="E1682" t="s">
        <v>40</v>
      </c>
      <c r="F1682" s="1">
        <v>134.88</v>
      </c>
      <c r="G1682" t="s">
        <v>24</v>
      </c>
      <c r="H1682" t="s">
        <v>15</v>
      </c>
      <c r="I1682" s="2">
        <v>4.0999999999999996</v>
      </c>
      <c r="J1682" s="4">
        <v>11</v>
      </c>
      <c r="K1682" s="3">
        <v>3</v>
      </c>
      <c r="L1682" s="1">
        <f t="shared" si="78"/>
        <v>120.0432</v>
      </c>
      <c r="M1682" t="str" cm="1">
        <f t="array" ref="M1682">_xlfn.IFS(B1682&lt;18,"Under 18",B1682 &lt;=25,"18-25",B1682&lt;=35,"26-35",B1682&lt;=45,"36-45",B1682&lt;=60,"46-60",TRUE,"60+")</f>
        <v>46-60</v>
      </c>
      <c r="N1682" t="str">
        <f t="shared" si="79"/>
        <v>Discounted</v>
      </c>
      <c r="O1682" t="str">
        <f t="shared" si="80"/>
        <v>Returning</v>
      </c>
    </row>
    <row r="1683" spans="1:15" x14ac:dyDescent="0.25">
      <c r="A1683">
        <v>1682</v>
      </c>
      <c r="B1683">
        <v>60</v>
      </c>
      <c r="C1683" t="s">
        <v>11</v>
      </c>
      <c r="D1683" t="s">
        <v>33</v>
      </c>
      <c r="E1683" t="s">
        <v>40</v>
      </c>
      <c r="F1683" s="1">
        <v>76.8</v>
      </c>
      <c r="G1683" t="s">
        <v>24</v>
      </c>
      <c r="H1683" t="s">
        <v>15</v>
      </c>
      <c r="I1683" s="2">
        <v>3.3</v>
      </c>
      <c r="J1683" s="4">
        <v>17</v>
      </c>
      <c r="K1683" s="3">
        <v>6</v>
      </c>
      <c r="L1683" s="1">
        <f t="shared" si="78"/>
        <v>63.743999999999993</v>
      </c>
      <c r="M1683" t="str" cm="1">
        <f t="array" ref="M1683">_xlfn.IFS(B1683&lt;18,"Under 18",B1683 &lt;=25,"18-25",B1683&lt;=35,"26-35",B1683&lt;=45,"36-45",B1683&lt;=60,"46-60",TRUE,"60+")</f>
        <v>46-60</v>
      </c>
      <c r="N1683" t="str">
        <f t="shared" si="79"/>
        <v>Discounted</v>
      </c>
      <c r="O1683" t="str">
        <f t="shared" si="80"/>
        <v>Returning</v>
      </c>
    </row>
    <row r="1684" spans="1:15" x14ac:dyDescent="0.25">
      <c r="A1684">
        <v>1683</v>
      </c>
      <c r="B1684">
        <v>54</v>
      </c>
      <c r="C1684" t="s">
        <v>11</v>
      </c>
      <c r="D1684" t="s">
        <v>29</v>
      </c>
      <c r="E1684" t="s">
        <v>30</v>
      </c>
      <c r="F1684" s="1">
        <v>54.63</v>
      </c>
      <c r="G1684" t="s">
        <v>24</v>
      </c>
      <c r="H1684" t="s">
        <v>37</v>
      </c>
      <c r="I1684" s="2">
        <v>4.5</v>
      </c>
      <c r="J1684" s="4">
        <v>10</v>
      </c>
      <c r="K1684" s="3">
        <v>5</v>
      </c>
      <c r="L1684" s="1">
        <f t="shared" si="78"/>
        <v>49.167000000000002</v>
      </c>
      <c r="M1684" t="str" cm="1">
        <f t="array" ref="M1684">_xlfn.IFS(B1684&lt;18,"Under 18",B1684 &lt;=25,"18-25",B1684&lt;=35,"26-35",B1684&lt;=45,"36-45",B1684&lt;=60,"46-60",TRUE,"60+")</f>
        <v>46-60</v>
      </c>
      <c r="N1684" t="str">
        <f t="shared" si="79"/>
        <v>Discounted</v>
      </c>
      <c r="O1684" t="str">
        <f t="shared" si="80"/>
        <v>Returning</v>
      </c>
    </row>
    <row r="1685" spans="1:15" x14ac:dyDescent="0.25">
      <c r="A1685">
        <v>1684</v>
      </c>
      <c r="B1685">
        <v>39</v>
      </c>
      <c r="C1685" t="s">
        <v>16</v>
      </c>
      <c r="D1685" t="s">
        <v>17</v>
      </c>
      <c r="E1685" t="s">
        <v>42</v>
      </c>
      <c r="F1685" s="1">
        <v>47.56</v>
      </c>
      <c r="G1685" t="s">
        <v>19</v>
      </c>
      <c r="H1685" t="s">
        <v>37</v>
      </c>
      <c r="I1685" s="2">
        <v>2.1</v>
      </c>
      <c r="J1685" s="4">
        <v>6</v>
      </c>
      <c r="K1685" s="3">
        <v>3</v>
      </c>
      <c r="L1685" s="1">
        <f t="shared" si="78"/>
        <v>44.706400000000002</v>
      </c>
      <c r="M1685" t="str" cm="1">
        <f t="array" ref="M1685">_xlfn.IFS(B1685&lt;18,"Under 18",B1685 &lt;=25,"18-25",B1685&lt;=35,"26-35",B1685&lt;=45,"36-45",B1685&lt;=60,"46-60",TRUE,"60+")</f>
        <v>36-45</v>
      </c>
      <c r="N1685" t="str">
        <f t="shared" si="79"/>
        <v>Discounted</v>
      </c>
      <c r="O1685" t="str">
        <f t="shared" si="80"/>
        <v>Returning</v>
      </c>
    </row>
    <row r="1686" spans="1:15" x14ac:dyDescent="0.25">
      <c r="A1686">
        <v>1685</v>
      </c>
      <c r="B1686">
        <v>20</v>
      </c>
      <c r="C1686" t="s">
        <v>16</v>
      </c>
      <c r="D1686" t="s">
        <v>33</v>
      </c>
      <c r="E1686" t="s">
        <v>40</v>
      </c>
      <c r="F1686" s="1">
        <v>53.28</v>
      </c>
      <c r="G1686" t="s">
        <v>31</v>
      </c>
      <c r="H1686" t="s">
        <v>15</v>
      </c>
      <c r="I1686" s="2">
        <v>3</v>
      </c>
      <c r="J1686" s="4">
        <v>23</v>
      </c>
      <c r="K1686" s="3">
        <v>9</v>
      </c>
      <c r="L1686" s="1">
        <f t="shared" si="78"/>
        <v>41.025600000000004</v>
      </c>
      <c r="M1686" t="str" cm="1">
        <f t="array" ref="M1686">_xlfn.IFS(B1686&lt;18,"Under 18",B1686 &lt;=25,"18-25",B1686&lt;=35,"26-35",B1686&lt;=45,"36-45",B1686&lt;=60,"46-60",TRUE,"60+")</f>
        <v>18-25</v>
      </c>
      <c r="N1686" t="str">
        <f t="shared" si="79"/>
        <v>Discounted</v>
      </c>
      <c r="O1686" t="str">
        <f t="shared" si="80"/>
        <v>Returning</v>
      </c>
    </row>
    <row r="1687" spans="1:15" x14ac:dyDescent="0.25">
      <c r="A1687">
        <v>1686</v>
      </c>
      <c r="B1687">
        <v>31</v>
      </c>
      <c r="C1687" t="s">
        <v>11</v>
      </c>
      <c r="D1687" t="s">
        <v>25</v>
      </c>
      <c r="E1687" t="s">
        <v>47</v>
      </c>
      <c r="F1687" s="1">
        <v>78.790000000000006</v>
      </c>
      <c r="G1687" t="s">
        <v>24</v>
      </c>
      <c r="H1687" t="s">
        <v>37</v>
      </c>
      <c r="I1687" s="2">
        <v>4.8</v>
      </c>
      <c r="J1687" s="4">
        <v>14</v>
      </c>
      <c r="K1687" s="3">
        <v>2</v>
      </c>
      <c r="L1687" s="1">
        <f t="shared" si="78"/>
        <v>67.759399999999999</v>
      </c>
      <c r="M1687" t="str" cm="1">
        <f t="array" ref="M1687">_xlfn.IFS(B1687&lt;18,"Under 18",B1687 &lt;=25,"18-25",B1687&lt;=35,"26-35",B1687&lt;=45,"36-45",B1687&lt;=60,"46-60",TRUE,"60+")</f>
        <v>26-35</v>
      </c>
      <c r="N1687" t="str">
        <f t="shared" si="79"/>
        <v>Discounted</v>
      </c>
      <c r="O1687" t="str">
        <f t="shared" si="80"/>
        <v>Returning</v>
      </c>
    </row>
    <row r="1688" spans="1:15" x14ac:dyDescent="0.25">
      <c r="A1688">
        <v>1687</v>
      </c>
      <c r="B1688">
        <v>45</v>
      </c>
      <c r="C1688" t="s">
        <v>11</v>
      </c>
      <c r="D1688" t="s">
        <v>29</v>
      </c>
      <c r="E1688" t="s">
        <v>30</v>
      </c>
      <c r="F1688" s="1">
        <v>52.81</v>
      </c>
      <c r="G1688" t="s">
        <v>24</v>
      </c>
      <c r="H1688" t="s">
        <v>15</v>
      </c>
      <c r="I1688" s="2">
        <v>4.5999999999999996</v>
      </c>
      <c r="J1688" s="4">
        <v>24</v>
      </c>
      <c r="K1688" s="3">
        <v>7</v>
      </c>
      <c r="L1688" s="1">
        <f t="shared" si="78"/>
        <v>40.135600000000004</v>
      </c>
      <c r="M1688" t="str" cm="1">
        <f t="array" ref="M1688">_xlfn.IFS(B1688&lt;18,"Under 18",B1688 &lt;=25,"18-25",B1688&lt;=35,"26-35",B1688&lt;=45,"36-45",B1688&lt;=60,"46-60",TRUE,"60+")</f>
        <v>36-45</v>
      </c>
      <c r="N1688" t="str">
        <f t="shared" si="79"/>
        <v>Discounted</v>
      </c>
      <c r="O1688" t="str">
        <f t="shared" si="80"/>
        <v>Returning</v>
      </c>
    </row>
    <row r="1689" spans="1:15" x14ac:dyDescent="0.25">
      <c r="A1689">
        <v>1688</v>
      </c>
      <c r="B1689">
        <v>38</v>
      </c>
      <c r="C1689" t="s">
        <v>16</v>
      </c>
      <c r="D1689" t="s">
        <v>27</v>
      </c>
      <c r="E1689" t="s">
        <v>32</v>
      </c>
      <c r="F1689" s="1">
        <v>2403.13</v>
      </c>
      <c r="G1689" t="s">
        <v>31</v>
      </c>
      <c r="H1689" t="s">
        <v>15</v>
      </c>
      <c r="I1689" s="2">
        <v>4.9000000000000004</v>
      </c>
      <c r="J1689" s="4">
        <v>8</v>
      </c>
      <c r="K1689" s="3">
        <v>4</v>
      </c>
      <c r="L1689" s="1">
        <f t="shared" si="78"/>
        <v>2210.8796000000002</v>
      </c>
      <c r="M1689" t="str" cm="1">
        <f t="array" ref="M1689">_xlfn.IFS(B1689&lt;18,"Under 18",B1689 &lt;=25,"18-25",B1689&lt;=35,"26-35",B1689&lt;=45,"36-45",B1689&lt;=60,"46-60",TRUE,"60+")</f>
        <v>36-45</v>
      </c>
      <c r="N1689" t="str">
        <f t="shared" si="79"/>
        <v>Discounted</v>
      </c>
      <c r="O1689" t="str">
        <f t="shared" si="80"/>
        <v>Returning</v>
      </c>
    </row>
    <row r="1690" spans="1:15" x14ac:dyDescent="0.25">
      <c r="A1690">
        <v>1689</v>
      </c>
      <c r="B1690">
        <v>61</v>
      </c>
      <c r="C1690" t="s">
        <v>11</v>
      </c>
      <c r="D1690" t="s">
        <v>12</v>
      </c>
      <c r="E1690" t="s">
        <v>50</v>
      </c>
      <c r="F1690" s="1">
        <v>117</v>
      </c>
      <c r="G1690" t="s">
        <v>31</v>
      </c>
      <c r="H1690" t="s">
        <v>15</v>
      </c>
      <c r="I1690" s="2">
        <v>3.4</v>
      </c>
      <c r="J1690" s="4">
        <v>15</v>
      </c>
      <c r="K1690" s="3">
        <v>5</v>
      </c>
      <c r="L1690" s="1">
        <f t="shared" si="78"/>
        <v>99.45</v>
      </c>
      <c r="M1690" t="str" cm="1">
        <f t="array" ref="M1690">_xlfn.IFS(B1690&lt;18,"Under 18",B1690 &lt;=25,"18-25",B1690&lt;=35,"26-35",B1690&lt;=45,"36-45",B1690&lt;=60,"46-60",TRUE,"60+")</f>
        <v>60+</v>
      </c>
      <c r="N1690" t="str">
        <f t="shared" si="79"/>
        <v>Discounted</v>
      </c>
      <c r="O1690" t="str">
        <f t="shared" si="80"/>
        <v>Returning</v>
      </c>
    </row>
    <row r="1691" spans="1:15" x14ac:dyDescent="0.25">
      <c r="A1691">
        <v>1690</v>
      </c>
      <c r="B1691">
        <v>51</v>
      </c>
      <c r="C1691" t="s">
        <v>16</v>
      </c>
      <c r="D1691" t="s">
        <v>33</v>
      </c>
      <c r="E1691" t="s">
        <v>40</v>
      </c>
      <c r="F1691" s="1">
        <v>94.71</v>
      </c>
      <c r="G1691" t="s">
        <v>31</v>
      </c>
      <c r="H1691" t="s">
        <v>15</v>
      </c>
      <c r="I1691" s="2">
        <v>3.6</v>
      </c>
      <c r="J1691" s="4">
        <v>13</v>
      </c>
      <c r="K1691" s="3">
        <v>4</v>
      </c>
      <c r="L1691" s="1">
        <f t="shared" si="78"/>
        <v>82.3977</v>
      </c>
      <c r="M1691" t="str" cm="1">
        <f t="array" ref="M1691">_xlfn.IFS(B1691&lt;18,"Under 18",B1691 &lt;=25,"18-25",B1691&lt;=35,"26-35",B1691&lt;=45,"36-45",B1691&lt;=60,"46-60",TRUE,"60+")</f>
        <v>46-60</v>
      </c>
      <c r="N1691" t="str">
        <f t="shared" si="79"/>
        <v>Discounted</v>
      </c>
      <c r="O1691" t="str">
        <f t="shared" si="80"/>
        <v>Returning</v>
      </c>
    </row>
    <row r="1692" spans="1:15" x14ac:dyDescent="0.25">
      <c r="A1692">
        <v>1691</v>
      </c>
      <c r="B1692">
        <v>54</v>
      </c>
      <c r="C1692" t="s">
        <v>11</v>
      </c>
      <c r="D1692" t="s">
        <v>33</v>
      </c>
      <c r="E1692" t="s">
        <v>38</v>
      </c>
      <c r="F1692" s="1">
        <v>121.85</v>
      </c>
      <c r="G1692" t="s">
        <v>14</v>
      </c>
      <c r="H1692" t="s">
        <v>15</v>
      </c>
      <c r="I1692" s="2">
        <v>4.0999999999999996</v>
      </c>
      <c r="J1692" s="4">
        <v>24</v>
      </c>
      <c r="K1692" s="3">
        <v>7</v>
      </c>
      <c r="L1692" s="1">
        <f t="shared" si="78"/>
        <v>92.605999999999995</v>
      </c>
      <c r="M1692" t="str" cm="1">
        <f t="array" ref="M1692">_xlfn.IFS(B1692&lt;18,"Under 18",B1692 &lt;=25,"18-25",B1692&lt;=35,"26-35",B1692&lt;=45,"36-45",B1692&lt;=60,"46-60",TRUE,"60+")</f>
        <v>46-60</v>
      </c>
      <c r="N1692" t="str">
        <f t="shared" si="79"/>
        <v>Discounted</v>
      </c>
      <c r="O1692" t="str">
        <f t="shared" si="80"/>
        <v>Returning</v>
      </c>
    </row>
    <row r="1693" spans="1:15" x14ac:dyDescent="0.25">
      <c r="A1693">
        <v>1692</v>
      </c>
      <c r="B1693">
        <v>49</v>
      </c>
      <c r="C1693" t="s">
        <v>16</v>
      </c>
      <c r="D1693" t="s">
        <v>25</v>
      </c>
      <c r="E1693" t="s">
        <v>57</v>
      </c>
      <c r="F1693" s="1">
        <v>72.209999999999994</v>
      </c>
      <c r="G1693" t="s">
        <v>14</v>
      </c>
      <c r="H1693" t="s">
        <v>37</v>
      </c>
      <c r="I1693" s="2">
        <v>3.8</v>
      </c>
      <c r="J1693" s="4">
        <v>16</v>
      </c>
      <c r="K1693" s="3">
        <v>3</v>
      </c>
      <c r="L1693" s="1">
        <f t="shared" si="78"/>
        <v>60.656399999999991</v>
      </c>
      <c r="M1693" t="str" cm="1">
        <f t="array" ref="M1693">_xlfn.IFS(B1693&lt;18,"Under 18",B1693 &lt;=25,"18-25",B1693&lt;=35,"26-35",B1693&lt;=45,"36-45",B1693&lt;=60,"46-60",TRUE,"60+")</f>
        <v>46-60</v>
      </c>
      <c r="N1693" t="str">
        <f t="shared" si="79"/>
        <v>Discounted</v>
      </c>
      <c r="O1693" t="str">
        <f t="shared" si="80"/>
        <v>Returning</v>
      </c>
    </row>
    <row r="1694" spans="1:15" x14ac:dyDescent="0.25">
      <c r="A1694">
        <v>1693</v>
      </c>
      <c r="B1694">
        <v>69</v>
      </c>
      <c r="C1694" t="s">
        <v>11</v>
      </c>
      <c r="D1694" t="s">
        <v>12</v>
      </c>
      <c r="E1694" t="s">
        <v>56</v>
      </c>
      <c r="F1694" s="1">
        <v>166.88</v>
      </c>
      <c r="G1694" t="s">
        <v>31</v>
      </c>
      <c r="H1694" t="s">
        <v>15</v>
      </c>
      <c r="I1694" s="2">
        <v>4.0999999999999996</v>
      </c>
      <c r="J1694" s="4">
        <v>8</v>
      </c>
      <c r="K1694" s="3">
        <v>4</v>
      </c>
      <c r="L1694" s="1">
        <f t="shared" si="78"/>
        <v>153.52960000000002</v>
      </c>
      <c r="M1694" t="str" cm="1">
        <f t="array" ref="M1694">_xlfn.IFS(B1694&lt;18,"Under 18",B1694 &lt;=25,"18-25",B1694&lt;=35,"26-35",B1694&lt;=45,"36-45",B1694&lt;=60,"46-60",TRUE,"60+")</f>
        <v>60+</v>
      </c>
      <c r="N1694" t="str">
        <f t="shared" si="79"/>
        <v>Discounted</v>
      </c>
      <c r="O1694" t="str">
        <f t="shared" si="80"/>
        <v>Returning</v>
      </c>
    </row>
    <row r="1695" spans="1:15" x14ac:dyDescent="0.25">
      <c r="A1695">
        <v>1694</v>
      </c>
      <c r="B1695">
        <v>46</v>
      </c>
      <c r="C1695" t="s">
        <v>11</v>
      </c>
      <c r="D1695" t="s">
        <v>29</v>
      </c>
      <c r="E1695" t="s">
        <v>55</v>
      </c>
      <c r="F1695" s="1">
        <v>75.22</v>
      </c>
      <c r="G1695" t="s">
        <v>14</v>
      </c>
      <c r="H1695" t="s">
        <v>37</v>
      </c>
      <c r="I1695" s="2">
        <v>4.0999999999999996</v>
      </c>
      <c r="J1695" s="4">
        <v>10</v>
      </c>
      <c r="K1695" s="3">
        <v>5</v>
      </c>
      <c r="L1695" s="1">
        <f t="shared" si="78"/>
        <v>67.698000000000008</v>
      </c>
      <c r="M1695" t="str" cm="1">
        <f t="array" ref="M1695">_xlfn.IFS(B1695&lt;18,"Under 18",B1695 &lt;=25,"18-25",B1695&lt;=35,"26-35",B1695&lt;=45,"36-45",B1695&lt;=60,"46-60",TRUE,"60+")</f>
        <v>46-60</v>
      </c>
      <c r="N1695" t="str">
        <f t="shared" si="79"/>
        <v>Discounted</v>
      </c>
      <c r="O1695" t="str">
        <f t="shared" si="80"/>
        <v>Returning</v>
      </c>
    </row>
    <row r="1696" spans="1:15" x14ac:dyDescent="0.25">
      <c r="A1696">
        <v>1695</v>
      </c>
      <c r="B1696">
        <v>48</v>
      </c>
      <c r="C1696" t="s">
        <v>16</v>
      </c>
      <c r="D1696" t="s">
        <v>33</v>
      </c>
      <c r="E1696" t="s">
        <v>40</v>
      </c>
      <c r="F1696" s="1">
        <v>77.91</v>
      </c>
      <c r="G1696" t="s">
        <v>19</v>
      </c>
      <c r="H1696" t="s">
        <v>15</v>
      </c>
      <c r="I1696" s="2">
        <v>3.9</v>
      </c>
      <c r="J1696" s="4">
        <v>17</v>
      </c>
      <c r="K1696" s="3">
        <v>6</v>
      </c>
      <c r="L1696" s="1">
        <f t="shared" si="78"/>
        <v>64.665299999999988</v>
      </c>
      <c r="M1696" t="str" cm="1">
        <f t="array" ref="M1696">_xlfn.IFS(B1696&lt;18,"Under 18",B1696 &lt;=25,"18-25",B1696&lt;=35,"26-35",B1696&lt;=45,"36-45",B1696&lt;=60,"46-60",TRUE,"60+")</f>
        <v>46-60</v>
      </c>
      <c r="N1696" t="str">
        <f t="shared" si="79"/>
        <v>Discounted</v>
      </c>
      <c r="O1696" t="str">
        <f t="shared" si="80"/>
        <v>Returning</v>
      </c>
    </row>
    <row r="1697" spans="1:15" x14ac:dyDescent="0.25">
      <c r="A1697">
        <v>1696</v>
      </c>
      <c r="B1697">
        <v>58</v>
      </c>
      <c r="C1697" t="s">
        <v>16</v>
      </c>
      <c r="D1697" t="s">
        <v>20</v>
      </c>
      <c r="E1697" t="s">
        <v>36</v>
      </c>
      <c r="F1697" s="1">
        <v>65.28</v>
      </c>
      <c r="G1697" t="s">
        <v>24</v>
      </c>
      <c r="H1697" t="s">
        <v>15</v>
      </c>
      <c r="I1697" s="2">
        <v>4.5999999999999996</v>
      </c>
      <c r="J1697" s="4">
        <v>12</v>
      </c>
      <c r="K1697" s="3">
        <v>6</v>
      </c>
      <c r="L1697" s="1">
        <f t="shared" si="78"/>
        <v>57.446400000000004</v>
      </c>
      <c r="M1697" t="str" cm="1">
        <f t="array" ref="M1697">_xlfn.IFS(B1697&lt;18,"Under 18",B1697 &lt;=25,"18-25",B1697&lt;=35,"26-35",B1697&lt;=45,"36-45",B1697&lt;=60,"46-60",TRUE,"60+")</f>
        <v>46-60</v>
      </c>
      <c r="N1697" t="str">
        <f t="shared" si="79"/>
        <v>Discounted</v>
      </c>
      <c r="O1697" t="str">
        <f t="shared" si="80"/>
        <v>Returning</v>
      </c>
    </row>
    <row r="1698" spans="1:15" x14ac:dyDescent="0.25">
      <c r="A1698">
        <v>1697</v>
      </c>
      <c r="B1698">
        <v>47</v>
      </c>
      <c r="C1698" t="s">
        <v>11</v>
      </c>
      <c r="D1698" t="s">
        <v>33</v>
      </c>
      <c r="E1698" t="s">
        <v>38</v>
      </c>
      <c r="F1698" s="1">
        <v>132.81</v>
      </c>
      <c r="G1698" t="s">
        <v>19</v>
      </c>
      <c r="H1698" t="s">
        <v>15</v>
      </c>
      <c r="I1698" s="2">
        <v>4.0999999999999996</v>
      </c>
      <c r="J1698" s="4">
        <v>6</v>
      </c>
      <c r="K1698" s="3">
        <v>3</v>
      </c>
      <c r="L1698" s="1">
        <f t="shared" si="78"/>
        <v>124.84139999999999</v>
      </c>
      <c r="M1698" t="str" cm="1">
        <f t="array" ref="M1698">_xlfn.IFS(B1698&lt;18,"Under 18",B1698 &lt;=25,"18-25",B1698&lt;=35,"26-35",B1698&lt;=45,"36-45",B1698&lt;=60,"46-60",TRUE,"60+")</f>
        <v>46-60</v>
      </c>
      <c r="N1698" t="str">
        <f t="shared" si="79"/>
        <v>Discounted</v>
      </c>
      <c r="O1698" t="str">
        <f t="shared" si="80"/>
        <v>Returning</v>
      </c>
    </row>
    <row r="1699" spans="1:15" x14ac:dyDescent="0.25">
      <c r="A1699">
        <v>1698</v>
      </c>
      <c r="B1699">
        <v>33</v>
      </c>
      <c r="C1699" t="s">
        <v>16</v>
      </c>
      <c r="D1699" t="s">
        <v>27</v>
      </c>
      <c r="E1699" t="s">
        <v>32</v>
      </c>
      <c r="F1699" s="1">
        <v>2290.9699999999998</v>
      </c>
      <c r="G1699" t="s">
        <v>31</v>
      </c>
      <c r="H1699" t="s">
        <v>15</v>
      </c>
      <c r="I1699" s="2">
        <v>4.2</v>
      </c>
      <c r="J1699" s="4">
        <v>12</v>
      </c>
      <c r="K1699" s="3">
        <v>1</v>
      </c>
      <c r="L1699" s="1">
        <f t="shared" si="78"/>
        <v>2016.0535999999997</v>
      </c>
      <c r="M1699" t="str" cm="1">
        <f t="array" ref="M1699">_xlfn.IFS(B1699&lt;18,"Under 18",B1699 &lt;=25,"18-25",B1699&lt;=35,"26-35",B1699&lt;=45,"36-45",B1699&lt;=60,"46-60",TRUE,"60+")</f>
        <v>26-35</v>
      </c>
      <c r="N1699" t="str">
        <f t="shared" si="79"/>
        <v>Discounted</v>
      </c>
      <c r="O1699" t="str">
        <f t="shared" si="80"/>
        <v>Returning</v>
      </c>
    </row>
    <row r="1700" spans="1:15" x14ac:dyDescent="0.25">
      <c r="A1700">
        <v>1699</v>
      </c>
      <c r="B1700">
        <v>34</v>
      </c>
      <c r="C1700" t="s">
        <v>11</v>
      </c>
      <c r="D1700" t="s">
        <v>29</v>
      </c>
      <c r="E1700" t="s">
        <v>55</v>
      </c>
      <c r="F1700" s="1">
        <v>31.61</v>
      </c>
      <c r="G1700" t="s">
        <v>14</v>
      </c>
      <c r="H1700" t="s">
        <v>15</v>
      </c>
      <c r="I1700" s="2">
        <v>5</v>
      </c>
      <c r="J1700" s="4">
        <v>19</v>
      </c>
      <c r="K1700" s="3">
        <v>7</v>
      </c>
      <c r="L1700" s="1">
        <f t="shared" si="78"/>
        <v>25.604100000000003</v>
      </c>
      <c r="M1700" t="str" cm="1">
        <f t="array" ref="M1700">_xlfn.IFS(B1700&lt;18,"Under 18",B1700 &lt;=25,"18-25",B1700&lt;=35,"26-35",B1700&lt;=45,"36-45",B1700&lt;=60,"46-60",TRUE,"60+")</f>
        <v>26-35</v>
      </c>
      <c r="N1700" t="str">
        <f t="shared" si="79"/>
        <v>Discounted</v>
      </c>
      <c r="O1700" t="str">
        <f t="shared" si="80"/>
        <v>Returning</v>
      </c>
    </row>
    <row r="1701" spans="1:15" x14ac:dyDescent="0.25">
      <c r="A1701">
        <v>1700</v>
      </c>
      <c r="B1701">
        <v>43</v>
      </c>
      <c r="C1701" t="s">
        <v>16</v>
      </c>
      <c r="D1701" t="s">
        <v>17</v>
      </c>
      <c r="E1701" t="s">
        <v>18</v>
      </c>
      <c r="F1701" s="1">
        <v>184.32</v>
      </c>
      <c r="G1701" t="s">
        <v>19</v>
      </c>
      <c r="H1701" t="s">
        <v>15</v>
      </c>
      <c r="I1701" s="2">
        <v>4.5999999999999996</v>
      </c>
      <c r="J1701" s="4">
        <v>22</v>
      </c>
      <c r="K1701" s="3">
        <v>6</v>
      </c>
      <c r="L1701" s="1">
        <f t="shared" si="78"/>
        <v>143.7696</v>
      </c>
      <c r="M1701" t="str" cm="1">
        <f t="array" ref="M1701">_xlfn.IFS(B1701&lt;18,"Under 18",B1701 &lt;=25,"18-25",B1701&lt;=35,"26-35",B1701&lt;=45,"36-45",B1701&lt;=60,"46-60",TRUE,"60+")</f>
        <v>36-45</v>
      </c>
      <c r="N1701" t="str">
        <f t="shared" si="79"/>
        <v>Discounted</v>
      </c>
      <c r="O1701" t="str">
        <f t="shared" si="80"/>
        <v>Returning</v>
      </c>
    </row>
    <row r="1702" spans="1:15" x14ac:dyDescent="0.25">
      <c r="A1702">
        <v>1701</v>
      </c>
      <c r="B1702">
        <v>58</v>
      </c>
      <c r="C1702" t="s">
        <v>16</v>
      </c>
      <c r="D1702" t="s">
        <v>33</v>
      </c>
      <c r="E1702" t="s">
        <v>34</v>
      </c>
      <c r="F1702" s="1">
        <v>135.47</v>
      </c>
      <c r="G1702" t="s">
        <v>19</v>
      </c>
      <c r="H1702" t="s">
        <v>15</v>
      </c>
      <c r="I1702" s="2">
        <v>4.9000000000000004</v>
      </c>
      <c r="J1702" s="4">
        <v>30</v>
      </c>
      <c r="K1702" s="3">
        <v>10</v>
      </c>
      <c r="L1702" s="1">
        <f t="shared" si="78"/>
        <v>94.828999999999994</v>
      </c>
      <c r="M1702" t="str" cm="1">
        <f t="array" ref="M1702">_xlfn.IFS(B1702&lt;18,"Under 18",B1702 &lt;=25,"18-25",B1702&lt;=35,"26-35",B1702&lt;=45,"36-45",B1702&lt;=60,"46-60",TRUE,"60+")</f>
        <v>46-60</v>
      </c>
      <c r="N1702" t="str">
        <f t="shared" si="79"/>
        <v>Discounted</v>
      </c>
      <c r="O1702" t="str">
        <f t="shared" si="80"/>
        <v>Returning</v>
      </c>
    </row>
    <row r="1703" spans="1:15" x14ac:dyDescent="0.25">
      <c r="A1703">
        <v>1702</v>
      </c>
      <c r="B1703">
        <v>58</v>
      </c>
      <c r="C1703" t="s">
        <v>11</v>
      </c>
      <c r="D1703" t="s">
        <v>33</v>
      </c>
      <c r="E1703" t="s">
        <v>40</v>
      </c>
      <c r="F1703" s="1">
        <v>101.31</v>
      </c>
      <c r="G1703" t="s">
        <v>14</v>
      </c>
      <c r="H1703" t="s">
        <v>15</v>
      </c>
      <c r="I1703" s="2">
        <v>3.9</v>
      </c>
      <c r="J1703" s="4">
        <v>26</v>
      </c>
      <c r="K1703" s="3">
        <v>8</v>
      </c>
      <c r="L1703" s="1">
        <f t="shared" si="78"/>
        <v>74.969400000000007</v>
      </c>
      <c r="M1703" t="str" cm="1">
        <f t="array" ref="M1703">_xlfn.IFS(B1703&lt;18,"Under 18",B1703 &lt;=25,"18-25",B1703&lt;=35,"26-35",B1703&lt;=45,"36-45",B1703&lt;=60,"46-60",TRUE,"60+")</f>
        <v>46-60</v>
      </c>
      <c r="N1703" t="str">
        <f t="shared" si="79"/>
        <v>Discounted</v>
      </c>
      <c r="O1703" t="str">
        <f t="shared" si="80"/>
        <v>Returning</v>
      </c>
    </row>
    <row r="1704" spans="1:15" x14ac:dyDescent="0.25">
      <c r="A1704">
        <v>1703</v>
      </c>
      <c r="B1704">
        <v>41</v>
      </c>
      <c r="C1704" t="s">
        <v>11</v>
      </c>
      <c r="D1704" t="s">
        <v>41</v>
      </c>
      <c r="E1704" t="s">
        <v>46</v>
      </c>
      <c r="F1704" s="1">
        <v>162.41</v>
      </c>
      <c r="G1704" t="s">
        <v>24</v>
      </c>
      <c r="H1704" t="s">
        <v>15</v>
      </c>
      <c r="I1704" s="2">
        <v>4</v>
      </c>
      <c r="J1704" s="4">
        <v>4</v>
      </c>
      <c r="K1704" s="3">
        <v>2</v>
      </c>
      <c r="L1704" s="1">
        <f t="shared" si="78"/>
        <v>155.9136</v>
      </c>
      <c r="M1704" t="str" cm="1">
        <f t="array" ref="M1704">_xlfn.IFS(B1704&lt;18,"Under 18",B1704 &lt;=25,"18-25",B1704&lt;=35,"26-35",B1704&lt;=45,"36-45",B1704&lt;=60,"46-60",TRUE,"60+")</f>
        <v>36-45</v>
      </c>
      <c r="N1704" t="str">
        <f t="shared" si="79"/>
        <v>Discounted</v>
      </c>
      <c r="O1704" t="str">
        <f t="shared" si="80"/>
        <v>Returning</v>
      </c>
    </row>
    <row r="1705" spans="1:15" x14ac:dyDescent="0.25">
      <c r="A1705">
        <v>1704</v>
      </c>
      <c r="B1705">
        <v>70</v>
      </c>
      <c r="C1705" t="s">
        <v>11</v>
      </c>
      <c r="D1705" t="s">
        <v>33</v>
      </c>
      <c r="E1705" t="s">
        <v>40</v>
      </c>
      <c r="F1705" s="1">
        <v>207.96</v>
      </c>
      <c r="G1705" t="s">
        <v>19</v>
      </c>
      <c r="H1705" t="s">
        <v>15</v>
      </c>
      <c r="I1705" s="2">
        <v>4.0999999999999996</v>
      </c>
      <c r="J1705" s="4">
        <v>13</v>
      </c>
      <c r="K1705" s="3">
        <v>4</v>
      </c>
      <c r="L1705" s="1">
        <f t="shared" si="78"/>
        <v>180.92520000000002</v>
      </c>
      <c r="M1705" t="str" cm="1">
        <f t="array" ref="M1705">_xlfn.IFS(B1705&lt;18,"Under 18",B1705 &lt;=25,"18-25",B1705&lt;=35,"26-35",B1705&lt;=45,"36-45",B1705&lt;=60,"46-60",TRUE,"60+")</f>
        <v>60+</v>
      </c>
      <c r="N1705" t="str">
        <f t="shared" si="79"/>
        <v>Discounted</v>
      </c>
      <c r="O1705" t="str">
        <f t="shared" si="80"/>
        <v>Returning</v>
      </c>
    </row>
    <row r="1706" spans="1:15" x14ac:dyDescent="0.25">
      <c r="A1706">
        <v>1705</v>
      </c>
      <c r="B1706">
        <v>35</v>
      </c>
      <c r="C1706" t="s">
        <v>11</v>
      </c>
      <c r="D1706" t="s">
        <v>12</v>
      </c>
      <c r="E1706" t="s">
        <v>50</v>
      </c>
      <c r="F1706" s="1">
        <v>63.49</v>
      </c>
      <c r="G1706" t="s">
        <v>24</v>
      </c>
      <c r="H1706" t="s">
        <v>15</v>
      </c>
      <c r="I1706" s="2">
        <v>2.2000000000000002</v>
      </c>
      <c r="J1706" s="4">
        <v>10</v>
      </c>
      <c r="K1706" s="3">
        <v>5</v>
      </c>
      <c r="L1706" s="1">
        <f t="shared" si="78"/>
        <v>57.141000000000005</v>
      </c>
      <c r="M1706" t="str" cm="1">
        <f t="array" ref="M1706">_xlfn.IFS(B1706&lt;18,"Under 18",B1706 &lt;=25,"18-25",B1706&lt;=35,"26-35",B1706&lt;=45,"36-45",B1706&lt;=60,"46-60",TRUE,"60+")</f>
        <v>26-35</v>
      </c>
      <c r="N1706" t="str">
        <f t="shared" si="79"/>
        <v>Discounted</v>
      </c>
      <c r="O1706" t="str">
        <f t="shared" si="80"/>
        <v>Returning</v>
      </c>
    </row>
    <row r="1707" spans="1:15" x14ac:dyDescent="0.25">
      <c r="A1707">
        <v>1706</v>
      </c>
      <c r="B1707">
        <v>63</v>
      </c>
      <c r="C1707" t="s">
        <v>11</v>
      </c>
      <c r="D1707" t="s">
        <v>33</v>
      </c>
      <c r="E1707" t="s">
        <v>40</v>
      </c>
      <c r="F1707" s="1">
        <v>139.55000000000001</v>
      </c>
      <c r="G1707" t="s">
        <v>19</v>
      </c>
      <c r="H1707" t="s">
        <v>15</v>
      </c>
      <c r="I1707" s="2">
        <v>4.3</v>
      </c>
      <c r="J1707" s="4">
        <v>12</v>
      </c>
      <c r="K1707" s="3">
        <v>6</v>
      </c>
      <c r="L1707" s="1">
        <f t="shared" si="78"/>
        <v>122.80400000000002</v>
      </c>
      <c r="M1707" t="str" cm="1">
        <f t="array" ref="M1707">_xlfn.IFS(B1707&lt;18,"Under 18",B1707 &lt;=25,"18-25",B1707&lt;=35,"26-35",B1707&lt;=45,"36-45",B1707&lt;=60,"46-60",TRUE,"60+")</f>
        <v>60+</v>
      </c>
      <c r="N1707" t="str">
        <f t="shared" si="79"/>
        <v>Discounted</v>
      </c>
      <c r="O1707" t="str">
        <f t="shared" si="80"/>
        <v>Returning</v>
      </c>
    </row>
    <row r="1708" spans="1:15" x14ac:dyDescent="0.25">
      <c r="A1708">
        <v>1707</v>
      </c>
      <c r="B1708">
        <v>38</v>
      </c>
      <c r="C1708" t="s">
        <v>16</v>
      </c>
      <c r="D1708" t="s">
        <v>27</v>
      </c>
      <c r="E1708" t="s">
        <v>49</v>
      </c>
      <c r="F1708" s="1">
        <v>2428.09</v>
      </c>
      <c r="G1708" t="s">
        <v>24</v>
      </c>
      <c r="H1708" t="s">
        <v>15</v>
      </c>
      <c r="I1708" s="2">
        <v>4.4000000000000004</v>
      </c>
      <c r="J1708" s="4">
        <v>22</v>
      </c>
      <c r="K1708" s="3">
        <v>6</v>
      </c>
      <c r="L1708" s="1">
        <f t="shared" si="78"/>
        <v>1893.9102000000003</v>
      </c>
      <c r="M1708" t="str" cm="1">
        <f t="array" ref="M1708">_xlfn.IFS(B1708&lt;18,"Under 18",B1708 &lt;=25,"18-25",B1708&lt;=35,"26-35",B1708&lt;=45,"36-45",B1708&lt;=60,"46-60",TRUE,"60+")</f>
        <v>36-45</v>
      </c>
      <c r="N1708" t="str">
        <f t="shared" si="79"/>
        <v>Discounted</v>
      </c>
      <c r="O1708" t="str">
        <f t="shared" si="80"/>
        <v>Returning</v>
      </c>
    </row>
    <row r="1709" spans="1:15" x14ac:dyDescent="0.25">
      <c r="A1709">
        <v>1708</v>
      </c>
      <c r="B1709">
        <v>44</v>
      </c>
      <c r="C1709" t="s">
        <v>11</v>
      </c>
      <c r="D1709" t="s">
        <v>29</v>
      </c>
      <c r="E1709" t="s">
        <v>55</v>
      </c>
      <c r="F1709" s="1">
        <v>96.31</v>
      </c>
      <c r="G1709" t="s">
        <v>24</v>
      </c>
      <c r="H1709" t="s">
        <v>15</v>
      </c>
      <c r="I1709" s="2">
        <v>3.3</v>
      </c>
      <c r="J1709" s="4">
        <v>20</v>
      </c>
      <c r="K1709" s="3">
        <v>5</v>
      </c>
      <c r="L1709" s="1">
        <f t="shared" si="78"/>
        <v>77.048000000000002</v>
      </c>
      <c r="M1709" t="str" cm="1">
        <f t="array" ref="M1709">_xlfn.IFS(B1709&lt;18,"Under 18",B1709 &lt;=25,"18-25",B1709&lt;=35,"26-35",B1709&lt;=45,"36-45",B1709&lt;=60,"46-60",TRUE,"60+")</f>
        <v>36-45</v>
      </c>
      <c r="N1709" t="str">
        <f t="shared" si="79"/>
        <v>Discounted</v>
      </c>
      <c r="O1709" t="str">
        <f t="shared" si="80"/>
        <v>Returning</v>
      </c>
    </row>
    <row r="1710" spans="1:15" x14ac:dyDescent="0.25">
      <c r="A1710">
        <v>1709</v>
      </c>
      <c r="B1710">
        <v>67</v>
      </c>
      <c r="C1710" t="s">
        <v>11</v>
      </c>
      <c r="D1710" t="s">
        <v>33</v>
      </c>
      <c r="E1710" t="s">
        <v>34</v>
      </c>
      <c r="F1710" s="1">
        <v>161.62</v>
      </c>
      <c r="G1710" t="s">
        <v>14</v>
      </c>
      <c r="H1710" t="s">
        <v>15</v>
      </c>
      <c r="I1710" s="2">
        <v>3.6</v>
      </c>
      <c r="J1710" s="4">
        <v>18</v>
      </c>
      <c r="K1710" s="3">
        <v>4</v>
      </c>
      <c r="L1710" s="1">
        <f t="shared" si="78"/>
        <v>132.5284</v>
      </c>
      <c r="M1710" t="str" cm="1">
        <f t="array" ref="M1710">_xlfn.IFS(B1710&lt;18,"Under 18",B1710 &lt;=25,"18-25",B1710&lt;=35,"26-35",B1710&lt;=45,"36-45",B1710&lt;=60,"46-60",TRUE,"60+")</f>
        <v>60+</v>
      </c>
      <c r="N1710" t="str">
        <f t="shared" si="79"/>
        <v>Discounted</v>
      </c>
      <c r="O1710" t="str">
        <f t="shared" si="80"/>
        <v>Returning</v>
      </c>
    </row>
    <row r="1711" spans="1:15" x14ac:dyDescent="0.25">
      <c r="A1711">
        <v>1710</v>
      </c>
      <c r="B1711">
        <v>55</v>
      </c>
      <c r="C1711" t="s">
        <v>16</v>
      </c>
      <c r="D1711" t="s">
        <v>17</v>
      </c>
      <c r="E1711" t="s">
        <v>35</v>
      </c>
      <c r="F1711" s="1">
        <v>71.430000000000007</v>
      </c>
      <c r="G1711" t="s">
        <v>31</v>
      </c>
      <c r="H1711" t="s">
        <v>37</v>
      </c>
      <c r="I1711" s="2">
        <v>4.7</v>
      </c>
      <c r="J1711" s="4">
        <v>26</v>
      </c>
      <c r="K1711" s="3">
        <v>8</v>
      </c>
      <c r="L1711" s="1">
        <f t="shared" si="78"/>
        <v>52.858200000000004</v>
      </c>
      <c r="M1711" t="str" cm="1">
        <f t="array" ref="M1711">_xlfn.IFS(B1711&lt;18,"Under 18",B1711 &lt;=25,"18-25",B1711&lt;=35,"26-35",B1711&lt;=45,"36-45",B1711&lt;=60,"46-60",TRUE,"60+")</f>
        <v>46-60</v>
      </c>
      <c r="N1711" t="str">
        <f t="shared" si="79"/>
        <v>Discounted</v>
      </c>
      <c r="O1711" t="str">
        <f t="shared" si="80"/>
        <v>Returning</v>
      </c>
    </row>
    <row r="1712" spans="1:15" x14ac:dyDescent="0.25">
      <c r="A1712">
        <v>1711</v>
      </c>
      <c r="B1712">
        <v>29</v>
      </c>
      <c r="C1712" t="s">
        <v>16</v>
      </c>
      <c r="D1712" t="s">
        <v>33</v>
      </c>
      <c r="E1712" t="s">
        <v>40</v>
      </c>
      <c r="F1712" s="1">
        <v>208.05</v>
      </c>
      <c r="G1712" t="s">
        <v>14</v>
      </c>
      <c r="H1712" t="s">
        <v>15</v>
      </c>
      <c r="I1712" s="2">
        <v>3.3</v>
      </c>
      <c r="J1712" s="4">
        <v>13</v>
      </c>
      <c r="K1712" s="3">
        <v>4</v>
      </c>
      <c r="L1712" s="1">
        <f t="shared" si="78"/>
        <v>181.0035</v>
      </c>
      <c r="M1712" t="str" cm="1">
        <f t="array" ref="M1712">_xlfn.IFS(B1712&lt;18,"Under 18",B1712 &lt;=25,"18-25",B1712&lt;=35,"26-35",B1712&lt;=45,"36-45",B1712&lt;=60,"46-60",TRUE,"60+")</f>
        <v>26-35</v>
      </c>
      <c r="N1712" t="str">
        <f t="shared" si="79"/>
        <v>Discounted</v>
      </c>
      <c r="O1712" t="str">
        <f t="shared" si="80"/>
        <v>Returning</v>
      </c>
    </row>
    <row r="1713" spans="1:15" x14ac:dyDescent="0.25">
      <c r="A1713">
        <v>1712</v>
      </c>
      <c r="B1713">
        <v>43</v>
      </c>
      <c r="C1713" t="s">
        <v>16</v>
      </c>
      <c r="D1713" t="s">
        <v>17</v>
      </c>
      <c r="E1713" t="s">
        <v>35</v>
      </c>
      <c r="F1713" s="1">
        <v>133.51</v>
      </c>
      <c r="G1713" t="s">
        <v>19</v>
      </c>
      <c r="H1713" t="s">
        <v>15</v>
      </c>
      <c r="I1713" s="2">
        <v>3.6</v>
      </c>
      <c r="J1713" s="4">
        <v>12</v>
      </c>
      <c r="K1713" s="3">
        <v>6</v>
      </c>
      <c r="L1713" s="1">
        <f t="shared" si="78"/>
        <v>117.4888</v>
      </c>
      <c r="M1713" t="str" cm="1">
        <f t="array" ref="M1713">_xlfn.IFS(B1713&lt;18,"Under 18",B1713 &lt;=25,"18-25",B1713&lt;=35,"26-35",B1713&lt;=45,"36-45",B1713&lt;=60,"46-60",TRUE,"60+")</f>
        <v>36-45</v>
      </c>
      <c r="N1713" t="str">
        <f t="shared" si="79"/>
        <v>Discounted</v>
      </c>
      <c r="O1713" t="str">
        <f t="shared" si="80"/>
        <v>Returning</v>
      </c>
    </row>
    <row r="1714" spans="1:15" x14ac:dyDescent="0.25">
      <c r="A1714">
        <v>1713</v>
      </c>
      <c r="B1714">
        <v>68</v>
      </c>
      <c r="C1714" t="s">
        <v>11</v>
      </c>
      <c r="D1714" t="s">
        <v>41</v>
      </c>
      <c r="E1714" t="s">
        <v>46</v>
      </c>
      <c r="F1714" s="1">
        <v>64.66</v>
      </c>
      <c r="G1714" t="s">
        <v>24</v>
      </c>
      <c r="H1714" t="s">
        <v>37</v>
      </c>
      <c r="I1714" s="2">
        <v>3.6</v>
      </c>
      <c r="J1714" s="4">
        <v>4</v>
      </c>
      <c r="K1714" s="3">
        <v>2</v>
      </c>
      <c r="L1714" s="1">
        <f t="shared" si="78"/>
        <v>62.073599999999992</v>
      </c>
      <c r="M1714" t="str" cm="1">
        <f t="array" ref="M1714">_xlfn.IFS(B1714&lt;18,"Under 18",B1714 &lt;=25,"18-25",B1714&lt;=35,"26-35",B1714&lt;=45,"36-45",B1714&lt;=60,"46-60",TRUE,"60+")</f>
        <v>60+</v>
      </c>
      <c r="N1714" t="str">
        <f t="shared" si="79"/>
        <v>Discounted</v>
      </c>
      <c r="O1714" t="str">
        <f t="shared" si="80"/>
        <v>Returning</v>
      </c>
    </row>
    <row r="1715" spans="1:15" x14ac:dyDescent="0.25">
      <c r="A1715">
        <v>1714</v>
      </c>
      <c r="B1715">
        <v>42</v>
      </c>
      <c r="C1715" t="s">
        <v>11</v>
      </c>
      <c r="D1715" t="s">
        <v>25</v>
      </c>
      <c r="E1715" t="s">
        <v>54</v>
      </c>
      <c r="F1715" s="1">
        <v>33.18</v>
      </c>
      <c r="G1715" t="s">
        <v>14</v>
      </c>
      <c r="H1715" t="s">
        <v>37</v>
      </c>
      <c r="I1715" s="2">
        <v>4.2</v>
      </c>
      <c r="J1715" s="4">
        <v>16</v>
      </c>
      <c r="K1715" s="3">
        <v>3</v>
      </c>
      <c r="L1715" s="1">
        <f t="shared" si="78"/>
        <v>27.871199999999998</v>
      </c>
      <c r="M1715" t="str" cm="1">
        <f t="array" ref="M1715">_xlfn.IFS(B1715&lt;18,"Under 18",B1715 &lt;=25,"18-25",B1715&lt;=35,"26-35",B1715&lt;=45,"36-45",B1715&lt;=60,"46-60",TRUE,"60+")</f>
        <v>36-45</v>
      </c>
      <c r="N1715" t="str">
        <f t="shared" si="79"/>
        <v>Discounted</v>
      </c>
      <c r="O1715" t="str">
        <f t="shared" si="80"/>
        <v>Returning</v>
      </c>
    </row>
    <row r="1716" spans="1:15" x14ac:dyDescent="0.25">
      <c r="A1716">
        <v>1715</v>
      </c>
      <c r="B1716">
        <v>66</v>
      </c>
      <c r="C1716" t="s">
        <v>16</v>
      </c>
      <c r="D1716" t="s">
        <v>20</v>
      </c>
      <c r="E1716" t="s">
        <v>36</v>
      </c>
      <c r="F1716" s="1">
        <v>53.42</v>
      </c>
      <c r="G1716" t="s">
        <v>24</v>
      </c>
      <c r="H1716" t="s">
        <v>15</v>
      </c>
      <c r="I1716" s="2">
        <v>5</v>
      </c>
      <c r="J1716" s="4">
        <v>13</v>
      </c>
      <c r="K1716" s="3">
        <v>4</v>
      </c>
      <c r="L1716" s="1">
        <f t="shared" si="78"/>
        <v>46.4754</v>
      </c>
      <c r="M1716" t="str" cm="1">
        <f t="array" ref="M1716">_xlfn.IFS(B1716&lt;18,"Under 18",B1716 &lt;=25,"18-25",B1716&lt;=35,"26-35",B1716&lt;=45,"36-45",B1716&lt;=60,"46-60",TRUE,"60+")</f>
        <v>60+</v>
      </c>
      <c r="N1716" t="str">
        <f t="shared" si="79"/>
        <v>Discounted</v>
      </c>
      <c r="O1716" t="str">
        <f t="shared" si="80"/>
        <v>Returning</v>
      </c>
    </row>
    <row r="1717" spans="1:15" x14ac:dyDescent="0.25">
      <c r="A1717">
        <v>1716</v>
      </c>
      <c r="B1717">
        <v>40</v>
      </c>
      <c r="C1717" t="s">
        <v>16</v>
      </c>
      <c r="D1717" t="s">
        <v>25</v>
      </c>
      <c r="E1717" t="s">
        <v>57</v>
      </c>
      <c r="F1717" s="1">
        <v>34.409999999999997</v>
      </c>
      <c r="G1717" t="s">
        <v>19</v>
      </c>
      <c r="H1717" t="s">
        <v>15</v>
      </c>
      <c r="I1717" s="2">
        <v>3.3</v>
      </c>
      <c r="J1717" s="4">
        <v>17</v>
      </c>
      <c r="K1717" s="3">
        <v>6</v>
      </c>
      <c r="L1717" s="1">
        <f t="shared" si="78"/>
        <v>28.560299999999994</v>
      </c>
      <c r="M1717" t="str" cm="1">
        <f t="array" ref="M1717">_xlfn.IFS(B1717&lt;18,"Under 18",B1717 &lt;=25,"18-25",B1717&lt;=35,"26-35",B1717&lt;=45,"36-45",B1717&lt;=60,"46-60",TRUE,"60+")</f>
        <v>36-45</v>
      </c>
      <c r="N1717" t="str">
        <f t="shared" si="79"/>
        <v>Discounted</v>
      </c>
      <c r="O1717" t="str">
        <f t="shared" si="80"/>
        <v>Returning</v>
      </c>
    </row>
    <row r="1718" spans="1:15" x14ac:dyDescent="0.25">
      <c r="A1718">
        <v>1717</v>
      </c>
      <c r="B1718">
        <v>46</v>
      </c>
      <c r="C1718" t="s">
        <v>16</v>
      </c>
      <c r="D1718" t="s">
        <v>27</v>
      </c>
      <c r="E1718" t="s">
        <v>49</v>
      </c>
      <c r="F1718" s="1">
        <v>887.32</v>
      </c>
      <c r="G1718" t="s">
        <v>14</v>
      </c>
      <c r="H1718" t="s">
        <v>15</v>
      </c>
      <c r="I1718" s="2">
        <v>3.8</v>
      </c>
      <c r="J1718" s="4">
        <v>18</v>
      </c>
      <c r="K1718" s="3">
        <v>4</v>
      </c>
      <c r="L1718" s="1">
        <f t="shared" si="78"/>
        <v>727.6024000000001</v>
      </c>
      <c r="M1718" t="str" cm="1">
        <f t="array" ref="M1718">_xlfn.IFS(B1718&lt;18,"Under 18",B1718 &lt;=25,"18-25",B1718&lt;=35,"26-35",B1718&lt;=45,"36-45",B1718&lt;=60,"46-60",TRUE,"60+")</f>
        <v>46-60</v>
      </c>
      <c r="N1718" t="str">
        <f t="shared" si="79"/>
        <v>Discounted</v>
      </c>
      <c r="O1718" t="str">
        <f t="shared" si="80"/>
        <v>Returning</v>
      </c>
    </row>
    <row r="1719" spans="1:15" x14ac:dyDescent="0.25">
      <c r="A1719">
        <v>1718</v>
      </c>
      <c r="B1719">
        <v>40</v>
      </c>
      <c r="C1719" t="s">
        <v>16</v>
      </c>
      <c r="D1719" t="s">
        <v>20</v>
      </c>
      <c r="E1719" t="s">
        <v>21</v>
      </c>
      <c r="F1719" s="1">
        <v>225.57</v>
      </c>
      <c r="G1719" t="s">
        <v>24</v>
      </c>
      <c r="H1719" t="s">
        <v>15</v>
      </c>
      <c r="I1719" s="2">
        <v>5</v>
      </c>
      <c r="J1719" s="4">
        <v>17</v>
      </c>
      <c r="K1719" s="3">
        <v>6</v>
      </c>
      <c r="L1719" s="1">
        <f t="shared" si="78"/>
        <v>187.22309999999999</v>
      </c>
      <c r="M1719" t="str" cm="1">
        <f t="array" ref="M1719">_xlfn.IFS(B1719&lt;18,"Under 18",B1719 &lt;=25,"18-25",B1719&lt;=35,"26-35",B1719&lt;=45,"36-45",B1719&lt;=60,"46-60",TRUE,"60+")</f>
        <v>36-45</v>
      </c>
      <c r="N1719" t="str">
        <f t="shared" si="79"/>
        <v>Discounted</v>
      </c>
      <c r="O1719" t="str">
        <f t="shared" si="80"/>
        <v>Returning</v>
      </c>
    </row>
    <row r="1720" spans="1:15" x14ac:dyDescent="0.25">
      <c r="A1720">
        <v>1719</v>
      </c>
      <c r="B1720">
        <v>63</v>
      </c>
      <c r="C1720" t="s">
        <v>16</v>
      </c>
      <c r="D1720" t="s">
        <v>25</v>
      </c>
      <c r="E1720" t="s">
        <v>26</v>
      </c>
      <c r="F1720" s="1">
        <v>24.77</v>
      </c>
      <c r="G1720" t="s">
        <v>24</v>
      </c>
      <c r="H1720" t="s">
        <v>37</v>
      </c>
      <c r="I1720" s="2">
        <v>4</v>
      </c>
      <c r="J1720" s="4">
        <v>13</v>
      </c>
      <c r="K1720" s="3">
        <v>4</v>
      </c>
      <c r="L1720" s="1">
        <f t="shared" si="78"/>
        <v>21.549900000000001</v>
      </c>
      <c r="M1720" t="str" cm="1">
        <f t="array" ref="M1720">_xlfn.IFS(B1720&lt;18,"Under 18",B1720 &lt;=25,"18-25",B1720&lt;=35,"26-35",B1720&lt;=45,"36-45",B1720&lt;=60,"46-60",TRUE,"60+")</f>
        <v>60+</v>
      </c>
      <c r="N1720" t="str">
        <f t="shared" si="79"/>
        <v>Discounted</v>
      </c>
      <c r="O1720" t="str">
        <f t="shared" si="80"/>
        <v>Returning</v>
      </c>
    </row>
    <row r="1721" spans="1:15" x14ac:dyDescent="0.25">
      <c r="A1721">
        <v>1720</v>
      </c>
      <c r="B1721">
        <v>43</v>
      </c>
      <c r="C1721" t="s">
        <v>11</v>
      </c>
      <c r="D1721" t="s">
        <v>29</v>
      </c>
      <c r="E1721" t="s">
        <v>51</v>
      </c>
      <c r="F1721" s="1">
        <v>74.94</v>
      </c>
      <c r="G1721" t="s">
        <v>24</v>
      </c>
      <c r="H1721" t="s">
        <v>15</v>
      </c>
      <c r="I1721" s="2">
        <v>4.5</v>
      </c>
      <c r="J1721" s="4">
        <v>14</v>
      </c>
      <c r="K1721" s="3">
        <v>7</v>
      </c>
      <c r="L1721" s="1">
        <f t="shared" si="78"/>
        <v>64.448399999999992</v>
      </c>
      <c r="M1721" t="str" cm="1">
        <f t="array" ref="M1721">_xlfn.IFS(B1721&lt;18,"Under 18",B1721 &lt;=25,"18-25",B1721&lt;=35,"26-35",B1721&lt;=45,"36-45",B1721&lt;=60,"46-60",TRUE,"60+")</f>
        <v>36-45</v>
      </c>
      <c r="N1721" t="str">
        <f t="shared" si="79"/>
        <v>Discounted</v>
      </c>
      <c r="O1721" t="str">
        <f t="shared" si="80"/>
        <v>Returning</v>
      </c>
    </row>
    <row r="1722" spans="1:15" x14ac:dyDescent="0.25">
      <c r="A1722">
        <v>1721</v>
      </c>
      <c r="B1722">
        <v>60</v>
      </c>
      <c r="C1722" t="s">
        <v>11</v>
      </c>
      <c r="D1722" t="s">
        <v>20</v>
      </c>
      <c r="E1722" t="s">
        <v>36</v>
      </c>
      <c r="F1722" s="1">
        <v>154.94999999999999</v>
      </c>
      <c r="G1722" t="s">
        <v>31</v>
      </c>
      <c r="H1722" t="s">
        <v>15</v>
      </c>
      <c r="I1722" s="2">
        <v>2.8</v>
      </c>
      <c r="J1722" s="4">
        <v>15</v>
      </c>
      <c r="K1722" s="3">
        <v>5</v>
      </c>
      <c r="L1722" s="1">
        <f t="shared" si="78"/>
        <v>131.70749999999998</v>
      </c>
      <c r="M1722" t="str" cm="1">
        <f t="array" ref="M1722">_xlfn.IFS(B1722&lt;18,"Under 18",B1722 &lt;=25,"18-25",B1722&lt;=35,"26-35",B1722&lt;=45,"36-45",B1722&lt;=60,"46-60",TRUE,"60+")</f>
        <v>46-60</v>
      </c>
      <c r="N1722" t="str">
        <f t="shared" si="79"/>
        <v>Discounted</v>
      </c>
      <c r="O1722" t="str">
        <f t="shared" si="80"/>
        <v>Returning</v>
      </c>
    </row>
    <row r="1723" spans="1:15" x14ac:dyDescent="0.25">
      <c r="A1723">
        <v>1722</v>
      </c>
      <c r="B1723">
        <v>66</v>
      </c>
      <c r="C1723" t="s">
        <v>11</v>
      </c>
      <c r="D1723" t="s">
        <v>41</v>
      </c>
      <c r="E1723" t="s">
        <v>44</v>
      </c>
      <c r="F1723" s="1">
        <v>182.06</v>
      </c>
      <c r="G1723" t="s">
        <v>19</v>
      </c>
      <c r="H1723" t="s">
        <v>15</v>
      </c>
      <c r="I1723" s="2">
        <v>3.5</v>
      </c>
      <c r="J1723" s="4">
        <v>14</v>
      </c>
      <c r="K1723" s="3">
        <v>7</v>
      </c>
      <c r="L1723" s="1">
        <f t="shared" si="78"/>
        <v>156.57159999999999</v>
      </c>
      <c r="M1723" t="str" cm="1">
        <f t="array" ref="M1723">_xlfn.IFS(B1723&lt;18,"Under 18",B1723 &lt;=25,"18-25",B1723&lt;=35,"26-35",B1723&lt;=45,"36-45",B1723&lt;=60,"46-60",TRUE,"60+")</f>
        <v>60+</v>
      </c>
      <c r="N1723" t="str">
        <f t="shared" si="79"/>
        <v>Discounted</v>
      </c>
      <c r="O1723" t="str">
        <f t="shared" si="80"/>
        <v>Returning</v>
      </c>
    </row>
    <row r="1724" spans="1:15" x14ac:dyDescent="0.25">
      <c r="A1724">
        <v>1723</v>
      </c>
      <c r="B1724">
        <v>28</v>
      </c>
      <c r="C1724" t="s">
        <v>11</v>
      </c>
      <c r="D1724" t="s">
        <v>29</v>
      </c>
      <c r="E1724" t="s">
        <v>30</v>
      </c>
      <c r="F1724" s="1">
        <v>102.87</v>
      </c>
      <c r="G1724" t="s">
        <v>14</v>
      </c>
      <c r="H1724" t="s">
        <v>15</v>
      </c>
      <c r="I1724" s="2">
        <v>3.6</v>
      </c>
      <c r="J1724" s="4">
        <v>22</v>
      </c>
      <c r="K1724" s="3">
        <v>6</v>
      </c>
      <c r="L1724" s="1">
        <f t="shared" si="78"/>
        <v>80.238600000000005</v>
      </c>
      <c r="M1724" t="str" cm="1">
        <f t="array" ref="M1724">_xlfn.IFS(B1724&lt;18,"Under 18",B1724 &lt;=25,"18-25",B1724&lt;=35,"26-35",B1724&lt;=45,"36-45",B1724&lt;=60,"46-60",TRUE,"60+")</f>
        <v>26-35</v>
      </c>
      <c r="N1724" t="str">
        <f t="shared" si="79"/>
        <v>Discounted</v>
      </c>
      <c r="O1724" t="str">
        <f t="shared" si="80"/>
        <v>Returning</v>
      </c>
    </row>
    <row r="1725" spans="1:15" x14ac:dyDescent="0.25">
      <c r="A1725">
        <v>1724</v>
      </c>
      <c r="B1725">
        <v>68</v>
      </c>
      <c r="C1725" t="s">
        <v>11</v>
      </c>
      <c r="D1725" t="s">
        <v>33</v>
      </c>
      <c r="E1725" t="s">
        <v>38</v>
      </c>
      <c r="F1725" s="1">
        <v>246.27</v>
      </c>
      <c r="G1725" t="s">
        <v>24</v>
      </c>
      <c r="H1725" t="s">
        <v>15</v>
      </c>
      <c r="I1725" s="2">
        <v>4.7</v>
      </c>
      <c r="J1725" s="4">
        <v>17</v>
      </c>
      <c r="K1725" s="3">
        <v>6</v>
      </c>
      <c r="L1725" s="1">
        <f t="shared" si="78"/>
        <v>204.4041</v>
      </c>
      <c r="M1725" t="str" cm="1">
        <f t="array" ref="M1725">_xlfn.IFS(B1725&lt;18,"Under 18",B1725 &lt;=25,"18-25",B1725&lt;=35,"26-35",B1725&lt;=45,"36-45",B1725&lt;=60,"46-60",TRUE,"60+")</f>
        <v>60+</v>
      </c>
      <c r="N1725" t="str">
        <f t="shared" si="79"/>
        <v>Discounted</v>
      </c>
      <c r="O1725" t="str">
        <f t="shared" si="80"/>
        <v>Returning</v>
      </c>
    </row>
    <row r="1726" spans="1:15" x14ac:dyDescent="0.25">
      <c r="A1726">
        <v>1725</v>
      </c>
      <c r="B1726">
        <v>48</v>
      </c>
      <c r="C1726" t="s">
        <v>16</v>
      </c>
      <c r="D1726" t="s">
        <v>17</v>
      </c>
      <c r="E1726" t="s">
        <v>18</v>
      </c>
      <c r="F1726" s="1">
        <v>91.82</v>
      </c>
      <c r="G1726" t="s">
        <v>14</v>
      </c>
      <c r="H1726" t="s">
        <v>37</v>
      </c>
      <c r="I1726" s="2">
        <v>4.2</v>
      </c>
      <c r="J1726" s="4">
        <v>21</v>
      </c>
      <c r="K1726" s="3">
        <v>8</v>
      </c>
      <c r="L1726" s="1">
        <f t="shared" si="78"/>
        <v>72.537800000000004</v>
      </c>
      <c r="M1726" t="str" cm="1">
        <f t="array" ref="M1726">_xlfn.IFS(B1726&lt;18,"Under 18",B1726 &lt;=25,"18-25",B1726&lt;=35,"26-35",B1726&lt;=45,"36-45",B1726&lt;=60,"46-60",TRUE,"60+")</f>
        <v>46-60</v>
      </c>
      <c r="N1726" t="str">
        <f t="shared" si="79"/>
        <v>Discounted</v>
      </c>
      <c r="O1726" t="str">
        <f t="shared" si="80"/>
        <v>Returning</v>
      </c>
    </row>
    <row r="1727" spans="1:15" x14ac:dyDescent="0.25">
      <c r="A1727">
        <v>1726</v>
      </c>
      <c r="B1727">
        <v>21</v>
      </c>
      <c r="C1727" t="s">
        <v>11</v>
      </c>
      <c r="D1727" t="s">
        <v>29</v>
      </c>
      <c r="E1727" t="s">
        <v>51</v>
      </c>
      <c r="F1727" s="1">
        <v>34.909999999999997</v>
      </c>
      <c r="G1727" t="s">
        <v>14</v>
      </c>
      <c r="H1727" t="s">
        <v>15</v>
      </c>
      <c r="I1727" s="2">
        <v>4.0999999999999996</v>
      </c>
      <c r="J1727" s="4">
        <v>16</v>
      </c>
      <c r="K1727" s="3">
        <v>3</v>
      </c>
      <c r="L1727" s="1">
        <f t="shared" si="78"/>
        <v>29.324399999999997</v>
      </c>
      <c r="M1727" t="str" cm="1">
        <f t="array" ref="M1727">_xlfn.IFS(B1727&lt;18,"Under 18",B1727 &lt;=25,"18-25",B1727&lt;=35,"26-35",B1727&lt;=45,"36-45",B1727&lt;=60,"46-60",TRUE,"60+")</f>
        <v>18-25</v>
      </c>
      <c r="N1727" t="str">
        <f t="shared" si="79"/>
        <v>Discounted</v>
      </c>
      <c r="O1727" t="str">
        <f t="shared" si="80"/>
        <v>Returning</v>
      </c>
    </row>
    <row r="1728" spans="1:15" x14ac:dyDescent="0.25">
      <c r="A1728">
        <v>1727</v>
      </c>
      <c r="B1728">
        <v>22</v>
      </c>
      <c r="C1728" t="s">
        <v>16</v>
      </c>
      <c r="D1728" t="s">
        <v>27</v>
      </c>
      <c r="E1728" t="s">
        <v>49</v>
      </c>
      <c r="F1728" s="1">
        <v>2921.73</v>
      </c>
      <c r="G1728" t="s">
        <v>19</v>
      </c>
      <c r="H1728" t="s">
        <v>15</v>
      </c>
      <c r="I1728" s="2">
        <v>4.4000000000000004</v>
      </c>
      <c r="J1728" s="4">
        <v>11</v>
      </c>
      <c r="K1728" s="3">
        <v>3</v>
      </c>
      <c r="L1728" s="1">
        <f t="shared" si="78"/>
        <v>2600.3397</v>
      </c>
      <c r="M1728" t="str" cm="1">
        <f t="array" ref="M1728">_xlfn.IFS(B1728&lt;18,"Under 18",B1728 &lt;=25,"18-25",B1728&lt;=35,"26-35",B1728&lt;=45,"36-45",B1728&lt;=60,"46-60",TRUE,"60+")</f>
        <v>18-25</v>
      </c>
      <c r="N1728" t="str">
        <f t="shared" si="79"/>
        <v>Discounted</v>
      </c>
      <c r="O1728" t="str">
        <f t="shared" si="80"/>
        <v>Returning</v>
      </c>
    </row>
    <row r="1729" spans="1:15" x14ac:dyDescent="0.25">
      <c r="A1729">
        <v>1728</v>
      </c>
      <c r="B1729">
        <v>20</v>
      </c>
      <c r="C1729" t="s">
        <v>11</v>
      </c>
      <c r="D1729" t="s">
        <v>12</v>
      </c>
      <c r="E1729" t="s">
        <v>13</v>
      </c>
      <c r="F1729" s="1">
        <v>141.9</v>
      </c>
      <c r="G1729" t="s">
        <v>24</v>
      </c>
      <c r="H1729" t="s">
        <v>15</v>
      </c>
      <c r="I1729" s="2">
        <v>3.4</v>
      </c>
      <c r="J1729" s="4">
        <v>11</v>
      </c>
      <c r="K1729" s="3">
        <v>3</v>
      </c>
      <c r="L1729" s="1">
        <f t="shared" si="78"/>
        <v>126.29100000000001</v>
      </c>
      <c r="M1729" t="str" cm="1">
        <f t="array" ref="M1729">_xlfn.IFS(B1729&lt;18,"Under 18",B1729 &lt;=25,"18-25",B1729&lt;=35,"26-35",B1729&lt;=45,"36-45",B1729&lt;=60,"46-60",TRUE,"60+")</f>
        <v>18-25</v>
      </c>
      <c r="N1729" t="str">
        <f t="shared" si="79"/>
        <v>Discounted</v>
      </c>
      <c r="O1729" t="str">
        <f t="shared" si="80"/>
        <v>Returning</v>
      </c>
    </row>
    <row r="1730" spans="1:15" x14ac:dyDescent="0.25">
      <c r="A1730">
        <v>1729</v>
      </c>
      <c r="B1730">
        <v>64</v>
      </c>
      <c r="C1730" t="s">
        <v>11</v>
      </c>
      <c r="D1730" t="s">
        <v>12</v>
      </c>
      <c r="E1730" t="s">
        <v>56</v>
      </c>
      <c r="F1730" s="1">
        <v>95.27</v>
      </c>
      <c r="G1730" t="s">
        <v>19</v>
      </c>
      <c r="H1730" t="s">
        <v>15</v>
      </c>
      <c r="I1730" s="2">
        <v>4.5999999999999996</v>
      </c>
      <c r="J1730" s="4">
        <v>24</v>
      </c>
      <c r="K1730" s="3">
        <v>7</v>
      </c>
      <c r="L1730" s="1">
        <f t="shared" si="78"/>
        <v>72.405199999999994</v>
      </c>
      <c r="M1730" t="str" cm="1">
        <f t="array" ref="M1730">_xlfn.IFS(B1730&lt;18,"Under 18",B1730 &lt;=25,"18-25",B1730&lt;=35,"26-35",B1730&lt;=45,"36-45",B1730&lt;=60,"46-60",TRUE,"60+")</f>
        <v>60+</v>
      </c>
      <c r="N1730" t="str">
        <f t="shared" si="79"/>
        <v>Discounted</v>
      </c>
      <c r="O1730" t="str">
        <f t="shared" si="80"/>
        <v>Returning</v>
      </c>
    </row>
    <row r="1731" spans="1:15" x14ac:dyDescent="0.25">
      <c r="A1731">
        <v>1730</v>
      </c>
      <c r="B1731">
        <v>43</v>
      </c>
      <c r="C1731" t="s">
        <v>11</v>
      </c>
      <c r="D1731" t="s">
        <v>12</v>
      </c>
      <c r="E1731" t="s">
        <v>56</v>
      </c>
      <c r="F1731" s="1">
        <v>26.57</v>
      </c>
      <c r="G1731" t="s">
        <v>31</v>
      </c>
      <c r="H1731" t="s">
        <v>37</v>
      </c>
      <c r="I1731" s="2">
        <v>3.8</v>
      </c>
      <c r="J1731" s="4">
        <v>22</v>
      </c>
      <c r="K1731" s="3">
        <v>6</v>
      </c>
      <c r="L1731" s="1">
        <f t="shared" ref="L1731:L1794" si="81">F1731 * (1 - J1731 / 100)</f>
        <v>20.724600000000002</v>
      </c>
      <c r="M1731" t="str" cm="1">
        <f t="array" ref="M1731">_xlfn.IFS(B1731&lt;18,"Under 18",B1731 &lt;=25,"18-25",B1731&lt;=35,"26-35",B1731&lt;=45,"36-45",B1731&lt;=60,"46-60",TRUE,"60+")</f>
        <v>36-45</v>
      </c>
      <c r="N1731" t="str">
        <f t="shared" ref="N1731:N1794" si="82">IF(J1731&gt;0,"Discounted","No Discount")</f>
        <v>Discounted</v>
      </c>
      <c r="O1731" t="str">
        <f t="shared" ref="O1731:O1794" si="83">IF(K1731&gt;0,"Returning","New")</f>
        <v>Returning</v>
      </c>
    </row>
    <row r="1732" spans="1:15" x14ac:dyDescent="0.25">
      <c r="A1732">
        <v>1731</v>
      </c>
      <c r="B1732">
        <v>41</v>
      </c>
      <c r="C1732" t="s">
        <v>11</v>
      </c>
      <c r="D1732" t="s">
        <v>33</v>
      </c>
      <c r="E1732" t="s">
        <v>40</v>
      </c>
      <c r="F1732" s="1">
        <v>232.67</v>
      </c>
      <c r="G1732" t="s">
        <v>24</v>
      </c>
      <c r="H1732" t="s">
        <v>15</v>
      </c>
      <c r="I1732" s="2">
        <v>4.3</v>
      </c>
      <c r="J1732" s="4">
        <v>20</v>
      </c>
      <c r="K1732" s="3">
        <v>5</v>
      </c>
      <c r="L1732" s="1">
        <f t="shared" si="81"/>
        <v>186.136</v>
      </c>
      <c r="M1732" t="str" cm="1">
        <f t="array" ref="M1732">_xlfn.IFS(B1732&lt;18,"Under 18",B1732 &lt;=25,"18-25",B1732&lt;=35,"26-35",B1732&lt;=45,"36-45",B1732&lt;=60,"46-60",TRUE,"60+")</f>
        <v>36-45</v>
      </c>
      <c r="N1732" t="str">
        <f t="shared" si="82"/>
        <v>Discounted</v>
      </c>
      <c r="O1732" t="str">
        <f t="shared" si="83"/>
        <v>Returning</v>
      </c>
    </row>
    <row r="1733" spans="1:15" x14ac:dyDescent="0.25">
      <c r="A1733">
        <v>1732</v>
      </c>
      <c r="B1733">
        <v>37</v>
      </c>
      <c r="C1733" t="s">
        <v>16</v>
      </c>
      <c r="D1733" t="s">
        <v>17</v>
      </c>
      <c r="E1733" t="s">
        <v>48</v>
      </c>
      <c r="F1733" s="1">
        <v>144.66999999999999</v>
      </c>
      <c r="G1733" t="s">
        <v>24</v>
      </c>
      <c r="H1733" t="s">
        <v>15</v>
      </c>
      <c r="I1733" s="2">
        <v>5</v>
      </c>
      <c r="J1733" s="4">
        <v>10</v>
      </c>
      <c r="K1733" s="3">
        <v>5</v>
      </c>
      <c r="L1733" s="1">
        <f t="shared" si="81"/>
        <v>130.203</v>
      </c>
      <c r="M1733" t="str" cm="1">
        <f t="array" ref="M1733">_xlfn.IFS(B1733&lt;18,"Under 18",B1733 &lt;=25,"18-25",B1733&lt;=35,"26-35",B1733&lt;=45,"36-45",B1733&lt;=60,"46-60",TRUE,"60+")</f>
        <v>36-45</v>
      </c>
      <c r="N1733" t="str">
        <f t="shared" si="82"/>
        <v>Discounted</v>
      </c>
      <c r="O1733" t="str">
        <f t="shared" si="83"/>
        <v>Returning</v>
      </c>
    </row>
    <row r="1734" spans="1:15" x14ac:dyDescent="0.25">
      <c r="A1734">
        <v>1733</v>
      </c>
      <c r="B1734">
        <v>37</v>
      </c>
      <c r="C1734" t="s">
        <v>16</v>
      </c>
      <c r="D1734" t="s">
        <v>20</v>
      </c>
      <c r="E1734" t="s">
        <v>21</v>
      </c>
      <c r="F1734" s="1">
        <v>38.82</v>
      </c>
      <c r="G1734" t="s">
        <v>31</v>
      </c>
      <c r="H1734" t="s">
        <v>37</v>
      </c>
      <c r="I1734" s="2">
        <v>3.8</v>
      </c>
      <c r="J1734" s="4">
        <v>22</v>
      </c>
      <c r="K1734" s="3">
        <v>6</v>
      </c>
      <c r="L1734" s="1">
        <f t="shared" si="81"/>
        <v>30.279600000000002</v>
      </c>
      <c r="M1734" t="str" cm="1">
        <f t="array" ref="M1734">_xlfn.IFS(B1734&lt;18,"Under 18",B1734 &lt;=25,"18-25",B1734&lt;=35,"26-35",B1734&lt;=45,"36-45",B1734&lt;=60,"46-60",TRUE,"60+")</f>
        <v>36-45</v>
      </c>
      <c r="N1734" t="str">
        <f t="shared" si="82"/>
        <v>Discounted</v>
      </c>
      <c r="O1734" t="str">
        <f t="shared" si="83"/>
        <v>Returning</v>
      </c>
    </row>
    <row r="1735" spans="1:15" x14ac:dyDescent="0.25">
      <c r="A1735">
        <v>1734</v>
      </c>
      <c r="B1735">
        <v>52</v>
      </c>
      <c r="C1735" t="s">
        <v>16</v>
      </c>
      <c r="D1735" t="s">
        <v>17</v>
      </c>
      <c r="E1735" t="s">
        <v>48</v>
      </c>
      <c r="F1735" s="1">
        <v>165.6</v>
      </c>
      <c r="G1735" t="s">
        <v>19</v>
      </c>
      <c r="H1735" t="s">
        <v>15</v>
      </c>
      <c r="I1735" s="2">
        <v>4.2</v>
      </c>
      <c r="J1735" s="4">
        <v>8</v>
      </c>
      <c r="K1735" s="3">
        <v>4</v>
      </c>
      <c r="L1735" s="1">
        <f t="shared" si="81"/>
        <v>152.352</v>
      </c>
      <c r="M1735" t="str" cm="1">
        <f t="array" ref="M1735">_xlfn.IFS(B1735&lt;18,"Under 18",B1735 &lt;=25,"18-25",B1735&lt;=35,"26-35",B1735&lt;=45,"36-45",B1735&lt;=60,"46-60",TRUE,"60+")</f>
        <v>46-60</v>
      </c>
      <c r="N1735" t="str">
        <f t="shared" si="82"/>
        <v>Discounted</v>
      </c>
      <c r="O1735" t="str">
        <f t="shared" si="83"/>
        <v>Returning</v>
      </c>
    </row>
    <row r="1736" spans="1:15" x14ac:dyDescent="0.25">
      <c r="A1736">
        <v>1735</v>
      </c>
      <c r="B1736">
        <v>29</v>
      </c>
      <c r="C1736" t="s">
        <v>16</v>
      </c>
      <c r="D1736" t="s">
        <v>20</v>
      </c>
      <c r="E1736" t="s">
        <v>36</v>
      </c>
      <c r="F1736" s="1">
        <v>89.4</v>
      </c>
      <c r="G1736" t="s">
        <v>19</v>
      </c>
      <c r="H1736" t="s">
        <v>15</v>
      </c>
      <c r="I1736" s="2">
        <v>4.8</v>
      </c>
      <c r="J1736" s="4">
        <v>15</v>
      </c>
      <c r="K1736" s="3">
        <v>5</v>
      </c>
      <c r="L1736" s="1">
        <f t="shared" si="81"/>
        <v>75.990000000000009</v>
      </c>
      <c r="M1736" t="str" cm="1">
        <f t="array" ref="M1736">_xlfn.IFS(B1736&lt;18,"Under 18",B1736 &lt;=25,"18-25",B1736&lt;=35,"26-35",B1736&lt;=45,"36-45",B1736&lt;=60,"46-60",TRUE,"60+")</f>
        <v>26-35</v>
      </c>
      <c r="N1736" t="str">
        <f t="shared" si="82"/>
        <v>Discounted</v>
      </c>
      <c r="O1736" t="str">
        <f t="shared" si="83"/>
        <v>Returning</v>
      </c>
    </row>
    <row r="1737" spans="1:15" x14ac:dyDescent="0.25">
      <c r="A1737">
        <v>1736</v>
      </c>
      <c r="B1737">
        <v>61</v>
      </c>
      <c r="C1737" t="s">
        <v>11</v>
      </c>
      <c r="D1737" t="s">
        <v>41</v>
      </c>
      <c r="E1737" t="s">
        <v>44</v>
      </c>
      <c r="F1737" s="1">
        <v>55.18</v>
      </c>
      <c r="G1737" t="s">
        <v>24</v>
      </c>
      <c r="H1737" t="s">
        <v>37</v>
      </c>
      <c r="I1737" s="2">
        <v>3.9</v>
      </c>
      <c r="J1737" s="4">
        <v>13</v>
      </c>
      <c r="K1737" s="3">
        <v>4</v>
      </c>
      <c r="L1737" s="1">
        <f t="shared" si="81"/>
        <v>48.006599999999999</v>
      </c>
      <c r="M1737" t="str" cm="1">
        <f t="array" ref="M1737">_xlfn.IFS(B1737&lt;18,"Under 18",B1737 &lt;=25,"18-25",B1737&lt;=35,"26-35",B1737&lt;=45,"36-45",B1737&lt;=60,"46-60",TRUE,"60+")</f>
        <v>60+</v>
      </c>
      <c r="N1737" t="str">
        <f t="shared" si="82"/>
        <v>Discounted</v>
      </c>
      <c r="O1737" t="str">
        <f t="shared" si="83"/>
        <v>Returning</v>
      </c>
    </row>
    <row r="1738" spans="1:15" x14ac:dyDescent="0.25">
      <c r="A1738">
        <v>1737</v>
      </c>
      <c r="B1738">
        <v>27</v>
      </c>
      <c r="C1738" t="s">
        <v>16</v>
      </c>
      <c r="D1738" t="s">
        <v>27</v>
      </c>
      <c r="E1738" t="s">
        <v>49</v>
      </c>
      <c r="F1738" s="1">
        <v>2194.8200000000002</v>
      </c>
      <c r="G1738" t="s">
        <v>14</v>
      </c>
      <c r="H1738" t="s">
        <v>15</v>
      </c>
      <c r="I1738" s="2">
        <v>4.2</v>
      </c>
      <c r="J1738" s="4">
        <v>24</v>
      </c>
      <c r="K1738" s="3">
        <v>7</v>
      </c>
      <c r="L1738" s="1">
        <f t="shared" si="81"/>
        <v>1668.0632000000001</v>
      </c>
      <c r="M1738" t="str" cm="1">
        <f t="array" ref="M1738">_xlfn.IFS(B1738&lt;18,"Under 18",B1738 &lt;=25,"18-25",B1738&lt;=35,"26-35",B1738&lt;=45,"36-45",B1738&lt;=60,"46-60",TRUE,"60+")</f>
        <v>26-35</v>
      </c>
      <c r="N1738" t="str">
        <f t="shared" si="82"/>
        <v>Discounted</v>
      </c>
      <c r="O1738" t="str">
        <f t="shared" si="83"/>
        <v>Returning</v>
      </c>
    </row>
    <row r="1739" spans="1:15" x14ac:dyDescent="0.25">
      <c r="A1739">
        <v>1738</v>
      </c>
      <c r="B1739">
        <v>69</v>
      </c>
      <c r="C1739" t="s">
        <v>11</v>
      </c>
      <c r="D1739" t="s">
        <v>41</v>
      </c>
      <c r="E1739" t="s">
        <v>45</v>
      </c>
      <c r="F1739" s="1">
        <v>149.44</v>
      </c>
      <c r="G1739" t="s">
        <v>14</v>
      </c>
      <c r="H1739" t="s">
        <v>15</v>
      </c>
      <c r="I1739" s="2">
        <v>4.0999999999999996</v>
      </c>
      <c r="J1739" s="4">
        <v>10</v>
      </c>
      <c r="K1739" s="3">
        <v>5</v>
      </c>
      <c r="L1739" s="1">
        <f t="shared" si="81"/>
        <v>134.49600000000001</v>
      </c>
      <c r="M1739" t="str" cm="1">
        <f t="array" ref="M1739">_xlfn.IFS(B1739&lt;18,"Under 18",B1739 &lt;=25,"18-25",B1739&lt;=35,"26-35",B1739&lt;=45,"36-45",B1739&lt;=60,"46-60",TRUE,"60+")</f>
        <v>60+</v>
      </c>
      <c r="N1739" t="str">
        <f t="shared" si="82"/>
        <v>Discounted</v>
      </c>
      <c r="O1739" t="str">
        <f t="shared" si="83"/>
        <v>Returning</v>
      </c>
    </row>
    <row r="1740" spans="1:15" x14ac:dyDescent="0.25">
      <c r="A1740">
        <v>1739</v>
      </c>
      <c r="B1740">
        <v>53</v>
      </c>
      <c r="C1740" t="s">
        <v>16</v>
      </c>
      <c r="D1740" t="s">
        <v>17</v>
      </c>
      <c r="E1740" t="s">
        <v>48</v>
      </c>
      <c r="F1740" s="1">
        <v>181.37</v>
      </c>
      <c r="G1740" t="s">
        <v>14</v>
      </c>
      <c r="H1740" t="s">
        <v>15</v>
      </c>
      <c r="I1740" s="2">
        <v>4</v>
      </c>
      <c r="J1740" s="4">
        <v>20</v>
      </c>
      <c r="K1740" s="3">
        <v>5</v>
      </c>
      <c r="L1740" s="1">
        <f t="shared" si="81"/>
        <v>145.096</v>
      </c>
      <c r="M1740" t="str" cm="1">
        <f t="array" ref="M1740">_xlfn.IFS(B1740&lt;18,"Under 18",B1740 &lt;=25,"18-25",B1740&lt;=35,"26-35",B1740&lt;=45,"36-45",B1740&lt;=60,"46-60",TRUE,"60+")</f>
        <v>46-60</v>
      </c>
      <c r="N1740" t="str">
        <f t="shared" si="82"/>
        <v>Discounted</v>
      </c>
      <c r="O1740" t="str">
        <f t="shared" si="83"/>
        <v>Returning</v>
      </c>
    </row>
    <row r="1741" spans="1:15" x14ac:dyDescent="0.25">
      <c r="A1741">
        <v>1740</v>
      </c>
      <c r="B1741">
        <v>42</v>
      </c>
      <c r="C1741" t="s">
        <v>16</v>
      </c>
      <c r="D1741" t="s">
        <v>20</v>
      </c>
      <c r="E1741" t="s">
        <v>36</v>
      </c>
      <c r="F1741" s="1">
        <v>65.55</v>
      </c>
      <c r="G1741" t="s">
        <v>31</v>
      </c>
      <c r="H1741" t="s">
        <v>37</v>
      </c>
      <c r="I1741" s="2">
        <v>4</v>
      </c>
      <c r="J1741" s="4">
        <v>8</v>
      </c>
      <c r="K1741" s="3">
        <v>4</v>
      </c>
      <c r="L1741" s="1">
        <f t="shared" si="81"/>
        <v>60.305999999999997</v>
      </c>
      <c r="M1741" t="str" cm="1">
        <f t="array" ref="M1741">_xlfn.IFS(B1741&lt;18,"Under 18",B1741 &lt;=25,"18-25",B1741&lt;=35,"26-35",B1741&lt;=45,"36-45",B1741&lt;=60,"46-60",TRUE,"60+")</f>
        <v>36-45</v>
      </c>
      <c r="N1741" t="str">
        <f t="shared" si="82"/>
        <v>Discounted</v>
      </c>
      <c r="O1741" t="str">
        <f t="shared" si="83"/>
        <v>Returning</v>
      </c>
    </row>
    <row r="1742" spans="1:15" x14ac:dyDescent="0.25">
      <c r="A1742">
        <v>1741</v>
      </c>
      <c r="B1742">
        <v>40</v>
      </c>
      <c r="C1742" t="s">
        <v>11</v>
      </c>
      <c r="D1742" t="s">
        <v>29</v>
      </c>
      <c r="E1742" t="s">
        <v>30</v>
      </c>
      <c r="F1742" s="1">
        <v>60.6</v>
      </c>
      <c r="G1742" t="s">
        <v>24</v>
      </c>
      <c r="H1742" t="s">
        <v>15</v>
      </c>
      <c r="I1742" s="2">
        <v>4.5</v>
      </c>
      <c r="J1742" s="4">
        <v>15</v>
      </c>
      <c r="K1742" s="3">
        <v>5</v>
      </c>
      <c r="L1742" s="1">
        <f t="shared" si="81"/>
        <v>51.51</v>
      </c>
      <c r="M1742" t="str" cm="1">
        <f t="array" ref="M1742">_xlfn.IFS(B1742&lt;18,"Under 18",B1742 &lt;=25,"18-25",B1742&lt;=35,"26-35",B1742&lt;=45,"36-45",B1742&lt;=60,"46-60",TRUE,"60+")</f>
        <v>36-45</v>
      </c>
      <c r="N1742" t="str">
        <f t="shared" si="82"/>
        <v>Discounted</v>
      </c>
      <c r="O1742" t="str">
        <f t="shared" si="83"/>
        <v>Returning</v>
      </c>
    </row>
    <row r="1743" spans="1:15" x14ac:dyDescent="0.25">
      <c r="A1743">
        <v>1742</v>
      </c>
      <c r="B1743">
        <v>45</v>
      </c>
      <c r="C1743" t="s">
        <v>11</v>
      </c>
      <c r="D1743" t="s">
        <v>41</v>
      </c>
      <c r="E1743" t="s">
        <v>45</v>
      </c>
      <c r="F1743" s="1">
        <v>87.8</v>
      </c>
      <c r="G1743" t="s">
        <v>14</v>
      </c>
      <c r="H1743" t="s">
        <v>37</v>
      </c>
      <c r="I1743" s="2">
        <v>4.7</v>
      </c>
      <c r="J1743" s="4">
        <v>21</v>
      </c>
      <c r="K1743" s="3">
        <v>8</v>
      </c>
      <c r="L1743" s="1">
        <f t="shared" si="81"/>
        <v>69.361999999999995</v>
      </c>
      <c r="M1743" t="str" cm="1">
        <f t="array" ref="M1743">_xlfn.IFS(B1743&lt;18,"Under 18",B1743 &lt;=25,"18-25",B1743&lt;=35,"26-35",B1743&lt;=45,"36-45",B1743&lt;=60,"46-60",TRUE,"60+")</f>
        <v>36-45</v>
      </c>
      <c r="N1743" t="str">
        <f t="shared" si="82"/>
        <v>Discounted</v>
      </c>
      <c r="O1743" t="str">
        <f t="shared" si="83"/>
        <v>Returning</v>
      </c>
    </row>
    <row r="1744" spans="1:15" x14ac:dyDescent="0.25">
      <c r="A1744">
        <v>1743</v>
      </c>
      <c r="B1744">
        <v>37</v>
      </c>
      <c r="C1744" t="s">
        <v>16</v>
      </c>
      <c r="D1744" t="s">
        <v>20</v>
      </c>
      <c r="E1744" t="s">
        <v>36</v>
      </c>
      <c r="F1744" s="1">
        <v>223.54</v>
      </c>
      <c r="G1744" t="s">
        <v>14</v>
      </c>
      <c r="H1744" t="s">
        <v>15</v>
      </c>
      <c r="I1744" s="2">
        <v>3.7</v>
      </c>
      <c r="J1744" s="4">
        <v>15</v>
      </c>
      <c r="K1744" s="3">
        <v>5</v>
      </c>
      <c r="L1744" s="1">
        <f t="shared" si="81"/>
        <v>190.00899999999999</v>
      </c>
      <c r="M1744" t="str" cm="1">
        <f t="array" ref="M1744">_xlfn.IFS(B1744&lt;18,"Under 18",B1744 &lt;=25,"18-25",B1744&lt;=35,"26-35",B1744&lt;=45,"36-45",B1744&lt;=60,"46-60",TRUE,"60+")</f>
        <v>36-45</v>
      </c>
      <c r="N1744" t="str">
        <f t="shared" si="82"/>
        <v>Discounted</v>
      </c>
      <c r="O1744" t="str">
        <f t="shared" si="83"/>
        <v>Returning</v>
      </c>
    </row>
    <row r="1745" spans="1:15" x14ac:dyDescent="0.25">
      <c r="A1745">
        <v>1744</v>
      </c>
      <c r="B1745">
        <v>27</v>
      </c>
      <c r="C1745" t="s">
        <v>11</v>
      </c>
      <c r="D1745" t="s">
        <v>12</v>
      </c>
      <c r="E1745" t="s">
        <v>50</v>
      </c>
      <c r="F1745" s="1">
        <v>113.9</v>
      </c>
      <c r="G1745" t="s">
        <v>19</v>
      </c>
      <c r="H1745" t="s">
        <v>15</v>
      </c>
      <c r="I1745" s="2">
        <v>4.5</v>
      </c>
      <c r="J1745" s="4">
        <v>8</v>
      </c>
      <c r="K1745" s="3">
        <v>4</v>
      </c>
      <c r="L1745" s="1">
        <f t="shared" si="81"/>
        <v>104.78800000000001</v>
      </c>
      <c r="M1745" t="str" cm="1">
        <f t="array" ref="M1745">_xlfn.IFS(B1745&lt;18,"Under 18",B1745 &lt;=25,"18-25",B1745&lt;=35,"26-35",B1745&lt;=45,"36-45",B1745&lt;=60,"46-60",TRUE,"60+")</f>
        <v>26-35</v>
      </c>
      <c r="N1745" t="str">
        <f t="shared" si="82"/>
        <v>Discounted</v>
      </c>
      <c r="O1745" t="str">
        <f t="shared" si="83"/>
        <v>Returning</v>
      </c>
    </row>
    <row r="1746" spans="1:15" x14ac:dyDescent="0.25">
      <c r="A1746">
        <v>1745</v>
      </c>
      <c r="B1746">
        <v>51</v>
      </c>
      <c r="C1746" t="s">
        <v>16</v>
      </c>
      <c r="D1746" t="s">
        <v>25</v>
      </c>
      <c r="E1746" t="s">
        <v>47</v>
      </c>
      <c r="F1746" s="1">
        <v>47.16</v>
      </c>
      <c r="G1746" t="s">
        <v>24</v>
      </c>
      <c r="H1746" t="s">
        <v>15</v>
      </c>
      <c r="I1746" s="2">
        <v>5</v>
      </c>
      <c r="J1746" s="4">
        <v>32</v>
      </c>
      <c r="K1746" s="3">
        <v>11</v>
      </c>
      <c r="L1746" s="1">
        <f t="shared" si="81"/>
        <v>32.068799999999996</v>
      </c>
      <c r="M1746" t="str" cm="1">
        <f t="array" ref="M1746">_xlfn.IFS(B1746&lt;18,"Under 18",B1746 &lt;=25,"18-25",B1746&lt;=35,"26-35",B1746&lt;=45,"36-45",B1746&lt;=60,"46-60",TRUE,"60+")</f>
        <v>46-60</v>
      </c>
      <c r="N1746" t="str">
        <f t="shared" si="82"/>
        <v>Discounted</v>
      </c>
      <c r="O1746" t="str">
        <f t="shared" si="83"/>
        <v>Returning</v>
      </c>
    </row>
    <row r="1747" spans="1:15" x14ac:dyDescent="0.25">
      <c r="A1747">
        <v>1746</v>
      </c>
      <c r="B1747">
        <v>60</v>
      </c>
      <c r="C1747" t="s">
        <v>16</v>
      </c>
      <c r="D1747" t="s">
        <v>27</v>
      </c>
      <c r="E1747" t="s">
        <v>32</v>
      </c>
      <c r="F1747" s="1">
        <v>2140.91</v>
      </c>
      <c r="G1747" t="s">
        <v>19</v>
      </c>
      <c r="H1747" t="s">
        <v>15</v>
      </c>
      <c r="I1747" s="2">
        <v>3.7</v>
      </c>
      <c r="J1747" s="4">
        <v>14</v>
      </c>
      <c r="K1747" s="3">
        <v>7</v>
      </c>
      <c r="L1747" s="1">
        <f t="shared" si="81"/>
        <v>1841.1825999999999</v>
      </c>
      <c r="M1747" t="str" cm="1">
        <f t="array" ref="M1747">_xlfn.IFS(B1747&lt;18,"Under 18",B1747 &lt;=25,"18-25",B1747&lt;=35,"26-35",B1747&lt;=45,"36-45",B1747&lt;=60,"46-60",TRUE,"60+")</f>
        <v>46-60</v>
      </c>
      <c r="N1747" t="str">
        <f t="shared" si="82"/>
        <v>Discounted</v>
      </c>
      <c r="O1747" t="str">
        <f t="shared" si="83"/>
        <v>Returning</v>
      </c>
    </row>
    <row r="1748" spans="1:15" x14ac:dyDescent="0.25">
      <c r="A1748">
        <v>1747</v>
      </c>
      <c r="B1748">
        <v>39</v>
      </c>
      <c r="C1748" t="s">
        <v>11</v>
      </c>
      <c r="D1748" t="s">
        <v>29</v>
      </c>
      <c r="E1748" t="s">
        <v>51</v>
      </c>
      <c r="F1748" s="1">
        <v>114.5</v>
      </c>
      <c r="G1748" t="s">
        <v>14</v>
      </c>
      <c r="H1748" t="s">
        <v>15</v>
      </c>
      <c r="I1748" s="2">
        <v>2.6</v>
      </c>
      <c r="J1748" s="4">
        <v>7</v>
      </c>
      <c r="K1748" s="3">
        <v>1</v>
      </c>
      <c r="L1748" s="1">
        <f t="shared" si="81"/>
        <v>106.485</v>
      </c>
      <c r="M1748" t="str" cm="1">
        <f t="array" ref="M1748">_xlfn.IFS(B1748&lt;18,"Under 18",B1748 &lt;=25,"18-25",B1748&lt;=35,"26-35",B1748&lt;=45,"36-45",B1748&lt;=60,"46-60",TRUE,"60+")</f>
        <v>36-45</v>
      </c>
      <c r="N1748" t="str">
        <f t="shared" si="82"/>
        <v>Discounted</v>
      </c>
      <c r="O1748" t="str">
        <f t="shared" si="83"/>
        <v>Returning</v>
      </c>
    </row>
    <row r="1749" spans="1:15" x14ac:dyDescent="0.25">
      <c r="A1749">
        <v>1748</v>
      </c>
      <c r="B1749">
        <v>38</v>
      </c>
      <c r="C1749" t="s">
        <v>16</v>
      </c>
      <c r="D1749" t="s">
        <v>27</v>
      </c>
      <c r="E1749" t="s">
        <v>32</v>
      </c>
      <c r="F1749" s="1">
        <v>1304.49</v>
      </c>
      <c r="G1749" t="s">
        <v>24</v>
      </c>
      <c r="H1749" t="s">
        <v>15</v>
      </c>
      <c r="I1749" s="2">
        <v>3.5</v>
      </c>
      <c r="J1749" s="4">
        <v>12</v>
      </c>
      <c r="K1749" s="3">
        <v>6</v>
      </c>
      <c r="L1749" s="1">
        <f t="shared" si="81"/>
        <v>1147.9512</v>
      </c>
      <c r="M1749" t="str" cm="1">
        <f t="array" ref="M1749">_xlfn.IFS(B1749&lt;18,"Under 18",B1749 &lt;=25,"18-25",B1749&lt;=35,"26-35",B1749&lt;=45,"36-45",B1749&lt;=60,"46-60",TRUE,"60+")</f>
        <v>36-45</v>
      </c>
      <c r="N1749" t="str">
        <f t="shared" si="82"/>
        <v>Discounted</v>
      </c>
      <c r="O1749" t="str">
        <f t="shared" si="83"/>
        <v>Returning</v>
      </c>
    </row>
    <row r="1750" spans="1:15" x14ac:dyDescent="0.25">
      <c r="A1750">
        <v>1749</v>
      </c>
      <c r="B1750">
        <v>58</v>
      </c>
      <c r="C1750" t="s">
        <v>16</v>
      </c>
      <c r="D1750" t="s">
        <v>17</v>
      </c>
      <c r="E1750" t="s">
        <v>48</v>
      </c>
      <c r="F1750" s="1">
        <v>99.6</v>
      </c>
      <c r="G1750" t="s">
        <v>19</v>
      </c>
      <c r="H1750" t="s">
        <v>37</v>
      </c>
      <c r="I1750" s="2">
        <v>4.2</v>
      </c>
      <c r="J1750" s="4">
        <v>12</v>
      </c>
      <c r="K1750" s="3">
        <v>6</v>
      </c>
      <c r="L1750" s="1">
        <f t="shared" si="81"/>
        <v>87.647999999999996</v>
      </c>
      <c r="M1750" t="str" cm="1">
        <f t="array" ref="M1750">_xlfn.IFS(B1750&lt;18,"Under 18",B1750 &lt;=25,"18-25",B1750&lt;=35,"26-35",B1750&lt;=45,"36-45",B1750&lt;=60,"46-60",TRUE,"60+")</f>
        <v>46-60</v>
      </c>
      <c r="N1750" t="str">
        <f t="shared" si="82"/>
        <v>Discounted</v>
      </c>
      <c r="O1750" t="str">
        <f t="shared" si="83"/>
        <v>Returning</v>
      </c>
    </row>
    <row r="1751" spans="1:15" x14ac:dyDescent="0.25">
      <c r="A1751">
        <v>1750</v>
      </c>
      <c r="B1751">
        <v>24</v>
      </c>
      <c r="C1751" t="s">
        <v>16</v>
      </c>
      <c r="D1751" t="s">
        <v>27</v>
      </c>
      <c r="E1751" t="s">
        <v>53</v>
      </c>
      <c r="F1751" s="1">
        <v>1953.51</v>
      </c>
      <c r="G1751" t="s">
        <v>14</v>
      </c>
      <c r="H1751" t="s">
        <v>15</v>
      </c>
      <c r="I1751" s="2">
        <v>4.9000000000000004</v>
      </c>
      <c r="J1751" s="4">
        <v>16</v>
      </c>
      <c r="K1751" s="3">
        <v>8</v>
      </c>
      <c r="L1751" s="1">
        <f t="shared" si="81"/>
        <v>1640.9484</v>
      </c>
      <c r="M1751" t="str" cm="1">
        <f t="array" ref="M1751">_xlfn.IFS(B1751&lt;18,"Under 18",B1751 &lt;=25,"18-25",B1751&lt;=35,"26-35",B1751&lt;=45,"36-45",B1751&lt;=60,"46-60",TRUE,"60+")</f>
        <v>18-25</v>
      </c>
      <c r="N1751" t="str">
        <f t="shared" si="82"/>
        <v>Discounted</v>
      </c>
      <c r="O1751" t="str">
        <f t="shared" si="83"/>
        <v>Returning</v>
      </c>
    </row>
    <row r="1752" spans="1:15" x14ac:dyDescent="0.25">
      <c r="A1752">
        <v>1751</v>
      </c>
      <c r="B1752">
        <v>22</v>
      </c>
      <c r="C1752" t="s">
        <v>16</v>
      </c>
      <c r="D1752" t="s">
        <v>17</v>
      </c>
      <c r="E1752" t="s">
        <v>35</v>
      </c>
      <c r="F1752" s="1">
        <v>143.30000000000001</v>
      </c>
      <c r="G1752" t="s">
        <v>24</v>
      </c>
      <c r="H1752" t="s">
        <v>15</v>
      </c>
      <c r="I1752" s="2">
        <v>3.8</v>
      </c>
      <c r="J1752" s="4">
        <v>13</v>
      </c>
      <c r="K1752" s="3">
        <v>4</v>
      </c>
      <c r="L1752" s="1">
        <f t="shared" si="81"/>
        <v>124.67100000000001</v>
      </c>
      <c r="M1752" t="str" cm="1">
        <f t="array" ref="M1752">_xlfn.IFS(B1752&lt;18,"Under 18",B1752 &lt;=25,"18-25",B1752&lt;=35,"26-35",B1752&lt;=45,"36-45",B1752&lt;=60,"46-60",TRUE,"60+")</f>
        <v>18-25</v>
      </c>
      <c r="N1752" t="str">
        <f t="shared" si="82"/>
        <v>Discounted</v>
      </c>
      <c r="O1752" t="str">
        <f t="shared" si="83"/>
        <v>Returning</v>
      </c>
    </row>
    <row r="1753" spans="1:15" x14ac:dyDescent="0.25">
      <c r="A1753">
        <v>1752</v>
      </c>
      <c r="B1753">
        <v>56</v>
      </c>
      <c r="C1753" t="s">
        <v>11</v>
      </c>
      <c r="D1753" t="s">
        <v>12</v>
      </c>
      <c r="E1753" t="s">
        <v>50</v>
      </c>
      <c r="F1753" s="1">
        <v>48.36</v>
      </c>
      <c r="G1753" t="s">
        <v>14</v>
      </c>
      <c r="H1753" t="s">
        <v>15</v>
      </c>
      <c r="I1753" s="2">
        <v>3.4</v>
      </c>
      <c r="J1753" s="4">
        <v>17</v>
      </c>
      <c r="K1753" s="3">
        <v>6</v>
      </c>
      <c r="L1753" s="1">
        <f t="shared" si="81"/>
        <v>40.138799999999996</v>
      </c>
      <c r="M1753" t="str" cm="1">
        <f t="array" ref="M1753">_xlfn.IFS(B1753&lt;18,"Under 18",B1753 &lt;=25,"18-25",B1753&lt;=35,"26-35",B1753&lt;=45,"36-45",B1753&lt;=60,"46-60",TRUE,"60+")</f>
        <v>46-60</v>
      </c>
      <c r="N1753" t="str">
        <f t="shared" si="82"/>
        <v>Discounted</v>
      </c>
      <c r="O1753" t="str">
        <f t="shared" si="83"/>
        <v>Returning</v>
      </c>
    </row>
    <row r="1754" spans="1:15" x14ac:dyDescent="0.25">
      <c r="A1754">
        <v>1753</v>
      </c>
      <c r="B1754">
        <v>68</v>
      </c>
      <c r="C1754" t="s">
        <v>16</v>
      </c>
      <c r="D1754" t="s">
        <v>27</v>
      </c>
      <c r="E1754" t="s">
        <v>49</v>
      </c>
      <c r="F1754" s="1">
        <v>566.58000000000004</v>
      </c>
      <c r="G1754" t="s">
        <v>31</v>
      </c>
      <c r="H1754" t="s">
        <v>15</v>
      </c>
      <c r="I1754" s="2">
        <v>3.2</v>
      </c>
      <c r="J1754" s="4">
        <v>11</v>
      </c>
      <c r="K1754" s="3">
        <v>3</v>
      </c>
      <c r="L1754" s="1">
        <f t="shared" si="81"/>
        <v>504.25620000000004</v>
      </c>
      <c r="M1754" t="str" cm="1">
        <f t="array" ref="M1754">_xlfn.IFS(B1754&lt;18,"Under 18",B1754 &lt;=25,"18-25",B1754&lt;=35,"26-35",B1754&lt;=45,"36-45",B1754&lt;=60,"46-60",TRUE,"60+")</f>
        <v>60+</v>
      </c>
      <c r="N1754" t="str">
        <f t="shared" si="82"/>
        <v>Discounted</v>
      </c>
      <c r="O1754" t="str">
        <f t="shared" si="83"/>
        <v>Returning</v>
      </c>
    </row>
    <row r="1755" spans="1:15" x14ac:dyDescent="0.25">
      <c r="A1755">
        <v>1754</v>
      </c>
      <c r="B1755">
        <v>70</v>
      </c>
      <c r="C1755" t="s">
        <v>11</v>
      </c>
      <c r="D1755" t="s">
        <v>25</v>
      </c>
      <c r="E1755" t="s">
        <v>54</v>
      </c>
      <c r="F1755" s="1">
        <v>39.270000000000003</v>
      </c>
      <c r="G1755" t="s">
        <v>19</v>
      </c>
      <c r="H1755" t="s">
        <v>15</v>
      </c>
      <c r="I1755" s="2">
        <v>3.1</v>
      </c>
      <c r="J1755" s="4">
        <v>26</v>
      </c>
      <c r="K1755" s="3">
        <v>8</v>
      </c>
      <c r="L1755" s="1">
        <f t="shared" si="81"/>
        <v>29.059800000000003</v>
      </c>
      <c r="M1755" t="str" cm="1">
        <f t="array" ref="M1755">_xlfn.IFS(B1755&lt;18,"Under 18",B1755 &lt;=25,"18-25",B1755&lt;=35,"26-35",B1755&lt;=45,"36-45",B1755&lt;=60,"46-60",TRUE,"60+")</f>
        <v>60+</v>
      </c>
      <c r="N1755" t="str">
        <f t="shared" si="82"/>
        <v>Discounted</v>
      </c>
      <c r="O1755" t="str">
        <f t="shared" si="83"/>
        <v>Returning</v>
      </c>
    </row>
    <row r="1756" spans="1:15" x14ac:dyDescent="0.25">
      <c r="A1756">
        <v>1755</v>
      </c>
      <c r="B1756">
        <v>22</v>
      </c>
      <c r="C1756" t="s">
        <v>16</v>
      </c>
      <c r="D1756" t="s">
        <v>17</v>
      </c>
      <c r="E1756" t="s">
        <v>18</v>
      </c>
      <c r="F1756" s="1">
        <v>98.74</v>
      </c>
      <c r="G1756" t="s">
        <v>31</v>
      </c>
      <c r="H1756" t="s">
        <v>15</v>
      </c>
      <c r="I1756" s="2">
        <v>4</v>
      </c>
      <c r="J1756" s="4">
        <v>12</v>
      </c>
      <c r="K1756" s="3">
        <v>6</v>
      </c>
      <c r="L1756" s="1">
        <f t="shared" si="81"/>
        <v>86.891199999999998</v>
      </c>
      <c r="M1756" t="str" cm="1">
        <f t="array" ref="M1756">_xlfn.IFS(B1756&lt;18,"Under 18",B1756 &lt;=25,"18-25",B1756&lt;=35,"26-35",B1756&lt;=45,"36-45",B1756&lt;=60,"46-60",TRUE,"60+")</f>
        <v>18-25</v>
      </c>
      <c r="N1756" t="str">
        <f t="shared" si="82"/>
        <v>Discounted</v>
      </c>
      <c r="O1756" t="str">
        <f t="shared" si="83"/>
        <v>Returning</v>
      </c>
    </row>
    <row r="1757" spans="1:15" x14ac:dyDescent="0.25">
      <c r="A1757">
        <v>1756</v>
      </c>
      <c r="B1757">
        <v>69</v>
      </c>
      <c r="C1757" t="s">
        <v>11</v>
      </c>
      <c r="D1757" t="s">
        <v>29</v>
      </c>
      <c r="E1757" t="s">
        <v>51</v>
      </c>
      <c r="F1757" s="1">
        <v>108.96</v>
      </c>
      <c r="G1757" t="s">
        <v>31</v>
      </c>
      <c r="H1757" t="s">
        <v>15</v>
      </c>
      <c r="I1757" s="2">
        <v>4.4000000000000004</v>
      </c>
      <c r="J1757" s="4">
        <v>24</v>
      </c>
      <c r="K1757" s="3">
        <v>7</v>
      </c>
      <c r="L1757" s="1">
        <f t="shared" si="81"/>
        <v>82.809600000000003</v>
      </c>
      <c r="M1757" t="str" cm="1">
        <f t="array" ref="M1757">_xlfn.IFS(B1757&lt;18,"Under 18",B1757 &lt;=25,"18-25",B1757&lt;=35,"26-35",B1757&lt;=45,"36-45",B1757&lt;=60,"46-60",TRUE,"60+")</f>
        <v>60+</v>
      </c>
      <c r="N1757" t="str">
        <f t="shared" si="82"/>
        <v>Discounted</v>
      </c>
      <c r="O1757" t="str">
        <f t="shared" si="83"/>
        <v>Returning</v>
      </c>
    </row>
    <row r="1758" spans="1:15" x14ac:dyDescent="0.25">
      <c r="A1758">
        <v>1757</v>
      </c>
      <c r="B1758">
        <v>66</v>
      </c>
      <c r="C1758" t="s">
        <v>16</v>
      </c>
      <c r="D1758" t="s">
        <v>25</v>
      </c>
      <c r="E1758" t="s">
        <v>57</v>
      </c>
      <c r="F1758" s="1">
        <v>55.46</v>
      </c>
      <c r="G1758" t="s">
        <v>19</v>
      </c>
      <c r="H1758" t="s">
        <v>15</v>
      </c>
      <c r="I1758" s="2">
        <v>3.7</v>
      </c>
      <c r="J1758" s="4">
        <v>10</v>
      </c>
      <c r="K1758" s="3">
        <v>5</v>
      </c>
      <c r="L1758" s="1">
        <f t="shared" si="81"/>
        <v>49.914000000000001</v>
      </c>
      <c r="M1758" t="str" cm="1">
        <f t="array" ref="M1758">_xlfn.IFS(B1758&lt;18,"Under 18",B1758 &lt;=25,"18-25",B1758&lt;=35,"26-35",B1758&lt;=45,"36-45",B1758&lt;=60,"46-60",TRUE,"60+")</f>
        <v>60+</v>
      </c>
      <c r="N1758" t="str">
        <f t="shared" si="82"/>
        <v>Discounted</v>
      </c>
      <c r="O1758" t="str">
        <f t="shared" si="83"/>
        <v>Returning</v>
      </c>
    </row>
    <row r="1759" spans="1:15" x14ac:dyDescent="0.25">
      <c r="A1759">
        <v>1758</v>
      </c>
      <c r="B1759">
        <v>43</v>
      </c>
      <c r="C1759" t="s">
        <v>11</v>
      </c>
      <c r="D1759" t="s">
        <v>20</v>
      </c>
      <c r="E1759" t="s">
        <v>21</v>
      </c>
      <c r="F1759" s="1">
        <v>80.150000000000006</v>
      </c>
      <c r="G1759" t="s">
        <v>14</v>
      </c>
      <c r="H1759" t="s">
        <v>15</v>
      </c>
      <c r="I1759" s="2">
        <v>4.7</v>
      </c>
      <c r="J1759" s="4">
        <v>11</v>
      </c>
      <c r="K1759" s="3">
        <v>3</v>
      </c>
      <c r="L1759" s="1">
        <f t="shared" si="81"/>
        <v>71.333500000000001</v>
      </c>
      <c r="M1759" t="str" cm="1">
        <f t="array" ref="M1759">_xlfn.IFS(B1759&lt;18,"Under 18",B1759 &lt;=25,"18-25",B1759&lt;=35,"26-35",B1759&lt;=45,"36-45",B1759&lt;=60,"46-60",TRUE,"60+")</f>
        <v>36-45</v>
      </c>
      <c r="N1759" t="str">
        <f t="shared" si="82"/>
        <v>Discounted</v>
      </c>
      <c r="O1759" t="str">
        <f t="shared" si="83"/>
        <v>Returning</v>
      </c>
    </row>
    <row r="1760" spans="1:15" x14ac:dyDescent="0.25">
      <c r="A1760">
        <v>1759</v>
      </c>
      <c r="B1760">
        <v>63</v>
      </c>
      <c r="C1760" t="s">
        <v>16</v>
      </c>
      <c r="D1760" t="s">
        <v>20</v>
      </c>
      <c r="E1760" t="s">
        <v>36</v>
      </c>
      <c r="F1760" s="1">
        <v>202.07</v>
      </c>
      <c r="G1760" t="s">
        <v>31</v>
      </c>
      <c r="H1760" t="s">
        <v>15</v>
      </c>
      <c r="I1760" s="2">
        <v>3.7</v>
      </c>
      <c r="J1760" s="4">
        <v>16</v>
      </c>
      <c r="K1760" s="3">
        <v>3</v>
      </c>
      <c r="L1760" s="1">
        <f t="shared" si="81"/>
        <v>169.7388</v>
      </c>
      <c r="M1760" t="str" cm="1">
        <f t="array" ref="M1760">_xlfn.IFS(B1760&lt;18,"Under 18",B1760 &lt;=25,"18-25",B1760&lt;=35,"26-35",B1760&lt;=45,"36-45",B1760&lt;=60,"46-60",TRUE,"60+")</f>
        <v>60+</v>
      </c>
      <c r="N1760" t="str">
        <f t="shared" si="82"/>
        <v>Discounted</v>
      </c>
      <c r="O1760" t="str">
        <f t="shared" si="83"/>
        <v>Returning</v>
      </c>
    </row>
    <row r="1761" spans="1:15" x14ac:dyDescent="0.25">
      <c r="A1761">
        <v>1760</v>
      </c>
      <c r="B1761">
        <v>23</v>
      </c>
      <c r="C1761" t="s">
        <v>16</v>
      </c>
      <c r="D1761" t="s">
        <v>17</v>
      </c>
      <c r="E1761" t="s">
        <v>18</v>
      </c>
      <c r="F1761" s="1">
        <v>117.84</v>
      </c>
      <c r="G1761" t="s">
        <v>24</v>
      </c>
      <c r="H1761" t="s">
        <v>15</v>
      </c>
      <c r="I1761" s="2">
        <v>3.1</v>
      </c>
      <c r="J1761" s="4">
        <v>24</v>
      </c>
      <c r="K1761" s="3">
        <v>7</v>
      </c>
      <c r="L1761" s="1">
        <f t="shared" si="81"/>
        <v>89.558400000000006</v>
      </c>
      <c r="M1761" t="str" cm="1">
        <f t="array" ref="M1761">_xlfn.IFS(B1761&lt;18,"Under 18",B1761 &lt;=25,"18-25",B1761&lt;=35,"26-35",B1761&lt;=45,"36-45",B1761&lt;=60,"46-60",TRUE,"60+")</f>
        <v>18-25</v>
      </c>
      <c r="N1761" t="str">
        <f t="shared" si="82"/>
        <v>Discounted</v>
      </c>
      <c r="O1761" t="str">
        <f t="shared" si="83"/>
        <v>Returning</v>
      </c>
    </row>
    <row r="1762" spans="1:15" x14ac:dyDescent="0.25">
      <c r="A1762">
        <v>1761</v>
      </c>
      <c r="B1762">
        <v>44</v>
      </c>
      <c r="C1762" t="s">
        <v>16</v>
      </c>
      <c r="D1762" t="s">
        <v>17</v>
      </c>
      <c r="E1762" t="s">
        <v>18</v>
      </c>
      <c r="F1762" s="1">
        <v>194.65</v>
      </c>
      <c r="G1762" t="s">
        <v>19</v>
      </c>
      <c r="H1762" t="s">
        <v>15</v>
      </c>
      <c r="I1762" s="2">
        <v>4.2</v>
      </c>
      <c r="J1762" s="4">
        <v>22</v>
      </c>
      <c r="K1762" s="3">
        <v>6</v>
      </c>
      <c r="L1762" s="1">
        <f t="shared" si="81"/>
        <v>151.827</v>
      </c>
      <c r="M1762" t="str" cm="1">
        <f t="array" ref="M1762">_xlfn.IFS(B1762&lt;18,"Under 18",B1762 &lt;=25,"18-25",B1762&lt;=35,"26-35",B1762&lt;=45,"36-45",B1762&lt;=60,"46-60",TRUE,"60+")</f>
        <v>36-45</v>
      </c>
      <c r="N1762" t="str">
        <f t="shared" si="82"/>
        <v>Discounted</v>
      </c>
      <c r="O1762" t="str">
        <f t="shared" si="83"/>
        <v>Returning</v>
      </c>
    </row>
    <row r="1763" spans="1:15" x14ac:dyDescent="0.25">
      <c r="A1763">
        <v>1762</v>
      </c>
      <c r="B1763">
        <v>68</v>
      </c>
      <c r="C1763" t="s">
        <v>11</v>
      </c>
      <c r="D1763" t="s">
        <v>29</v>
      </c>
      <c r="E1763" t="s">
        <v>51</v>
      </c>
      <c r="F1763" s="1">
        <v>107.91</v>
      </c>
      <c r="G1763" t="s">
        <v>19</v>
      </c>
      <c r="H1763" t="s">
        <v>15</v>
      </c>
      <c r="I1763" s="2">
        <v>4</v>
      </c>
      <c r="J1763" s="4">
        <v>17</v>
      </c>
      <c r="K1763" s="3">
        <v>6</v>
      </c>
      <c r="L1763" s="1">
        <f t="shared" si="81"/>
        <v>89.565299999999993</v>
      </c>
      <c r="M1763" t="str" cm="1">
        <f t="array" ref="M1763">_xlfn.IFS(B1763&lt;18,"Under 18",B1763 &lt;=25,"18-25",B1763&lt;=35,"26-35",B1763&lt;=45,"36-45",B1763&lt;=60,"46-60",TRUE,"60+")</f>
        <v>60+</v>
      </c>
      <c r="N1763" t="str">
        <f t="shared" si="82"/>
        <v>Discounted</v>
      </c>
      <c r="O1763" t="str">
        <f t="shared" si="83"/>
        <v>Returning</v>
      </c>
    </row>
    <row r="1764" spans="1:15" x14ac:dyDescent="0.25">
      <c r="A1764">
        <v>1763</v>
      </c>
      <c r="B1764">
        <v>34</v>
      </c>
      <c r="C1764" t="s">
        <v>16</v>
      </c>
      <c r="D1764" t="s">
        <v>20</v>
      </c>
      <c r="E1764" t="s">
        <v>39</v>
      </c>
      <c r="F1764" s="1">
        <v>184.29</v>
      </c>
      <c r="G1764" t="s">
        <v>14</v>
      </c>
      <c r="H1764" t="s">
        <v>15</v>
      </c>
      <c r="I1764" s="2">
        <v>5</v>
      </c>
      <c r="J1764" s="4">
        <v>11</v>
      </c>
      <c r="K1764" s="3">
        <v>3</v>
      </c>
      <c r="L1764" s="1">
        <f t="shared" si="81"/>
        <v>164.0181</v>
      </c>
      <c r="M1764" t="str" cm="1">
        <f t="array" ref="M1764">_xlfn.IFS(B1764&lt;18,"Under 18",B1764 &lt;=25,"18-25",B1764&lt;=35,"26-35",B1764&lt;=45,"36-45",B1764&lt;=60,"46-60",TRUE,"60+")</f>
        <v>26-35</v>
      </c>
      <c r="N1764" t="str">
        <f t="shared" si="82"/>
        <v>Discounted</v>
      </c>
      <c r="O1764" t="str">
        <f t="shared" si="83"/>
        <v>Returning</v>
      </c>
    </row>
    <row r="1765" spans="1:15" x14ac:dyDescent="0.25">
      <c r="A1765">
        <v>1764</v>
      </c>
      <c r="B1765">
        <v>35</v>
      </c>
      <c r="C1765" t="s">
        <v>11</v>
      </c>
      <c r="D1765" t="s">
        <v>29</v>
      </c>
      <c r="E1765" t="s">
        <v>51</v>
      </c>
      <c r="F1765" s="1">
        <v>121.94</v>
      </c>
      <c r="G1765" t="s">
        <v>19</v>
      </c>
      <c r="H1765" t="s">
        <v>15</v>
      </c>
      <c r="I1765" s="2">
        <v>3.4</v>
      </c>
      <c r="J1765" s="4">
        <v>22</v>
      </c>
      <c r="K1765" s="3">
        <v>6</v>
      </c>
      <c r="L1765" s="1">
        <f t="shared" si="81"/>
        <v>95.113200000000006</v>
      </c>
      <c r="M1765" t="str" cm="1">
        <f t="array" ref="M1765">_xlfn.IFS(B1765&lt;18,"Under 18",B1765 &lt;=25,"18-25",B1765&lt;=35,"26-35",B1765&lt;=45,"36-45",B1765&lt;=60,"46-60",TRUE,"60+")</f>
        <v>26-35</v>
      </c>
      <c r="N1765" t="str">
        <f t="shared" si="82"/>
        <v>Discounted</v>
      </c>
      <c r="O1765" t="str">
        <f t="shared" si="83"/>
        <v>Returning</v>
      </c>
    </row>
    <row r="1766" spans="1:15" x14ac:dyDescent="0.25">
      <c r="A1766">
        <v>1765</v>
      </c>
      <c r="B1766">
        <v>51</v>
      </c>
      <c r="C1766" t="s">
        <v>16</v>
      </c>
      <c r="D1766" t="s">
        <v>20</v>
      </c>
      <c r="E1766" t="s">
        <v>21</v>
      </c>
      <c r="F1766" s="1">
        <v>218.04</v>
      </c>
      <c r="G1766" t="s">
        <v>31</v>
      </c>
      <c r="H1766" t="s">
        <v>15</v>
      </c>
      <c r="I1766" s="2">
        <v>3</v>
      </c>
      <c r="J1766" s="4">
        <v>20</v>
      </c>
      <c r="K1766" s="3">
        <v>5</v>
      </c>
      <c r="L1766" s="1">
        <f t="shared" si="81"/>
        <v>174.43200000000002</v>
      </c>
      <c r="M1766" t="str" cm="1">
        <f t="array" ref="M1766">_xlfn.IFS(B1766&lt;18,"Under 18",B1766 &lt;=25,"18-25",B1766&lt;=35,"26-35",B1766&lt;=45,"36-45",B1766&lt;=60,"46-60",TRUE,"60+")</f>
        <v>46-60</v>
      </c>
      <c r="N1766" t="str">
        <f t="shared" si="82"/>
        <v>Discounted</v>
      </c>
      <c r="O1766" t="str">
        <f t="shared" si="83"/>
        <v>Returning</v>
      </c>
    </row>
    <row r="1767" spans="1:15" x14ac:dyDescent="0.25">
      <c r="A1767">
        <v>1766</v>
      </c>
      <c r="B1767">
        <v>62</v>
      </c>
      <c r="C1767" t="s">
        <v>11</v>
      </c>
      <c r="D1767" t="s">
        <v>12</v>
      </c>
      <c r="E1767" t="s">
        <v>13</v>
      </c>
      <c r="F1767" s="1">
        <v>90.96</v>
      </c>
      <c r="G1767" t="s">
        <v>24</v>
      </c>
      <c r="H1767" t="s">
        <v>15</v>
      </c>
      <c r="I1767" s="2">
        <v>3.6</v>
      </c>
      <c r="J1767" s="4">
        <v>11</v>
      </c>
      <c r="K1767" s="3">
        <v>3</v>
      </c>
      <c r="L1767" s="1">
        <f t="shared" si="81"/>
        <v>80.954399999999993</v>
      </c>
      <c r="M1767" t="str" cm="1">
        <f t="array" ref="M1767">_xlfn.IFS(B1767&lt;18,"Under 18",B1767 &lt;=25,"18-25",B1767&lt;=35,"26-35",B1767&lt;=45,"36-45",B1767&lt;=60,"46-60",TRUE,"60+")</f>
        <v>60+</v>
      </c>
      <c r="N1767" t="str">
        <f t="shared" si="82"/>
        <v>Discounted</v>
      </c>
      <c r="O1767" t="str">
        <f t="shared" si="83"/>
        <v>Returning</v>
      </c>
    </row>
    <row r="1768" spans="1:15" x14ac:dyDescent="0.25">
      <c r="A1768">
        <v>1767</v>
      </c>
      <c r="B1768">
        <v>44</v>
      </c>
      <c r="C1768" t="s">
        <v>16</v>
      </c>
      <c r="D1768" t="s">
        <v>27</v>
      </c>
      <c r="E1768" t="s">
        <v>49</v>
      </c>
      <c r="F1768" s="1">
        <v>2617.6799999999998</v>
      </c>
      <c r="G1768" t="s">
        <v>14</v>
      </c>
      <c r="H1768" t="s">
        <v>15</v>
      </c>
      <c r="I1768" s="2">
        <v>3.7</v>
      </c>
      <c r="J1768" s="4">
        <v>12</v>
      </c>
      <c r="K1768" s="3">
        <v>6</v>
      </c>
      <c r="L1768" s="1">
        <f t="shared" si="81"/>
        <v>2303.5583999999999</v>
      </c>
      <c r="M1768" t="str" cm="1">
        <f t="array" ref="M1768">_xlfn.IFS(B1768&lt;18,"Under 18",B1768 &lt;=25,"18-25",B1768&lt;=35,"26-35",B1768&lt;=45,"36-45",B1768&lt;=60,"46-60",TRUE,"60+")</f>
        <v>36-45</v>
      </c>
      <c r="N1768" t="str">
        <f t="shared" si="82"/>
        <v>Discounted</v>
      </c>
      <c r="O1768" t="str">
        <f t="shared" si="83"/>
        <v>Returning</v>
      </c>
    </row>
    <row r="1769" spans="1:15" x14ac:dyDescent="0.25">
      <c r="A1769">
        <v>1768</v>
      </c>
      <c r="B1769">
        <v>29</v>
      </c>
      <c r="C1769" t="s">
        <v>16</v>
      </c>
      <c r="D1769" t="s">
        <v>20</v>
      </c>
      <c r="E1769" t="s">
        <v>21</v>
      </c>
      <c r="F1769" s="1">
        <v>165.92</v>
      </c>
      <c r="G1769" t="s">
        <v>19</v>
      </c>
      <c r="H1769" t="s">
        <v>15</v>
      </c>
      <c r="I1769" s="2">
        <v>3.2</v>
      </c>
      <c r="J1769" s="4">
        <v>19</v>
      </c>
      <c r="K1769" s="3">
        <v>7</v>
      </c>
      <c r="L1769" s="1">
        <f t="shared" si="81"/>
        <v>134.39519999999999</v>
      </c>
      <c r="M1769" t="str" cm="1">
        <f t="array" ref="M1769">_xlfn.IFS(B1769&lt;18,"Under 18",B1769 &lt;=25,"18-25",B1769&lt;=35,"26-35",B1769&lt;=45,"36-45",B1769&lt;=60,"46-60",TRUE,"60+")</f>
        <v>26-35</v>
      </c>
      <c r="N1769" t="str">
        <f t="shared" si="82"/>
        <v>Discounted</v>
      </c>
      <c r="O1769" t="str">
        <f t="shared" si="83"/>
        <v>Returning</v>
      </c>
    </row>
    <row r="1770" spans="1:15" x14ac:dyDescent="0.25">
      <c r="A1770">
        <v>1769</v>
      </c>
      <c r="B1770">
        <v>67</v>
      </c>
      <c r="C1770" t="s">
        <v>11</v>
      </c>
      <c r="D1770" t="s">
        <v>29</v>
      </c>
      <c r="E1770" t="s">
        <v>55</v>
      </c>
      <c r="F1770" s="1">
        <v>120.75</v>
      </c>
      <c r="G1770" t="s">
        <v>14</v>
      </c>
      <c r="H1770" t="s">
        <v>15</v>
      </c>
      <c r="I1770" s="2">
        <v>3.4</v>
      </c>
      <c r="J1770" s="4">
        <v>13</v>
      </c>
      <c r="K1770" s="3">
        <v>4</v>
      </c>
      <c r="L1770" s="1">
        <f t="shared" si="81"/>
        <v>105.05249999999999</v>
      </c>
      <c r="M1770" t="str" cm="1">
        <f t="array" ref="M1770">_xlfn.IFS(B1770&lt;18,"Under 18",B1770 &lt;=25,"18-25",B1770&lt;=35,"26-35",B1770&lt;=45,"36-45",B1770&lt;=60,"46-60",TRUE,"60+")</f>
        <v>60+</v>
      </c>
      <c r="N1770" t="str">
        <f t="shared" si="82"/>
        <v>Discounted</v>
      </c>
      <c r="O1770" t="str">
        <f t="shared" si="83"/>
        <v>Returning</v>
      </c>
    </row>
    <row r="1771" spans="1:15" x14ac:dyDescent="0.25">
      <c r="A1771">
        <v>1770</v>
      </c>
      <c r="B1771">
        <v>55</v>
      </c>
      <c r="C1771" t="s">
        <v>11</v>
      </c>
      <c r="D1771" t="s">
        <v>33</v>
      </c>
      <c r="E1771" t="s">
        <v>34</v>
      </c>
      <c r="F1771" s="1">
        <v>213.52</v>
      </c>
      <c r="G1771" t="s">
        <v>24</v>
      </c>
      <c r="H1771" t="s">
        <v>15</v>
      </c>
      <c r="I1771" s="2">
        <v>3.1</v>
      </c>
      <c r="J1771" s="4">
        <v>14</v>
      </c>
      <c r="K1771" s="3">
        <v>7</v>
      </c>
      <c r="L1771" s="1">
        <f t="shared" si="81"/>
        <v>183.62720000000002</v>
      </c>
      <c r="M1771" t="str" cm="1">
        <f t="array" ref="M1771">_xlfn.IFS(B1771&lt;18,"Under 18",B1771 &lt;=25,"18-25",B1771&lt;=35,"26-35",B1771&lt;=45,"36-45",B1771&lt;=60,"46-60",TRUE,"60+")</f>
        <v>46-60</v>
      </c>
      <c r="N1771" t="str">
        <f t="shared" si="82"/>
        <v>Discounted</v>
      </c>
      <c r="O1771" t="str">
        <f t="shared" si="83"/>
        <v>Returning</v>
      </c>
    </row>
    <row r="1772" spans="1:15" x14ac:dyDescent="0.25">
      <c r="A1772">
        <v>1771</v>
      </c>
      <c r="B1772">
        <v>55</v>
      </c>
      <c r="C1772" t="s">
        <v>16</v>
      </c>
      <c r="D1772" t="s">
        <v>27</v>
      </c>
      <c r="E1772" t="s">
        <v>28</v>
      </c>
      <c r="F1772" s="1">
        <v>2217.08</v>
      </c>
      <c r="G1772" t="s">
        <v>24</v>
      </c>
      <c r="H1772" t="s">
        <v>15</v>
      </c>
      <c r="I1772" s="2">
        <v>4.2</v>
      </c>
      <c r="J1772" s="4">
        <v>21</v>
      </c>
      <c r="K1772" s="3">
        <v>8</v>
      </c>
      <c r="L1772" s="1">
        <f t="shared" si="81"/>
        <v>1751.4932000000001</v>
      </c>
      <c r="M1772" t="str" cm="1">
        <f t="array" ref="M1772">_xlfn.IFS(B1772&lt;18,"Under 18",B1772 &lt;=25,"18-25",B1772&lt;=35,"26-35",B1772&lt;=45,"36-45",B1772&lt;=60,"46-60",TRUE,"60+")</f>
        <v>46-60</v>
      </c>
      <c r="N1772" t="str">
        <f t="shared" si="82"/>
        <v>Discounted</v>
      </c>
      <c r="O1772" t="str">
        <f t="shared" si="83"/>
        <v>Returning</v>
      </c>
    </row>
    <row r="1773" spans="1:15" x14ac:dyDescent="0.25">
      <c r="A1773">
        <v>1772</v>
      </c>
      <c r="B1773">
        <v>45</v>
      </c>
      <c r="C1773" t="s">
        <v>11</v>
      </c>
      <c r="D1773" t="s">
        <v>33</v>
      </c>
      <c r="E1773" t="s">
        <v>38</v>
      </c>
      <c r="F1773" s="1">
        <v>101.95</v>
      </c>
      <c r="G1773" t="s">
        <v>24</v>
      </c>
      <c r="H1773" t="s">
        <v>15</v>
      </c>
      <c r="I1773" s="2">
        <v>3.5</v>
      </c>
      <c r="J1773" s="4">
        <v>12</v>
      </c>
      <c r="K1773" s="3">
        <v>1</v>
      </c>
      <c r="L1773" s="1">
        <f t="shared" si="81"/>
        <v>89.716000000000008</v>
      </c>
      <c r="M1773" t="str" cm="1">
        <f t="array" ref="M1773">_xlfn.IFS(B1773&lt;18,"Under 18",B1773 &lt;=25,"18-25",B1773&lt;=35,"26-35",B1773&lt;=45,"36-45",B1773&lt;=60,"46-60",TRUE,"60+")</f>
        <v>36-45</v>
      </c>
      <c r="N1773" t="str">
        <f t="shared" si="82"/>
        <v>Discounted</v>
      </c>
      <c r="O1773" t="str">
        <f t="shared" si="83"/>
        <v>Returning</v>
      </c>
    </row>
    <row r="1774" spans="1:15" x14ac:dyDescent="0.25">
      <c r="A1774">
        <v>1773</v>
      </c>
      <c r="B1774">
        <v>58</v>
      </c>
      <c r="C1774" t="s">
        <v>11</v>
      </c>
      <c r="D1774" t="s">
        <v>33</v>
      </c>
      <c r="E1774" t="s">
        <v>38</v>
      </c>
      <c r="F1774" s="1">
        <v>89.54</v>
      </c>
      <c r="G1774" t="s">
        <v>24</v>
      </c>
      <c r="H1774" t="s">
        <v>37</v>
      </c>
      <c r="I1774" s="2">
        <v>4.3</v>
      </c>
      <c r="J1774" s="4">
        <v>15</v>
      </c>
      <c r="K1774" s="3">
        <v>5</v>
      </c>
      <c r="L1774" s="1">
        <f t="shared" si="81"/>
        <v>76.109000000000009</v>
      </c>
      <c r="M1774" t="str" cm="1">
        <f t="array" ref="M1774">_xlfn.IFS(B1774&lt;18,"Under 18",B1774 &lt;=25,"18-25",B1774&lt;=35,"26-35",B1774&lt;=45,"36-45",B1774&lt;=60,"46-60",TRUE,"60+")</f>
        <v>46-60</v>
      </c>
      <c r="N1774" t="str">
        <f t="shared" si="82"/>
        <v>Discounted</v>
      </c>
      <c r="O1774" t="str">
        <f t="shared" si="83"/>
        <v>Returning</v>
      </c>
    </row>
    <row r="1775" spans="1:15" x14ac:dyDescent="0.25">
      <c r="A1775">
        <v>1774</v>
      </c>
      <c r="B1775">
        <v>25</v>
      </c>
      <c r="C1775" t="s">
        <v>11</v>
      </c>
      <c r="D1775" t="s">
        <v>29</v>
      </c>
      <c r="E1775" t="s">
        <v>51</v>
      </c>
      <c r="F1775" s="1">
        <v>53.08</v>
      </c>
      <c r="G1775" t="s">
        <v>31</v>
      </c>
      <c r="H1775" t="s">
        <v>15</v>
      </c>
      <c r="I1775" s="2">
        <v>2.9</v>
      </c>
      <c r="J1775" s="4">
        <v>8</v>
      </c>
      <c r="K1775" s="3">
        <v>4</v>
      </c>
      <c r="L1775" s="1">
        <f t="shared" si="81"/>
        <v>48.833599999999997</v>
      </c>
      <c r="M1775" t="str" cm="1">
        <f t="array" ref="M1775">_xlfn.IFS(B1775&lt;18,"Under 18",B1775 &lt;=25,"18-25",B1775&lt;=35,"26-35",B1775&lt;=45,"36-45",B1775&lt;=60,"46-60",TRUE,"60+")</f>
        <v>18-25</v>
      </c>
      <c r="N1775" t="str">
        <f t="shared" si="82"/>
        <v>Discounted</v>
      </c>
      <c r="O1775" t="str">
        <f t="shared" si="83"/>
        <v>Returning</v>
      </c>
    </row>
    <row r="1776" spans="1:15" x14ac:dyDescent="0.25">
      <c r="A1776">
        <v>1775</v>
      </c>
      <c r="B1776">
        <v>31</v>
      </c>
      <c r="C1776" t="s">
        <v>11</v>
      </c>
      <c r="D1776" t="s">
        <v>25</v>
      </c>
      <c r="E1776" t="s">
        <v>47</v>
      </c>
      <c r="F1776" s="1">
        <v>54.74</v>
      </c>
      <c r="G1776" t="s">
        <v>14</v>
      </c>
      <c r="H1776" t="s">
        <v>37</v>
      </c>
      <c r="I1776" s="2">
        <v>3.8</v>
      </c>
      <c r="J1776" s="4">
        <v>24</v>
      </c>
      <c r="K1776" s="3">
        <v>7</v>
      </c>
      <c r="L1776" s="1">
        <f t="shared" si="81"/>
        <v>41.602400000000003</v>
      </c>
      <c r="M1776" t="str" cm="1">
        <f t="array" ref="M1776">_xlfn.IFS(B1776&lt;18,"Under 18",B1776 &lt;=25,"18-25",B1776&lt;=35,"26-35",B1776&lt;=45,"36-45",B1776&lt;=60,"46-60",TRUE,"60+")</f>
        <v>26-35</v>
      </c>
      <c r="N1776" t="str">
        <f t="shared" si="82"/>
        <v>Discounted</v>
      </c>
      <c r="O1776" t="str">
        <f t="shared" si="83"/>
        <v>Returning</v>
      </c>
    </row>
    <row r="1777" spans="1:15" x14ac:dyDescent="0.25">
      <c r="A1777">
        <v>1776</v>
      </c>
      <c r="B1777">
        <v>43</v>
      </c>
      <c r="C1777" t="s">
        <v>11</v>
      </c>
      <c r="D1777" t="s">
        <v>33</v>
      </c>
      <c r="E1777" t="s">
        <v>40</v>
      </c>
      <c r="F1777" s="1">
        <v>117.15</v>
      </c>
      <c r="G1777" t="s">
        <v>31</v>
      </c>
      <c r="H1777" t="s">
        <v>15</v>
      </c>
      <c r="I1777" s="2">
        <v>3.1</v>
      </c>
      <c r="J1777" s="4">
        <v>14</v>
      </c>
      <c r="K1777" s="3">
        <v>7</v>
      </c>
      <c r="L1777" s="1">
        <f t="shared" si="81"/>
        <v>100.74900000000001</v>
      </c>
      <c r="M1777" t="str" cm="1">
        <f t="array" ref="M1777">_xlfn.IFS(B1777&lt;18,"Under 18",B1777 &lt;=25,"18-25",B1777&lt;=35,"26-35",B1777&lt;=45,"36-45",B1777&lt;=60,"46-60",TRUE,"60+")</f>
        <v>36-45</v>
      </c>
      <c r="N1777" t="str">
        <f t="shared" si="82"/>
        <v>Discounted</v>
      </c>
      <c r="O1777" t="str">
        <f t="shared" si="83"/>
        <v>Returning</v>
      </c>
    </row>
    <row r="1778" spans="1:15" x14ac:dyDescent="0.25">
      <c r="A1778">
        <v>1777</v>
      </c>
      <c r="B1778">
        <v>63</v>
      </c>
      <c r="C1778" t="s">
        <v>16</v>
      </c>
      <c r="D1778" t="s">
        <v>33</v>
      </c>
      <c r="E1778" t="s">
        <v>40</v>
      </c>
      <c r="F1778" s="1">
        <v>92.46</v>
      </c>
      <c r="G1778" t="s">
        <v>19</v>
      </c>
      <c r="H1778" t="s">
        <v>37</v>
      </c>
      <c r="I1778" s="2">
        <v>4.3</v>
      </c>
      <c r="J1778" s="4">
        <v>13</v>
      </c>
      <c r="K1778" s="3">
        <v>4</v>
      </c>
      <c r="L1778" s="1">
        <f t="shared" si="81"/>
        <v>80.44019999999999</v>
      </c>
      <c r="M1778" t="str" cm="1">
        <f t="array" ref="M1778">_xlfn.IFS(B1778&lt;18,"Under 18",B1778 &lt;=25,"18-25",B1778&lt;=35,"26-35",B1778&lt;=45,"36-45",B1778&lt;=60,"46-60",TRUE,"60+")</f>
        <v>60+</v>
      </c>
      <c r="N1778" t="str">
        <f t="shared" si="82"/>
        <v>Discounted</v>
      </c>
      <c r="O1778" t="str">
        <f t="shared" si="83"/>
        <v>Returning</v>
      </c>
    </row>
    <row r="1779" spans="1:15" x14ac:dyDescent="0.25">
      <c r="A1779">
        <v>1778</v>
      </c>
      <c r="B1779">
        <v>40</v>
      </c>
      <c r="C1779" t="s">
        <v>11</v>
      </c>
      <c r="D1779" t="s">
        <v>25</v>
      </c>
      <c r="E1779" t="s">
        <v>54</v>
      </c>
      <c r="F1779" s="1">
        <v>25.19</v>
      </c>
      <c r="G1779" t="s">
        <v>31</v>
      </c>
      <c r="H1779" t="s">
        <v>15</v>
      </c>
      <c r="I1779" s="2">
        <v>3.4</v>
      </c>
      <c r="J1779" s="4">
        <v>17</v>
      </c>
      <c r="K1779" s="3">
        <v>6</v>
      </c>
      <c r="L1779" s="1">
        <f t="shared" si="81"/>
        <v>20.907699999999998</v>
      </c>
      <c r="M1779" t="str" cm="1">
        <f t="array" ref="M1779">_xlfn.IFS(B1779&lt;18,"Under 18",B1779 &lt;=25,"18-25",B1779&lt;=35,"26-35",B1779&lt;=45,"36-45",B1779&lt;=60,"46-60",TRUE,"60+")</f>
        <v>36-45</v>
      </c>
      <c r="N1779" t="str">
        <f t="shared" si="82"/>
        <v>Discounted</v>
      </c>
      <c r="O1779" t="str">
        <f t="shared" si="83"/>
        <v>Returning</v>
      </c>
    </row>
    <row r="1780" spans="1:15" x14ac:dyDescent="0.25">
      <c r="A1780">
        <v>1779</v>
      </c>
      <c r="B1780">
        <v>25</v>
      </c>
      <c r="C1780" t="s">
        <v>16</v>
      </c>
      <c r="D1780" t="s">
        <v>20</v>
      </c>
      <c r="E1780" t="s">
        <v>39</v>
      </c>
      <c r="F1780" s="1">
        <v>204.19</v>
      </c>
      <c r="G1780" t="s">
        <v>31</v>
      </c>
      <c r="H1780" t="s">
        <v>15</v>
      </c>
      <c r="I1780" s="2">
        <v>3.9</v>
      </c>
      <c r="J1780" s="4">
        <v>4</v>
      </c>
      <c r="K1780" s="3">
        <v>2</v>
      </c>
      <c r="L1780" s="1">
        <f t="shared" si="81"/>
        <v>196.0224</v>
      </c>
      <c r="M1780" t="str" cm="1">
        <f t="array" ref="M1780">_xlfn.IFS(B1780&lt;18,"Under 18",B1780 &lt;=25,"18-25",B1780&lt;=35,"26-35",B1780&lt;=45,"36-45",B1780&lt;=60,"46-60",TRUE,"60+")</f>
        <v>18-25</v>
      </c>
      <c r="N1780" t="str">
        <f t="shared" si="82"/>
        <v>Discounted</v>
      </c>
      <c r="O1780" t="str">
        <f t="shared" si="83"/>
        <v>Returning</v>
      </c>
    </row>
    <row r="1781" spans="1:15" x14ac:dyDescent="0.25">
      <c r="A1781">
        <v>1780</v>
      </c>
      <c r="B1781">
        <v>24</v>
      </c>
      <c r="C1781" t="s">
        <v>11</v>
      </c>
      <c r="D1781" t="s">
        <v>25</v>
      </c>
      <c r="E1781" t="s">
        <v>47</v>
      </c>
      <c r="F1781" s="1">
        <v>68.44</v>
      </c>
      <c r="G1781" t="s">
        <v>14</v>
      </c>
      <c r="H1781" t="s">
        <v>15</v>
      </c>
      <c r="I1781" s="2">
        <v>3.7</v>
      </c>
      <c r="J1781" s="4">
        <v>15</v>
      </c>
      <c r="K1781" s="3">
        <v>5</v>
      </c>
      <c r="L1781" s="1">
        <f t="shared" si="81"/>
        <v>58.173999999999999</v>
      </c>
      <c r="M1781" t="str" cm="1">
        <f t="array" ref="M1781">_xlfn.IFS(B1781&lt;18,"Under 18",B1781 &lt;=25,"18-25",B1781&lt;=35,"26-35",B1781&lt;=45,"36-45",B1781&lt;=60,"46-60",TRUE,"60+")</f>
        <v>18-25</v>
      </c>
      <c r="N1781" t="str">
        <f t="shared" si="82"/>
        <v>Discounted</v>
      </c>
      <c r="O1781" t="str">
        <f t="shared" si="83"/>
        <v>Returning</v>
      </c>
    </row>
    <row r="1782" spans="1:15" x14ac:dyDescent="0.25">
      <c r="A1782">
        <v>1781</v>
      </c>
      <c r="B1782">
        <v>57</v>
      </c>
      <c r="C1782" t="s">
        <v>11</v>
      </c>
      <c r="D1782" t="s">
        <v>33</v>
      </c>
      <c r="E1782" t="s">
        <v>34</v>
      </c>
      <c r="F1782" s="1">
        <v>65.540000000000006</v>
      </c>
      <c r="G1782" t="s">
        <v>31</v>
      </c>
      <c r="H1782" t="s">
        <v>37</v>
      </c>
      <c r="I1782" s="2">
        <v>4.2</v>
      </c>
      <c r="J1782" s="4">
        <v>16</v>
      </c>
      <c r="K1782" s="3">
        <v>8</v>
      </c>
      <c r="L1782" s="1">
        <f t="shared" si="81"/>
        <v>55.053600000000003</v>
      </c>
      <c r="M1782" t="str" cm="1">
        <f t="array" ref="M1782">_xlfn.IFS(B1782&lt;18,"Under 18",B1782 &lt;=25,"18-25",B1782&lt;=35,"26-35",B1782&lt;=45,"36-45",B1782&lt;=60,"46-60",TRUE,"60+")</f>
        <v>46-60</v>
      </c>
      <c r="N1782" t="str">
        <f t="shared" si="82"/>
        <v>Discounted</v>
      </c>
      <c r="O1782" t="str">
        <f t="shared" si="83"/>
        <v>Returning</v>
      </c>
    </row>
    <row r="1783" spans="1:15" x14ac:dyDescent="0.25">
      <c r="A1783">
        <v>1782</v>
      </c>
      <c r="B1783">
        <v>57</v>
      </c>
      <c r="C1783" t="s">
        <v>16</v>
      </c>
      <c r="D1783" t="s">
        <v>33</v>
      </c>
      <c r="E1783" t="s">
        <v>34</v>
      </c>
      <c r="F1783" s="1">
        <v>90.98</v>
      </c>
      <c r="G1783" t="s">
        <v>14</v>
      </c>
      <c r="H1783" t="s">
        <v>15</v>
      </c>
      <c r="I1783" s="2">
        <v>3</v>
      </c>
      <c r="J1783" s="4">
        <v>16</v>
      </c>
      <c r="K1783" s="3">
        <v>8</v>
      </c>
      <c r="L1783" s="1">
        <f t="shared" si="81"/>
        <v>76.423199999999994</v>
      </c>
      <c r="M1783" t="str" cm="1">
        <f t="array" ref="M1783">_xlfn.IFS(B1783&lt;18,"Under 18",B1783 &lt;=25,"18-25",B1783&lt;=35,"26-35",B1783&lt;=45,"36-45",B1783&lt;=60,"46-60",TRUE,"60+")</f>
        <v>46-60</v>
      </c>
      <c r="N1783" t="str">
        <f t="shared" si="82"/>
        <v>Discounted</v>
      </c>
      <c r="O1783" t="str">
        <f t="shared" si="83"/>
        <v>Returning</v>
      </c>
    </row>
    <row r="1784" spans="1:15" x14ac:dyDescent="0.25">
      <c r="A1784">
        <v>1783</v>
      </c>
      <c r="B1784">
        <v>23</v>
      </c>
      <c r="C1784" t="s">
        <v>16</v>
      </c>
      <c r="D1784" t="s">
        <v>27</v>
      </c>
      <c r="E1784" t="s">
        <v>53</v>
      </c>
      <c r="F1784" s="1">
        <v>2369.0100000000002</v>
      </c>
      <c r="G1784" t="s">
        <v>31</v>
      </c>
      <c r="H1784" t="s">
        <v>15</v>
      </c>
      <c r="I1784" s="2">
        <v>4.0999999999999996</v>
      </c>
      <c r="J1784" s="4">
        <v>0</v>
      </c>
      <c r="K1784" s="3">
        <v>0</v>
      </c>
      <c r="L1784" s="1">
        <f t="shared" si="81"/>
        <v>2369.0100000000002</v>
      </c>
      <c r="M1784" t="str" cm="1">
        <f t="array" ref="M1784">_xlfn.IFS(B1784&lt;18,"Under 18",B1784 &lt;=25,"18-25",B1784&lt;=35,"26-35",B1784&lt;=45,"36-45",B1784&lt;=60,"46-60",TRUE,"60+")</f>
        <v>18-25</v>
      </c>
      <c r="N1784" t="str">
        <f t="shared" si="82"/>
        <v>No Discount</v>
      </c>
      <c r="O1784" t="str">
        <f t="shared" si="83"/>
        <v>New</v>
      </c>
    </row>
    <row r="1785" spans="1:15" x14ac:dyDescent="0.25">
      <c r="A1785">
        <v>1784</v>
      </c>
      <c r="B1785">
        <v>63</v>
      </c>
      <c r="C1785" t="s">
        <v>11</v>
      </c>
      <c r="D1785" t="s">
        <v>29</v>
      </c>
      <c r="E1785" t="s">
        <v>55</v>
      </c>
      <c r="F1785" s="1">
        <v>131.24</v>
      </c>
      <c r="G1785" t="s">
        <v>14</v>
      </c>
      <c r="H1785" t="s">
        <v>15</v>
      </c>
      <c r="I1785" s="2">
        <v>4.0999999999999996</v>
      </c>
      <c r="J1785" s="4">
        <v>11</v>
      </c>
      <c r="K1785" s="3">
        <v>3</v>
      </c>
      <c r="L1785" s="1">
        <f t="shared" si="81"/>
        <v>116.8036</v>
      </c>
      <c r="M1785" t="str" cm="1">
        <f t="array" ref="M1785">_xlfn.IFS(B1785&lt;18,"Under 18",B1785 &lt;=25,"18-25",B1785&lt;=35,"26-35",B1785&lt;=45,"36-45",B1785&lt;=60,"46-60",TRUE,"60+")</f>
        <v>60+</v>
      </c>
      <c r="N1785" t="str">
        <f t="shared" si="82"/>
        <v>Discounted</v>
      </c>
      <c r="O1785" t="str">
        <f t="shared" si="83"/>
        <v>Returning</v>
      </c>
    </row>
    <row r="1786" spans="1:15" x14ac:dyDescent="0.25">
      <c r="A1786">
        <v>1785</v>
      </c>
      <c r="B1786">
        <v>34</v>
      </c>
      <c r="C1786" t="s">
        <v>16</v>
      </c>
      <c r="D1786" t="s">
        <v>20</v>
      </c>
      <c r="E1786" t="s">
        <v>39</v>
      </c>
      <c r="F1786" s="1">
        <v>152.61000000000001</v>
      </c>
      <c r="G1786" t="s">
        <v>31</v>
      </c>
      <c r="H1786" t="s">
        <v>15</v>
      </c>
      <c r="I1786" s="2">
        <v>3.7</v>
      </c>
      <c r="J1786" s="4">
        <v>8</v>
      </c>
      <c r="K1786" s="3">
        <v>4</v>
      </c>
      <c r="L1786" s="1">
        <f t="shared" si="81"/>
        <v>140.40120000000002</v>
      </c>
      <c r="M1786" t="str" cm="1">
        <f t="array" ref="M1786">_xlfn.IFS(B1786&lt;18,"Under 18",B1786 &lt;=25,"18-25",B1786&lt;=35,"26-35",B1786&lt;=45,"36-45",B1786&lt;=60,"46-60",TRUE,"60+")</f>
        <v>26-35</v>
      </c>
      <c r="N1786" t="str">
        <f t="shared" si="82"/>
        <v>Discounted</v>
      </c>
      <c r="O1786" t="str">
        <f t="shared" si="83"/>
        <v>Returning</v>
      </c>
    </row>
    <row r="1787" spans="1:15" x14ac:dyDescent="0.25">
      <c r="A1787">
        <v>1786</v>
      </c>
      <c r="B1787">
        <v>64</v>
      </c>
      <c r="C1787" t="s">
        <v>11</v>
      </c>
      <c r="D1787" t="s">
        <v>20</v>
      </c>
      <c r="E1787" t="s">
        <v>39</v>
      </c>
      <c r="F1787" s="1">
        <v>224.38</v>
      </c>
      <c r="G1787" t="s">
        <v>19</v>
      </c>
      <c r="H1787" t="s">
        <v>15</v>
      </c>
      <c r="I1787" s="2">
        <v>3.4</v>
      </c>
      <c r="J1787" s="4">
        <v>11</v>
      </c>
      <c r="K1787" s="3">
        <v>3</v>
      </c>
      <c r="L1787" s="1">
        <f t="shared" si="81"/>
        <v>199.69819999999999</v>
      </c>
      <c r="M1787" t="str" cm="1">
        <f t="array" ref="M1787">_xlfn.IFS(B1787&lt;18,"Under 18",B1787 &lt;=25,"18-25",B1787&lt;=35,"26-35",B1787&lt;=45,"36-45",B1787&lt;=60,"46-60",TRUE,"60+")</f>
        <v>60+</v>
      </c>
      <c r="N1787" t="str">
        <f t="shared" si="82"/>
        <v>Discounted</v>
      </c>
      <c r="O1787" t="str">
        <f t="shared" si="83"/>
        <v>Returning</v>
      </c>
    </row>
    <row r="1788" spans="1:15" x14ac:dyDescent="0.25">
      <c r="A1788">
        <v>1787</v>
      </c>
      <c r="B1788">
        <v>52</v>
      </c>
      <c r="C1788" t="s">
        <v>16</v>
      </c>
      <c r="D1788" t="s">
        <v>17</v>
      </c>
      <c r="E1788" t="s">
        <v>35</v>
      </c>
      <c r="F1788" s="1">
        <v>31.54</v>
      </c>
      <c r="G1788" t="s">
        <v>19</v>
      </c>
      <c r="H1788" t="s">
        <v>37</v>
      </c>
      <c r="I1788" s="2">
        <v>3.7</v>
      </c>
      <c r="J1788" s="4">
        <v>18</v>
      </c>
      <c r="K1788" s="3">
        <v>4</v>
      </c>
      <c r="L1788" s="1">
        <f t="shared" si="81"/>
        <v>25.8628</v>
      </c>
      <c r="M1788" t="str" cm="1">
        <f t="array" ref="M1788">_xlfn.IFS(B1788&lt;18,"Under 18",B1788 &lt;=25,"18-25",B1788&lt;=35,"26-35",B1788&lt;=45,"36-45",B1788&lt;=60,"46-60",TRUE,"60+")</f>
        <v>46-60</v>
      </c>
      <c r="N1788" t="str">
        <f t="shared" si="82"/>
        <v>Discounted</v>
      </c>
      <c r="O1788" t="str">
        <f t="shared" si="83"/>
        <v>Returning</v>
      </c>
    </row>
    <row r="1789" spans="1:15" x14ac:dyDescent="0.25">
      <c r="A1789">
        <v>1788</v>
      </c>
      <c r="B1789">
        <v>31</v>
      </c>
      <c r="C1789" t="s">
        <v>11</v>
      </c>
      <c r="D1789" t="s">
        <v>29</v>
      </c>
      <c r="E1789" t="s">
        <v>51</v>
      </c>
      <c r="F1789" s="1">
        <v>122.72</v>
      </c>
      <c r="G1789" t="s">
        <v>31</v>
      </c>
      <c r="H1789" t="s">
        <v>15</v>
      </c>
      <c r="I1789" s="2">
        <v>3.2</v>
      </c>
      <c r="J1789" s="4">
        <v>9</v>
      </c>
      <c r="K1789" s="3">
        <v>2</v>
      </c>
      <c r="L1789" s="1">
        <f t="shared" si="81"/>
        <v>111.6752</v>
      </c>
      <c r="M1789" t="str" cm="1">
        <f t="array" ref="M1789">_xlfn.IFS(B1789&lt;18,"Under 18",B1789 &lt;=25,"18-25",B1789&lt;=35,"26-35",B1789&lt;=45,"36-45",B1789&lt;=60,"46-60",TRUE,"60+")</f>
        <v>26-35</v>
      </c>
      <c r="N1789" t="str">
        <f t="shared" si="82"/>
        <v>Discounted</v>
      </c>
      <c r="O1789" t="str">
        <f t="shared" si="83"/>
        <v>Returning</v>
      </c>
    </row>
    <row r="1790" spans="1:15" x14ac:dyDescent="0.25">
      <c r="A1790">
        <v>1789</v>
      </c>
      <c r="B1790">
        <v>56</v>
      </c>
      <c r="C1790" t="s">
        <v>11</v>
      </c>
      <c r="D1790" t="s">
        <v>12</v>
      </c>
      <c r="E1790" t="s">
        <v>50</v>
      </c>
      <c r="F1790" s="1">
        <v>60.7</v>
      </c>
      <c r="G1790" t="s">
        <v>31</v>
      </c>
      <c r="H1790" t="s">
        <v>15</v>
      </c>
      <c r="I1790" s="2">
        <v>4.0999999999999996</v>
      </c>
      <c r="J1790" s="4">
        <v>14</v>
      </c>
      <c r="K1790" s="3">
        <v>7</v>
      </c>
      <c r="L1790" s="1">
        <f t="shared" si="81"/>
        <v>52.201999999999998</v>
      </c>
      <c r="M1790" t="str" cm="1">
        <f t="array" ref="M1790">_xlfn.IFS(B1790&lt;18,"Under 18",B1790 &lt;=25,"18-25",B1790&lt;=35,"26-35",B1790&lt;=45,"36-45",B1790&lt;=60,"46-60",TRUE,"60+")</f>
        <v>46-60</v>
      </c>
      <c r="N1790" t="str">
        <f t="shared" si="82"/>
        <v>Discounted</v>
      </c>
      <c r="O1790" t="str">
        <f t="shared" si="83"/>
        <v>Returning</v>
      </c>
    </row>
    <row r="1791" spans="1:15" x14ac:dyDescent="0.25">
      <c r="A1791">
        <v>1790</v>
      </c>
      <c r="B1791">
        <v>64</v>
      </c>
      <c r="C1791" t="s">
        <v>16</v>
      </c>
      <c r="D1791" t="s">
        <v>25</v>
      </c>
      <c r="E1791" t="s">
        <v>54</v>
      </c>
      <c r="F1791" s="1">
        <v>40.94</v>
      </c>
      <c r="G1791" t="s">
        <v>14</v>
      </c>
      <c r="H1791" t="s">
        <v>15</v>
      </c>
      <c r="I1791" s="2">
        <v>3.5</v>
      </c>
      <c r="J1791" s="4">
        <v>13</v>
      </c>
      <c r="K1791" s="3">
        <v>4</v>
      </c>
      <c r="L1791" s="1">
        <f t="shared" si="81"/>
        <v>35.617799999999995</v>
      </c>
      <c r="M1791" t="str" cm="1">
        <f t="array" ref="M1791">_xlfn.IFS(B1791&lt;18,"Under 18",B1791 &lt;=25,"18-25",B1791&lt;=35,"26-35",B1791&lt;=45,"36-45",B1791&lt;=60,"46-60",TRUE,"60+")</f>
        <v>60+</v>
      </c>
      <c r="N1791" t="str">
        <f t="shared" si="82"/>
        <v>Discounted</v>
      </c>
      <c r="O1791" t="str">
        <f t="shared" si="83"/>
        <v>Returning</v>
      </c>
    </row>
    <row r="1792" spans="1:15" x14ac:dyDescent="0.25">
      <c r="A1792">
        <v>1791</v>
      </c>
      <c r="B1792">
        <v>67</v>
      </c>
      <c r="C1792" t="s">
        <v>16</v>
      </c>
      <c r="D1792" t="s">
        <v>20</v>
      </c>
      <c r="E1792" t="s">
        <v>21</v>
      </c>
      <c r="F1792" s="1">
        <v>226.26</v>
      </c>
      <c r="G1792" t="s">
        <v>14</v>
      </c>
      <c r="H1792" t="s">
        <v>15</v>
      </c>
      <c r="I1792" s="2">
        <v>3</v>
      </c>
      <c r="J1792" s="4">
        <v>16</v>
      </c>
      <c r="K1792" s="3">
        <v>3</v>
      </c>
      <c r="L1792" s="1">
        <f t="shared" si="81"/>
        <v>190.05839999999998</v>
      </c>
      <c r="M1792" t="str" cm="1">
        <f t="array" ref="M1792">_xlfn.IFS(B1792&lt;18,"Under 18",B1792 &lt;=25,"18-25",B1792&lt;=35,"26-35",B1792&lt;=45,"36-45",B1792&lt;=60,"46-60",TRUE,"60+")</f>
        <v>60+</v>
      </c>
      <c r="N1792" t="str">
        <f t="shared" si="82"/>
        <v>Discounted</v>
      </c>
      <c r="O1792" t="str">
        <f t="shared" si="83"/>
        <v>Returning</v>
      </c>
    </row>
    <row r="1793" spans="1:15" x14ac:dyDescent="0.25">
      <c r="A1793">
        <v>1792</v>
      </c>
      <c r="B1793">
        <v>48</v>
      </c>
      <c r="C1793" t="s">
        <v>16</v>
      </c>
      <c r="D1793" t="s">
        <v>33</v>
      </c>
      <c r="E1793" t="s">
        <v>34</v>
      </c>
      <c r="F1793" s="1">
        <v>94.74</v>
      </c>
      <c r="G1793" t="s">
        <v>24</v>
      </c>
      <c r="H1793" t="s">
        <v>37</v>
      </c>
      <c r="I1793" s="2">
        <v>3.4</v>
      </c>
      <c r="J1793" s="4">
        <v>26</v>
      </c>
      <c r="K1793" s="3">
        <v>8</v>
      </c>
      <c r="L1793" s="1">
        <f t="shared" si="81"/>
        <v>70.107599999999991</v>
      </c>
      <c r="M1793" t="str" cm="1">
        <f t="array" ref="M1793">_xlfn.IFS(B1793&lt;18,"Under 18",B1793 &lt;=25,"18-25",B1793&lt;=35,"26-35",B1793&lt;=45,"36-45",B1793&lt;=60,"46-60",TRUE,"60+")</f>
        <v>46-60</v>
      </c>
      <c r="N1793" t="str">
        <f t="shared" si="82"/>
        <v>Discounted</v>
      </c>
      <c r="O1793" t="str">
        <f t="shared" si="83"/>
        <v>Returning</v>
      </c>
    </row>
    <row r="1794" spans="1:15" x14ac:dyDescent="0.25">
      <c r="A1794">
        <v>1793</v>
      </c>
      <c r="B1794">
        <v>41</v>
      </c>
      <c r="C1794" t="s">
        <v>11</v>
      </c>
      <c r="D1794" t="s">
        <v>29</v>
      </c>
      <c r="E1794" t="s">
        <v>51</v>
      </c>
      <c r="F1794" s="1">
        <v>130.69</v>
      </c>
      <c r="G1794" t="s">
        <v>14</v>
      </c>
      <c r="H1794" t="s">
        <v>15</v>
      </c>
      <c r="I1794" s="2">
        <v>4.3</v>
      </c>
      <c r="J1794" s="4">
        <v>10</v>
      </c>
      <c r="K1794" s="3">
        <v>5</v>
      </c>
      <c r="L1794" s="1">
        <f t="shared" si="81"/>
        <v>117.621</v>
      </c>
      <c r="M1794" t="str" cm="1">
        <f t="array" ref="M1794">_xlfn.IFS(B1794&lt;18,"Under 18",B1794 &lt;=25,"18-25",B1794&lt;=35,"26-35",B1794&lt;=45,"36-45",B1794&lt;=60,"46-60",TRUE,"60+")</f>
        <v>36-45</v>
      </c>
      <c r="N1794" t="str">
        <f t="shared" si="82"/>
        <v>Discounted</v>
      </c>
      <c r="O1794" t="str">
        <f t="shared" si="83"/>
        <v>Returning</v>
      </c>
    </row>
    <row r="1795" spans="1:15" x14ac:dyDescent="0.25">
      <c r="A1795">
        <v>1794</v>
      </c>
      <c r="B1795">
        <v>62</v>
      </c>
      <c r="C1795" t="s">
        <v>16</v>
      </c>
      <c r="D1795" t="s">
        <v>20</v>
      </c>
      <c r="E1795" t="s">
        <v>36</v>
      </c>
      <c r="F1795" s="1">
        <v>176.42</v>
      </c>
      <c r="G1795" t="s">
        <v>24</v>
      </c>
      <c r="H1795" t="s">
        <v>15</v>
      </c>
      <c r="I1795" s="2">
        <v>4.0999999999999996</v>
      </c>
      <c r="J1795" s="4">
        <v>4</v>
      </c>
      <c r="K1795" s="3">
        <v>2</v>
      </c>
      <c r="L1795" s="1">
        <f t="shared" ref="L1795:L1858" si="84">F1795 * (1 - J1795 / 100)</f>
        <v>169.36319999999998</v>
      </c>
      <c r="M1795" t="str" cm="1">
        <f t="array" ref="M1795">_xlfn.IFS(B1795&lt;18,"Under 18",B1795 &lt;=25,"18-25",B1795&lt;=35,"26-35",B1795&lt;=45,"36-45",B1795&lt;=60,"46-60",TRUE,"60+")</f>
        <v>60+</v>
      </c>
      <c r="N1795" t="str">
        <f t="shared" ref="N1795:N1858" si="85">IF(J1795&gt;0,"Discounted","No Discount")</f>
        <v>Discounted</v>
      </c>
      <c r="O1795" t="str">
        <f t="shared" ref="O1795:O1858" si="86">IF(K1795&gt;0,"Returning","New")</f>
        <v>Returning</v>
      </c>
    </row>
    <row r="1796" spans="1:15" x14ac:dyDescent="0.25">
      <c r="A1796">
        <v>1795</v>
      </c>
      <c r="B1796">
        <v>24</v>
      </c>
      <c r="C1796" t="s">
        <v>16</v>
      </c>
      <c r="D1796" t="s">
        <v>33</v>
      </c>
      <c r="E1796" t="s">
        <v>34</v>
      </c>
      <c r="F1796" s="1">
        <v>103.89</v>
      </c>
      <c r="G1796" t="s">
        <v>24</v>
      </c>
      <c r="H1796" t="s">
        <v>15</v>
      </c>
      <c r="I1796" s="2">
        <v>4.8</v>
      </c>
      <c r="J1796" s="4">
        <v>15</v>
      </c>
      <c r="K1796" s="3">
        <v>5</v>
      </c>
      <c r="L1796" s="1">
        <f t="shared" si="84"/>
        <v>88.3065</v>
      </c>
      <c r="M1796" t="str" cm="1">
        <f t="array" ref="M1796">_xlfn.IFS(B1796&lt;18,"Under 18",B1796 &lt;=25,"18-25",B1796&lt;=35,"26-35",B1796&lt;=45,"36-45",B1796&lt;=60,"46-60",TRUE,"60+")</f>
        <v>18-25</v>
      </c>
      <c r="N1796" t="str">
        <f t="shared" si="85"/>
        <v>Discounted</v>
      </c>
      <c r="O1796" t="str">
        <f t="shared" si="86"/>
        <v>Returning</v>
      </c>
    </row>
    <row r="1797" spans="1:15" x14ac:dyDescent="0.25">
      <c r="A1797">
        <v>1796</v>
      </c>
      <c r="B1797">
        <v>22</v>
      </c>
      <c r="C1797" t="s">
        <v>16</v>
      </c>
      <c r="D1797" t="s">
        <v>17</v>
      </c>
      <c r="E1797" t="s">
        <v>18</v>
      </c>
      <c r="F1797" s="1">
        <v>48.19</v>
      </c>
      <c r="G1797" t="s">
        <v>19</v>
      </c>
      <c r="H1797" t="s">
        <v>15</v>
      </c>
      <c r="I1797" s="2">
        <v>3.8</v>
      </c>
      <c r="J1797" s="4">
        <v>17</v>
      </c>
      <c r="K1797" s="3">
        <v>6</v>
      </c>
      <c r="L1797" s="1">
        <f t="shared" si="84"/>
        <v>39.997699999999995</v>
      </c>
      <c r="M1797" t="str" cm="1">
        <f t="array" ref="M1797">_xlfn.IFS(B1797&lt;18,"Under 18",B1797 &lt;=25,"18-25",B1797&lt;=35,"26-35",B1797&lt;=45,"36-45",B1797&lt;=60,"46-60",TRUE,"60+")</f>
        <v>18-25</v>
      </c>
      <c r="N1797" t="str">
        <f t="shared" si="85"/>
        <v>Discounted</v>
      </c>
      <c r="O1797" t="str">
        <f t="shared" si="86"/>
        <v>Returning</v>
      </c>
    </row>
    <row r="1798" spans="1:15" x14ac:dyDescent="0.25">
      <c r="A1798">
        <v>1797</v>
      </c>
      <c r="B1798">
        <v>68</v>
      </c>
      <c r="C1798" t="s">
        <v>16</v>
      </c>
      <c r="D1798" t="s">
        <v>20</v>
      </c>
      <c r="E1798" t="s">
        <v>36</v>
      </c>
      <c r="F1798" s="1">
        <v>57.02</v>
      </c>
      <c r="G1798" t="s">
        <v>19</v>
      </c>
      <c r="H1798" t="s">
        <v>15</v>
      </c>
      <c r="I1798" s="2">
        <v>3.7</v>
      </c>
      <c r="J1798" s="4">
        <v>0</v>
      </c>
      <c r="K1798" s="3">
        <v>0</v>
      </c>
      <c r="L1798" s="1">
        <f t="shared" si="84"/>
        <v>57.02</v>
      </c>
      <c r="M1798" t="str" cm="1">
        <f t="array" ref="M1798">_xlfn.IFS(B1798&lt;18,"Under 18",B1798 &lt;=25,"18-25",B1798&lt;=35,"26-35",B1798&lt;=45,"36-45",B1798&lt;=60,"46-60",TRUE,"60+")</f>
        <v>60+</v>
      </c>
      <c r="N1798" t="str">
        <f t="shared" si="85"/>
        <v>No Discount</v>
      </c>
      <c r="O1798" t="str">
        <f t="shared" si="86"/>
        <v>New</v>
      </c>
    </row>
    <row r="1799" spans="1:15" x14ac:dyDescent="0.25">
      <c r="A1799">
        <v>1798</v>
      </c>
      <c r="B1799">
        <v>70</v>
      </c>
      <c r="C1799" t="s">
        <v>16</v>
      </c>
      <c r="D1799" t="s">
        <v>20</v>
      </c>
      <c r="E1799" t="s">
        <v>21</v>
      </c>
      <c r="F1799" s="1">
        <v>54.5</v>
      </c>
      <c r="G1799" t="s">
        <v>24</v>
      </c>
      <c r="H1799" t="s">
        <v>15</v>
      </c>
      <c r="I1799" s="2">
        <v>3.5</v>
      </c>
      <c r="J1799" s="4">
        <v>6</v>
      </c>
      <c r="K1799" s="3">
        <v>3</v>
      </c>
      <c r="L1799" s="1">
        <f t="shared" si="84"/>
        <v>51.23</v>
      </c>
      <c r="M1799" t="str" cm="1">
        <f t="array" ref="M1799">_xlfn.IFS(B1799&lt;18,"Under 18",B1799 &lt;=25,"18-25",B1799&lt;=35,"26-35",B1799&lt;=45,"36-45",B1799&lt;=60,"46-60",TRUE,"60+")</f>
        <v>60+</v>
      </c>
      <c r="N1799" t="str">
        <f t="shared" si="85"/>
        <v>Discounted</v>
      </c>
      <c r="O1799" t="str">
        <f t="shared" si="86"/>
        <v>Returning</v>
      </c>
    </row>
    <row r="1800" spans="1:15" x14ac:dyDescent="0.25">
      <c r="A1800">
        <v>1799</v>
      </c>
      <c r="B1800">
        <v>22</v>
      </c>
      <c r="C1800" t="s">
        <v>16</v>
      </c>
      <c r="D1800" t="s">
        <v>17</v>
      </c>
      <c r="E1800" t="s">
        <v>35</v>
      </c>
      <c r="F1800" s="1">
        <v>67.459999999999994</v>
      </c>
      <c r="G1800" t="s">
        <v>19</v>
      </c>
      <c r="H1800" t="s">
        <v>37</v>
      </c>
      <c r="I1800" s="2">
        <v>3.7</v>
      </c>
      <c r="J1800" s="4">
        <v>6</v>
      </c>
      <c r="K1800" s="3">
        <v>3</v>
      </c>
      <c r="L1800" s="1">
        <f t="shared" si="84"/>
        <v>63.412399999999991</v>
      </c>
      <c r="M1800" t="str" cm="1">
        <f t="array" ref="M1800">_xlfn.IFS(B1800&lt;18,"Under 18",B1800 &lt;=25,"18-25",B1800&lt;=35,"26-35",B1800&lt;=45,"36-45",B1800&lt;=60,"46-60",TRUE,"60+")</f>
        <v>18-25</v>
      </c>
      <c r="N1800" t="str">
        <f t="shared" si="85"/>
        <v>Discounted</v>
      </c>
      <c r="O1800" t="str">
        <f t="shared" si="86"/>
        <v>Returning</v>
      </c>
    </row>
    <row r="1801" spans="1:15" x14ac:dyDescent="0.25">
      <c r="A1801">
        <v>1800</v>
      </c>
      <c r="B1801">
        <v>52</v>
      </c>
      <c r="C1801" t="s">
        <v>16</v>
      </c>
      <c r="D1801" t="s">
        <v>33</v>
      </c>
      <c r="E1801" t="s">
        <v>40</v>
      </c>
      <c r="F1801" s="1">
        <v>241.87</v>
      </c>
      <c r="G1801" t="s">
        <v>19</v>
      </c>
      <c r="H1801" t="s">
        <v>15</v>
      </c>
      <c r="I1801" s="2">
        <v>3.4</v>
      </c>
      <c r="J1801" s="4">
        <v>22</v>
      </c>
      <c r="K1801" s="3">
        <v>6</v>
      </c>
      <c r="L1801" s="1">
        <f t="shared" si="84"/>
        <v>188.65860000000001</v>
      </c>
      <c r="M1801" t="str" cm="1">
        <f t="array" ref="M1801">_xlfn.IFS(B1801&lt;18,"Under 18",B1801 &lt;=25,"18-25",B1801&lt;=35,"26-35",B1801&lt;=45,"36-45",B1801&lt;=60,"46-60",TRUE,"60+")</f>
        <v>46-60</v>
      </c>
      <c r="N1801" t="str">
        <f t="shared" si="85"/>
        <v>Discounted</v>
      </c>
      <c r="O1801" t="str">
        <f t="shared" si="86"/>
        <v>Returning</v>
      </c>
    </row>
    <row r="1802" spans="1:15" x14ac:dyDescent="0.25">
      <c r="A1802">
        <v>1801</v>
      </c>
      <c r="B1802">
        <v>28</v>
      </c>
      <c r="C1802" t="s">
        <v>11</v>
      </c>
      <c r="D1802" t="s">
        <v>22</v>
      </c>
      <c r="E1802" t="s">
        <v>52</v>
      </c>
      <c r="F1802" s="1">
        <v>117.11</v>
      </c>
      <c r="G1802" t="s">
        <v>19</v>
      </c>
      <c r="H1802" t="s">
        <v>15</v>
      </c>
      <c r="I1802" s="2">
        <v>3.2</v>
      </c>
      <c r="J1802" s="4">
        <v>13</v>
      </c>
      <c r="K1802" s="3">
        <v>4</v>
      </c>
      <c r="L1802" s="1">
        <f t="shared" si="84"/>
        <v>101.8857</v>
      </c>
      <c r="M1802" t="str" cm="1">
        <f t="array" ref="M1802">_xlfn.IFS(B1802&lt;18,"Under 18",B1802 &lt;=25,"18-25",B1802&lt;=35,"26-35",B1802&lt;=45,"36-45",B1802&lt;=60,"46-60",TRUE,"60+")</f>
        <v>26-35</v>
      </c>
      <c r="N1802" t="str">
        <f t="shared" si="85"/>
        <v>Discounted</v>
      </c>
      <c r="O1802" t="str">
        <f t="shared" si="86"/>
        <v>Returning</v>
      </c>
    </row>
    <row r="1803" spans="1:15" x14ac:dyDescent="0.25">
      <c r="A1803">
        <v>1802</v>
      </c>
      <c r="B1803">
        <v>33</v>
      </c>
      <c r="C1803" t="s">
        <v>16</v>
      </c>
      <c r="D1803" t="s">
        <v>22</v>
      </c>
      <c r="E1803" t="s">
        <v>23</v>
      </c>
      <c r="F1803" s="1">
        <v>154.72</v>
      </c>
      <c r="G1803" t="s">
        <v>14</v>
      </c>
      <c r="H1803" t="s">
        <v>15</v>
      </c>
      <c r="I1803" s="2">
        <v>3.5</v>
      </c>
      <c r="J1803" s="4">
        <v>18</v>
      </c>
      <c r="K1803" s="3">
        <v>9</v>
      </c>
      <c r="L1803" s="1">
        <f t="shared" si="84"/>
        <v>126.8704</v>
      </c>
      <c r="M1803" t="str" cm="1">
        <f t="array" ref="M1803">_xlfn.IFS(B1803&lt;18,"Under 18",B1803 &lt;=25,"18-25",B1803&lt;=35,"26-35",B1803&lt;=45,"36-45",B1803&lt;=60,"46-60",TRUE,"60+")</f>
        <v>26-35</v>
      </c>
      <c r="N1803" t="str">
        <f t="shared" si="85"/>
        <v>Discounted</v>
      </c>
      <c r="O1803" t="str">
        <f t="shared" si="86"/>
        <v>Returning</v>
      </c>
    </row>
    <row r="1804" spans="1:15" x14ac:dyDescent="0.25">
      <c r="A1804">
        <v>1803</v>
      </c>
      <c r="B1804">
        <v>23</v>
      </c>
      <c r="C1804" t="s">
        <v>16</v>
      </c>
      <c r="D1804" t="s">
        <v>33</v>
      </c>
      <c r="E1804" t="s">
        <v>40</v>
      </c>
      <c r="F1804" s="1">
        <v>168.45</v>
      </c>
      <c r="G1804" t="s">
        <v>31</v>
      </c>
      <c r="H1804" t="s">
        <v>15</v>
      </c>
      <c r="I1804" s="2">
        <v>3.8</v>
      </c>
      <c r="J1804" s="4">
        <v>20</v>
      </c>
      <c r="K1804" s="3">
        <v>5</v>
      </c>
      <c r="L1804" s="1">
        <f t="shared" si="84"/>
        <v>134.76</v>
      </c>
      <c r="M1804" t="str" cm="1">
        <f t="array" ref="M1804">_xlfn.IFS(B1804&lt;18,"Under 18",B1804 &lt;=25,"18-25",B1804&lt;=35,"26-35",B1804&lt;=45,"36-45",B1804&lt;=60,"46-60",TRUE,"60+")</f>
        <v>18-25</v>
      </c>
      <c r="N1804" t="str">
        <f t="shared" si="85"/>
        <v>Discounted</v>
      </c>
      <c r="O1804" t="str">
        <f t="shared" si="86"/>
        <v>Returning</v>
      </c>
    </row>
    <row r="1805" spans="1:15" x14ac:dyDescent="0.25">
      <c r="A1805">
        <v>1804</v>
      </c>
      <c r="B1805">
        <v>60</v>
      </c>
      <c r="C1805" t="s">
        <v>16</v>
      </c>
      <c r="D1805" t="s">
        <v>20</v>
      </c>
      <c r="E1805" t="s">
        <v>39</v>
      </c>
      <c r="F1805" s="1">
        <v>202.79</v>
      </c>
      <c r="G1805" t="s">
        <v>31</v>
      </c>
      <c r="H1805" t="s">
        <v>15</v>
      </c>
      <c r="I1805" s="2">
        <v>3</v>
      </c>
      <c r="J1805" s="4">
        <v>12</v>
      </c>
      <c r="K1805" s="3">
        <v>1</v>
      </c>
      <c r="L1805" s="1">
        <f t="shared" si="84"/>
        <v>178.45519999999999</v>
      </c>
      <c r="M1805" t="str" cm="1">
        <f t="array" ref="M1805">_xlfn.IFS(B1805&lt;18,"Under 18",B1805 &lt;=25,"18-25",B1805&lt;=35,"26-35",B1805&lt;=45,"36-45",B1805&lt;=60,"46-60",TRUE,"60+")</f>
        <v>46-60</v>
      </c>
      <c r="N1805" t="str">
        <f t="shared" si="85"/>
        <v>Discounted</v>
      </c>
      <c r="O1805" t="str">
        <f t="shared" si="86"/>
        <v>Returning</v>
      </c>
    </row>
    <row r="1806" spans="1:15" x14ac:dyDescent="0.25">
      <c r="A1806">
        <v>1805</v>
      </c>
      <c r="B1806">
        <v>66</v>
      </c>
      <c r="C1806" t="s">
        <v>11</v>
      </c>
      <c r="D1806" t="s">
        <v>22</v>
      </c>
      <c r="E1806" t="s">
        <v>23</v>
      </c>
      <c r="F1806" s="1">
        <v>194.2</v>
      </c>
      <c r="G1806" t="s">
        <v>19</v>
      </c>
      <c r="H1806" t="s">
        <v>15</v>
      </c>
      <c r="I1806" s="2">
        <v>4.7</v>
      </c>
      <c r="J1806" s="4">
        <v>23</v>
      </c>
      <c r="K1806" s="3">
        <v>9</v>
      </c>
      <c r="L1806" s="1">
        <f t="shared" si="84"/>
        <v>149.53399999999999</v>
      </c>
      <c r="M1806" t="str" cm="1">
        <f t="array" ref="M1806">_xlfn.IFS(B1806&lt;18,"Under 18",B1806 &lt;=25,"18-25",B1806&lt;=35,"26-35",B1806&lt;=45,"36-45",B1806&lt;=60,"46-60",TRUE,"60+")</f>
        <v>60+</v>
      </c>
      <c r="N1806" t="str">
        <f t="shared" si="85"/>
        <v>Discounted</v>
      </c>
      <c r="O1806" t="str">
        <f t="shared" si="86"/>
        <v>Returning</v>
      </c>
    </row>
    <row r="1807" spans="1:15" x14ac:dyDescent="0.25">
      <c r="A1807">
        <v>1806</v>
      </c>
      <c r="B1807">
        <v>59</v>
      </c>
      <c r="C1807" t="s">
        <v>11</v>
      </c>
      <c r="D1807" t="s">
        <v>29</v>
      </c>
      <c r="E1807" t="s">
        <v>30</v>
      </c>
      <c r="F1807" s="1">
        <v>90.63</v>
      </c>
      <c r="G1807" t="s">
        <v>14</v>
      </c>
      <c r="H1807" t="s">
        <v>15</v>
      </c>
      <c r="I1807" s="2">
        <v>4.7</v>
      </c>
      <c r="J1807" s="4">
        <v>12</v>
      </c>
      <c r="K1807" s="3">
        <v>6</v>
      </c>
      <c r="L1807" s="1">
        <f t="shared" si="84"/>
        <v>79.75439999999999</v>
      </c>
      <c r="M1807" t="str" cm="1">
        <f t="array" ref="M1807">_xlfn.IFS(B1807&lt;18,"Under 18",B1807 &lt;=25,"18-25",B1807&lt;=35,"26-35",B1807&lt;=45,"36-45",B1807&lt;=60,"46-60",TRUE,"60+")</f>
        <v>46-60</v>
      </c>
      <c r="N1807" t="str">
        <f t="shared" si="85"/>
        <v>Discounted</v>
      </c>
      <c r="O1807" t="str">
        <f t="shared" si="86"/>
        <v>Returning</v>
      </c>
    </row>
    <row r="1808" spans="1:15" x14ac:dyDescent="0.25">
      <c r="A1808">
        <v>1807</v>
      </c>
      <c r="B1808">
        <v>53</v>
      </c>
      <c r="C1808" t="s">
        <v>11</v>
      </c>
      <c r="D1808" t="s">
        <v>33</v>
      </c>
      <c r="E1808" t="s">
        <v>34</v>
      </c>
      <c r="F1808" s="1">
        <v>243.55</v>
      </c>
      <c r="G1808" t="s">
        <v>24</v>
      </c>
      <c r="H1808" t="s">
        <v>15</v>
      </c>
      <c r="I1808" s="2">
        <v>5</v>
      </c>
      <c r="J1808" s="4">
        <v>20</v>
      </c>
      <c r="K1808" s="3">
        <v>5</v>
      </c>
      <c r="L1808" s="1">
        <f t="shared" si="84"/>
        <v>194.84000000000003</v>
      </c>
      <c r="M1808" t="str" cm="1">
        <f t="array" ref="M1808">_xlfn.IFS(B1808&lt;18,"Under 18",B1808 &lt;=25,"18-25",B1808&lt;=35,"26-35",B1808&lt;=45,"36-45",B1808&lt;=60,"46-60",TRUE,"60+")</f>
        <v>46-60</v>
      </c>
      <c r="N1808" t="str">
        <f t="shared" si="85"/>
        <v>Discounted</v>
      </c>
      <c r="O1808" t="str">
        <f t="shared" si="86"/>
        <v>Returning</v>
      </c>
    </row>
    <row r="1809" spans="1:15" x14ac:dyDescent="0.25">
      <c r="A1809">
        <v>1808</v>
      </c>
      <c r="B1809">
        <v>30</v>
      </c>
      <c r="C1809" t="s">
        <v>16</v>
      </c>
      <c r="D1809" t="s">
        <v>25</v>
      </c>
      <c r="E1809" t="s">
        <v>47</v>
      </c>
      <c r="F1809" s="1">
        <v>38.880000000000003</v>
      </c>
      <c r="G1809" t="s">
        <v>14</v>
      </c>
      <c r="H1809" t="s">
        <v>37</v>
      </c>
      <c r="I1809" s="2">
        <v>4.0999999999999996</v>
      </c>
      <c r="J1809" s="4">
        <v>13</v>
      </c>
      <c r="K1809" s="3">
        <v>4</v>
      </c>
      <c r="L1809" s="1">
        <f t="shared" si="84"/>
        <v>33.825600000000001</v>
      </c>
      <c r="M1809" t="str" cm="1">
        <f t="array" ref="M1809">_xlfn.IFS(B1809&lt;18,"Under 18",B1809 &lt;=25,"18-25",B1809&lt;=35,"26-35",B1809&lt;=45,"36-45",B1809&lt;=60,"46-60",TRUE,"60+")</f>
        <v>26-35</v>
      </c>
      <c r="N1809" t="str">
        <f t="shared" si="85"/>
        <v>Discounted</v>
      </c>
      <c r="O1809" t="str">
        <f t="shared" si="86"/>
        <v>Returning</v>
      </c>
    </row>
    <row r="1810" spans="1:15" x14ac:dyDescent="0.25">
      <c r="A1810">
        <v>1809</v>
      </c>
      <c r="B1810">
        <v>32</v>
      </c>
      <c r="C1810" t="s">
        <v>11</v>
      </c>
      <c r="D1810" t="s">
        <v>29</v>
      </c>
      <c r="E1810" t="s">
        <v>55</v>
      </c>
      <c r="F1810" s="1">
        <v>105.29</v>
      </c>
      <c r="G1810" t="s">
        <v>19</v>
      </c>
      <c r="H1810" t="s">
        <v>15</v>
      </c>
      <c r="I1810" s="2">
        <v>4</v>
      </c>
      <c r="J1810" s="4">
        <v>22</v>
      </c>
      <c r="K1810" s="3">
        <v>6</v>
      </c>
      <c r="L1810" s="1">
        <f t="shared" si="84"/>
        <v>82.126200000000011</v>
      </c>
      <c r="M1810" t="str" cm="1">
        <f t="array" ref="M1810">_xlfn.IFS(B1810&lt;18,"Under 18",B1810 &lt;=25,"18-25",B1810&lt;=35,"26-35",B1810&lt;=45,"36-45",B1810&lt;=60,"46-60",TRUE,"60+")</f>
        <v>26-35</v>
      </c>
      <c r="N1810" t="str">
        <f t="shared" si="85"/>
        <v>Discounted</v>
      </c>
      <c r="O1810" t="str">
        <f t="shared" si="86"/>
        <v>Returning</v>
      </c>
    </row>
    <row r="1811" spans="1:15" x14ac:dyDescent="0.25">
      <c r="A1811">
        <v>1810</v>
      </c>
      <c r="B1811">
        <v>38</v>
      </c>
      <c r="C1811" t="s">
        <v>16</v>
      </c>
      <c r="D1811" t="s">
        <v>20</v>
      </c>
      <c r="E1811" t="s">
        <v>21</v>
      </c>
      <c r="F1811" s="1">
        <v>140.26</v>
      </c>
      <c r="G1811" t="s">
        <v>24</v>
      </c>
      <c r="H1811" t="s">
        <v>15</v>
      </c>
      <c r="I1811" s="2">
        <v>3.7</v>
      </c>
      <c r="J1811" s="4">
        <v>18</v>
      </c>
      <c r="K1811" s="3">
        <v>4</v>
      </c>
      <c r="L1811" s="1">
        <f t="shared" si="84"/>
        <v>115.0132</v>
      </c>
      <c r="M1811" t="str" cm="1">
        <f t="array" ref="M1811">_xlfn.IFS(B1811&lt;18,"Under 18",B1811 &lt;=25,"18-25",B1811&lt;=35,"26-35",B1811&lt;=45,"36-45",B1811&lt;=60,"46-60",TRUE,"60+")</f>
        <v>36-45</v>
      </c>
      <c r="N1811" t="str">
        <f t="shared" si="85"/>
        <v>Discounted</v>
      </c>
      <c r="O1811" t="str">
        <f t="shared" si="86"/>
        <v>Returning</v>
      </c>
    </row>
    <row r="1812" spans="1:15" x14ac:dyDescent="0.25">
      <c r="A1812">
        <v>1811</v>
      </c>
      <c r="B1812">
        <v>45</v>
      </c>
      <c r="C1812" t="s">
        <v>11</v>
      </c>
      <c r="D1812" t="s">
        <v>41</v>
      </c>
      <c r="E1812" t="s">
        <v>42</v>
      </c>
      <c r="F1812" s="1">
        <v>50.56</v>
      </c>
      <c r="G1812" t="s">
        <v>14</v>
      </c>
      <c r="H1812" t="s">
        <v>37</v>
      </c>
      <c r="I1812" s="2">
        <v>5</v>
      </c>
      <c r="J1812" s="4">
        <v>16</v>
      </c>
      <c r="K1812" s="3">
        <v>8</v>
      </c>
      <c r="L1812" s="1">
        <f t="shared" si="84"/>
        <v>42.470399999999998</v>
      </c>
      <c r="M1812" t="str" cm="1">
        <f t="array" ref="M1812">_xlfn.IFS(B1812&lt;18,"Under 18",B1812 &lt;=25,"18-25",B1812&lt;=35,"26-35",B1812&lt;=45,"36-45",B1812&lt;=60,"46-60",TRUE,"60+")</f>
        <v>36-45</v>
      </c>
      <c r="N1812" t="str">
        <f t="shared" si="85"/>
        <v>Discounted</v>
      </c>
      <c r="O1812" t="str">
        <f t="shared" si="86"/>
        <v>Returning</v>
      </c>
    </row>
    <row r="1813" spans="1:15" x14ac:dyDescent="0.25">
      <c r="A1813">
        <v>1812</v>
      </c>
      <c r="B1813">
        <v>53</v>
      </c>
      <c r="C1813" t="s">
        <v>11</v>
      </c>
      <c r="D1813" t="s">
        <v>25</v>
      </c>
      <c r="E1813" t="s">
        <v>54</v>
      </c>
      <c r="F1813" s="1">
        <v>40.869999999999997</v>
      </c>
      <c r="G1813" t="s">
        <v>14</v>
      </c>
      <c r="H1813" t="s">
        <v>15</v>
      </c>
      <c r="I1813" s="2">
        <v>3.9</v>
      </c>
      <c r="J1813" s="4">
        <v>12</v>
      </c>
      <c r="K1813" s="3">
        <v>1</v>
      </c>
      <c r="L1813" s="1">
        <f t="shared" si="84"/>
        <v>35.965599999999995</v>
      </c>
      <c r="M1813" t="str" cm="1">
        <f t="array" ref="M1813">_xlfn.IFS(B1813&lt;18,"Under 18",B1813 &lt;=25,"18-25",B1813&lt;=35,"26-35",B1813&lt;=45,"36-45",B1813&lt;=60,"46-60",TRUE,"60+")</f>
        <v>46-60</v>
      </c>
      <c r="N1813" t="str">
        <f t="shared" si="85"/>
        <v>Discounted</v>
      </c>
      <c r="O1813" t="str">
        <f t="shared" si="86"/>
        <v>Returning</v>
      </c>
    </row>
    <row r="1814" spans="1:15" x14ac:dyDescent="0.25">
      <c r="A1814">
        <v>1813</v>
      </c>
      <c r="B1814">
        <v>62</v>
      </c>
      <c r="C1814" t="s">
        <v>16</v>
      </c>
      <c r="D1814" t="s">
        <v>17</v>
      </c>
      <c r="E1814" t="s">
        <v>18</v>
      </c>
      <c r="F1814" s="1">
        <v>88.13</v>
      </c>
      <c r="G1814" t="s">
        <v>31</v>
      </c>
      <c r="H1814" t="s">
        <v>15</v>
      </c>
      <c r="I1814" s="2">
        <v>3.1</v>
      </c>
      <c r="J1814" s="4">
        <v>28</v>
      </c>
      <c r="K1814" s="3">
        <v>9</v>
      </c>
      <c r="L1814" s="1">
        <f t="shared" si="84"/>
        <v>63.453599999999994</v>
      </c>
      <c r="M1814" t="str" cm="1">
        <f t="array" ref="M1814">_xlfn.IFS(B1814&lt;18,"Under 18",B1814 &lt;=25,"18-25",B1814&lt;=35,"26-35",B1814&lt;=45,"36-45",B1814&lt;=60,"46-60",TRUE,"60+")</f>
        <v>60+</v>
      </c>
      <c r="N1814" t="str">
        <f t="shared" si="85"/>
        <v>Discounted</v>
      </c>
      <c r="O1814" t="str">
        <f t="shared" si="86"/>
        <v>Returning</v>
      </c>
    </row>
    <row r="1815" spans="1:15" x14ac:dyDescent="0.25">
      <c r="A1815">
        <v>1814</v>
      </c>
      <c r="B1815">
        <v>26</v>
      </c>
      <c r="C1815" t="s">
        <v>16</v>
      </c>
      <c r="D1815" t="s">
        <v>17</v>
      </c>
      <c r="E1815" t="s">
        <v>18</v>
      </c>
      <c r="F1815" s="1">
        <v>149.41999999999999</v>
      </c>
      <c r="G1815" t="s">
        <v>24</v>
      </c>
      <c r="H1815" t="s">
        <v>15</v>
      </c>
      <c r="I1815" s="2">
        <v>3.9</v>
      </c>
      <c r="J1815" s="4">
        <v>25</v>
      </c>
      <c r="K1815" s="3">
        <v>10</v>
      </c>
      <c r="L1815" s="1">
        <f t="shared" si="84"/>
        <v>112.065</v>
      </c>
      <c r="M1815" t="str" cm="1">
        <f t="array" ref="M1815">_xlfn.IFS(B1815&lt;18,"Under 18",B1815 &lt;=25,"18-25",B1815&lt;=35,"26-35",B1815&lt;=45,"36-45",B1815&lt;=60,"46-60",TRUE,"60+")</f>
        <v>26-35</v>
      </c>
      <c r="N1815" t="str">
        <f t="shared" si="85"/>
        <v>Discounted</v>
      </c>
      <c r="O1815" t="str">
        <f t="shared" si="86"/>
        <v>Returning</v>
      </c>
    </row>
    <row r="1816" spans="1:15" x14ac:dyDescent="0.25">
      <c r="A1816">
        <v>1815</v>
      </c>
      <c r="B1816">
        <v>28</v>
      </c>
      <c r="C1816" t="s">
        <v>16</v>
      </c>
      <c r="D1816" t="s">
        <v>33</v>
      </c>
      <c r="E1816" t="s">
        <v>38</v>
      </c>
      <c r="F1816" s="1">
        <v>161.21</v>
      </c>
      <c r="G1816" t="s">
        <v>19</v>
      </c>
      <c r="H1816" t="s">
        <v>15</v>
      </c>
      <c r="I1816" s="2">
        <v>3.2</v>
      </c>
      <c r="J1816" s="4">
        <v>18</v>
      </c>
      <c r="K1816" s="3">
        <v>4</v>
      </c>
      <c r="L1816" s="1">
        <f t="shared" si="84"/>
        <v>132.19220000000001</v>
      </c>
      <c r="M1816" t="str" cm="1">
        <f t="array" ref="M1816">_xlfn.IFS(B1816&lt;18,"Under 18",B1816 &lt;=25,"18-25",B1816&lt;=35,"26-35",B1816&lt;=45,"36-45",B1816&lt;=60,"46-60",TRUE,"60+")</f>
        <v>26-35</v>
      </c>
      <c r="N1816" t="str">
        <f t="shared" si="85"/>
        <v>Discounted</v>
      </c>
      <c r="O1816" t="str">
        <f t="shared" si="86"/>
        <v>Returning</v>
      </c>
    </row>
    <row r="1817" spans="1:15" x14ac:dyDescent="0.25">
      <c r="A1817">
        <v>1816</v>
      </c>
      <c r="B1817">
        <v>49</v>
      </c>
      <c r="C1817" t="s">
        <v>11</v>
      </c>
      <c r="D1817" t="s">
        <v>29</v>
      </c>
      <c r="E1817" t="s">
        <v>51</v>
      </c>
      <c r="F1817" s="1">
        <v>37.520000000000003</v>
      </c>
      <c r="G1817" t="s">
        <v>31</v>
      </c>
      <c r="H1817" t="s">
        <v>37</v>
      </c>
      <c r="I1817" s="2">
        <v>4.5</v>
      </c>
      <c r="J1817" s="4">
        <v>6</v>
      </c>
      <c r="K1817" s="3">
        <v>3</v>
      </c>
      <c r="L1817" s="1">
        <f t="shared" si="84"/>
        <v>35.268799999999999</v>
      </c>
      <c r="M1817" t="str" cm="1">
        <f t="array" ref="M1817">_xlfn.IFS(B1817&lt;18,"Under 18",B1817 &lt;=25,"18-25",B1817&lt;=35,"26-35",B1817&lt;=45,"36-45",B1817&lt;=60,"46-60",TRUE,"60+")</f>
        <v>46-60</v>
      </c>
      <c r="N1817" t="str">
        <f t="shared" si="85"/>
        <v>Discounted</v>
      </c>
      <c r="O1817" t="str">
        <f t="shared" si="86"/>
        <v>Returning</v>
      </c>
    </row>
    <row r="1818" spans="1:15" x14ac:dyDescent="0.25">
      <c r="A1818">
        <v>1817</v>
      </c>
      <c r="B1818">
        <v>60</v>
      </c>
      <c r="C1818" t="s">
        <v>16</v>
      </c>
      <c r="D1818" t="s">
        <v>20</v>
      </c>
      <c r="E1818" t="s">
        <v>36</v>
      </c>
      <c r="F1818" s="1">
        <v>126.98</v>
      </c>
      <c r="G1818" t="s">
        <v>14</v>
      </c>
      <c r="H1818" t="s">
        <v>15</v>
      </c>
      <c r="I1818" s="2">
        <v>5</v>
      </c>
      <c r="J1818" s="4">
        <v>22</v>
      </c>
      <c r="K1818" s="3">
        <v>6</v>
      </c>
      <c r="L1818" s="1">
        <f t="shared" si="84"/>
        <v>99.04440000000001</v>
      </c>
      <c r="M1818" t="str" cm="1">
        <f t="array" ref="M1818">_xlfn.IFS(B1818&lt;18,"Under 18",B1818 &lt;=25,"18-25",B1818&lt;=35,"26-35",B1818&lt;=45,"36-45",B1818&lt;=60,"46-60",TRUE,"60+")</f>
        <v>46-60</v>
      </c>
      <c r="N1818" t="str">
        <f t="shared" si="85"/>
        <v>Discounted</v>
      </c>
      <c r="O1818" t="str">
        <f t="shared" si="86"/>
        <v>Returning</v>
      </c>
    </row>
    <row r="1819" spans="1:15" x14ac:dyDescent="0.25">
      <c r="A1819">
        <v>1818</v>
      </c>
      <c r="B1819">
        <v>36</v>
      </c>
      <c r="C1819" t="s">
        <v>16</v>
      </c>
      <c r="D1819" t="s">
        <v>33</v>
      </c>
      <c r="E1819" t="s">
        <v>38</v>
      </c>
      <c r="F1819" s="1">
        <v>229.83</v>
      </c>
      <c r="G1819" t="s">
        <v>31</v>
      </c>
      <c r="H1819" t="s">
        <v>15</v>
      </c>
      <c r="I1819" s="2">
        <v>4.8</v>
      </c>
      <c r="J1819" s="4">
        <v>8</v>
      </c>
      <c r="K1819" s="3">
        <v>4</v>
      </c>
      <c r="L1819" s="1">
        <f t="shared" si="84"/>
        <v>211.44360000000003</v>
      </c>
      <c r="M1819" t="str" cm="1">
        <f t="array" ref="M1819">_xlfn.IFS(B1819&lt;18,"Under 18",B1819 &lt;=25,"18-25",B1819&lt;=35,"26-35",B1819&lt;=45,"36-45",B1819&lt;=60,"46-60",TRUE,"60+")</f>
        <v>36-45</v>
      </c>
      <c r="N1819" t="str">
        <f t="shared" si="85"/>
        <v>Discounted</v>
      </c>
      <c r="O1819" t="str">
        <f t="shared" si="86"/>
        <v>Returning</v>
      </c>
    </row>
    <row r="1820" spans="1:15" x14ac:dyDescent="0.25">
      <c r="A1820">
        <v>1819</v>
      </c>
      <c r="B1820">
        <v>57</v>
      </c>
      <c r="C1820" t="s">
        <v>11</v>
      </c>
      <c r="D1820" t="s">
        <v>12</v>
      </c>
      <c r="E1820" t="s">
        <v>56</v>
      </c>
      <c r="F1820" s="1">
        <v>179.83</v>
      </c>
      <c r="G1820" t="s">
        <v>31</v>
      </c>
      <c r="H1820" t="s">
        <v>15</v>
      </c>
      <c r="I1820" s="2">
        <v>2.4</v>
      </c>
      <c r="J1820" s="4">
        <v>13</v>
      </c>
      <c r="K1820" s="3">
        <v>4</v>
      </c>
      <c r="L1820" s="1">
        <f t="shared" si="84"/>
        <v>156.4521</v>
      </c>
      <c r="M1820" t="str" cm="1">
        <f t="array" ref="M1820">_xlfn.IFS(B1820&lt;18,"Under 18",B1820 &lt;=25,"18-25",B1820&lt;=35,"26-35",B1820&lt;=45,"36-45",B1820&lt;=60,"46-60",TRUE,"60+")</f>
        <v>46-60</v>
      </c>
      <c r="N1820" t="str">
        <f t="shared" si="85"/>
        <v>Discounted</v>
      </c>
      <c r="O1820" t="str">
        <f t="shared" si="86"/>
        <v>Returning</v>
      </c>
    </row>
    <row r="1821" spans="1:15" x14ac:dyDescent="0.25">
      <c r="A1821">
        <v>1820</v>
      </c>
      <c r="B1821">
        <v>21</v>
      </c>
      <c r="C1821" t="s">
        <v>16</v>
      </c>
      <c r="D1821" t="s">
        <v>33</v>
      </c>
      <c r="E1821" t="s">
        <v>40</v>
      </c>
      <c r="F1821" s="1">
        <v>231.92</v>
      </c>
      <c r="G1821" t="s">
        <v>24</v>
      </c>
      <c r="H1821" t="s">
        <v>15</v>
      </c>
      <c r="I1821" s="2">
        <v>4.7</v>
      </c>
      <c r="J1821" s="4">
        <v>26</v>
      </c>
      <c r="K1821" s="3">
        <v>8</v>
      </c>
      <c r="L1821" s="1">
        <f t="shared" si="84"/>
        <v>171.6208</v>
      </c>
      <c r="M1821" t="str" cm="1">
        <f t="array" ref="M1821">_xlfn.IFS(B1821&lt;18,"Under 18",B1821 &lt;=25,"18-25",B1821&lt;=35,"26-35",B1821&lt;=45,"36-45",B1821&lt;=60,"46-60",TRUE,"60+")</f>
        <v>18-25</v>
      </c>
      <c r="N1821" t="str">
        <f t="shared" si="85"/>
        <v>Discounted</v>
      </c>
      <c r="O1821" t="str">
        <f t="shared" si="86"/>
        <v>Returning</v>
      </c>
    </row>
    <row r="1822" spans="1:15" x14ac:dyDescent="0.25">
      <c r="A1822">
        <v>1821</v>
      </c>
      <c r="B1822">
        <v>55</v>
      </c>
      <c r="C1822" t="s">
        <v>11</v>
      </c>
      <c r="D1822" t="s">
        <v>33</v>
      </c>
      <c r="E1822" t="s">
        <v>34</v>
      </c>
      <c r="F1822" s="1">
        <v>108.55</v>
      </c>
      <c r="G1822" t="s">
        <v>31</v>
      </c>
      <c r="H1822" t="s">
        <v>15</v>
      </c>
      <c r="I1822" s="2">
        <v>4</v>
      </c>
      <c r="J1822" s="4">
        <v>12</v>
      </c>
      <c r="K1822" s="3">
        <v>1</v>
      </c>
      <c r="L1822" s="1">
        <f t="shared" si="84"/>
        <v>95.524000000000001</v>
      </c>
      <c r="M1822" t="str" cm="1">
        <f t="array" ref="M1822">_xlfn.IFS(B1822&lt;18,"Under 18",B1822 &lt;=25,"18-25",B1822&lt;=35,"26-35",B1822&lt;=45,"36-45",B1822&lt;=60,"46-60",TRUE,"60+")</f>
        <v>46-60</v>
      </c>
      <c r="N1822" t="str">
        <f t="shared" si="85"/>
        <v>Discounted</v>
      </c>
      <c r="O1822" t="str">
        <f t="shared" si="86"/>
        <v>Returning</v>
      </c>
    </row>
    <row r="1823" spans="1:15" x14ac:dyDescent="0.25">
      <c r="A1823">
        <v>1822</v>
      </c>
      <c r="B1823">
        <v>39</v>
      </c>
      <c r="C1823" t="s">
        <v>16</v>
      </c>
      <c r="D1823" t="s">
        <v>33</v>
      </c>
      <c r="E1823" t="s">
        <v>38</v>
      </c>
      <c r="F1823" s="1">
        <v>40.97</v>
      </c>
      <c r="G1823" t="s">
        <v>14</v>
      </c>
      <c r="H1823" t="s">
        <v>15</v>
      </c>
      <c r="I1823" s="2">
        <v>3.9</v>
      </c>
      <c r="J1823" s="4">
        <v>24</v>
      </c>
      <c r="K1823" s="3">
        <v>12</v>
      </c>
      <c r="L1823" s="1">
        <f t="shared" si="84"/>
        <v>31.1372</v>
      </c>
      <c r="M1823" t="str" cm="1">
        <f t="array" ref="M1823">_xlfn.IFS(B1823&lt;18,"Under 18",B1823 &lt;=25,"18-25",B1823&lt;=35,"26-35",B1823&lt;=45,"36-45",B1823&lt;=60,"46-60",TRUE,"60+")</f>
        <v>36-45</v>
      </c>
      <c r="N1823" t="str">
        <f t="shared" si="85"/>
        <v>Discounted</v>
      </c>
      <c r="O1823" t="str">
        <f t="shared" si="86"/>
        <v>Returning</v>
      </c>
    </row>
    <row r="1824" spans="1:15" x14ac:dyDescent="0.25">
      <c r="A1824">
        <v>1823</v>
      </c>
      <c r="B1824">
        <v>35</v>
      </c>
      <c r="C1824" t="s">
        <v>11</v>
      </c>
      <c r="D1824" t="s">
        <v>29</v>
      </c>
      <c r="E1824" t="s">
        <v>51</v>
      </c>
      <c r="F1824" s="1">
        <v>72.38</v>
      </c>
      <c r="G1824" t="s">
        <v>14</v>
      </c>
      <c r="H1824" t="s">
        <v>15</v>
      </c>
      <c r="I1824" s="2">
        <v>4.2</v>
      </c>
      <c r="J1824" s="4">
        <v>18</v>
      </c>
      <c r="K1824" s="3">
        <v>9</v>
      </c>
      <c r="L1824" s="1">
        <f t="shared" si="84"/>
        <v>59.351599999999998</v>
      </c>
      <c r="M1824" t="str" cm="1">
        <f t="array" ref="M1824">_xlfn.IFS(B1824&lt;18,"Under 18",B1824 &lt;=25,"18-25",B1824&lt;=35,"26-35",B1824&lt;=45,"36-45",B1824&lt;=60,"46-60",TRUE,"60+")</f>
        <v>26-35</v>
      </c>
      <c r="N1824" t="str">
        <f t="shared" si="85"/>
        <v>Discounted</v>
      </c>
      <c r="O1824" t="str">
        <f t="shared" si="86"/>
        <v>Returning</v>
      </c>
    </row>
    <row r="1825" spans="1:15" x14ac:dyDescent="0.25">
      <c r="A1825">
        <v>1824</v>
      </c>
      <c r="B1825">
        <v>54</v>
      </c>
      <c r="C1825" t="s">
        <v>16</v>
      </c>
      <c r="D1825" t="s">
        <v>17</v>
      </c>
      <c r="E1825" t="s">
        <v>42</v>
      </c>
      <c r="F1825" s="1">
        <v>77.650000000000006</v>
      </c>
      <c r="G1825" t="s">
        <v>19</v>
      </c>
      <c r="H1825" t="s">
        <v>15</v>
      </c>
      <c r="I1825" s="2">
        <v>2.7</v>
      </c>
      <c r="J1825" s="4">
        <v>15</v>
      </c>
      <c r="K1825" s="3">
        <v>5</v>
      </c>
      <c r="L1825" s="1">
        <f t="shared" si="84"/>
        <v>66.002499999999998</v>
      </c>
      <c r="M1825" t="str" cm="1">
        <f t="array" ref="M1825">_xlfn.IFS(B1825&lt;18,"Under 18",B1825 &lt;=25,"18-25",B1825&lt;=35,"26-35",B1825&lt;=45,"36-45",B1825&lt;=60,"46-60",TRUE,"60+")</f>
        <v>46-60</v>
      </c>
      <c r="N1825" t="str">
        <f t="shared" si="85"/>
        <v>Discounted</v>
      </c>
      <c r="O1825" t="str">
        <f t="shared" si="86"/>
        <v>Returning</v>
      </c>
    </row>
    <row r="1826" spans="1:15" x14ac:dyDescent="0.25">
      <c r="A1826">
        <v>1825</v>
      </c>
      <c r="B1826">
        <v>34</v>
      </c>
      <c r="C1826" t="s">
        <v>11</v>
      </c>
      <c r="D1826" t="s">
        <v>29</v>
      </c>
      <c r="E1826" t="s">
        <v>30</v>
      </c>
      <c r="F1826" s="1">
        <v>63.86</v>
      </c>
      <c r="G1826" t="s">
        <v>19</v>
      </c>
      <c r="H1826" t="s">
        <v>37</v>
      </c>
      <c r="I1826" s="2">
        <v>2.5</v>
      </c>
      <c r="J1826" s="4">
        <v>13</v>
      </c>
      <c r="K1826" s="3">
        <v>4</v>
      </c>
      <c r="L1826" s="1">
        <f t="shared" si="84"/>
        <v>55.558199999999999</v>
      </c>
      <c r="M1826" t="str" cm="1">
        <f t="array" ref="M1826">_xlfn.IFS(B1826&lt;18,"Under 18",B1826 &lt;=25,"18-25",B1826&lt;=35,"26-35",B1826&lt;=45,"36-45",B1826&lt;=60,"46-60",TRUE,"60+")</f>
        <v>26-35</v>
      </c>
      <c r="N1826" t="str">
        <f t="shared" si="85"/>
        <v>Discounted</v>
      </c>
      <c r="O1826" t="str">
        <f t="shared" si="86"/>
        <v>Returning</v>
      </c>
    </row>
    <row r="1827" spans="1:15" x14ac:dyDescent="0.25">
      <c r="A1827">
        <v>1826</v>
      </c>
      <c r="B1827">
        <v>61</v>
      </c>
      <c r="C1827" t="s">
        <v>16</v>
      </c>
      <c r="D1827" t="s">
        <v>25</v>
      </c>
      <c r="E1827" t="s">
        <v>57</v>
      </c>
      <c r="F1827" s="1">
        <v>75.86</v>
      </c>
      <c r="G1827" t="s">
        <v>14</v>
      </c>
      <c r="H1827" t="s">
        <v>15</v>
      </c>
      <c r="I1827" s="2">
        <v>4</v>
      </c>
      <c r="J1827" s="4">
        <v>10</v>
      </c>
      <c r="K1827" s="3">
        <v>5</v>
      </c>
      <c r="L1827" s="1">
        <f t="shared" si="84"/>
        <v>68.274000000000001</v>
      </c>
      <c r="M1827" t="str" cm="1">
        <f t="array" ref="M1827">_xlfn.IFS(B1827&lt;18,"Under 18",B1827 &lt;=25,"18-25",B1827&lt;=35,"26-35",B1827&lt;=45,"36-45",B1827&lt;=60,"46-60",TRUE,"60+")</f>
        <v>60+</v>
      </c>
      <c r="N1827" t="str">
        <f t="shared" si="85"/>
        <v>Discounted</v>
      </c>
      <c r="O1827" t="str">
        <f t="shared" si="86"/>
        <v>Returning</v>
      </c>
    </row>
    <row r="1828" spans="1:15" x14ac:dyDescent="0.25">
      <c r="A1828">
        <v>1827</v>
      </c>
      <c r="B1828">
        <v>42</v>
      </c>
      <c r="C1828" t="s">
        <v>11</v>
      </c>
      <c r="D1828" t="s">
        <v>12</v>
      </c>
      <c r="E1828" t="s">
        <v>50</v>
      </c>
      <c r="F1828" s="1">
        <v>37.67</v>
      </c>
      <c r="G1828" t="s">
        <v>14</v>
      </c>
      <c r="H1828" t="s">
        <v>15</v>
      </c>
      <c r="I1828" s="2">
        <v>3.2</v>
      </c>
      <c r="J1828" s="4">
        <v>26</v>
      </c>
      <c r="K1828" s="3">
        <v>8</v>
      </c>
      <c r="L1828" s="1">
        <f t="shared" si="84"/>
        <v>27.875800000000002</v>
      </c>
      <c r="M1828" t="str" cm="1">
        <f t="array" ref="M1828">_xlfn.IFS(B1828&lt;18,"Under 18",B1828 &lt;=25,"18-25",B1828&lt;=35,"26-35",B1828&lt;=45,"36-45",B1828&lt;=60,"46-60",TRUE,"60+")</f>
        <v>36-45</v>
      </c>
      <c r="N1828" t="str">
        <f t="shared" si="85"/>
        <v>Discounted</v>
      </c>
      <c r="O1828" t="str">
        <f t="shared" si="86"/>
        <v>Returning</v>
      </c>
    </row>
    <row r="1829" spans="1:15" x14ac:dyDescent="0.25">
      <c r="A1829">
        <v>1828</v>
      </c>
      <c r="B1829">
        <v>28</v>
      </c>
      <c r="C1829" t="s">
        <v>11</v>
      </c>
      <c r="D1829" t="s">
        <v>12</v>
      </c>
      <c r="E1829" t="s">
        <v>13</v>
      </c>
      <c r="F1829" s="1">
        <v>120.28</v>
      </c>
      <c r="G1829" t="s">
        <v>24</v>
      </c>
      <c r="H1829" t="s">
        <v>15</v>
      </c>
      <c r="I1829" s="2">
        <v>3.5</v>
      </c>
      <c r="J1829" s="4">
        <v>13</v>
      </c>
      <c r="K1829" s="3">
        <v>4</v>
      </c>
      <c r="L1829" s="1">
        <f t="shared" si="84"/>
        <v>104.64360000000001</v>
      </c>
      <c r="M1829" t="str" cm="1">
        <f t="array" ref="M1829">_xlfn.IFS(B1829&lt;18,"Under 18",B1829 &lt;=25,"18-25",B1829&lt;=35,"26-35",B1829&lt;=45,"36-45",B1829&lt;=60,"46-60",TRUE,"60+")</f>
        <v>26-35</v>
      </c>
      <c r="N1829" t="str">
        <f t="shared" si="85"/>
        <v>Discounted</v>
      </c>
      <c r="O1829" t="str">
        <f t="shared" si="86"/>
        <v>Returning</v>
      </c>
    </row>
    <row r="1830" spans="1:15" x14ac:dyDescent="0.25">
      <c r="A1830">
        <v>1829</v>
      </c>
      <c r="B1830">
        <v>30</v>
      </c>
      <c r="C1830" t="s">
        <v>16</v>
      </c>
      <c r="D1830" t="s">
        <v>25</v>
      </c>
      <c r="E1830" t="s">
        <v>26</v>
      </c>
      <c r="F1830" s="1">
        <v>38.97</v>
      </c>
      <c r="G1830" t="s">
        <v>19</v>
      </c>
      <c r="H1830" t="s">
        <v>15</v>
      </c>
      <c r="I1830" s="2">
        <v>3.6</v>
      </c>
      <c r="J1830" s="4">
        <v>6</v>
      </c>
      <c r="K1830" s="3">
        <v>3</v>
      </c>
      <c r="L1830" s="1">
        <f t="shared" si="84"/>
        <v>36.631799999999998</v>
      </c>
      <c r="M1830" t="str" cm="1">
        <f t="array" ref="M1830">_xlfn.IFS(B1830&lt;18,"Under 18",B1830 &lt;=25,"18-25",B1830&lt;=35,"26-35",B1830&lt;=45,"36-45",B1830&lt;=60,"46-60",TRUE,"60+")</f>
        <v>26-35</v>
      </c>
      <c r="N1830" t="str">
        <f t="shared" si="85"/>
        <v>Discounted</v>
      </c>
      <c r="O1830" t="str">
        <f t="shared" si="86"/>
        <v>Returning</v>
      </c>
    </row>
    <row r="1831" spans="1:15" x14ac:dyDescent="0.25">
      <c r="A1831">
        <v>1830</v>
      </c>
      <c r="B1831">
        <v>32</v>
      </c>
      <c r="C1831" t="s">
        <v>11</v>
      </c>
      <c r="D1831" t="s">
        <v>20</v>
      </c>
      <c r="E1831" t="s">
        <v>39</v>
      </c>
      <c r="F1831" s="1">
        <v>140.66</v>
      </c>
      <c r="G1831" t="s">
        <v>24</v>
      </c>
      <c r="H1831" t="s">
        <v>15</v>
      </c>
      <c r="I1831" s="2">
        <v>3</v>
      </c>
      <c r="J1831" s="4">
        <v>12</v>
      </c>
      <c r="K1831" s="3">
        <v>6</v>
      </c>
      <c r="L1831" s="1">
        <f t="shared" si="84"/>
        <v>123.7808</v>
      </c>
      <c r="M1831" t="str" cm="1">
        <f t="array" ref="M1831">_xlfn.IFS(B1831&lt;18,"Under 18",B1831 &lt;=25,"18-25",B1831&lt;=35,"26-35",B1831&lt;=45,"36-45",B1831&lt;=60,"46-60",TRUE,"60+")</f>
        <v>26-35</v>
      </c>
      <c r="N1831" t="str">
        <f t="shared" si="85"/>
        <v>Discounted</v>
      </c>
      <c r="O1831" t="str">
        <f t="shared" si="86"/>
        <v>Returning</v>
      </c>
    </row>
    <row r="1832" spans="1:15" x14ac:dyDescent="0.25">
      <c r="A1832">
        <v>1831</v>
      </c>
      <c r="B1832">
        <v>63</v>
      </c>
      <c r="C1832" t="s">
        <v>11</v>
      </c>
      <c r="D1832" t="s">
        <v>20</v>
      </c>
      <c r="E1832" t="s">
        <v>39</v>
      </c>
      <c r="F1832" s="1">
        <v>229.74</v>
      </c>
      <c r="G1832" t="s">
        <v>14</v>
      </c>
      <c r="H1832" t="s">
        <v>15</v>
      </c>
      <c r="I1832" s="2">
        <v>4.4000000000000004</v>
      </c>
      <c r="J1832" s="4">
        <v>17</v>
      </c>
      <c r="K1832" s="3">
        <v>6</v>
      </c>
      <c r="L1832" s="1">
        <f t="shared" si="84"/>
        <v>190.6842</v>
      </c>
      <c r="M1832" t="str" cm="1">
        <f t="array" ref="M1832">_xlfn.IFS(B1832&lt;18,"Under 18",B1832 &lt;=25,"18-25",B1832&lt;=35,"26-35",B1832&lt;=45,"36-45",B1832&lt;=60,"46-60",TRUE,"60+")</f>
        <v>60+</v>
      </c>
      <c r="N1832" t="str">
        <f t="shared" si="85"/>
        <v>Discounted</v>
      </c>
      <c r="O1832" t="str">
        <f t="shared" si="86"/>
        <v>Returning</v>
      </c>
    </row>
    <row r="1833" spans="1:15" x14ac:dyDescent="0.25">
      <c r="A1833">
        <v>1832</v>
      </c>
      <c r="B1833">
        <v>27</v>
      </c>
      <c r="C1833" t="s">
        <v>11</v>
      </c>
      <c r="D1833" t="s">
        <v>22</v>
      </c>
      <c r="E1833" t="s">
        <v>43</v>
      </c>
      <c r="F1833" s="1">
        <v>191.41</v>
      </c>
      <c r="G1833" t="s">
        <v>19</v>
      </c>
      <c r="H1833" t="s">
        <v>15</v>
      </c>
      <c r="I1833" s="2">
        <v>4.5</v>
      </c>
      <c r="J1833" s="4">
        <v>6</v>
      </c>
      <c r="K1833" s="3">
        <v>3</v>
      </c>
      <c r="L1833" s="1">
        <f t="shared" si="84"/>
        <v>179.9254</v>
      </c>
      <c r="M1833" t="str" cm="1">
        <f t="array" ref="M1833">_xlfn.IFS(B1833&lt;18,"Under 18",B1833 &lt;=25,"18-25",B1833&lt;=35,"26-35",B1833&lt;=45,"36-45",B1833&lt;=60,"46-60",TRUE,"60+")</f>
        <v>26-35</v>
      </c>
      <c r="N1833" t="str">
        <f t="shared" si="85"/>
        <v>Discounted</v>
      </c>
      <c r="O1833" t="str">
        <f t="shared" si="86"/>
        <v>Returning</v>
      </c>
    </row>
    <row r="1834" spans="1:15" x14ac:dyDescent="0.25">
      <c r="A1834">
        <v>1833</v>
      </c>
      <c r="B1834">
        <v>37</v>
      </c>
      <c r="C1834" t="s">
        <v>16</v>
      </c>
      <c r="D1834" t="s">
        <v>20</v>
      </c>
      <c r="E1834" t="s">
        <v>21</v>
      </c>
      <c r="F1834" s="1">
        <v>165.73</v>
      </c>
      <c r="G1834" t="s">
        <v>14</v>
      </c>
      <c r="H1834" t="s">
        <v>15</v>
      </c>
      <c r="I1834" s="2">
        <v>3.5</v>
      </c>
      <c r="J1834" s="4">
        <v>6</v>
      </c>
      <c r="K1834" s="3">
        <v>3</v>
      </c>
      <c r="L1834" s="1">
        <f t="shared" si="84"/>
        <v>155.78619999999998</v>
      </c>
      <c r="M1834" t="str" cm="1">
        <f t="array" ref="M1834">_xlfn.IFS(B1834&lt;18,"Under 18",B1834 &lt;=25,"18-25",B1834&lt;=35,"26-35",B1834&lt;=45,"36-45",B1834&lt;=60,"46-60",TRUE,"60+")</f>
        <v>36-45</v>
      </c>
      <c r="N1834" t="str">
        <f t="shared" si="85"/>
        <v>Discounted</v>
      </c>
      <c r="O1834" t="str">
        <f t="shared" si="86"/>
        <v>Returning</v>
      </c>
    </row>
    <row r="1835" spans="1:15" x14ac:dyDescent="0.25">
      <c r="A1835">
        <v>1834</v>
      </c>
      <c r="B1835">
        <v>54</v>
      </c>
      <c r="C1835" t="s">
        <v>16</v>
      </c>
      <c r="D1835" t="s">
        <v>27</v>
      </c>
      <c r="E1835" t="s">
        <v>28</v>
      </c>
      <c r="F1835" s="1">
        <v>2817.12</v>
      </c>
      <c r="G1835" t="s">
        <v>24</v>
      </c>
      <c r="H1835" t="s">
        <v>15</v>
      </c>
      <c r="I1835" s="2">
        <v>4</v>
      </c>
      <c r="J1835" s="4">
        <v>18</v>
      </c>
      <c r="K1835" s="3">
        <v>4</v>
      </c>
      <c r="L1835" s="1">
        <f t="shared" si="84"/>
        <v>2310.0383999999999</v>
      </c>
      <c r="M1835" t="str" cm="1">
        <f t="array" ref="M1835">_xlfn.IFS(B1835&lt;18,"Under 18",B1835 &lt;=25,"18-25",B1835&lt;=35,"26-35",B1835&lt;=45,"36-45",B1835&lt;=60,"46-60",TRUE,"60+")</f>
        <v>46-60</v>
      </c>
      <c r="N1835" t="str">
        <f t="shared" si="85"/>
        <v>Discounted</v>
      </c>
      <c r="O1835" t="str">
        <f t="shared" si="86"/>
        <v>Returning</v>
      </c>
    </row>
    <row r="1836" spans="1:15" x14ac:dyDescent="0.25">
      <c r="A1836">
        <v>1835</v>
      </c>
      <c r="B1836">
        <v>34</v>
      </c>
      <c r="C1836" t="s">
        <v>16</v>
      </c>
      <c r="D1836" t="s">
        <v>33</v>
      </c>
      <c r="E1836" t="s">
        <v>34</v>
      </c>
      <c r="F1836" s="1">
        <v>243.34</v>
      </c>
      <c r="G1836" t="s">
        <v>24</v>
      </c>
      <c r="H1836" t="s">
        <v>15</v>
      </c>
      <c r="I1836" s="2">
        <v>3.5</v>
      </c>
      <c r="J1836" s="4">
        <v>11</v>
      </c>
      <c r="K1836" s="3">
        <v>3</v>
      </c>
      <c r="L1836" s="1">
        <f t="shared" si="84"/>
        <v>216.57259999999999</v>
      </c>
      <c r="M1836" t="str" cm="1">
        <f t="array" ref="M1836">_xlfn.IFS(B1836&lt;18,"Under 18",B1836 &lt;=25,"18-25",B1836&lt;=35,"26-35",B1836&lt;=45,"36-45",B1836&lt;=60,"46-60",TRUE,"60+")</f>
        <v>26-35</v>
      </c>
      <c r="N1836" t="str">
        <f t="shared" si="85"/>
        <v>Discounted</v>
      </c>
      <c r="O1836" t="str">
        <f t="shared" si="86"/>
        <v>Returning</v>
      </c>
    </row>
    <row r="1837" spans="1:15" x14ac:dyDescent="0.25">
      <c r="A1837">
        <v>1836</v>
      </c>
      <c r="B1837">
        <v>56</v>
      </c>
      <c r="C1837" t="s">
        <v>16</v>
      </c>
      <c r="D1837" t="s">
        <v>27</v>
      </c>
      <c r="E1837" t="s">
        <v>32</v>
      </c>
      <c r="F1837" s="1">
        <v>1574.28</v>
      </c>
      <c r="G1837" t="s">
        <v>19</v>
      </c>
      <c r="H1837" t="s">
        <v>15</v>
      </c>
      <c r="I1837" s="2">
        <v>3.3</v>
      </c>
      <c r="J1837" s="4">
        <v>13</v>
      </c>
      <c r="K1837" s="3">
        <v>4</v>
      </c>
      <c r="L1837" s="1">
        <f t="shared" si="84"/>
        <v>1369.6235999999999</v>
      </c>
      <c r="M1837" t="str" cm="1">
        <f t="array" ref="M1837">_xlfn.IFS(B1837&lt;18,"Under 18",B1837 &lt;=25,"18-25",B1837&lt;=35,"26-35",B1837&lt;=45,"36-45",B1837&lt;=60,"46-60",TRUE,"60+")</f>
        <v>46-60</v>
      </c>
      <c r="N1837" t="str">
        <f t="shared" si="85"/>
        <v>Discounted</v>
      </c>
      <c r="O1837" t="str">
        <f t="shared" si="86"/>
        <v>Returning</v>
      </c>
    </row>
    <row r="1838" spans="1:15" x14ac:dyDescent="0.25">
      <c r="A1838">
        <v>1837</v>
      </c>
      <c r="B1838">
        <v>28</v>
      </c>
      <c r="C1838" t="s">
        <v>11</v>
      </c>
      <c r="D1838" t="s">
        <v>12</v>
      </c>
      <c r="E1838" t="s">
        <v>13</v>
      </c>
      <c r="F1838" s="1">
        <v>142.54</v>
      </c>
      <c r="G1838" t="s">
        <v>31</v>
      </c>
      <c r="H1838" t="s">
        <v>15</v>
      </c>
      <c r="I1838" s="2">
        <v>4.7</v>
      </c>
      <c r="J1838" s="4">
        <v>20</v>
      </c>
      <c r="K1838" s="3">
        <v>10</v>
      </c>
      <c r="L1838" s="1">
        <f t="shared" si="84"/>
        <v>114.032</v>
      </c>
      <c r="M1838" t="str" cm="1">
        <f t="array" ref="M1838">_xlfn.IFS(B1838&lt;18,"Under 18",B1838 &lt;=25,"18-25",B1838&lt;=35,"26-35",B1838&lt;=45,"36-45",B1838&lt;=60,"46-60",TRUE,"60+")</f>
        <v>26-35</v>
      </c>
      <c r="N1838" t="str">
        <f t="shared" si="85"/>
        <v>Discounted</v>
      </c>
      <c r="O1838" t="str">
        <f t="shared" si="86"/>
        <v>Returning</v>
      </c>
    </row>
    <row r="1839" spans="1:15" x14ac:dyDescent="0.25">
      <c r="A1839">
        <v>1838</v>
      </c>
      <c r="B1839">
        <v>26</v>
      </c>
      <c r="C1839" t="s">
        <v>16</v>
      </c>
      <c r="D1839" t="s">
        <v>20</v>
      </c>
      <c r="E1839" t="s">
        <v>21</v>
      </c>
      <c r="F1839" s="1">
        <v>138.28</v>
      </c>
      <c r="G1839" t="s">
        <v>14</v>
      </c>
      <c r="H1839" t="s">
        <v>15</v>
      </c>
      <c r="I1839" s="2">
        <v>4</v>
      </c>
      <c r="J1839" s="4">
        <v>15</v>
      </c>
      <c r="K1839" s="3">
        <v>5</v>
      </c>
      <c r="L1839" s="1">
        <f t="shared" si="84"/>
        <v>117.538</v>
      </c>
      <c r="M1839" t="str" cm="1">
        <f t="array" ref="M1839">_xlfn.IFS(B1839&lt;18,"Under 18",B1839 &lt;=25,"18-25",B1839&lt;=35,"26-35",B1839&lt;=45,"36-45",B1839&lt;=60,"46-60",TRUE,"60+")</f>
        <v>26-35</v>
      </c>
      <c r="N1839" t="str">
        <f t="shared" si="85"/>
        <v>Discounted</v>
      </c>
      <c r="O1839" t="str">
        <f t="shared" si="86"/>
        <v>Returning</v>
      </c>
    </row>
    <row r="1840" spans="1:15" x14ac:dyDescent="0.25">
      <c r="A1840">
        <v>1839</v>
      </c>
      <c r="B1840">
        <v>64</v>
      </c>
      <c r="C1840" t="s">
        <v>11</v>
      </c>
      <c r="D1840" t="s">
        <v>41</v>
      </c>
      <c r="E1840" t="s">
        <v>45</v>
      </c>
      <c r="F1840" s="1">
        <v>82.07</v>
      </c>
      <c r="G1840" t="s">
        <v>24</v>
      </c>
      <c r="H1840" t="s">
        <v>15</v>
      </c>
      <c r="I1840" s="2">
        <v>4.4000000000000004</v>
      </c>
      <c r="J1840" s="4">
        <v>9</v>
      </c>
      <c r="K1840" s="3">
        <v>2</v>
      </c>
      <c r="L1840" s="1">
        <f t="shared" si="84"/>
        <v>74.683700000000002</v>
      </c>
      <c r="M1840" t="str" cm="1">
        <f t="array" ref="M1840">_xlfn.IFS(B1840&lt;18,"Under 18",B1840 &lt;=25,"18-25",B1840&lt;=35,"26-35",B1840&lt;=45,"36-45",B1840&lt;=60,"46-60",TRUE,"60+")</f>
        <v>60+</v>
      </c>
      <c r="N1840" t="str">
        <f t="shared" si="85"/>
        <v>Discounted</v>
      </c>
      <c r="O1840" t="str">
        <f t="shared" si="86"/>
        <v>Returning</v>
      </c>
    </row>
    <row r="1841" spans="1:15" x14ac:dyDescent="0.25">
      <c r="A1841">
        <v>1840</v>
      </c>
      <c r="B1841">
        <v>64</v>
      </c>
      <c r="C1841" t="s">
        <v>11</v>
      </c>
      <c r="D1841" t="s">
        <v>12</v>
      </c>
      <c r="E1841" t="s">
        <v>56</v>
      </c>
      <c r="F1841" s="1">
        <v>137.63999999999999</v>
      </c>
      <c r="G1841" t="s">
        <v>24</v>
      </c>
      <c r="H1841" t="s">
        <v>15</v>
      </c>
      <c r="I1841" s="2">
        <v>2.9</v>
      </c>
      <c r="J1841" s="4">
        <v>24</v>
      </c>
      <c r="K1841" s="3">
        <v>7</v>
      </c>
      <c r="L1841" s="1">
        <f t="shared" si="84"/>
        <v>104.60639999999999</v>
      </c>
      <c r="M1841" t="str" cm="1">
        <f t="array" ref="M1841">_xlfn.IFS(B1841&lt;18,"Under 18",B1841 &lt;=25,"18-25",B1841&lt;=35,"26-35",B1841&lt;=45,"36-45",B1841&lt;=60,"46-60",TRUE,"60+")</f>
        <v>60+</v>
      </c>
      <c r="N1841" t="str">
        <f t="shared" si="85"/>
        <v>Discounted</v>
      </c>
      <c r="O1841" t="str">
        <f t="shared" si="86"/>
        <v>Returning</v>
      </c>
    </row>
    <row r="1842" spans="1:15" x14ac:dyDescent="0.25">
      <c r="A1842">
        <v>1841</v>
      </c>
      <c r="B1842">
        <v>64</v>
      </c>
      <c r="C1842" t="s">
        <v>11</v>
      </c>
      <c r="D1842" t="s">
        <v>12</v>
      </c>
      <c r="E1842" t="s">
        <v>50</v>
      </c>
      <c r="F1842" s="1">
        <v>69.56</v>
      </c>
      <c r="G1842" t="s">
        <v>24</v>
      </c>
      <c r="H1842" t="s">
        <v>37</v>
      </c>
      <c r="I1842" s="2">
        <v>3.2</v>
      </c>
      <c r="J1842" s="4">
        <v>23</v>
      </c>
      <c r="K1842" s="3">
        <v>9</v>
      </c>
      <c r="L1842" s="1">
        <f t="shared" si="84"/>
        <v>53.561199999999999</v>
      </c>
      <c r="M1842" t="str" cm="1">
        <f t="array" ref="M1842">_xlfn.IFS(B1842&lt;18,"Under 18",B1842 &lt;=25,"18-25",B1842&lt;=35,"26-35",B1842&lt;=45,"36-45",B1842&lt;=60,"46-60",TRUE,"60+")</f>
        <v>60+</v>
      </c>
      <c r="N1842" t="str">
        <f t="shared" si="85"/>
        <v>Discounted</v>
      </c>
      <c r="O1842" t="str">
        <f t="shared" si="86"/>
        <v>Returning</v>
      </c>
    </row>
    <row r="1843" spans="1:15" x14ac:dyDescent="0.25">
      <c r="A1843">
        <v>1842</v>
      </c>
      <c r="B1843">
        <v>40</v>
      </c>
      <c r="C1843" t="s">
        <v>16</v>
      </c>
      <c r="D1843" t="s">
        <v>17</v>
      </c>
      <c r="E1843" t="s">
        <v>48</v>
      </c>
      <c r="F1843" s="1">
        <v>119.18</v>
      </c>
      <c r="G1843" t="s">
        <v>31</v>
      </c>
      <c r="H1843" t="s">
        <v>15</v>
      </c>
      <c r="I1843" s="2">
        <v>4</v>
      </c>
      <c r="J1843" s="4">
        <v>24</v>
      </c>
      <c r="K1843" s="3">
        <v>7</v>
      </c>
      <c r="L1843" s="1">
        <f t="shared" si="84"/>
        <v>90.576800000000006</v>
      </c>
      <c r="M1843" t="str" cm="1">
        <f t="array" ref="M1843">_xlfn.IFS(B1843&lt;18,"Under 18",B1843 &lt;=25,"18-25",B1843&lt;=35,"26-35",B1843&lt;=45,"36-45",B1843&lt;=60,"46-60",TRUE,"60+")</f>
        <v>36-45</v>
      </c>
      <c r="N1843" t="str">
        <f t="shared" si="85"/>
        <v>Discounted</v>
      </c>
      <c r="O1843" t="str">
        <f t="shared" si="86"/>
        <v>Returning</v>
      </c>
    </row>
    <row r="1844" spans="1:15" x14ac:dyDescent="0.25">
      <c r="A1844">
        <v>1843</v>
      </c>
      <c r="B1844">
        <v>28</v>
      </c>
      <c r="C1844" t="s">
        <v>16</v>
      </c>
      <c r="D1844" t="s">
        <v>20</v>
      </c>
      <c r="E1844" t="s">
        <v>39</v>
      </c>
      <c r="F1844" s="1">
        <v>197.53</v>
      </c>
      <c r="G1844" t="s">
        <v>24</v>
      </c>
      <c r="H1844" t="s">
        <v>15</v>
      </c>
      <c r="I1844" s="2">
        <v>4.0999999999999996</v>
      </c>
      <c r="J1844" s="4">
        <v>22</v>
      </c>
      <c r="K1844" s="3">
        <v>6</v>
      </c>
      <c r="L1844" s="1">
        <f t="shared" si="84"/>
        <v>154.07339999999999</v>
      </c>
      <c r="M1844" t="str" cm="1">
        <f t="array" ref="M1844">_xlfn.IFS(B1844&lt;18,"Under 18",B1844 &lt;=25,"18-25",B1844&lt;=35,"26-35",B1844&lt;=45,"36-45",B1844&lt;=60,"46-60",TRUE,"60+")</f>
        <v>26-35</v>
      </c>
      <c r="N1844" t="str">
        <f t="shared" si="85"/>
        <v>Discounted</v>
      </c>
      <c r="O1844" t="str">
        <f t="shared" si="86"/>
        <v>Returning</v>
      </c>
    </row>
    <row r="1845" spans="1:15" x14ac:dyDescent="0.25">
      <c r="A1845">
        <v>1844</v>
      </c>
      <c r="B1845">
        <v>63</v>
      </c>
      <c r="C1845" t="s">
        <v>11</v>
      </c>
      <c r="D1845" t="s">
        <v>33</v>
      </c>
      <c r="E1845" t="s">
        <v>38</v>
      </c>
      <c r="F1845" s="1">
        <v>183.93</v>
      </c>
      <c r="G1845" t="s">
        <v>14</v>
      </c>
      <c r="H1845" t="s">
        <v>15</v>
      </c>
      <c r="I1845" s="2">
        <v>4.7</v>
      </c>
      <c r="J1845" s="4">
        <v>22</v>
      </c>
      <c r="K1845" s="3">
        <v>6</v>
      </c>
      <c r="L1845" s="1">
        <f t="shared" si="84"/>
        <v>143.46540000000002</v>
      </c>
      <c r="M1845" t="str" cm="1">
        <f t="array" ref="M1845">_xlfn.IFS(B1845&lt;18,"Under 18",B1845 &lt;=25,"18-25",B1845&lt;=35,"26-35",B1845&lt;=45,"36-45",B1845&lt;=60,"46-60",TRUE,"60+")</f>
        <v>60+</v>
      </c>
      <c r="N1845" t="str">
        <f t="shared" si="85"/>
        <v>Discounted</v>
      </c>
      <c r="O1845" t="str">
        <f t="shared" si="86"/>
        <v>Returning</v>
      </c>
    </row>
    <row r="1846" spans="1:15" x14ac:dyDescent="0.25">
      <c r="A1846">
        <v>1845</v>
      </c>
      <c r="B1846">
        <v>54</v>
      </c>
      <c r="C1846" t="s">
        <v>16</v>
      </c>
      <c r="D1846" t="s">
        <v>27</v>
      </c>
      <c r="E1846" t="s">
        <v>28</v>
      </c>
      <c r="F1846" s="1">
        <v>1324.31</v>
      </c>
      <c r="G1846" t="s">
        <v>31</v>
      </c>
      <c r="H1846" t="s">
        <v>15</v>
      </c>
      <c r="I1846" s="2">
        <v>3.5</v>
      </c>
      <c r="J1846" s="4">
        <v>18</v>
      </c>
      <c r="K1846" s="3">
        <v>4</v>
      </c>
      <c r="L1846" s="1">
        <f t="shared" si="84"/>
        <v>1085.9342000000001</v>
      </c>
      <c r="M1846" t="str" cm="1">
        <f t="array" ref="M1846">_xlfn.IFS(B1846&lt;18,"Under 18",B1846 &lt;=25,"18-25",B1846&lt;=35,"26-35",B1846&lt;=45,"36-45",B1846&lt;=60,"46-60",TRUE,"60+")</f>
        <v>46-60</v>
      </c>
      <c r="N1846" t="str">
        <f t="shared" si="85"/>
        <v>Discounted</v>
      </c>
      <c r="O1846" t="str">
        <f t="shared" si="86"/>
        <v>Returning</v>
      </c>
    </row>
    <row r="1847" spans="1:15" x14ac:dyDescent="0.25">
      <c r="A1847">
        <v>1846</v>
      </c>
      <c r="B1847">
        <v>57</v>
      </c>
      <c r="C1847" t="s">
        <v>16</v>
      </c>
      <c r="D1847" t="s">
        <v>33</v>
      </c>
      <c r="E1847" t="s">
        <v>38</v>
      </c>
      <c r="F1847" s="1">
        <v>192.19</v>
      </c>
      <c r="G1847" t="s">
        <v>14</v>
      </c>
      <c r="H1847" t="s">
        <v>15</v>
      </c>
      <c r="I1847" s="2">
        <v>3.8</v>
      </c>
      <c r="J1847" s="4">
        <v>8</v>
      </c>
      <c r="K1847" s="3">
        <v>4</v>
      </c>
      <c r="L1847" s="1">
        <f t="shared" si="84"/>
        <v>176.81480000000002</v>
      </c>
      <c r="M1847" t="str" cm="1">
        <f t="array" ref="M1847">_xlfn.IFS(B1847&lt;18,"Under 18",B1847 &lt;=25,"18-25",B1847&lt;=35,"26-35",B1847&lt;=45,"36-45",B1847&lt;=60,"46-60",TRUE,"60+")</f>
        <v>46-60</v>
      </c>
      <c r="N1847" t="str">
        <f t="shared" si="85"/>
        <v>Discounted</v>
      </c>
      <c r="O1847" t="str">
        <f t="shared" si="86"/>
        <v>Returning</v>
      </c>
    </row>
    <row r="1848" spans="1:15" x14ac:dyDescent="0.25">
      <c r="A1848">
        <v>1847</v>
      </c>
      <c r="B1848">
        <v>34</v>
      </c>
      <c r="C1848" t="s">
        <v>16</v>
      </c>
      <c r="D1848" t="s">
        <v>20</v>
      </c>
      <c r="E1848" t="s">
        <v>39</v>
      </c>
      <c r="F1848" s="1">
        <v>111.77</v>
      </c>
      <c r="G1848" t="s">
        <v>19</v>
      </c>
      <c r="H1848" t="s">
        <v>15</v>
      </c>
      <c r="I1848" s="2">
        <v>4.5999999999999996</v>
      </c>
      <c r="J1848" s="4">
        <v>12</v>
      </c>
      <c r="K1848" s="3">
        <v>1</v>
      </c>
      <c r="L1848" s="1">
        <f t="shared" si="84"/>
        <v>98.357599999999991</v>
      </c>
      <c r="M1848" t="str" cm="1">
        <f t="array" ref="M1848">_xlfn.IFS(B1848&lt;18,"Under 18",B1848 &lt;=25,"18-25",B1848&lt;=35,"26-35",B1848&lt;=45,"36-45",B1848&lt;=60,"46-60",TRUE,"60+")</f>
        <v>26-35</v>
      </c>
      <c r="N1848" t="str">
        <f t="shared" si="85"/>
        <v>Discounted</v>
      </c>
      <c r="O1848" t="str">
        <f t="shared" si="86"/>
        <v>Returning</v>
      </c>
    </row>
    <row r="1849" spans="1:15" x14ac:dyDescent="0.25">
      <c r="A1849">
        <v>1848</v>
      </c>
      <c r="B1849">
        <v>52</v>
      </c>
      <c r="C1849" t="s">
        <v>16</v>
      </c>
      <c r="D1849" t="s">
        <v>20</v>
      </c>
      <c r="E1849" t="s">
        <v>21</v>
      </c>
      <c r="F1849" s="1">
        <v>105.58</v>
      </c>
      <c r="G1849" t="s">
        <v>31</v>
      </c>
      <c r="H1849" t="s">
        <v>15</v>
      </c>
      <c r="I1849" s="2">
        <v>3.2</v>
      </c>
      <c r="J1849" s="4">
        <v>17</v>
      </c>
      <c r="K1849" s="3">
        <v>6</v>
      </c>
      <c r="L1849" s="1">
        <f t="shared" si="84"/>
        <v>87.631399999999999</v>
      </c>
      <c r="M1849" t="str" cm="1">
        <f t="array" ref="M1849">_xlfn.IFS(B1849&lt;18,"Under 18",B1849 &lt;=25,"18-25",B1849&lt;=35,"26-35",B1849&lt;=45,"36-45",B1849&lt;=60,"46-60",TRUE,"60+")</f>
        <v>46-60</v>
      </c>
      <c r="N1849" t="str">
        <f t="shared" si="85"/>
        <v>Discounted</v>
      </c>
      <c r="O1849" t="str">
        <f t="shared" si="86"/>
        <v>Returning</v>
      </c>
    </row>
    <row r="1850" spans="1:15" x14ac:dyDescent="0.25">
      <c r="A1850">
        <v>1849</v>
      </c>
      <c r="B1850">
        <v>44</v>
      </c>
      <c r="C1850" t="s">
        <v>11</v>
      </c>
      <c r="D1850" t="s">
        <v>29</v>
      </c>
      <c r="E1850" t="s">
        <v>30</v>
      </c>
      <c r="F1850" s="1">
        <v>57.25</v>
      </c>
      <c r="G1850" t="s">
        <v>31</v>
      </c>
      <c r="H1850" t="s">
        <v>37</v>
      </c>
      <c r="I1850" s="2">
        <v>3.3</v>
      </c>
      <c r="J1850" s="4">
        <v>10</v>
      </c>
      <c r="K1850" s="3">
        <v>5</v>
      </c>
      <c r="L1850" s="1">
        <f t="shared" si="84"/>
        <v>51.524999999999999</v>
      </c>
      <c r="M1850" t="str" cm="1">
        <f t="array" ref="M1850">_xlfn.IFS(B1850&lt;18,"Under 18",B1850 &lt;=25,"18-25",B1850&lt;=35,"26-35",B1850&lt;=45,"36-45",B1850&lt;=60,"46-60",TRUE,"60+")</f>
        <v>36-45</v>
      </c>
      <c r="N1850" t="str">
        <f t="shared" si="85"/>
        <v>Discounted</v>
      </c>
      <c r="O1850" t="str">
        <f t="shared" si="86"/>
        <v>Returning</v>
      </c>
    </row>
    <row r="1851" spans="1:15" x14ac:dyDescent="0.25">
      <c r="A1851">
        <v>1850</v>
      </c>
      <c r="B1851">
        <v>43</v>
      </c>
      <c r="C1851" t="s">
        <v>11</v>
      </c>
      <c r="D1851" t="s">
        <v>29</v>
      </c>
      <c r="E1851" t="s">
        <v>51</v>
      </c>
      <c r="F1851" s="1">
        <v>146.27000000000001</v>
      </c>
      <c r="G1851" t="s">
        <v>24</v>
      </c>
      <c r="H1851" t="s">
        <v>15</v>
      </c>
      <c r="I1851" s="2">
        <v>3.1</v>
      </c>
      <c r="J1851" s="4">
        <v>18</v>
      </c>
      <c r="K1851" s="3">
        <v>4</v>
      </c>
      <c r="L1851" s="1">
        <f t="shared" si="84"/>
        <v>119.94140000000002</v>
      </c>
      <c r="M1851" t="str" cm="1">
        <f t="array" ref="M1851">_xlfn.IFS(B1851&lt;18,"Under 18",B1851 &lt;=25,"18-25",B1851&lt;=35,"26-35",B1851&lt;=45,"36-45",B1851&lt;=60,"46-60",TRUE,"60+")</f>
        <v>36-45</v>
      </c>
      <c r="N1851" t="str">
        <f t="shared" si="85"/>
        <v>Discounted</v>
      </c>
      <c r="O1851" t="str">
        <f t="shared" si="86"/>
        <v>Returning</v>
      </c>
    </row>
    <row r="1852" spans="1:15" x14ac:dyDescent="0.25">
      <c r="A1852">
        <v>1851</v>
      </c>
      <c r="B1852">
        <v>63</v>
      </c>
      <c r="C1852" t="s">
        <v>11</v>
      </c>
      <c r="D1852" t="s">
        <v>12</v>
      </c>
      <c r="E1852" t="s">
        <v>56</v>
      </c>
      <c r="F1852" s="1">
        <v>137.27000000000001</v>
      </c>
      <c r="G1852" t="s">
        <v>24</v>
      </c>
      <c r="H1852" t="s">
        <v>15</v>
      </c>
      <c r="I1852" s="2">
        <v>4.4000000000000004</v>
      </c>
      <c r="J1852" s="4">
        <v>6</v>
      </c>
      <c r="K1852" s="3">
        <v>3</v>
      </c>
      <c r="L1852" s="1">
        <f t="shared" si="84"/>
        <v>129.03380000000001</v>
      </c>
      <c r="M1852" t="str" cm="1">
        <f t="array" ref="M1852">_xlfn.IFS(B1852&lt;18,"Under 18",B1852 &lt;=25,"18-25",B1852&lt;=35,"26-35",B1852&lt;=45,"36-45",B1852&lt;=60,"46-60",TRUE,"60+")</f>
        <v>60+</v>
      </c>
      <c r="N1852" t="str">
        <f t="shared" si="85"/>
        <v>Discounted</v>
      </c>
      <c r="O1852" t="str">
        <f t="shared" si="86"/>
        <v>Returning</v>
      </c>
    </row>
    <row r="1853" spans="1:15" x14ac:dyDescent="0.25">
      <c r="A1853">
        <v>1852</v>
      </c>
      <c r="B1853">
        <v>37</v>
      </c>
      <c r="C1853" t="s">
        <v>16</v>
      </c>
      <c r="D1853" t="s">
        <v>17</v>
      </c>
      <c r="E1853" t="s">
        <v>42</v>
      </c>
      <c r="F1853" s="1">
        <v>79.69</v>
      </c>
      <c r="G1853" t="s">
        <v>14</v>
      </c>
      <c r="H1853" t="s">
        <v>37</v>
      </c>
      <c r="I1853" s="2">
        <v>4.3</v>
      </c>
      <c r="J1853" s="4">
        <v>4</v>
      </c>
      <c r="K1853" s="3">
        <v>2</v>
      </c>
      <c r="L1853" s="1">
        <f t="shared" si="84"/>
        <v>76.502399999999994</v>
      </c>
      <c r="M1853" t="str" cm="1">
        <f t="array" ref="M1853">_xlfn.IFS(B1853&lt;18,"Under 18",B1853 &lt;=25,"18-25",B1853&lt;=35,"26-35",B1853&lt;=45,"36-45",B1853&lt;=60,"46-60",TRUE,"60+")</f>
        <v>36-45</v>
      </c>
      <c r="N1853" t="str">
        <f t="shared" si="85"/>
        <v>Discounted</v>
      </c>
      <c r="O1853" t="str">
        <f t="shared" si="86"/>
        <v>Returning</v>
      </c>
    </row>
    <row r="1854" spans="1:15" x14ac:dyDescent="0.25">
      <c r="A1854">
        <v>1853</v>
      </c>
      <c r="B1854">
        <v>48</v>
      </c>
      <c r="C1854" t="s">
        <v>11</v>
      </c>
      <c r="D1854" t="s">
        <v>29</v>
      </c>
      <c r="E1854" t="s">
        <v>51</v>
      </c>
      <c r="F1854" s="1">
        <v>29.31</v>
      </c>
      <c r="G1854" t="s">
        <v>24</v>
      </c>
      <c r="H1854" t="s">
        <v>15</v>
      </c>
      <c r="I1854" s="2">
        <v>4.9000000000000004</v>
      </c>
      <c r="J1854" s="4">
        <v>18</v>
      </c>
      <c r="K1854" s="3">
        <v>4</v>
      </c>
      <c r="L1854" s="1">
        <f t="shared" si="84"/>
        <v>24.034200000000002</v>
      </c>
      <c r="M1854" t="str" cm="1">
        <f t="array" ref="M1854">_xlfn.IFS(B1854&lt;18,"Under 18",B1854 &lt;=25,"18-25",B1854&lt;=35,"26-35",B1854&lt;=45,"36-45",B1854&lt;=60,"46-60",TRUE,"60+")</f>
        <v>46-60</v>
      </c>
      <c r="N1854" t="str">
        <f t="shared" si="85"/>
        <v>Discounted</v>
      </c>
      <c r="O1854" t="str">
        <f t="shared" si="86"/>
        <v>Returning</v>
      </c>
    </row>
    <row r="1855" spans="1:15" x14ac:dyDescent="0.25">
      <c r="A1855">
        <v>1854</v>
      </c>
      <c r="B1855">
        <v>47</v>
      </c>
      <c r="C1855" t="s">
        <v>16</v>
      </c>
      <c r="D1855" t="s">
        <v>17</v>
      </c>
      <c r="E1855" t="s">
        <v>48</v>
      </c>
      <c r="F1855" s="1">
        <v>110.78</v>
      </c>
      <c r="G1855" t="s">
        <v>19</v>
      </c>
      <c r="H1855" t="s">
        <v>15</v>
      </c>
      <c r="I1855" s="2">
        <v>3.9</v>
      </c>
      <c r="J1855" s="4">
        <v>10</v>
      </c>
      <c r="K1855" s="3">
        <v>5</v>
      </c>
      <c r="L1855" s="1">
        <f t="shared" si="84"/>
        <v>99.701999999999998</v>
      </c>
      <c r="M1855" t="str" cm="1">
        <f t="array" ref="M1855">_xlfn.IFS(B1855&lt;18,"Under 18",B1855 &lt;=25,"18-25",B1855&lt;=35,"26-35",B1855&lt;=45,"36-45",B1855&lt;=60,"46-60",TRUE,"60+")</f>
        <v>46-60</v>
      </c>
      <c r="N1855" t="str">
        <f t="shared" si="85"/>
        <v>Discounted</v>
      </c>
      <c r="O1855" t="str">
        <f t="shared" si="86"/>
        <v>Returning</v>
      </c>
    </row>
    <row r="1856" spans="1:15" x14ac:dyDescent="0.25">
      <c r="A1856">
        <v>1855</v>
      </c>
      <c r="B1856">
        <v>60</v>
      </c>
      <c r="C1856" t="s">
        <v>11</v>
      </c>
      <c r="D1856" t="s">
        <v>12</v>
      </c>
      <c r="E1856" t="s">
        <v>50</v>
      </c>
      <c r="F1856" s="1">
        <v>88.27</v>
      </c>
      <c r="G1856" t="s">
        <v>14</v>
      </c>
      <c r="H1856" t="s">
        <v>15</v>
      </c>
      <c r="I1856" s="2">
        <v>2.9</v>
      </c>
      <c r="J1856" s="4">
        <v>14</v>
      </c>
      <c r="K1856" s="3">
        <v>7</v>
      </c>
      <c r="L1856" s="1">
        <f t="shared" si="84"/>
        <v>75.912199999999999</v>
      </c>
      <c r="M1856" t="str" cm="1">
        <f t="array" ref="M1856">_xlfn.IFS(B1856&lt;18,"Under 18",B1856 &lt;=25,"18-25",B1856&lt;=35,"26-35",B1856&lt;=45,"36-45",B1856&lt;=60,"46-60",TRUE,"60+")</f>
        <v>46-60</v>
      </c>
      <c r="N1856" t="str">
        <f t="shared" si="85"/>
        <v>Discounted</v>
      </c>
      <c r="O1856" t="str">
        <f t="shared" si="86"/>
        <v>Returning</v>
      </c>
    </row>
    <row r="1857" spans="1:15" x14ac:dyDescent="0.25">
      <c r="A1857">
        <v>1856</v>
      </c>
      <c r="B1857">
        <v>25</v>
      </c>
      <c r="C1857" t="s">
        <v>11</v>
      </c>
      <c r="D1857" t="s">
        <v>12</v>
      </c>
      <c r="E1857" t="s">
        <v>56</v>
      </c>
      <c r="F1857" s="1">
        <v>155.11000000000001</v>
      </c>
      <c r="G1857" t="s">
        <v>14</v>
      </c>
      <c r="H1857" t="s">
        <v>15</v>
      </c>
      <c r="I1857" s="2">
        <v>4.4000000000000004</v>
      </c>
      <c r="J1857" s="4">
        <v>13</v>
      </c>
      <c r="K1857" s="3">
        <v>4</v>
      </c>
      <c r="L1857" s="1">
        <f t="shared" si="84"/>
        <v>134.94570000000002</v>
      </c>
      <c r="M1857" t="str" cm="1">
        <f t="array" ref="M1857">_xlfn.IFS(B1857&lt;18,"Under 18",B1857 &lt;=25,"18-25",B1857&lt;=35,"26-35",B1857&lt;=45,"36-45",B1857&lt;=60,"46-60",TRUE,"60+")</f>
        <v>18-25</v>
      </c>
      <c r="N1857" t="str">
        <f t="shared" si="85"/>
        <v>Discounted</v>
      </c>
      <c r="O1857" t="str">
        <f t="shared" si="86"/>
        <v>Returning</v>
      </c>
    </row>
    <row r="1858" spans="1:15" x14ac:dyDescent="0.25">
      <c r="A1858">
        <v>1857</v>
      </c>
      <c r="B1858">
        <v>20</v>
      </c>
      <c r="C1858" t="s">
        <v>16</v>
      </c>
      <c r="D1858" t="s">
        <v>33</v>
      </c>
      <c r="E1858" t="s">
        <v>40</v>
      </c>
      <c r="F1858" s="1">
        <v>125.9</v>
      </c>
      <c r="G1858" t="s">
        <v>14</v>
      </c>
      <c r="H1858" t="s">
        <v>15</v>
      </c>
      <c r="I1858" s="2">
        <v>4.0999999999999996</v>
      </c>
      <c r="J1858" s="4">
        <v>20</v>
      </c>
      <c r="K1858" s="3">
        <v>5</v>
      </c>
      <c r="L1858" s="1">
        <f t="shared" si="84"/>
        <v>100.72000000000001</v>
      </c>
      <c r="M1858" t="str" cm="1">
        <f t="array" ref="M1858">_xlfn.IFS(B1858&lt;18,"Under 18",B1858 &lt;=25,"18-25",B1858&lt;=35,"26-35",B1858&lt;=45,"36-45",B1858&lt;=60,"46-60",TRUE,"60+")</f>
        <v>18-25</v>
      </c>
      <c r="N1858" t="str">
        <f t="shared" si="85"/>
        <v>Discounted</v>
      </c>
      <c r="O1858" t="str">
        <f t="shared" si="86"/>
        <v>Returning</v>
      </c>
    </row>
    <row r="1859" spans="1:15" x14ac:dyDescent="0.25">
      <c r="A1859">
        <v>1858</v>
      </c>
      <c r="B1859">
        <v>29</v>
      </c>
      <c r="C1859" t="s">
        <v>11</v>
      </c>
      <c r="D1859" t="s">
        <v>25</v>
      </c>
      <c r="E1859" t="s">
        <v>47</v>
      </c>
      <c r="F1859" s="1">
        <v>78.52</v>
      </c>
      <c r="G1859" t="s">
        <v>14</v>
      </c>
      <c r="H1859" t="s">
        <v>37</v>
      </c>
      <c r="I1859" s="2">
        <v>3.5</v>
      </c>
      <c r="J1859" s="4">
        <v>18</v>
      </c>
      <c r="K1859" s="3">
        <v>4</v>
      </c>
      <c r="L1859" s="1">
        <f t="shared" ref="L1859:L1922" si="87">F1859 * (1 - J1859 / 100)</f>
        <v>64.386399999999995</v>
      </c>
      <c r="M1859" t="str" cm="1">
        <f t="array" ref="M1859">_xlfn.IFS(B1859&lt;18,"Under 18",B1859 &lt;=25,"18-25",B1859&lt;=35,"26-35",B1859&lt;=45,"36-45",B1859&lt;=60,"46-60",TRUE,"60+")</f>
        <v>26-35</v>
      </c>
      <c r="N1859" t="str">
        <f t="shared" ref="N1859:N1922" si="88">IF(J1859&gt;0,"Discounted","No Discount")</f>
        <v>Discounted</v>
      </c>
      <c r="O1859" t="str">
        <f t="shared" ref="O1859:O1922" si="89">IF(K1859&gt;0,"Returning","New")</f>
        <v>Returning</v>
      </c>
    </row>
    <row r="1860" spans="1:15" x14ac:dyDescent="0.25">
      <c r="A1860">
        <v>1859</v>
      </c>
      <c r="B1860">
        <v>49</v>
      </c>
      <c r="C1860" t="s">
        <v>11</v>
      </c>
      <c r="D1860" t="s">
        <v>25</v>
      </c>
      <c r="E1860" t="s">
        <v>26</v>
      </c>
      <c r="F1860" s="1">
        <v>21.32</v>
      </c>
      <c r="G1860" t="s">
        <v>14</v>
      </c>
      <c r="H1860" t="s">
        <v>37</v>
      </c>
      <c r="I1860" s="2">
        <v>4.5999999999999996</v>
      </c>
      <c r="J1860" s="4">
        <v>13</v>
      </c>
      <c r="K1860" s="3">
        <v>4</v>
      </c>
      <c r="L1860" s="1">
        <f t="shared" si="87"/>
        <v>18.548400000000001</v>
      </c>
      <c r="M1860" t="str" cm="1">
        <f t="array" ref="M1860">_xlfn.IFS(B1860&lt;18,"Under 18",B1860 &lt;=25,"18-25",B1860&lt;=35,"26-35",B1860&lt;=45,"36-45",B1860&lt;=60,"46-60",TRUE,"60+")</f>
        <v>46-60</v>
      </c>
      <c r="N1860" t="str">
        <f t="shared" si="88"/>
        <v>Discounted</v>
      </c>
      <c r="O1860" t="str">
        <f t="shared" si="89"/>
        <v>Returning</v>
      </c>
    </row>
    <row r="1861" spans="1:15" x14ac:dyDescent="0.25">
      <c r="A1861">
        <v>1860</v>
      </c>
      <c r="B1861">
        <v>70</v>
      </c>
      <c r="C1861" t="s">
        <v>11</v>
      </c>
      <c r="D1861" t="s">
        <v>33</v>
      </c>
      <c r="E1861" t="s">
        <v>40</v>
      </c>
      <c r="F1861" s="1">
        <v>180.88</v>
      </c>
      <c r="G1861" t="s">
        <v>24</v>
      </c>
      <c r="H1861" t="s">
        <v>15</v>
      </c>
      <c r="I1861" s="2">
        <v>3.1</v>
      </c>
      <c r="J1861" s="4">
        <v>14</v>
      </c>
      <c r="K1861" s="3">
        <v>2</v>
      </c>
      <c r="L1861" s="1">
        <f t="shared" si="87"/>
        <v>155.55679999999998</v>
      </c>
      <c r="M1861" t="str" cm="1">
        <f t="array" ref="M1861">_xlfn.IFS(B1861&lt;18,"Under 18",B1861 &lt;=25,"18-25",B1861&lt;=35,"26-35",B1861&lt;=45,"36-45",B1861&lt;=60,"46-60",TRUE,"60+")</f>
        <v>60+</v>
      </c>
      <c r="N1861" t="str">
        <f t="shared" si="88"/>
        <v>Discounted</v>
      </c>
      <c r="O1861" t="str">
        <f t="shared" si="89"/>
        <v>Returning</v>
      </c>
    </row>
    <row r="1862" spans="1:15" x14ac:dyDescent="0.25">
      <c r="A1862">
        <v>1861</v>
      </c>
      <c r="B1862">
        <v>23</v>
      </c>
      <c r="C1862" t="s">
        <v>11</v>
      </c>
      <c r="D1862" t="s">
        <v>20</v>
      </c>
      <c r="E1862" t="s">
        <v>36</v>
      </c>
      <c r="F1862" s="1">
        <v>240.21</v>
      </c>
      <c r="G1862" t="s">
        <v>24</v>
      </c>
      <c r="H1862" t="s">
        <v>15</v>
      </c>
      <c r="I1862" s="2">
        <v>2.2999999999999998</v>
      </c>
      <c r="J1862" s="4">
        <v>18</v>
      </c>
      <c r="K1862" s="3">
        <v>4</v>
      </c>
      <c r="L1862" s="1">
        <f t="shared" si="87"/>
        <v>196.97220000000002</v>
      </c>
      <c r="M1862" t="str" cm="1">
        <f t="array" ref="M1862">_xlfn.IFS(B1862&lt;18,"Under 18",B1862 &lt;=25,"18-25",B1862&lt;=35,"26-35",B1862&lt;=45,"36-45",B1862&lt;=60,"46-60",TRUE,"60+")</f>
        <v>18-25</v>
      </c>
      <c r="N1862" t="str">
        <f t="shared" si="88"/>
        <v>Discounted</v>
      </c>
      <c r="O1862" t="str">
        <f t="shared" si="89"/>
        <v>Returning</v>
      </c>
    </row>
    <row r="1863" spans="1:15" x14ac:dyDescent="0.25">
      <c r="A1863">
        <v>1862</v>
      </c>
      <c r="B1863">
        <v>34</v>
      </c>
      <c r="C1863" t="s">
        <v>16</v>
      </c>
      <c r="D1863" t="s">
        <v>17</v>
      </c>
      <c r="E1863" t="s">
        <v>42</v>
      </c>
      <c r="F1863" s="1">
        <v>76.040000000000006</v>
      </c>
      <c r="G1863" t="s">
        <v>31</v>
      </c>
      <c r="H1863" t="s">
        <v>37</v>
      </c>
      <c r="I1863" s="2">
        <v>4</v>
      </c>
      <c r="J1863" s="4">
        <v>6</v>
      </c>
      <c r="K1863" s="3">
        <v>3</v>
      </c>
      <c r="L1863" s="1">
        <f t="shared" si="87"/>
        <v>71.477599999999995</v>
      </c>
      <c r="M1863" t="str" cm="1">
        <f t="array" ref="M1863">_xlfn.IFS(B1863&lt;18,"Under 18",B1863 &lt;=25,"18-25",B1863&lt;=35,"26-35",B1863&lt;=45,"36-45",B1863&lt;=60,"46-60",TRUE,"60+")</f>
        <v>26-35</v>
      </c>
      <c r="N1863" t="str">
        <f t="shared" si="88"/>
        <v>Discounted</v>
      </c>
      <c r="O1863" t="str">
        <f t="shared" si="89"/>
        <v>Returning</v>
      </c>
    </row>
    <row r="1864" spans="1:15" x14ac:dyDescent="0.25">
      <c r="A1864">
        <v>1863</v>
      </c>
      <c r="B1864">
        <v>68</v>
      </c>
      <c r="C1864" t="s">
        <v>16</v>
      </c>
      <c r="D1864" t="s">
        <v>33</v>
      </c>
      <c r="E1864" t="s">
        <v>38</v>
      </c>
      <c r="F1864" s="1">
        <v>52.98</v>
      </c>
      <c r="G1864" t="s">
        <v>19</v>
      </c>
      <c r="H1864" t="s">
        <v>15</v>
      </c>
      <c r="I1864" s="2">
        <v>3.8</v>
      </c>
      <c r="J1864" s="4">
        <v>22</v>
      </c>
      <c r="K1864" s="3">
        <v>6</v>
      </c>
      <c r="L1864" s="1">
        <f t="shared" si="87"/>
        <v>41.324399999999997</v>
      </c>
      <c r="M1864" t="str" cm="1">
        <f t="array" ref="M1864">_xlfn.IFS(B1864&lt;18,"Under 18",B1864 &lt;=25,"18-25",B1864&lt;=35,"26-35",B1864&lt;=45,"36-45",B1864&lt;=60,"46-60",TRUE,"60+")</f>
        <v>60+</v>
      </c>
      <c r="N1864" t="str">
        <f t="shared" si="88"/>
        <v>Discounted</v>
      </c>
      <c r="O1864" t="str">
        <f t="shared" si="89"/>
        <v>Returning</v>
      </c>
    </row>
    <row r="1865" spans="1:15" x14ac:dyDescent="0.25">
      <c r="A1865">
        <v>1864</v>
      </c>
      <c r="B1865">
        <v>51</v>
      </c>
      <c r="C1865" t="s">
        <v>11</v>
      </c>
      <c r="D1865" t="s">
        <v>29</v>
      </c>
      <c r="E1865" t="s">
        <v>55</v>
      </c>
      <c r="F1865" s="1">
        <v>101.93</v>
      </c>
      <c r="G1865" t="s">
        <v>19</v>
      </c>
      <c r="H1865" t="s">
        <v>15</v>
      </c>
      <c r="I1865" s="2">
        <v>3.7</v>
      </c>
      <c r="J1865" s="4">
        <v>9</v>
      </c>
      <c r="K1865" s="3">
        <v>2</v>
      </c>
      <c r="L1865" s="1">
        <f t="shared" si="87"/>
        <v>92.75630000000001</v>
      </c>
      <c r="M1865" t="str" cm="1">
        <f t="array" ref="M1865">_xlfn.IFS(B1865&lt;18,"Under 18",B1865 &lt;=25,"18-25",B1865&lt;=35,"26-35",B1865&lt;=45,"36-45",B1865&lt;=60,"46-60",TRUE,"60+")</f>
        <v>46-60</v>
      </c>
      <c r="N1865" t="str">
        <f t="shared" si="88"/>
        <v>Discounted</v>
      </c>
      <c r="O1865" t="str">
        <f t="shared" si="89"/>
        <v>Returning</v>
      </c>
    </row>
    <row r="1866" spans="1:15" x14ac:dyDescent="0.25">
      <c r="A1866">
        <v>1865</v>
      </c>
      <c r="B1866">
        <v>49</v>
      </c>
      <c r="C1866" t="s">
        <v>16</v>
      </c>
      <c r="D1866" t="s">
        <v>33</v>
      </c>
      <c r="E1866" t="s">
        <v>38</v>
      </c>
      <c r="F1866" s="1">
        <v>122.96</v>
      </c>
      <c r="G1866" t="s">
        <v>24</v>
      </c>
      <c r="H1866" t="s">
        <v>15</v>
      </c>
      <c r="I1866" s="2">
        <v>4.2</v>
      </c>
      <c r="J1866" s="4">
        <v>13</v>
      </c>
      <c r="K1866" s="3">
        <v>4</v>
      </c>
      <c r="L1866" s="1">
        <f t="shared" si="87"/>
        <v>106.9752</v>
      </c>
      <c r="M1866" t="str" cm="1">
        <f t="array" ref="M1866">_xlfn.IFS(B1866&lt;18,"Under 18",B1866 &lt;=25,"18-25",B1866&lt;=35,"26-35",B1866&lt;=45,"36-45",B1866&lt;=60,"46-60",TRUE,"60+")</f>
        <v>46-60</v>
      </c>
      <c r="N1866" t="str">
        <f t="shared" si="88"/>
        <v>Discounted</v>
      </c>
      <c r="O1866" t="str">
        <f t="shared" si="89"/>
        <v>Returning</v>
      </c>
    </row>
    <row r="1867" spans="1:15" x14ac:dyDescent="0.25">
      <c r="A1867">
        <v>1866</v>
      </c>
      <c r="B1867">
        <v>46</v>
      </c>
      <c r="C1867" t="s">
        <v>16</v>
      </c>
      <c r="D1867" t="s">
        <v>27</v>
      </c>
      <c r="E1867" t="s">
        <v>49</v>
      </c>
      <c r="F1867" s="1">
        <v>2820.93</v>
      </c>
      <c r="G1867" t="s">
        <v>31</v>
      </c>
      <c r="H1867" t="s">
        <v>15</v>
      </c>
      <c r="I1867" s="2">
        <v>4.5999999999999996</v>
      </c>
      <c r="J1867" s="4">
        <v>13</v>
      </c>
      <c r="K1867" s="3">
        <v>4</v>
      </c>
      <c r="L1867" s="1">
        <f t="shared" si="87"/>
        <v>2454.2091</v>
      </c>
      <c r="M1867" t="str" cm="1">
        <f t="array" ref="M1867">_xlfn.IFS(B1867&lt;18,"Under 18",B1867 &lt;=25,"18-25",B1867&lt;=35,"26-35",B1867&lt;=45,"36-45",B1867&lt;=60,"46-60",TRUE,"60+")</f>
        <v>46-60</v>
      </c>
      <c r="N1867" t="str">
        <f t="shared" si="88"/>
        <v>Discounted</v>
      </c>
      <c r="O1867" t="str">
        <f t="shared" si="89"/>
        <v>Returning</v>
      </c>
    </row>
    <row r="1868" spans="1:15" x14ac:dyDescent="0.25">
      <c r="A1868">
        <v>1867</v>
      </c>
      <c r="B1868">
        <v>46</v>
      </c>
      <c r="C1868" t="s">
        <v>16</v>
      </c>
      <c r="D1868" t="s">
        <v>17</v>
      </c>
      <c r="E1868" t="s">
        <v>48</v>
      </c>
      <c r="F1868" s="1">
        <v>123.87</v>
      </c>
      <c r="G1868" t="s">
        <v>31</v>
      </c>
      <c r="H1868" t="s">
        <v>15</v>
      </c>
      <c r="I1868" s="2">
        <v>3.8</v>
      </c>
      <c r="J1868" s="4">
        <v>5</v>
      </c>
      <c r="K1868" s="3">
        <v>0</v>
      </c>
      <c r="L1868" s="1">
        <f t="shared" si="87"/>
        <v>117.6765</v>
      </c>
      <c r="M1868" t="str" cm="1">
        <f t="array" ref="M1868">_xlfn.IFS(B1868&lt;18,"Under 18",B1868 &lt;=25,"18-25",B1868&lt;=35,"26-35",B1868&lt;=45,"36-45",B1868&lt;=60,"46-60",TRUE,"60+")</f>
        <v>46-60</v>
      </c>
      <c r="N1868" t="str">
        <f t="shared" si="88"/>
        <v>Discounted</v>
      </c>
      <c r="O1868" t="str">
        <f t="shared" si="89"/>
        <v>New</v>
      </c>
    </row>
    <row r="1869" spans="1:15" x14ac:dyDescent="0.25">
      <c r="A1869">
        <v>1868</v>
      </c>
      <c r="B1869">
        <v>49</v>
      </c>
      <c r="C1869" t="s">
        <v>16</v>
      </c>
      <c r="D1869" t="s">
        <v>17</v>
      </c>
      <c r="E1869" t="s">
        <v>48</v>
      </c>
      <c r="F1869" s="1">
        <v>67.94</v>
      </c>
      <c r="G1869" t="s">
        <v>31</v>
      </c>
      <c r="H1869" t="s">
        <v>37</v>
      </c>
      <c r="I1869" s="2">
        <v>3.9</v>
      </c>
      <c r="J1869" s="4">
        <v>24</v>
      </c>
      <c r="K1869" s="3">
        <v>7</v>
      </c>
      <c r="L1869" s="1">
        <f t="shared" si="87"/>
        <v>51.634399999999999</v>
      </c>
      <c r="M1869" t="str" cm="1">
        <f t="array" ref="M1869">_xlfn.IFS(B1869&lt;18,"Under 18",B1869 &lt;=25,"18-25",B1869&lt;=35,"26-35",B1869&lt;=45,"36-45",B1869&lt;=60,"46-60",TRUE,"60+")</f>
        <v>46-60</v>
      </c>
      <c r="N1869" t="str">
        <f t="shared" si="88"/>
        <v>Discounted</v>
      </c>
      <c r="O1869" t="str">
        <f t="shared" si="89"/>
        <v>Returning</v>
      </c>
    </row>
    <row r="1870" spans="1:15" x14ac:dyDescent="0.25">
      <c r="A1870">
        <v>1869</v>
      </c>
      <c r="B1870">
        <v>56</v>
      </c>
      <c r="C1870" t="s">
        <v>16</v>
      </c>
      <c r="D1870" t="s">
        <v>17</v>
      </c>
      <c r="E1870" t="s">
        <v>48</v>
      </c>
      <c r="F1870" s="1">
        <v>50.4</v>
      </c>
      <c r="G1870" t="s">
        <v>19</v>
      </c>
      <c r="H1870" t="s">
        <v>15</v>
      </c>
      <c r="I1870" s="2">
        <v>4.2</v>
      </c>
      <c r="J1870" s="4">
        <v>18</v>
      </c>
      <c r="K1870" s="3">
        <v>4</v>
      </c>
      <c r="L1870" s="1">
        <f t="shared" si="87"/>
        <v>41.328000000000003</v>
      </c>
      <c r="M1870" t="str" cm="1">
        <f t="array" ref="M1870">_xlfn.IFS(B1870&lt;18,"Under 18",B1870 &lt;=25,"18-25",B1870&lt;=35,"26-35",B1870&lt;=45,"36-45",B1870&lt;=60,"46-60",TRUE,"60+")</f>
        <v>46-60</v>
      </c>
      <c r="N1870" t="str">
        <f t="shared" si="88"/>
        <v>Discounted</v>
      </c>
      <c r="O1870" t="str">
        <f t="shared" si="89"/>
        <v>Returning</v>
      </c>
    </row>
    <row r="1871" spans="1:15" x14ac:dyDescent="0.25">
      <c r="A1871">
        <v>1870</v>
      </c>
      <c r="B1871">
        <v>65</v>
      </c>
      <c r="C1871" t="s">
        <v>16</v>
      </c>
      <c r="D1871" t="s">
        <v>17</v>
      </c>
      <c r="E1871" t="s">
        <v>35</v>
      </c>
      <c r="F1871" s="1">
        <v>174.89</v>
      </c>
      <c r="G1871" t="s">
        <v>24</v>
      </c>
      <c r="H1871" t="s">
        <v>15</v>
      </c>
      <c r="I1871" s="2">
        <v>2.4</v>
      </c>
      <c r="J1871" s="4">
        <v>2</v>
      </c>
      <c r="K1871" s="3">
        <v>1</v>
      </c>
      <c r="L1871" s="1">
        <f t="shared" si="87"/>
        <v>171.39219999999997</v>
      </c>
      <c r="M1871" t="str" cm="1">
        <f t="array" ref="M1871">_xlfn.IFS(B1871&lt;18,"Under 18",B1871 &lt;=25,"18-25",B1871&lt;=35,"26-35",B1871&lt;=45,"36-45",B1871&lt;=60,"46-60",TRUE,"60+")</f>
        <v>60+</v>
      </c>
      <c r="N1871" t="str">
        <f t="shared" si="88"/>
        <v>Discounted</v>
      </c>
      <c r="O1871" t="str">
        <f t="shared" si="89"/>
        <v>Returning</v>
      </c>
    </row>
    <row r="1872" spans="1:15" x14ac:dyDescent="0.25">
      <c r="A1872">
        <v>1871</v>
      </c>
      <c r="B1872">
        <v>44</v>
      </c>
      <c r="C1872" t="s">
        <v>11</v>
      </c>
      <c r="D1872" t="s">
        <v>41</v>
      </c>
      <c r="E1872" t="s">
        <v>45</v>
      </c>
      <c r="F1872" s="1">
        <v>119.31</v>
      </c>
      <c r="G1872" t="s">
        <v>19</v>
      </c>
      <c r="H1872" t="s">
        <v>15</v>
      </c>
      <c r="I1872" s="2">
        <v>3.8</v>
      </c>
      <c r="J1872" s="4">
        <v>15</v>
      </c>
      <c r="K1872" s="3">
        <v>5</v>
      </c>
      <c r="L1872" s="1">
        <f t="shared" si="87"/>
        <v>101.4135</v>
      </c>
      <c r="M1872" t="str" cm="1">
        <f t="array" ref="M1872">_xlfn.IFS(B1872&lt;18,"Under 18",B1872 &lt;=25,"18-25",B1872&lt;=35,"26-35",B1872&lt;=45,"36-45",B1872&lt;=60,"46-60",TRUE,"60+")</f>
        <v>36-45</v>
      </c>
      <c r="N1872" t="str">
        <f t="shared" si="88"/>
        <v>Discounted</v>
      </c>
      <c r="O1872" t="str">
        <f t="shared" si="89"/>
        <v>Returning</v>
      </c>
    </row>
    <row r="1873" spans="1:15" x14ac:dyDescent="0.25">
      <c r="A1873">
        <v>1872</v>
      </c>
      <c r="B1873">
        <v>43</v>
      </c>
      <c r="C1873" t="s">
        <v>16</v>
      </c>
      <c r="D1873" t="s">
        <v>20</v>
      </c>
      <c r="E1873" t="s">
        <v>21</v>
      </c>
      <c r="F1873" s="1">
        <v>188.28</v>
      </c>
      <c r="G1873" t="s">
        <v>19</v>
      </c>
      <c r="H1873" t="s">
        <v>15</v>
      </c>
      <c r="I1873" s="2">
        <v>3.7</v>
      </c>
      <c r="J1873" s="4">
        <v>22</v>
      </c>
      <c r="K1873" s="3">
        <v>6</v>
      </c>
      <c r="L1873" s="1">
        <f t="shared" si="87"/>
        <v>146.85840000000002</v>
      </c>
      <c r="M1873" t="str" cm="1">
        <f t="array" ref="M1873">_xlfn.IFS(B1873&lt;18,"Under 18",B1873 &lt;=25,"18-25",B1873&lt;=35,"26-35",B1873&lt;=45,"36-45",B1873&lt;=60,"46-60",TRUE,"60+")</f>
        <v>36-45</v>
      </c>
      <c r="N1873" t="str">
        <f t="shared" si="88"/>
        <v>Discounted</v>
      </c>
      <c r="O1873" t="str">
        <f t="shared" si="89"/>
        <v>Returning</v>
      </c>
    </row>
    <row r="1874" spans="1:15" x14ac:dyDescent="0.25">
      <c r="A1874">
        <v>1873</v>
      </c>
      <c r="B1874">
        <v>58</v>
      </c>
      <c r="C1874" t="s">
        <v>16</v>
      </c>
      <c r="D1874" t="s">
        <v>33</v>
      </c>
      <c r="E1874" t="s">
        <v>40</v>
      </c>
      <c r="F1874" s="1">
        <v>75.03</v>
      </c>
      <c r="G1874" t="s">
        <v>19</v>
      </c>
      <c r="H1874" t="s">
        <v>15</v>
      </c>
      <c r="I1874" s="2">
        <v>4.3</v>
      </c>
      <c r="J1874" s="4">
        <v>10</v>
      </c>
      <c r="K1874" s="3">
        <v>5</v>
      </c>
      <c r="L1874" s="1">
        <f t="shared" si="87"/>
        <v>67.527000000000001</v>
      </c>
      <c r="M1874" t="str" cm="1">
        <f t="array" ref="M1874">_xlfn.IFS(B1874&lt;18,"Under 18",B1874 &lt;=25,"18-25",B1874&lt;=35,"26-35",B1874&lt;=45,"36-45",B1874&lt;=60,"46-60",TRUE,"60+")</f>
        <v>46-60</v>
      </c>
      <c r="N1874" t="str">
        <f t="shared" si="88"/>
        <v>Discounted</v>
      </c>
      <c r="O1874" t="str">
        <f t="shared" si="89"/>
        <v>Returning</v>
      </c>
    </row>
    <row r="1875" spans="1:15" x14ac:dyDescent="0.25">
      <c r="A1875">
        <v>1874</v>
      </c>
      <c r="B1875">
        <v>27</v>
      </c>
      <c r="C1875" t="s">
        <v>11</v>
      </c>
      <c r="D1875" t="s">
        <v>20</v>
      </c>
      <c r="E1875" t="s">
        <v>21</v>
      </c>
      <c r="F1875" s="1">
        <v>122.27</v>
      </c>
      <c r="G1875" t="s">
        <v>14</v>
      </c>
      <c r="H1875" t="s">
        <v>15</v>
      </c>
      <c r="I1875" s="2">
        <v>5</v>
      </c>
      <c r="J1875" s="4">
        <v>15</v>
      </c>
      <c r="K1875" s="3">
        <v>5</v>
      </c>
      <c r="L1875" s="1">
        <f t="shared" si="87"/>
        <v>103.92949999999999</v>
      </c>
      <c r="M1875" t="str" cm="1">
        <f t="array" ref="M1875">_xlfn.IFS(B1875&lt;18,"Under 18",B1875 &lt;=25,"18-25",B1875&lt;=35,"26-35",B1875&lt;=45,"36-45",B1875&lt;=60,"46-60",TRUE,"60+")</f>
        <v>26-35</v>
      </c>
      <c r="N1875" t="str">
        <f t="shared" si="88"/>
        <v>Discounted</v>
      </c>
      <c r="O1875" t="str">
        <f t="shared" si="89"/>
        <v>Returning</v>
      </c>
    </row>
    <row r="1876" spans="1:15" x14ac:dyDescent="0.25">
      <c r="A1876">
        <v>1875</v>
      </c>
      <c r="B1876">
        <v>67</v>
      </c>
      <c r="C1876" t="s">
        <v>11</v>
      </c>
      <c r="D1876" t="s">
        <v>41</v>
      </c>
      <c r="E1876" t="s">
        <v>42</v>
      </c>
      <c r="F1876" s="1">
        <v>48.15</v>
      </c>
      <c r="G1876" t="s">
        <v>31</v>
      </c>
      <c r="H1876" t="s">
        <v>37</v>
      </c>
      <c r="I1876" s="2">
        <v>3.5</v>
      </c>
      <c r="J1876" s="4">
        <v>12</v>
      </c>
      <c r="K1876" s="3">
        <v>6</v>
      </c>
      <c r="L1876" s="1">
        <f t="shared" si="87"/>
        <v>42.372</v>
      </c>
      <c r="M1876" t="str" cm="1">
        <f t="array" ref="M1876">_xlfn.IFS(B1876&lt;18,"Under 18",B1876 &lt;=25,"18-25",B1876&lt;=35,"26-35",B1876&lt;=45,"36-45",B1876&lt;=60,"46-60",TRUE,"60+")</f>
        <v>60+</v>
      </c>
      <c r="N1876" t="str">
        <f t="shared" si="88"/>
        <v>Discounted</v>
      </c>
      <c r="O1876" t="str">
        <f t="shared" si="89"/>
        <v>Returning</v>
      </c>
    </row>
    <row r="1877" spans="1:15" x14ac:dyDescent="0.25">
      <c r="A1877">
        <v>1876</v>
      </c>
      <c r="B1877">
        <v>57</v>
      </c>
      <c r="C1877" t="s">
        <v>11</v>
      </c>
      <c r="D1877" t="s">
        <v>25</v>
      </c>
      <c r="E1877" t="s">
        <v>57</v>
      </c>
      <c r="F1877" s="1">
        <v>75.56</v>
      </c>
      <c r="G1877" t="s">
        <v>31</v>
      </c>
      <c r="H1877" t="s">
        <v>37</v>
      </c>
      <c r="I1877" s="2">
        <v>3.8</v>
      </c>
      <c r="J1877" s="4">
        <v>22</v>
      </c>
      <c r="K1877" s="3">
        <v>6</v>
      </c>
      <c r="L1877" s="1">
        <f t="shared" si="87"/>
        <v>58.936800000000005</v>
      </c>
      <c r="M1877" t="str" cm="1">
        <f t="array" ref="M1877">_xlfn.IFS(B1877&lt;18,"Under 18",B1877 &lt;=25,"18-25",B1877&lt;=35,"26-35",B1877&lt;=45,"36-45",B1877&lt;=60,"46-60",TRUE,"60+")</f>
        <v>46-60</v>
      </c>
      <c r="N1877" t="str">
        <f t="shared" si="88"/>
        <v>Discounted</v>
      </c>
      <c r="O1877" t="str">
        <f t="shared" si="89"/>
        <v>Returning</v>
      </c>
    </row>
    <row r="1878" spans="1:15" x14ac:dyDescent="0.25">
      <c r="A1878">
        <v>1877</v>
      </c>
      <c r="B1878">
        <v>37</v>
      </c>
      <c r="C1878" t="s">
        <v>16</v>
      </c>
      <c r="D1878" t="s">
        <v>22</v>
      </c>
      <c r="E1878" t="s">
        <v>52</v>
      </c>
      <c r="F1878" s="1">
        <v>289.68</v>
      </c>
      <c r="G1878" t="s">
        <v>19</v>
      </c>
      <c r="H1878" t="s">
        <v>15</v>
      </c>
      <c r="I1878" s="2">
        <v>5</v>
      </c>
      <c r="J1878" s="4">
        <v>24</v>
      </c>
      <c r="K1878" s="3">
        <v>7</v>
      </c>
      <c r="L1878" s="1">
        <f t="shared" si="87"/>
        <v>220.1568</v>
      </c>
      <c r="M1878" t="str" cm="1">
        <f t="array" ref="M1878">_xlfn.IFS(B1878&lt;18,"Under 18",B1878 &lt;=25,"18-25",B1878&lt;=35,"26-35",B1878&lt;=45,"36-45",B1878&lt;=60,"46-60",TRUE,"60+")</f>
        <v>36-45</v>
      </c>
      <c r="N1878" t="str">
        <f t="shared" si="88"/>
        <v>Discounted</v>
      </c>
      <c r="O1878" t="str">
        <f t="shared" si="89"/>
        <v>Returning</v>
      </c>
    </row>
    <row r="1879" spans="1:15" x14ac:dyDescent="0.25">
      <c r="A1879">
        <v>1878</v>
      </c>
      <c r="B1879">
        <v>59</v>
      </c>
      <c r="C1879" t="s">
        <v>16</v>
      </c>
      <c r="D1879" t="s">
        <v>20</v>
      </c>
      <c r="E1879" t="s">
        <v>39</v>
      </c>
      <c r="F1879" s="1">
        <v>241.42</v>
      </c>
      <c r="G1879" t="s">
        <v>31</v>
      </c>
      <c r="H1879" t="s">
        <v>15</v>
      </c>
      <c r="I1879" s="2">
        <v>5</v>
      </c>
      <c r="J1879" s="4">
        <v>19</v>
      </c>
      <c r="K1879" s="3">
        <v>7</v>
      </c>
      <c r="L1879" s="1">
        <f t="shared" si="87"/>
        <v>195.55019999999999</v>
      </c>
      <c r="M1879" t="str" cm="1">
        <f t="array" ref="M1879">_xlfn.IFS(B1879&lt;18,"Under 18",B1879 &lt;=25,"18-25",B1879&lt;=35,"26-35",B1879&lt;=45,"36-45",B1879&lt;=60,"46-60",TRUE,"60+")</f>
        <v>46-60</v>
      </c>
      <c r="N1879" t="str">
        <f t="shared" si="88"/>
        <v>Discounted</v>
      </c>
      <c r="O1879" t="str">
        <f t="shared" si="89"/>
        <v>Returning</v>
      </c>
    </row>
    <row r="1880" spans="1:15" x14ac:dyDescent="0.25">
      <c r="A1880">
        <v>1879</v>
      </c>
      <c r="B1880">
        <v>51</v>
      </c>
      <c r="C1880" t="s">
        <v>11</v>
      </c>
      <c r="D1880" t="s">
        <v>29</v>
      </c>
      <c r="E1880" t="s">
        <v>30</v>
      </c>
      <c r="F1880" s="1">
        <v>138.15</v>
      </c>
      <c r="G1880" t="s">
        <v>24</v>
      </c>
      <c r="H1880" t="s">
        <v>15</v>
      </c>
      <c r="I1880" s="2">
        <v>3.5</v>
      </c>
      <c r="J1880" s="4">
        <v>15</v>
      </c>
      <c r="K1880" s="3">
        <v>5</v>
      </c>
      <c r="L1880" s="1">
        <f t="shared" si="87"/>
        <v>117.42749999999999</v>
      </c>
      <c r="M1880" t="str" cm="1">
        <f t="array" ref="M1880">_xlfn.IFS(B1880&lt;18,"Under 18",B1880 &lt;=25,"18-25",B1880&lt;=35,"26-35",B1880&lt;=45,"36-45",B1880&lt;=60,"46-60",TRUE,"60+")</f>
        <v>46-60</v>
      </c>
      <c r="N1880" t="str">
        <f t="shared" si="88"/>
        <v>Discounted</v>
      </c>
      <c r="O1880" t="str">
        <f t="shared" si="89"/>
        <v>Returning</v>
      </c>
    </row>
    <row r="1881" spans="1:15" x14ac:dyDescent="0.25">
      <c r="A1881">
        <v>1880</v>
      </c>
      <c r="B1881">
        <v>30</v>
      </c>
      <c r="C1881" t="s">
        <v>11</v>
      </c>
      <c r="D1881" t="s">
        <v>12</v>
      </c>
      <c r="E1881" t="s">
        <v>50</v>
      </c>
      <c r="F1881" s="1">
        <v>46.15</v>
      </c>
      <c r="G1881" t="s">
        <v>14</v>
      </c>
      <c r="H1881" t="s">
        <v>37</v>
      </c>
      <c r="I1881" s="2">
        <v>3.7</v>
      </c>
      <c r="J1881" s="4">
        <v>14</v>
      </c>
      <c r="K1881" s="3">
        <v>2</v>
      </c>
      <c r="L1881" s="1">
        <f t="shared" si="87"/>
        <v>39.689</v>
      </c>
      <c r="M1881" t="str" cm="1">
        <f t="array" ref="M1881">_xlfn.IFS(B1881&lt;18,"Under 18",B1881 &lt;=25,"18-25",B1881&lt;=35,"26-35",B1881&lt;=45,"36-45",B1881&lt;=60,"46-60",TRUE,"60+")</f>
        <v>26-35</v>
      </c>
      <c r="N1881" t="str">
        <f t="shared" si="88"/>
        <v>Discounted</v>
      </c>
      <c r="O1881" t="str">
        <f t="shared" si="89"/>
        <v>Returning</v>
      </c>
    </row>
    <row r="1882" spans="1:15" x14ac:dyDescent="0.25">
      <c r="A1882">
        <v>1881</v>
      </c>
      <c r="B1882">
        <v>61</v>
      </c>
      <c r="C1882" t="s">
        <v>16</v>
      </c>
      <c r="D1882" t="s">
        <v>25</v>
      </c>
      <c r="E1882" t="s">
        <v>47</v>
      </c>
      <c r="F1882" s="1">
        <v>62.19</v>
      </c>
      <c r="G1882" t="s">
        <v>31</v>
      </c>
      <c r="H1882" t="s">
        <v>15</v>
      </c>
      <c r="I1882" s="2">
        <v>2.9</v>
      </c>
      <c r="J1882" s="4">
        <v>12</v>
      </c>
      <c r="K1882" s="3">
        <v>6</v>
      </c>
      <c r="L1882" s="1">
        <f t="shared" si="87"/>
        <v>54.727199999999996</v>
      </c>
      <c r="M1882" t="str" cm="1">
        <f t="array" ref="M1882">_xlfn.IFS(B1882&lt;18,"Under 18",B1882 &lt;=25,"18-25",B1882&lt;=35,"26-35",B1882&lt;=45,"36-45",B1882&lt;=60,"46-60",TRUE,"60+")</f>
        <v>60+</v>
      </c>
      <c r="N1882" t="str">
        <f t="shared" si="88"/>
        <v>Discounted</v>
      </c>
      <c r="O1882" t="str">
        <f t="shared" si="89"/>
        <v>Returning</v>
      </c>
    </row>
    <row r="1883" spans="1:15" x14ac:dyDescent="0.25">
      <c r="A1883">
        <v>1882</v>
      </c>
      <c r="B1883">
        <v>24</v>
      </c>
      <c r="C1883" t="s">
        <v>16</v>
      </c>
      <c r="D1883" t="s">
        <v>33</v>
      </c>
      <c r="E1883" t="s">
        <v>34</v>
      </c>
      <c r="F1883" s="1">
        <v>223.63</v>
      </c>
      <c r="G1883" t="s">
        <v>19</v>
      </c>
      <c r="H1883" t="s">
        <v>15</v>
      </c>
      <c r="I1883" s="2">
        <v>5</v>
      </c>
      <c r="J1883" s="4">
        <v>5</v>
      </c>
      <c r="K1883" s="3">
        <v>0</v>
      </c>
      <c r="L1883" s="1">
        <f t="shared" si="87"/>
        <v>212.4485</v>
      </c>
      <c r="M1883" t="str" cm="1">
        <f t="array" ref="M1883">_xlfn.IFS(B1883&lt;18,"Under 18",B1883 &lt;=25,"18-25",B1883&lt;=35,"26-35",B1883&lt;=45,"36-45",B1883&lt;=60,"46-60",TRUE,"60+")</f>
        <v>18-25</v>
      </c>
      <c r="N1883" t="str">
        <f t="shared" si="88"/>
        <v>Discounted</v>
      </c>
      <c r="O1883" t="str">
        <f t="shared" si="89"/>
        <v>New</v>
      </c>
    </row>
    <row r="1884" spans="1:15" x14ac:dyDescent="0.25">
      <c r="A1884">
        <v>1883</v>
      </c>
      <c r="B1884">
        <v>46</v>
      </c>
      <c r="C1884" t="s">
        <v>11</v>
      </c>
      <c r="D1884" t="s">
        <v>25</v>
      </c>
      <c r="E1884" t="s">
        <v>57</v>
      </c>
      <c r="F1884" s="1">
        <v>61.01</v>
      </c>
      <c r="G1884" t="s">
        <v>19</v>
      </c>
      <c r="H1884" t="s">
        <v>37</v>
      </c>
      <c r="I1884" s="2">
        <v>3.2</v>
      </c>
      <c r="J1884" s="4">
        <v>15</v>
      </c>
      <c r="K1884" s="3">
        <v>5</v>
      </c>
      <c r="L1884" s="1">
        <f t="shared" si="87"/>
        <v>51.858499999999999</v>
      </c>
      <c r="M1884" t="str" cm="1">
        <f t="array" ref="M1884">_xlfn.IFS(B1884&lt;18,"Under 18",B1884 &lt;=25,"18-25",B1884&lt;=35,"26-35",B1884&lt;=45,"36-45",B1884&lt;=60,"46-60",TRUE,"60+")</f>
        <v>46-60</v>
      </c>
      <c r="N1884" t="str">
        <f t="shared" si="88"/>
        <v>Discounted</v>
      </c>
      <c r="O1884" t="str">
        <f t="shared" si="89"/>
        <v>Returning</v>
      </c>
    </row>
    <row r="1885" spans="1:15" x14ac:dyDescent="0.25">
      <c r="A1885">
        <v>1884</v>
      </c>
      <c r="B1885">
        <v>24</v>
      </c>
      <c r="C1885" t="s">
        <v>16</v>
      </c>
      <c r="D1885" t="s">
        <v>17</v>
      </c>
      <c r="E1885" t="s">
        <v>18</v>
      </c>
      <c r="F1885" s="1">
        <v>55.92</v>
      </c>
      <c r="G1885" t="s">
        <v>19</v>
      </c>
      <c r="H1885" t="s">
        <v>15</v>
      </c>
      <c r="I1885" s="2">
        <v>4</v>
      </c>
      <c r="J1885" s="4">
        <v>12</v>
      </c>
      <c r="K1885" s="3">
        <v>6</v>
      </c>
      <c r="L1885" s="1">
        <f t="shared" si="87"/>
        <v>49.209600000000002</v>
      </c>
      <c r="M1885" t="str" cm="1">
        <f t="array" ref="M1885">_xlfn.IFS(B1885&lt;18,"Under 18",B1885 &lt;=25,"18-25",B1885&lt;=35,"26-35",B1885&lt;=45,"36-45",B1885&lt;=60,"46-60",TRUE,"60+")</f>
        <v>18-25</v>
      </c>
      <c r="N1885" t="str">
        <f t="shared" si="88"/>
        <v>Discounted</v>
      </c>
      <c r="O1885" t="str">
        <f t="shared" si="89"/>
        <v>Returning</v>
      </c>
    </row>
    <row r="1886" spans="1:15" x14ac:dyDescent="0.25">
      <c r="A1886">
        <v>1885</v>
      </c>
      <c r="B1886">
        <v>23</v>
      </c>
      <c r="C1886" t="s">
        <v>16</v>
      </c>
      <c r="D1886" t="s">
        <v>27</v>
      </c>
      <c r="E1886" t="s">
        <v>32</v>
      </c>
      <c r="F1886" s="1">
        <v>590.1</v>
      </c>
      <c r="G1886" t="s">
        <v>19</v>
      </c>
      <c r="H1886" t="s">
        <v>15</v>
      </c>
      <c r="I1886" s="2">
        <v>4.3</v>
      </c>
      <c r="J1886" s="4">
        <v>6</v>
      </c>
      <c r="K1886" s="3">
        <v>3</v>
      </c>
      <c r="L1886" s="1">
        <f t="shared" si="87"/>
        <v>554.69399999999996</v>
      </c>
      <c r="M1886" t="str" cm="1">
        <f t="array" ref="M1886">_xlfn.IFS(B1886&lt;18,"Under 18",B1886 &lt;=25,"18-25",B1886&lt;=35,"26-35",B1886&lt;=45,"36-45",B1886&lt;=60,"46-60",TRUE,"60+")</f>
        <v>18-25</v>
      </c>
      <c r="N1886" t="str">
        <f t="shared" si="88"/>
        <v>Discounted</v>
      </c>
      <c r="O1886" t="str">
        <f t="shared" si="89"/>
        <v>Returning</v>
      </c>
    </row>
    <row r="1887" spans="1:15" x14ac:dyDescent="0.25">
      <c r="A1887">
        <v>1886</v>
      </c>
      <c r="B1887">
        <v>23</v>
      </c>
      <c r="C1887" t="s">
        <v>11</v>
      </c>
      <c r="D1887" t="s">
        <v>20</v>
      </c>
      <c r="E1887" t="s">
        <v>36</v>
      </c>
      <c r="F1887" s="1">
        <v>193.08</v>
      </c>
      <c r="G1887" t="s">
        <v>14</v>
      </c>
      <c r="H1887" t="s">
        <v>15</v>
      </c>
      <c r="I1887" s="2">
        <v>3.3</v>
      </c>
      <c r="J1887" s="4">
        <v>17</v>
      </c>
      <c r="K1887" s="3">
        <v>6</v>
      </c>
      <c r="L1887" s="1">
        <f t="shared" si="87"/>
        <v>160.25640000000001</v>
      </c>
      <c r="M1887" t="str" cm="1">
        <f t="array" ref="M1887">_xlfn.IFS(B1887&lt;18,"Under 18",B1887 &lt;=25,"18-25",B1887&lt;=35,"26-35",B1887&lt;=45,"36-45",B1887&lt;=60,"46-60",TRUE,"60+")</f>
        <v>18-25</v>
      </c>
      <c r="N1887" t="str">
        <f t="shared" si="88"/>
        <v>Discounted</v>
      </c>
      <c r="O1887" t="str">
        <f t="shared" si="89"/>
        <v>Returning</v>
      </c>
    </row>
    <row r="1888" spans="1:15" x14ac:dyDescent="0.25">
      <c r="A1888">
        <v>1887</v>
      </c>
      <c r="B1888">
        <v>24</v>
      </c>
      <c r="C1888" t="s">
        <v>11</v>
      </c>
      <c r="D1888" t="s">
        <v>41</v>
      </c>
      <c r="E1888" t="s">
        <v>45</v>
      </c>
      <c r="F1888" s="1">
        <v>165.24</v>
      </c>
      <c r="G1888" t="s">
        <v>24</v>
      </c>
      <c r="H1888" t="s">
        <v>15</v>
      </c>
      <c r="I1888" s="2">
        <v>3.9</v>
      </c>
      <c r="J1888" s="4">
        <v>15</v>
      </c>
      <c r="K1888" s="3">
        <v>5</v>
      </c>
      <c r="L1888" s="1">
        <f t="shared" si="87"/>
        <v>140.45400000000001</v>
      </c>
      <c r="M1888" t="str" cm="1">
        <f t="array" ref="M1888">_xlfn.IFS(B1888&lt;18,"Under 18",B1888 &lt;=25,"18-25",B1888&lt;=35,"26-35",B1888&lt;=45,"36-45",B1888&lt;=60,"46-60",TRUE,"60+")</f>
        <v>18-25</v>
      </c>
      <c r="N1888" t="str">
        <f t="shared" si="88"/>
        <v>Discounted</v>
      </c>
      <c r="O1888" t="str">
        <f t="shared" si="89"/>
        <v>Returning</v>
      </c>
    </row>
    <row r="1889" spans="1:15" x14ac:dyDescent="0.25">
      <c r="A1889">
        <v>1888</v>
      </c>
      <c r="B1889">
        <v>38</v>
      </c>
      <c r="C1889" t="s">
        <v>16</v>
      </c>
      <c r="D1889" t="s">
        <v>17</v>
      </c>
      <c r="E1889" t="s">
        <v>18</v>
      </c>
      <c r="F1889" s="1">
        <v>80.67</v>
      </c>
      <c r="G1889" t="s">
        <v>31</v>
      </c>
      <c r="H1889" t="s">
        <v>15</v>
      </c>
      <c r="I1889" s="2">
        <v>3.6</v>
      </c>
      <c r="J1889" s="4">
        <v>19</v>
      </c>
      <c r="K1889" s="3">
        <v>7</v>
      </c>
      <c r="L1889" s="1">
        <f t="shared" si="87"/>
        <v>65.342700000000008</v>
      </c>
      <c r="M1889" t="str" cm="1">
        <f t="array" ref="M1889">_xlfn.IFS(B1889&lt;18,"Under 18",B1889 &lt;=25,"18-25",B1889&lt;=35,"26-35",B1889&lt;=45,"36-45",B1889&lt;=60,"46-60",TRUE,"60+")</f>
        <v>36-45</v>
      </c>
      <c r="N1889" t="str">
        <f t="shared" si="88"/>
        <v>Discounted</v>
      </c>
      <c r="O1889" t="str">
        <f t="shared" si="89"/>
        <v>Returning</v>
      </c>
    </row>
    <row r="1890" spans="1:15" x14ac:dyDescent="0.25">
      <c r="A1890">
        <v>1889</v>
      </c>
      <c r="B1890">
        <v>26</v>
      </c>
      <c r="C1890" t="s">
        <v>11</v>
      </c>
      <c r="D1890" t="s">
        <v>29</v>
      </c>
      <c r="E1890" t="s">
        <v>30</v>
      </c>
      <c r="F1890" s="1">
        <v>121.33</v>
      </c>
      <c r="G1890" t="s">
        <v>19</v>
      </c>
      <c r="H1890" t="s">
        <v>15</v>
      </c>
      <c r="I1890" s="2">
        <v>5</v>
      </c>
      <c r="J1890" s="4">
        <v>16</v>
      </c>
      <c r="K1890" s="3">
        <v>8</v>
      </c>
      <c r="L1890" s="1">
        <f t="shared" si="87"/>
        <v>101.91719999999999</v>
      </c>
      <c r="M1890" t="str" cm="1">
        <f t="array" ref="M1890">_xlfn.IFS(B1890&lt;18,"Under 18",B1890 &lt;=25,"18-25",B1890&lt;=35,"26-35",B1890&lt;=45,"36-45",B1890&lt;=60,"46-60",TRUE,"60+")</f>
        <v>26-35</v>
      </c>
      <c r="N1890" t="str">
        <f t="shared" si="88"/>
        <v>Discounted</v>
      </c>
      <c r="O1890" t="str">
        <f t="shared" si="89"/>
        <v>Returning</v>
      </c>
    </row>
    <row r="1891" spans="1:15" x14ac:dyDescent="0.25">
      <c r="A1891">
        <v>1890</v>
      </c>
      <c r="B1891">
        <v>42</v>
      </c>
      <c r="C1891" t="s">
        <v>16</v>
      </c>
      <c r="D1891" t="s">
        <v>20</v>
      </c>
      <c r="E1891" t="s">
        <v>36</v>
      </c>
      <c r="F1891" s="1">
        <v>41.11</v>
      </c>
      <c r="G1891" t="s">
        <v>19</v>
      </c>
      <c r="H1891" t="s">
        <v>15</v>
      </c>
      <c r="I1891" s="2">
        <v>3.1</v>
      </c>
      <c r="J1891" s="4">
        <v>28</v>
      </c>
      <c r="K1891" s="3">
        <v>9</v>
      </c>
      <c r="L1891" s="1">
        <f t="shared" si="87"/>
        <v>29.5992</v>
      </c>
      <c r="M1891" t="str" cm="1">
        <f t="array" ref="M1891">_xlfn.IFS(B1891&lt;18,"Under 18",B1891 &lt;=25,"18-25",B1891&lt;=35,"26-35",B1891&lt;=45,"36-45",B1891&lt;=60,"46-60",TRUE,"60+")</f>
        <v>36-45</v>
      </c>
      <c r="N1891" t="str">
        <f t="shared" si="88"/>
        <v>Discounted</v>
      </c>
      <c r="O1891" t="str">
        <f t="shared" si="89"/>
        <v>Returning</v>
      </c>
    </row>
    <row r="1892" spans="1:15" x14ac:dyDescent="0.25">
      <c r="A1892">
        <v>1891</v>
      </c>
      <c r="B1892">
        <v>50</v>
      </c>
      <c r="C1892" t="s">
        <v>16</v>
      </c>
      <c r="D1892" t="s">
        <v>22</v>
      </c>
      <c r="E1892" t="s">
        <v>43</v>
      </c>
      <c r="F1892" s="1">
        <v>45</v>
      </c>
      <c r="G1892" t="s">
        <v>19</v>
      </c>
      <c r="H1892" t="s">
        <v>37</v>
      </c>
      <c r="I1892" s="2">
        <v>4.0999999999999996</v>
      </c>
      <c r="J1892" s="4">
        <v>9</v>
      </c>
      <c r="K1892" s="3">
        <v>2</v>
      </c>
      <c r="L1892" s="1">
        <f t="shared" si="87"/>
        <v>40.950000000000003</v>
      </c>
      <c r="M1892" t="str" cm="1">
        <f t="array" ref="M1892">_xlfn.IFS(B1892&lt;18,"Under 18",B1892 &lt;=25,"18-25",B1892&lt;=35,"26-35",B1892&lt;=45,"36-45",B1892&lt;=60,"46-60",TRUE,"60+")</f>
        <v>46-60</v>
      </c>
      <c r="N1892" t="str">
        <f t="shared" si="88"/>
        <v>Discounted</v>
      </c>
      <c r="O1892" t="str">
        <f t="shared" si="89"/>
        <v>Returning</v>
      </c>
    </row>
    <row r="1893" spans="1:15" x14ac:dyDescent="0.25">
      <c r="A1893">
        <v>1892</v>
      </c>
      <c r="B1893">
        <v>42</v>
      </c>
      <c r="C1893" t="s">
        <v>11</v>
      </c>
      <c r="D1893" t="s">
        <v>12</v>
      </c>
      <c r="E1893" t="s">
        <v>13</v>
      </c>
      <c r="F1893" s="1">
        <v>50.74</v>
      </c>
      <c r="G1893" t="s">
        <v>14</v>
      </c>
      <c r="H1893" t="s">
        <v>15</v>
      </c>
      <c r="I1893" s="2">
        <v>4.2</v>
      </c>
      <c r="J1893" s="4">
        <v>4</v>
      </c>
      <c r="K1893" s="3">
        <v>2</v>
      </c>
      <c r="L1893" s="1">
        <f t="shared" si="87"/>
        <v>48.7104</v>
      </c>
      <c r="M1893" t="str" cm="1">
        <f t="array" ref="M1893">_xlfn.IFS(B1893&lt;18,"Under 18",B1893 &lt;=25,"18-25",B1893&lt;=35,"26-35",B1893&lt;=45,"36-45",B1893&lt;=60,"46-60",TRUE,"60+")</f>
        <v>36-45</v>
      </c>
      <c r="N1893" t="str">
        <f t="shared" si="88"/>
        <v>Discounted</v>
      </c>
      <c r="O1893" t="str">
        <f t="shared" si="89"/>
        <v>Returning</v>
      </c>
    </row>
    <row r="1894" spans="1:15" x14ac:dyDescent="0.25">
      <c r="A1894">
        <v>1893</v>
      </c>
      <c r="B1894">
        <v>22</v>
      </c>
      <c r="C1894" t="s">
        <v>11</v>
      </c>
      <c r="D1894" t="s">
        <v>41</v>
      </c>
      <c r="E1894" t="s">
        <v>45</v>
      </c>
      <c r="F1894" s="1">
        <v>109.38</v>
      </c>
      <c r="G1894" t="s">
        <v>19</v>
      </c>
      <c r="H1894" t="s">
        <v>15</v>
      </c>
      <c r="I1894" s="2">
        <v>4.3</v>
      </c>
      <c r="J1894" s="4">
        <v>16</v>
      </c>
      <c r="K1894" s="3">
        <v>3</v>
      </c>
      <c r="L1894" s="1">
        <f t="shared" si="87"/>
        <v>91.879199999999997</v>
      </c>
      <c r="M1894" t="str" cm="1">
        <f t="array" ref="M1894">_xlfn.IFS(B1894&lt;18,"Under 18",B1894 &lt;=25,"18-25",B1894&lt;=35,"26-35",B1894&lt;=45,"36-45",B1894&lt;=60,"46-60",TRUE,"60+")</f>
        <v>18-25</v>
      </c>
      <c r="N1894" t="str">
        <f t="shared" si="88"/>
        <v>Discounted</v>
      </c>
      <c r="O1894" t="str">
        <f t="shared" si="89"/>
        <v>Returning</v>
      </c>
    </row>
    <row r="1895" spans="1:15" x14ac:dyDescent="0.25">
      <c r="A1895">
        <v>1894</v>
      </c>
      <c r="B1895">
        <v>40</v>
      </c>
      <c r="C1895" t="s">
        <v>11</v>
      </c>
      <c r="D1895" t="s">
        <v>41</v>
      </c>
      <c r="E1895" t="s">
        <v>45</v>
      </c>
      <c r="F1895" s="1">
        <v>55</v>
      </c>
      <c r="G1895" t="s">
        <v>24</v>
      </c>
      <c r="H1895" t="s">
        <v>37</v>
      </c>
      <c r="I1895" s="2">
        <v>4</v>
      </c>
      <c r="J1895" s="4">
        <v>18</v>
      </c>
      <c r="K1895" s="3">
        <v>4</v>
      </c>
      <c r="L1895" s="1">
        <f t="shared" si="87"/>
        <v>45.1</v>
      </c>
      <c r="M1895" t="str" cm="1">
        <f t="array" ref="M1895">_xlfn.IFS(B1895&lt;18,"Under 18",B1895 &lt;=25,"18-25",B1895&lt;=35,"26-35",B1895&lt;=45,"36-45",B1895&lt;=60,"46-60",TRUE,"60+")</f>
        <v>36-45</v>
      </c>
      <c r="N1895" t="str">
        <f t="shared" si="88"/>
        <v>Discounted</v>
      </c>
      <c r="O1895" t="str">
        <f t="shared" si="89"/>
        <v>Returning</v>
      </c>
    </row>
    <row r="1896" spans="1:15" x14ac:dyDescent="0.25">
      <c r="A1896">
        <v>1895</v>
      </c>
      <c r="B1896">
        <v>52</v>
      </c>
      <c r="C1896" t="s">
        <v>16</v>
      </c>
      <c r="D1896" t="s">
        <v>33</v>
      </c>
      <c r="E1896" t="s">
        <v>38</v>
      </c>
      <c r="F1896" s="1">
        <v>181.52</v>
      </c>
      <c r="G1896" t="s">
        <v>24</v>
      </c>
      <c r="H1896" t="s">
        <v>15</v>
      </c>
      <c r="I1896" s="2">
        <v>4.3</v>
      </c>
      <c r="J1896" s="4">
        <v>24</v>
      </c>
      <c r="K1896" s="3">
        <v>7</v>
      </c>
      <c r="L1896" s="1">
        <f t="shared" si="87"/>
        <v>137.95520000000002</v>
      </c>
      <c r="M1896" t="str" cm="1">
        <f t="array" ref="M1896">_xlfn.IFS(B1896&lt;18,"Under 18",B1896 &lt;=25,"18-25",B1896&lt;=35,"26-35",B1896&lt;=45,"36-45",B1896&lt;=60,"46-60",TRUE,"60+")</f>
        <v>46-60</v>
      </c>
      <c r="N1896" t="str">
        <f t="shared" si="88"/>
        <v>Discounted</v>
      </c>
      <c r="O1896" t="str">
        <f t="shared" si="89"/>
        <v>Returning</v>
      </c>
    </row>
    <row r="1897" spans="1:15" x14ac:dyDescent="0.25">
      <c r="A1897">
        <v>1896</v>
      </c>
      <c r="B1897">
        <v>55</v>
      </c>
      <c r="C1897" t="s">
        <v>11</v>
      </c>
      <c r="D1897" t="s">
        <v>12</v>
      </c>
      <c r="E1897" t="s">
        <v>13</v>
      </c>
      <c r="F1897" s="1">
        <v>89.11</v>
      </c>
      <c r="G1897" t="s">
        <v>24</v>
      </c>
      <c r="H1897" t="s">
        <v>37</v>
      </c>
      <c r="I1897" s="2">
        <v>2.6</v>
      </c>
      <c r="J1897" s="4">
        <v>12</v>
      </c>
      <c r="K1897" s="3">
        <v>1</v>
      </c>
      <c r="L1897" s="1">
        <f t="shared" si="87"/>
        <v>78.416799999999995</v>
      </c>
      <c r="M1897" t="str" cm="1">
        <f t="array" ref="M1897">_xlfn.IFS(B1897&lt;18,"Under 18",B1897 &lt;=25,"18-25",B1897&lt;=35,"26-35",B1897&lt;=45,"36-45",B1897&lt;=60,"46-60",TRUE,"60+")</f>
        <v>46-60</v>
      </c>
      <c r="N1897" t="str">
        <f t="shared" si="88"/>
        <v>Discounted</v>
      </c>
      <c r="O1897" t="str">
        <f t="shared" si="89"/>
        <v>Returning</v>
      </c>
    </row>
    <row r="1898" spans="1:15" x14ac:dyDescent="0.25">
      <c r="A1898">
        <v>1897</v>
      </c>
      <c r="B1898">
        <v>34</v>
      </c>
      <c r="C1898" t="s">
        <v>11</v>
      </c>
      <c r="D1898" t="s">
        <v>12</v>
      </c>
      <c r="E1898" t="s">
        <v>50</v>
      </c>
      <c r="F1898" s="1">
        <v>179.27</v>
      </c>
      <c r="G1898" t="s">
        <v>24</v>
      </c>
      <c r="H1898" t="s">
        <v>15</v>
      </c>
      <c r="I1898" s="2">
        <v>4.2</v>
      </c>
      <c r="J1898" s="4">
        <v>13</v>
      </c>
      <c r="K1898" s="3">
        <v>4</v>
      </c>
      <c r="L1898" s="1">
        <f t="shared" si="87"/>
        <v>155.9649</v>
      </c>
      <c r="M1898" t="str" cm="1">
        <f t="array" ref="M1898">_xlfn.IFS(B1898&lt;18,"Under 18",B1898 &lt;=25,"18-25",B1898&lt;=35,"26-35",B1898&lt;=45,"36-45",B1898&lt;=60,"46-60",TRUE,"60+")</f>
        <v>26-35</v>
      </c>
      <c r="N1898" t="str">
        <f t="shared" si="88"/>
        <v>Discounted</v>
      </c>
      <c r="O1898" t="str">
        <f t="shared" si="89"/>
        <v>Returning</v>
      </c>
    </row>
    <row r="1899" spans="1:15" x14ac:dyDescent="0.25">
      <c r="A1899">
        <v>1898</v>
      </c>
      <c r="B1899">
        <v>28</v>
      </c>
      <c r="C1899" t="s">
        <v>16</v>
      </c>
      <c r="D1899" t="s">
        <v>17</v>
      </c>
      <c r="E1899" t="s">
        <v>35</v>
      </c>
      <c r="F1899" s="1">
        <v>147.68</v>
      </c>
      <c r="G1899" t="s">
        <v>14</v>
      </c>
      <c r="H1899" t="s">
        <v>15</v>
      </c>
      <c r="I1899" s="2">
        <v>3.5</v>
      </c>
      <c r="J1899" s="4">
        <v>24</v>
      </c>
      <c r="K1899" s="3">
        <v>7</v>
      </c>
      <c r="L1899" s="1">
        <f t="shared" si="87"/>
        <v>112.2368</v>
      </c>
      <c r="M1899" t="str" cm="1">
        <f t="array" ref="M1899">_xlfn.IFS(B1899&lt;18,"Under 18",B1899 &lt;=25,"18-25",B1899&lt;=35,"26-35",B1899&lt;=45,"36-45",B1899&lt;=60,"46-60",TRUE,"60+")</f>
        <v>26-35</v>
      </c>
      <c r="N1899" t="str">
        <f t="shared" si="88"/>
        <v>Discounted</v>
      </c>
      <c r="O1899" t="str">
        <f t="shared" si="89"/>
        <v>Returning</v>
      </c>
    </row>
    <row r="1900" spans="1:15" x14ac:dyDescent="0.25">
      <c r="A1900">
        <v>1899</v>
      </c>
      <c r="B1900">
        <v>63</v>
      </c>
      <c r="C1900" t="s">
        <v>11</v>
      </c>
      <c r="D1900" t="s">
        <v>41</v>
      </c>
      <c r="E1900" t="s">
        <v>42</v>
      </c>
      <c r="F1900" s="1">
        <v>90.28</v>
      </c>
      <c r="G1900" t="s">
        <v>31</v>
      </c>
      <c r="H1900" t="s">
        <v>15</v>
      </c>
      <c r="I1900" s="2">
        <v>4</v>
      </c>
      <c r="J1900" s="4">
        <v>19</v>
      </c>
      <c r="K1900" s="3">
        <v>7</v>
      </c>
      <c r="L1900" s="1">
        <f t="shared" si="87"/>
        <v>73.126800000000003</v>
      </c>
      <c r="M1900" t="str" cm="1">
        <f t="array" ref="M1900">_xlfn.IFS(B1900&lt;18,"Under 18",B1900 &lt;=25,"18-25",B1900&lt;=35,"26-35",B1900&lt;=45,"36-45",B1900&lt;=60,"46-60",TRUE,"60+")</f>
        <v>60+</v>
      </c>
      <c r="N1900" t="str">
        <f t="shared" si="88"/>
        <v>Discounted</v>
      </c>
      <c r="O1900" t="str">
        <f t="shared" si="89"/>
        <v>Returning</v>
      </c>
    </row>
    <row r="1901" spans="1:15" x14ac:dyDescent="0.25">
      <c r="A1901">
        <v>1900</v>
      </c>
      <c r="B1901">
        <v>43</v>
      </c>
      <c r="C1901" t="s">
        <v>11</v>
      </c>
      <c r="D1901" t="s">
        <v>22</v>
      </c>
      <c r="E1901" t="s">
        <v>52</v>
      </c>
      <c r="F1901" s="1">
        <v>261.98</v>
      </c>
      <c r="G1901" t="s">
        <v>24</v>
      </c>
      <c r="H1901" t="s">
        <v>15</v>
      </c>
      <c r="I1901" s="2">
        <v>4.2</v>
      </c>
      <c r="J1901" s="4">
        <v>24</v>
      </c>
      <c r="K1901" s="3">
        <v>7</v>
      </c>
      <c r="L1901" s="1">
        <f t="shared" si="87"/>
        <v>199.10480000000001</v>
      </c>
      <c r="M1901" t="str" cm="1">
        <f t="array" ref="M1901">_xlfn.IFS(B1901&lt;18,"Under 18",B1901 &lt;=25,"18-25",B1901&lt;=35,"26-35",B1901&lt;=45,"36-45",B1901&lt;=60,"46-60",TRUE,"60+")</f>
        <v>36-45</v>
      </c>
      <c r="N1901" t="str">
        <f t="shared" si="88"/>
        <v>Discounted</v>
      </c>
      <c r="O1901" t="str">
        <f t="shared" si="89"/>
        <v>Returning</v>
      </c>
    </row>
    <row r="1902" spans="1:15" x14ac:dyDescent="0.25">
      <c r="A1902">
        <v>1901</v>
      </c>
      <c r="B1902">
        <v>35</v>
      </c>
      <c r="C1902" t="s">
        <v>16</v>
      </c>
      <c r="D1902" t="s">
        <v>27</v>
      </c>
      <c r="E1902" t="s">
        <v>32</v>
      </c>
      <c r="F1902" s="1">
        <v>2479.4</v>
      </c>
      <c r="G1902" t="s">
        <v>31</v>
      </c>
      <c r="H1902" t="s">
        <v>15</v>
      </c>
      <c r="I1902" s="2">
        <v>3.9</v>
      </c>
      <c r="J1902" s="4">
        <v>24</v>
      </c>
      <c r="K1902" s="3">
        <v>7</v>
      </c>
      <c r="L1902" s="1">
        <f t="shared" si="87"/>
        <v>1884.3440000000001</v>
      </c>
      <c r="M1902" t="str" cm="1">
        <f t="array" ref="M1902">_xlfn.IFS(B1902&lt;18,"Under 18",B1902 &lt;=25,"18-25",B1902&lt;=35,"26-35",B1902&lt;=45,"36-45",B1902&lt;=60,"46-60",TRUE,"60+")</f>
        <v>26-35</v>
      </c>
      <c r="N1902" t="str">
        <f t="shared" si="88"/>
        <v>Discounted</v>
      </c>
      <c r="O1902" t="str">
        <f t="shared" si="89"/>
        <v>Returning</v>
      </c>
    </row>
    <row r="1903" spans="1:15" x14ac:dyDescent="0.25">
      <c r="A1903">
        <v>1902</v>
      </c>
      <c r="B1903">
        <v>36</v>
      </c>
      <c r="C1903" t="s">
        <v>16</v>
      </c>
      <c r="D1903" t="s">
        <v>20</v>
      </c>
      <c r="E1903" t="s">
        <v>39</v>
      </c>
      <c r="F1903" s="1">
        <v>159.18</v>
      </c>
      <c r="G1903" t="s">
        <v>19</v>
      </c>
      <c r="H1903" t="s">
        <v>15</v>
      </c>
      <c r="I1903" s="2">
        <v>2.4</v>
      </c>
      <c r="J1903" s="4">
        <v>12</v>
      </c>
      <c r="K1903" s="3">
        <v>6</v>
      </c>
      <c r="L1903" s="1">
        <f t="shared" si="87"/>
        <v>140.07840000000002</v>
      </c>
      <c r="M1903" t="str" cm="1">
        <f t="array" ref="M1903">_xlfn.IFS(B1903&lt;18,"Under 18",B1903 &lt;=25,"18-25",B1903&lt;=35,"26-35",B1903&lt;=45,"36-45",B1903&lt;=60,"46-60",TRUE,"60+")</f>
        <v>36-45</v>
      </c>
      <c r="N1903" t="str">
        <f t="shared" si="88"/>
        <v>Discounted</v>
      </c>
      <c r="O1903" t="str">
        <f t="shared" si="89"/>
        <v>Returning</v>
      </c>
    </row>
    <row r="1904" spans="1:15" x14ac:dyDescent="0.25">
      <c r="A1904">
        <v>1903</v>
      </c>
      <c r="B1904">
        <v>48</v>
      </c>
      <c r="C1904" t="s">
        <v>16</v>
      </c>
      <c r="D1904" t="s">
        <v>20</v>
      </c>
      <c r="E1904" t="s">
        <v>21</v>
      </c>
      <c r="F1904" s="1">
        <v>144.53</v>
      </c>
      <c r="G1904" t="s">
        <v>24</v>
      </c>
      <c r="H1904" t="s">
        <v>15</v>
      </c>
      <c r="I1904" s="2">
        <v>3.7</v>
      </c>
      <c r="J1904" s="4">
        <v>12</v>
      </c>
      <c r="K1904" s="3">
        <v>6</v>
      </c>
      <c r="L1904" s="1">
        <f t="shared" si="87"/>
        <v>127.18640000000001</v>
      </c>
      <c r="M1904" t="str" cm="1">
        <f t="array" ref="M1904">_xlfn.IFS(B1904&lt;18,"Under 18",B1904 &lt;=25,"18-25",B1904&lt;=35,"26-35",B1904&lt;=45,"36-45",B1904&lt;=60,"46-60",TRUE,"60+")</f>
        <v>46-60</v>
      </c>
      <c r="N1904" t="str">
        <f t="shared" si="88"/>
        <v>Discounted</v>
      </c>
      <c r="O1904" t="str">
        <f t="shared" si="89"/>
        <v>Returning</v>
      </c>
    </row>
    <row r="1905" spans="1:15" x14ac:dyDescent="0.25">
      <c r="A1905">
        <v>1904</v>
      </c>
      <c r="B1905">
        <v>34</v>
      </c>
      <c r="C1905" t="s">
        <v>16</v>
      </c>
      <c r="D1905" t="s">
        <v>27</v>
      </c>
      <c r="E1905" t="s">
        <v>53</v>
      </c>
      <c r="F1905" s="1">
        <v>1675.77</v>
      </c>
      <c r="G1905" t="s">
        <v>14</v>
      </c>
      <c r="H1905" t="s">
        <v>15</v>
      </c>
      <c r="I1905" s="2">
        <v>3.6</v>
      </c>
      <c r="J1905" s="4">
        <v>24</v>
      </c>
      <c r="K1905" s="3">
        <v>7</v>
      </c>
      <c r="L1905" s="1">
        <f t="shared" si="87"/>
        <v>1273.5852</v>
      </c>
      <c r="M1905" t="str" cm="1">
        <f t="array" ref="M1905">_xlfn.IFS(B1905&lt;18,"Under 18",B1905 &lt;=25,"18-25",B1905&lt;=35,"26-35",B1905&lt;=45,"36-45",B1905&lt;=60,"46-60",TRUE,"60+")</f>
        <v>26-35</v>
      </c>
      <c r="N1905" t="str">
        <f t="shared" si="88"/>
        <v>Discounted</v>
      </c>
      <c r="O1905" t="str">
        <f t="shared" si="89"/>
        <v>Returning</v>
      </c>
    </row>
    <row r="1906" spans="1:15" x14ac:dyDescent="0.25">
      <c r="A1906">
        <v>1905</v>
      </c>
      <c r="B1906">
        <v>47</v>
      </c>
      <c r="C1906" t="s">
        <v>11</v>
      </c>
      <c r="D1906" t="s">
        <v>33</v>
      </c>
      <c r="E1906" t="s">
        <v>38</v>
      </c>
      <c r="F1906" s="1">
        <v>64.760000000000005</v>
      </c>
      <c r="G1906" t="s">
        <v>31</v>
      </c>
      <c r="H1906" t="s">
        <v>37</v>
      </c>
      <c r="I1906" s="2">
        <v>4.3</v>
      </c>
      <c r="J1906" s="4">
        <v>4</v>
      </c>
      <c r="K1906" s="3">
        <v>2</v>
      </c>
      <c r="L1906" s="1">
        <f t="shared" si="87"/>
        <v>62.169600000000003</v>
      </c>
      <c r="M1906" t="str" cm="1">
        <f t="array" ref="M1906">_xlfn.IFS(B1906&lt;18,"Under 18",B1906 &lt;=25,"18-25",B1906&lt;=35,"26-35",B1906&lt;=45,"36-45",B1906&lt;=60,"46-60",TRUE,"60+")</f>
        <v>46-60</v>
      </c>
      <c r="N1906" t="str">
        <f t="shared" si="88"/>
        <v>Discounted</v>
      </c>
      <c r="O1906" t="str">
        <f t="shared" si="89"/>
        <v>Returning</v>
      </c>
    </row>
    <row r="1907" spans="1:15" x14ac:dyDescent="0.25">
      <c r="A1907">
        <v>1906</v>
      </c>
      <c r="B1907">
        <v>48</v>
      </c>
      <c r="C1907" t="s">
        <v>11</v>
      </c>
      <c r="D1907" t="s">
        <v>41</v>
      </c>
      <c r="E1907" t="s">
        <v>45</v>
      </c>
      <c r="F1907" s="1">
        <v>118.33</v>
      </c>
      <c r="G1907" t="s">
        <v>19</v>
      </c>
      <c r="H1907" t="s">
        <v>15</v>
      </c>
      <c r="I1907" s="2">
        <v>4</v>
      </c>
      <c r="J1907" s="4">
        <v>24</v>
      </c>
      <c r="K1907" s="3">
        <v>7</v>
      </c>
      <c r="L1907" s="1">
        <f t="shared" si="87"/>
        <v>89.930800000000005</v>
      </c>
      <c r="M1907" t="str" cm="1">
        <f t="array" ref="M1907">_xlfn.IFS(B1907&lt;18,"Under 18",B1907 &lt;=25,"18-25",B1907&lt;=35,"26-35",B1907&lt;=45,"36-45",B1907&lt;=60,"46-60",TRUE,"60+")</f>
        <v>46-60</v>
      </c>
      <c r="N1907" t="str">
        <f t="shared" si="88"/>
        <v>Discounted</v>
      </c>
      <c r="O1907" t="str">
        <f t="shared" si="89"/>
        <v>Returning</v>
      </c>
    </row>
    <row r="1908" spans="1:15" x14ac:dyDescent="0.25">
      <c r="A1908">
        <v>1907</v>
      </c>
      <c r="B1908">
        <v>50</v>
      </c>
      <c r="C1908" t="s">
        <v>11</v>
      </c>
      <c r="D1908" t="s">
        <v>12</v>
      </c>
      <c r="E1908" t="s">
        <v>56</v>
      </c>
      <c r="F1908" s="1">
        <v>150.38999999999999</v>
      </c>
      <c r="G1908" t="s">
        <v>31</v>
      </c>
      <c r="H1908" t="s">
        <v>15</v>
      </c>
      <c r="I1908" s="2">
        <v>4.2</v>
      </c>
      <c r="J1908" s="4">
        <v>11</v>
      </c>
      <c r="K1908" s="3">
        <v>3</v>
      </c>
      <c r="L1908" s="1">
        <f t="shared" si="87"/>
        <v>133.84709999999998</v>
      </c>
      <c r="M1908" t="str" cm="1">
        <f t="array" ref="M1908">_xlfn.IFS(B1908&lt;18,"Under 18",B1908 &lt;=25,"18-25",B1908&lt;=35,"26-35",B1908&lt;=45,"36-45",B1908&lt;=60,"46-60",TRUE,"60+")</f>
        <v>46-60</v>
      </c>
      <c r="N1908" t="str">
        <f t="shared" si="88"/>
        <v>Discounted</v>
      </c>
      <c r="O1908" t="str">
        <f t="shared" si="89"/>
        <v>Returning</v>
      </c>
    </row>
    <row r="1909" spans="1:15" x14ac:dyDescent="0.25">
      <c r="A1909">
        <v>1908</v>
      </c>
      <c r="B1909">
        <v>25</v>
      </c>
      <c r="C1909" t="s">
        <v>16</v>
      </c>
      <c r="D1909" t="s">
        <v>33</v>
      </c>
      <c r="E1909" t="s">
        <v>40</v>
      </c>
      <c r="F1909" s="1">
        <v>120.73</v>
      </c>
      <c r="G1909" t="s">
        <v>24</v>
      </c>
      <c r="H1909" t="s">
        <v>15</v>
      </c>
      <c r="I1909" s="2">
        <v>4</v>
      </c>
      <c r="J1909" s="4">
        <v>11</v>
      </c>
      <c r="K1909" s="3">
        <v>3</v>
      </c>
      <c r="L1909" s="1">
        <f t="shared" si="87"/>
        <v>107.44970000000001</v>
      </c>
      <c r="M1909" t="str" cm="1">
        <f t="array" ref="M1909">_xlfn.IFS(B1909&lt;18,"Under 18",B1909 &lt;=25,"18-25",B1909&lt;=35,"26-35",B1909&lt;=45,"36-45",B1909&lt;=60,"46-60",TRUE,"60+")</f>
        <v>18-25</v>
      </c>
      <c r="N1909" t="str">
        <f t="shared" si="88"/>
        <v>Discounted</v>
      </c>
      <c r="O1909" t="str">
        <f t="shared" si="89"/>
        <v>Returning</v>
      </c>
    </row>
    <row r="1910" spans="1:15" x14ac:dyDescent="0.25">
      <c r="A1910">
        <v>1909</v>
      </c>
      <c r="B1910">
        <v>67</v>
      </c>
      <c r="C1910" t="s">
        <v>16</v>
      </c>
      <c r="D1910" t="s">
        <v>25</v>
      </c>
      <c r="E1910" t="s">
        <v>47</v>
      </c>
      <c r="F1910" s="1">
        <v>25.65</v>
      </c>
      <c r="G1910" t="s">
        <v>24</v>
      </c>
      <c r="H1910" t="s">
        <v>37</v>
      </c>
      <c r="I1910" s="2">
        <v>3.5</v>
      </c>
      <c r="J1910" s="4">
        <v>17</v>
      </c>
      <c r="K1910" s="3">
        <v>6</v>
      </c>
      <c r="L1910" s="1">
        <f t="shared" si="87"/>
        <v>21.289499999999997</v>
      </c>
      <c r="M1910" t="str" cm="1">
        <f t="array" ref="M1910">_xlfn.IFS(B1910&lt;18,"Under 18",B1910 &lt;=25,"18-25",B1910&lt;=35,"26-35",B1910&lt;=45,"36-45",B1910&lt;=60,"46-60",TRUE,"60+")</f>
        <v>60+</v>
      </c>
      <c r="N1910" t="str">
        <f t="shared" si="88"/>
        <v>Discounted</v>
      </c>
      <c r="O1910" t="str">
        <f t="shared" si="89"/>
        <v>Returning</v>
      </c>
    </row>
    <row r="1911" spans="1:15" x14ac:dyDescent="0.25">
      <c r="A1911">
        <v>1910</v>
      </c>
      <c r="B1911">
        <v>65</v>
      </c>
      <c r="C1911" t="s">
        <v>11</v>
      </c>
      <c r="D1911" t="s">
        <v>25</v>
      </c>
      <c r="E1911" t="s">
        <v>47</v>
      </c>
      <c r="F1911" s="1">
        <v>25.3</v>
      </c>
      <c r="G1911" t="s">
        <v>14</v>
      </c>
      <c r="H1911" t="s">
        <v>37</v>
      </c>
      <c r="I1911" s="2">
        <v>3.4</v>
      </c>
      <c r="J1911" s="4">
        <v>21</v>
      </c>
      <c r="K1911" s="3">
        <v>8</v>
      </c>
      <c r="L1911" s="1">
        <f t="shared" si="87"/>
        <v>19.987000000000002</v>
      </c>
      <c r="M1911" t="str" cm="1">
        <f t="array" ref="M1911">_xlfn.IFS(B1911&lt;18,"Under 18",B1911 &lt;=25,"18-25",B1911&lt;=35,"26-35",B1911&lt;=45,"36-45",B1911&lt;=60,"46-60",TRUE,"60+")</f>
        <v>60+</v>
      </c>
      <c r="N1911" t="str">
        <f t="shared" si="88"/>
        <v>Discounted</v>
      </c>
      <c r="O1911" t="str">
        <f t="shared" si="89"/>
        <v>Returning</v>
      </c>
    </row>
    <row r="1912" spans="1:15" x14ac:dyDescent="0.25">
      <c r="A1912">
        <v>1911</v>
      </c>
      <c r="B1912">
        <v>33</v>
      </c>
      <c r="C1912" t="s">
        <v>11</v>
      </c>
      <c r="D1912" t="s">
        <v>20</v>
      </c>
      <c r="E1912" t="s">
        <v>21</v>
      </c>
      <c r="F1912" s="1">
        <v>54.43</v>
      </c>
      <c r="G1912" t="s">
        <v>14</v>
      </c>
      <c r="H1912" t="s">
        <v>37</v>
      </c>
      <c r="I1912" s="2">
        <v>3.6</v>
      </c>
      <c r="J1912" s="4">
        <v>20</v>
      </c>
      <c r="K1912" s="3">
        <v>10</v>
      </c>
      <c r="L1912" s="1">
        <f t="shared" si="87"/>
        <v>43.544000000000004</v>
      </c>
      <c r="M1912" t="str" cm="1">
        <f t="array" ref="M1912">_xlfn.IFS(B1912&lt;18,"Under 18",B1912 &lt;=25,"18-25",B1912&lt;=35,"26-35",B1912&lt;=45,"36-45",B1912&lt;=60,"46-60",TRUE,"60+")</f>
        <v>26-35</v>
      </c>
      <c r="N1912" t="str">
        <f t="shared" si="88"/>
        <v>Discounted</v>
      </c>
      <c r="O1912" t="str">
        <f t="shared" si="89"/>
        <v>Returning</v>
      </c>
    </row>
    <row r="1913" spans="1:15" x14ac:dyDescent="0.25">
      <c r="A1913">
        <v>1912</v>
      </c>
      <c r="B1913">
        <v>37</v>
      </c>
      <c r="C1913" t="s">
        <v>16</v>
      </c>
      <c r="D1913" t="s">
        <v>33</v>
      </c>
      <c r="E1913" t="s">
        <v>40</v>
      </c>
      <c r="F1913" s="1">
        <v>164.63</v>
      </c>
      <c r="G1913" t="s">
        <v>24</v>
      </c>
      <c r="H1913" t="s">
        <v>15</v>
      </c>
      <c r="I1913" s="2">
        <v>2.5</v>
      </c>
      <c r="J1913" s="4">
        <v>16</v>
      </c>
      <c r="K1913" s="3">
        <v>3</v>
      </c>
      <c r="L1913" s="1">
        <f t="shared" si="87"/>
        <v>138.28919999999999</v>
      </c>
      <c r="M1913" t="str" cm="1">
        <f t="array" ref="M1913">_xlfn.IFS(B1913&lt;18,"Under 18",B1913 &lt;=25,"18-25",B1913&lt;=35,"26-35",B1913&lt;=45,"36-45",B1913&lt;=60,"46-60",TRUE,"60+")</f>
        <v>36-45</v>
      </c>
      <c r="N1913" t="str">
        <f t="shared" si="88"/>
        <v>Discounted</v>
      </c>
      <c r="O1913" t="str">
        <f t="shared" si="89"/>
        <v>Returning</v>
      </c>
    </row>
    <row r="1914" spans="1:15" x14ac:dyDescent="0.25">
      <c r="A1914">
        <v>1913</v>
      </c>
      <c r="B1914">
        <v>24</v>
      </c>
      <c r="C1914" t="s">
        <v>16</v>
      </c>
      <c r="D1914" t="s">
        <v>17</v>
      </c>
      <c r="E1914" t="s">
        <v>42</v>
      </c>
      <c r="F1914" s="1">
        <v>109.21</v>
      </c>
      <c r="G1914" t="s">
        <v>31</v>
      </c>
      <c r="H1914" t="s">
        <v>15</v>
      </c>
      <c r="I1914" s="2">
        <v>3.9</v>
      </c>
      <c r="J1914" s="4">
        <v>22</v>
      </c>
      <c r="K1914" s="3">
        <v>11</v>
      </c>
      <c r="L1914" s="1">
        <f t="shared" si="87"/>
        <v>85.183800000000005</v>
      </c>
      <c r="M1914" t="str" cm="1">
        <f t="array" ref="M1914">_xlfn.IFS(B1914&lt;18,"Under 18",B1914 &lt;=25,"18-25",B1914&lt;=35,"26-35",B1914&lt;=45,"36-45",B1914&lt;=60,"46-60",TRUE,"60+")</f>
        <v>18-25</v>
      </c>
      <c r="N1914" t="str">
        <f t="shared" si="88"/>
        <v>Discounted</v>
      </c>
      <c r="O1914" t="str">
        <f t="shared" si="89"/>
        <v>Returning</v>
      </c>
    </row>
    <row r="1915" spans="1:15" x14ac:dyDescent="0.25">
      <c r="A1915">
        <v>1914</v>
      </c>
      <c r="B1915">
        <v>40</v>
      </c>
      <c r="C1915" t="s">
        <v>11</v>
      </c>
      <c r="D1915" t="s">
        <v>41</v>
      </c>
      <c r="E1915" t="s">
        <v>46</v>
      </c>
      <c r="F1915" s="1">
        <v>96.67</v>
      </c>
      <c r="G1915" t="s">
        <v>19</v>
      </c>
      <c r="H1915" t="s">
        <v>37</v>
      </c>
      <c r="I1915" s="2">
        <v>3.5</v>
      </c>
      <c r="J1915" s="4">
        <v>17</v>
      </c>
      <c r="K1915" s="3">
        <v>6</v>
      </c>
      <c r="L1915" s="1">
        <f t="shared" si="87"/>
        <v>80.236099999999993</v>
      </c>
      <c r="M1915" t="str" cm="1">
        <f t="array" ref="M1915">_xlfn.IFS(B1915&lt;18,"Under 18",B1915 &lt;=25,"18-25",B1915&lt;=35,"26-35",B1915&lt;=45,"36-45",B1915&lt;=60,"46-60",TRUE,"60+")</f>
        <v>36-45</v>
      </c>
      <c r="N1915" t="str">
        <f t="shared" si="88"/>
        <v>Discounted</v>
      </c>
      <c r="O1915" t="str">
        <f t="shared" si="89"/>
        <v>Returning</v>
      </c>
    </row>
    <row r="1916" spans="1:15" x14ac:dyDescent="0.25">
      <c r="A1916">
        <v>1915</v>
      </c>
      <c r="B1916">
        <v>69</v>
      </c>
      <c r="C1916" t="s">
        <v>11</v>
      </c>
      <c r="D1916" t="s">
        <v>20</v>
      </c>
      <c r="E1916" t="s">
        <v>39</v>
      </c>
      <c r="F1916" s="1">
        <v>243.62</v>
      </c>
      <c r="G1916" t="s">
        <v>14</v>
      </c>
      <c r="H1916" t="s">
        <v>15</v>
      </c>
      <c r="I1916" s="2">
        <v>4</v>
      </c>
      <c r="J1916" s="4">
        <v>16</v>
      </c>
      <c r="K1916" s="3">
        <v>3</v>
      </c>
      <c r="L1916" s="1">
        <f t="shared" si="87"/>
        <v>204.64079999999998</v>
      </c>
      <c r="M1916" t="str" cm="1">
        <f t="array" ref="M1916">_xlfn.IFS(B1916&lt;18,"Under 18",B1916 &lt;=25,"18-25",B1916&lt;=35,"26-35",B1916&lt;=45,"36-45",B1916&lt;=60,"46-60",TRUE,"60+")</f>
        <v>60+</v>
      </c>
      <c r="N1916" t="str">
        <f t="shared" si="88"/>
        <v>Discounted</v>
      </c>
      <c r="O1916" t="str">
        <f t="shared" si="89"/>
        <v>Returning</v>
      </c>
    </row>
    <row r="1917" spans="1:15" x14ac:dyDescent="0.25">
      <c r="A1917">
        <v>1916</v>
      </c>
      <c r="B1917">
        <v>68</v>
      </c>
      <c r="C1917" t="s">
        <v>16</v>
      </c>
      <c r="D1917" t="s">
        <v>20</v>
      </c>
      <c r="E1917" t="s">
        <v>36</v>
      </c>
      <c r="F1917" s="1">
        <v>241.87</v>
      </c>
      <c r="G1917" t="s">
        <v>31</v>
      </c>
      <c r="H1917" t="s">
        <v>15</v>
      </c>
      <c r="I1917" s="2">
        <v>3.7</v>
      </c>
      <c r="J1917" s="4">
        <v>10</v>
      </c>
      <c r="K1917" s="3">
        <v>5</v>
      </c>
      <c r="L1917" s="1">
        <f t="shared" si="87"/>
        <v>217.68300000000002</v>
      </c>
      <c r="M1917" t="str" cm="1">
        <f t="array" ref="M1917">_xlfn.IFS(B1917&lt;18,"Under 18",B1917 &lt;=25,"18-25",B1917&lt;=35,"26-35",B1917&lt;=45,"36-45",B1917&lt;=60,"46-60",TRUE,"60+")</f>
        <v>60+</v>
      </c>
      <c r="N1917" t="str">
        <f t="shared" si="88"/>
        <v>Discounted</v>
      </c>
      <c r="O1917" t="str">
        <f t="shared" si="89"/>
        <v>Returning</v>
      </c>
    </row>
    <row r="1918" spans="1:15" x14ac:dyDescent="0.25">
      <c r="A1918">
        <v>1917</v>
      </c>
      <c r="B1918">
        <v>38</v>
      </c>
      <c r="C1918" t="s">
        <v>11</v>
      </c>
      <c r="D1918" t="s">
        <v>20</v>
      </c>
      <c r="E1918" t="s">
        <v>21</v>
      </c>
      <c r="F1918" s="1">
        <v>77.44</v>
      </c>
      <c r="G1918" t="s">
        <v>14</v>
      </c>
      <c r="H1918" t="s">
        <v>15</v>
      </c>
      <c r="I1918" s="2">
        <v>4.3</v>
      </c>
      <c r="J1918" s="4">
        <v>10</v>
      </c>
      <c r="K1918" s="3">
        <v>5</v>
      </c>
      <c r="L1918" s="1">
        <f t="shared" si="87"/>
        <v>69.695999999999998</v>
      </c>
      <c r="M1918" t="str" cm="1">
        <f t="array" ref="M1918">_xlfn.IFS(B1918&lt;18,"Under 18",B1918 &lt;=25,"18-25",B1918&lt;=35,"26-35",B1918&lt;=45,"36-45",B1918&lt;=60,"46-60",TRUE,"60+")</f>
        <v>36-45</v>
      </c>
      <c r="N1918" t="str">
        <f t="shared" si="88"/>
        <v>Discounted</v>
      </c>
      <c r="O1918" t="str">
        <f t="shared" si="89"/>
        <v>Returning</v>
      </c>
    </row>
    <row r="1919" spans="1:15" x14ac:dyDescent="0.25">
      <c r="A1919">
        <v>1918</v>
      </c>
      <c r="B1919">
        <v>49</v>
      </c>
      <c r="C1919" t="s">
        <v>11</v>
      </c>
      <c r="D1919" t="s">
        <v>29</v>
      </c>
      <c r="E1919" t="s">
        <v>51</v>
      </c>
      <c r="F1919" s="1">
        <v>107.16</v>
      </c>
      <c r="G1919" t="s">
        <v>24</v>
      </c>
      <c r="H1919" t="s">
        <v>15</v>
      </c>
      <c r="I1919" s="2">
        <v>3.1</v>
      </c>
      <c r="J1919" s="4">
        <v>16</v>
      </c>
      <c r="K1919" s="3">
        <v>8</v>
      </c>
      <c r="L1919" s="1">
        <f t="shared" si="87"/>
        <v>90.014399999999995</v>
      </c>
      <c r="M1919" t="str" cm="1">
        <f t="array" ref="M1919">_xlfn.IFS(B1919&lt;18,"Under 18",B1919 &lt;=25,"18-25",B1919&lt;=35,"26-35",B1919&lt;=45,"36-45",B1919&lt;=60,"46-60",TRUE,"60+")</f>
        <v>46-60</v>
      </c>
      <c r="N1919" t="str">
        <f t="shared" si="88"/>
        <v>Discounted</v>
      </c>
      <c r="O1919" t="str">
        <f t="shared" si="89"/>
        <v>Returning</v>
      </c>
    </row>
    <row r="1920" spans="1:15" x14ac:dyDescent="0.25">
      <c r="A1920">
        <v>1919</v>
      </c>
      <c r="B1920">
        <v>50</v>
      </c>
      <c r="C1920" t="s">
        <v>16</v>
      </c>
      <c r="D1920" t="s">
        <v>17</v>
      </c>
      <c r="E1920" t="s">
        <v>18</v>
      </c>
      <c r="F1920" s="1">
        <v>109.18</v>
      </c>
      <c r="G1920" t="s">
        <v>19</v>
      </c>
      <c r="H1920" t="s">
        <v>15</v>
      </c>
      <c r="I1920" s="2">
        <v>4.3</v>
      </c>
      <c r="J1920" s="4">
        <v>12</v>
      </c>
      <c r="K1920" s="3">
        <v>6</v>
      </c>
      <c r="L1920" s="1">
        <f t="shared" si="87"/>
        <v>96.078400000000002</v>
      </c>
      <c r="M1920" t="str" cm="1">
        <f t="array" ref="M1920">_xlfn.IFS(B1920&lt;18,"Under 18",B1920 &lt;=25,"18-25",B1920&lt;=35,"26-35",B1920&lt;=45,"36-45",B1920&lt;=60,"46-60",TRUE,"60+")</f>
        <v>46-60</v>
      </c>
      <c r="N1920" t="str">
        <f t="shared" si="88"/>
        <v>Discounted</v>
      </c>
      <c r="O1920" t="str">
        <f t="shared" si="89"/>
        <v>Returning</v>
      </c>
    </row>
    <row r="1921" spans="1:15" x14ac:dyDescent="0.25">
      <c r="A1921">
        <v>1920</v>
      </c>
      <c r="B1921">
        <v>62</v>
      </c>
      <c r="C1921" t="s">
        <v>11</v>
      </c>
      <c r="D1921" t="s">
        <v>41</v>
      </c>
      <c r="E1921" t="s">
        <v>44</v>
      </c>
      <c r="F1921" s="1">
        <v>135.93</v>
      </c>
      <c r="G1921" t="s">
        <v>31</v>
      </c>
      <c r="H1921" t="s">
        <v>15</v>
      </c>
      <c r="I1921" s="2">
        <v>4.0999999999999996</v>
      </c>
      <c r="J1921" s="4">
        <v>15</v>
      </c>
      <c r="K1921" s="3">
        <v>5</v>
      </c>
      <c r="L1921" s="1">
        <f t="shared" si="87"/>
        <v>115.54050000000001</v>
      </c>
      <c r="M1921" t="str" cm="1">
        <f t="array" ref="M1921">_xlfn.IFS(B1921&lt;18,"Under 18",B1921 &lt;=25,"18-25",B1921&lt;=35,"26-35",B1921&lt;=45,"36-45",B1921&lt;=60,"46-60",TRUE,"60+")</f>
        <v>60+</v>
      </c>
      <c r="N1921" t="str">
        <f t="shared" si="88"/>
        <v>Discounted</v>
      </c>
      <c r="O1921" t="str">
        <f t="shared" si="89"/>
        <v>Returning</v>
      </c>
    </row>
    <row r="1922" spans="1:15" x14ac:dyDescent="0.25">
      <c r="A1922">
        <v>1921</v>
      </c>
      <c r="B1922">
        <v>34</v>
      </c>
      <c r="C1922" t="s">
        <v>11</v>
      </c>
      <c r="D1922" t="s">
        <v>33</v>
      </c>
      <c r="E1922" t="s">
        <v>40</v>
      </c>
      <c r="F1922" s="1">
        <v>219.3</v>
      </c>
      <c r="G1922" t="s">
        <v>14</v>
      </c>
      <c r="H1922" t="s">
        <v>15</v>
      </c>
      <c r="I1922" s="2">
        <v>2.8</v>
      </c>
      <c r="J1922" s="4">
        <v>20</v>
      </c>
      <c r="K1922" s="3">
        <v>5</v>
      </c>
      <c r="L1922" s="1">
        <f t="shared" si="87"/>
        <v>175.44000000000003</v>
      </c>
      <c r="M1922" t="str" cm="1">
        <f t="array" ref="M1922">_xlfn.IFS(B1922&lt;18,"Under 18",B1922 &lt;=25,"18-25",B1922&lt;=35,"26-35",B1922&lt;=45,"36-45",B1922&lt;=60,"46-60",TRUE,"60+")</f>
        <v>26-35</v>
      </c>
      <c r="N1922" t="str">
        <f t="shared" si="88"/>
        <v>Discounted</v>
      </c>
      <c r="O1922" t="str">
        <f t="shared" si="89"/>
        <v>Returning</v>
      </c>
    </row>
    <row r="1923" spans="1:15" x14ac:dyDescent="0.25">
      <c r="A1923">
        <v>1922</v>
      </c>
      <c r="B1923">
        <v>24</v>
      </c>
      <c r="C1923" t="s">
        <v>16</v>
      </c>
      <c r="D1923" t="s">
        <v>22</v>
      </c>
      <c r="E1923" t="s">
        <v>23</v>
      </c>
      <c r="F1923" s="1">
        <v>265</v>
      </c>
      <c r="G1923" t="s">
        <v>24</v>
      </c>
      <c r="H1923" t="s">
        <v>15</v>
      </c>
      <c r="I1923" s="2">
        <v>2.4</v>
      </c>
      <c r="J1923" s="4">
        <v>24</v>
      </c>
      <c r="K1923" s="3">
        <v>7</v>
      </c>
      <c r="L1923" s="1">
        <f t="shared" ref="L1923:L1986" si="90">F1923 * (1 - J1923 / 100)</f>
        <v>201.4</v>
      </c>
      <c r="M1923" t="str" cm="1">
        <f t="array" ref="M1923">_xlfn.IFS(B1923&lt;18,"Under 18",B1923 &lt;=25,"18-25",B1923&lt;=35,"26-35",B1923&lt;=45,"36-45",B1923&lt;=60,"46-60",TRUE,"60+")</f>
        <v>18-25</v>
      </c>
      <c r="N1923" t="str">
        <f t="shared" ref="N1923:N1986" si="91">IF(J1923&gt;0,"Discounted","No Discount")</f>
        <v>Discounted</v>
      </c>
      <c r="O1923" t="str">
        <f t="shared" ref="O1923:O1986" si="92">IF(K1923&gt;0,"Returning","New")</f>
        <v>Returning</v>
      </c>
    </row>
    <row r="1924" spans="1:15" x14ac:dyDescent="0.25">
      <c r="A1924">
        <v>1923</v>
      </c>
      <c r="B1924">
        <v>68</v>
      </c>
      <c r="C1924" t="s">
        <v>11</v>
      </c>
      <c r="D1924" t="s">
        <v>29</v>
      </c>
      <c r="E1924" t="s">
        <v>51</v>
      </c>
      <c r="F1924" s="1">
        <v>65.91</v>
      </c>
      <c r="G1924" t="s">
        <v>14</v>
      </c>
      <c r="H1924" t="s">
        <v>37</v>
      </c>
      <c r="I1924" s="2">
        <v>5</v>
      </c>
      <c r="J1924" s="4">
        <v>9</v>
      </c>
      <c r="K1924" s="3">
        <v>2</v>
      </c>
      <c r="L1924" s="1">
        <f t="shared" si="90"/>
        <v>59.978099999999998</v>
      </c>
      <c r="M1924" t="str" cm="1">
        <f t="array" ref="M1924">_xlfn.IFS(B1924&lt;18,"Under 18",B1924 &lt;=25,"18-25",B1924&lt;=35,"26-35",B1924&lt;=45,"36-45",B1924&lt;=60,"46-60",TRUE,"60+")</f>
        <v>60+</v>
      </c>
      <c r="N1924" t="str">
        <f t="shared" si="91"/>
        <v>Discounted</v>
      </c>
      <c r="O1924" t="str">
        <f t="shared" si="92"/>
        <v>Returning</v>
      </c>
    </row>
    <row r="1925" spans="1:15" x14ac:dyDescent="0.25">
      <c r="A1925">
        <v>1924</v>
      </c>
      <c r="B1925">
        <v>28</v>
      </c>
      <c r="C1925" t="s">
        <v>16</v>
      </c>
      <c r="D1925" t="s">
        <v>20</v>
      </c>
      <c r="E1925" t="s">
        <v>39</v>
      </c>
      <c r="F1925" s="1">
        <v>167.74</v>
      </c>
      <c r="G1925" t="s">
        <v>14</v>
      </c>
      <c r="H1925" t="s">
        <v>15</v>
      </c>
      <c r="I1925" s="2">
        <v>4.4000000000000004</v>
      </c>
      <c r="J1925" s="4">
        <v>13</v>
      </c>
      <c r="K1925" s="3">
        <v>4</v>
      </c>
      <c r="L1925" s="1">
        <f t="shared" si="90"/>
        <v>145.93380000000002</v>
      </c>
      <c r="M1925" t="str" cm="1">
        <f t="array" ref="M1925">_xlfn.IFS(B1925&lt;18,"Under 18",B1925 &lt;=25,"18-25",B1925&lt;=35,"26-35",B1925&lt;=45,"36-45",B1925&lt;=60,"46-60",TRUE,"60+")</f>
        <v>26-35</v>
      </c>
      <c r="N1925" t="str">
        <f t="shared" si="91"/>
        <v>Discounted</v>
      </c>
      <c r="O1925" t="str">
        <f t="shared" si="92"/>
        <v>Returning</v>
      </c>
    </row>
    <row r="1926" spans="1:15" x14ac:dyDescent="0.25">
      <c r="A1926">
        <v>1925</v>
      </c>
      <c r="B1926">
        <v>25</v>
      </c>
      <c r="C1926" t="s">
        <v>11</v>
      </c>
      <c r="D1926" t="s">
        <v>41</v>
      </c>
      <c r="E1926" t="s">
        <v>46</v>
      </c>
      <c r="F1926" s="1">
        <v>197.6</v>
      </c>
      <c r="G1926" t="s">
        <v>31</v>
      </c>
      <c r="H1926" t="s">
        <v>15</v>
      </c>
      <c r="I1926" s="2">
        <v>5</v>
      </c>
      <c r="J1926" s="4">
        <v>13</v>
      </c>
      <c r="K1926" s="3">
        <v>4</v>
      </c>
      <c r="L1926" s="1">
        <f t="shared" si="90"/>
        <v>171.91200000000001</v>
      </c>
      <c r="M1926" t="str" cm="1">
        <f t="array" ref="M1926">_xlfn.IFS(B1926&lt;18,"Under 18",B1926 &lt;=25,"18-25",B1926&lt;=35,"26-35",B1926&lt;=45,"36-45",B1926&lt;=60,"46-60",TRUE,"60+")</f>
        <v>18-25</v>
      </c>
      <c r="N1926" t="str">
        <f t="shared" si="91"/>
        <v>Discounted</v>
      </c>
      <c r="O1926" t="str">
        <f t="shared" si="92"/>
        <v>Returning</v>
      </c>
    </row>
    <row r="1927" spans="1:15" x14ac:dyDescent="0.25">
      <c r="A1927">
        <v>1926</v>
      </c>
      <c r="B1927">
        <v>66</v>
      </c>
      <c r="C1927" t="s">
        <v>16</v>
      </c>
      <c r="D1927" t="s">
        <v>20</v>
      </c>
      <c r="E1927" t="s">
        <v>21</v>
      </c>
      <c r="F1927" s="1">
        <v>69.37</v>
      </c>
      <c r="G1927" t="s">
        <v>14</v>
      </c>
      <c r="H1927" t="s">
        <v>15</v>
      </c>
      <c r="I1927" s="2">
        <v>3.8</v>
      </c>
      <c r="J1927" s="4">
        <v>6</v>
      </c>
      <c r="K1927" s="3">
        <v>3</v>
      </c>
      <c r="L1927" s="1">
        <f t="shared" si="90"/>
        <v>65.207800000000006</v>
      </c>
      <c r="M1927" t="str" cm="1">
        <f t="array" ref="M1927">_xlfn.IFS(B1927&lt;18,"Under 18",B1927 &lt;=25,"18-25",B1927&lt;=35,"26-35",B1927&lt;=45,"36-45",B1927&lt;=60,"46-60",TRUE,"60+")</f>
        <v>60+</v>
      </c>
      <c r="N1927" t="str">
        <f t="shared" si="91"/>
        <v>Discounted</v>
      </c>
      <c r="O1927" t="str">
        <f t="shared" si="92"/>
        <v>Returning</v>
      </c>
    </row>
    <row r="1928" spans="1:15" x14ac:dyDescent="0.25">
      <c r="A1928">
        <v>1927</v>
      </c>
      <c r="B1928">
        <v>63</v>
      </c>
      <c r="C1928" t="s">
        <v>11</v>
      </c>
      <c r="D1928" t="s">
        <v>33</v>
      </c>
      <c r="E1928" t="s">
        <v>38</v>
      </c>
      <c r="F1928" s="1">
        <v>176.79</v>
      </c>
      <c r="G1928" t="s">
        <v>24</v>
      </c>
      <c r="H1928" t="s">
        <v>15</v>
      </c>
      <c r="I1928" s="2">
        <v>2.5</v>
      </c>
      <c r="J1928" s="4">
        <v>16</v>
      </c>
      <c r="K1928" s="3">
        <v>3</v>
      </c>
      <c r="L1928" s="1">
        <f t="shared" si="90"/>
        <v>148.50359999999998</v>
      </c>
      <c r="M1928" t="str" cm="1">
        <f t="array" ref="M1928">_xlfn.IFS(B1928&lt;18,"Under 18",B1928 &lt;=25,"18-25",B1928&lt;=35,"26-35",B1928&lt;=45,"36-45",B1928&lt;=60,"46-60",TRUE,"60+")</f>
        <v>60+</v>
      </c>
      <c r="N1928" t="str">
        <f t="shared" si="91"/>
        <v>Discounted</v>
      </c>
      <c r="O1928" t="str">
        <f t="shared" si="92"/>
        <v>Returning</v>
      </c>
    </row>
    <row r="1929" spans="1:15" x14ac:dyDescent="0.25">
      <c r="A1929">
        <v>1928</v>
      </c>
      <c r="B1929">
        <v>57</v>
      </c>
      <c r="C1929" t="s">
        <v>11</v>
      </c>
      <c r="D1929" t="s">
        <v>29</v>
      </c>
      <c r="E1929" t="s">
        <v>51</v>
      </c>
      <c r="F1929" s="1">
        <v>30.64</v>
      </c>
      <c r="G1929" t="s">
        <v>19</v>
      </c>
      <c r="H1929" t="s">
        <v>15</v>
      </c>
      <c r="I1929" s="2">
        <v>3.2</v>
      </c>
      <c r="J1929" s="4">
        <v>22</v>
      </c>
      <c r="K1929" s="3">
        <v>6</v>
      </c>
      <c r="L1929" s="1">
        <f t="shared" si="90"/>
        <v>23.8992</v>
      </c>
      <c r="M1929" t="str" cm="1">
        <f t="array" ref="M1929">_xlfn.IFS(B1929&lt;18,"Under 18",B1929 &lt;=25,"18-25",B1929&lt;=35,"26-35",B1929&lt;=45,"36-45",B1929&lt;=60,"46-60",TRUE,"60+")</f>
        <v>46-60</v>
      </c>
      <c r="N1929" t="str">
        <f t="shared" si="91"/>
        <v>Discounted</v>
      </c>
      <c r="O1929" t="str">
        <f t="shared" si="92"/>
        <v>Returning</v>
      </c>
    </row>
    <row r="1930" spans="1:15" x14ac:dyDescent="0.25">
      <c r="A1930">
        <v>1929</v>
      </c>
      <c r="B1930">
        <v>62</v>
      </c>
      <c r="C1930" t="s">
        <v>16</v>
      </c>
      <c r="D1930" t="s">
        <v>20</v>
      </c>
      <c r="E1930" t="s">
        <v>39</v>
      </c>
      <c r="F1930" s="1">
        <v>55.13</v>
      </c>
      <c r="G1930" t="s">
        <v>24</v>
      </c>
      <c r="H1930" t="s">
        <v>15</v>
      </c>
      <c r="I1930" s="2">
        <v>4.2</v>
      </c>
      <c r="J1930" s="4">
        <v>13</v>
      </c>
      <c r="K1930" s="3">
        <v>4</v>
      </c>
      <c r="L1930" s="1">
        <f t="shared" si="90"/>
        <v>47.963100000000004</v>
      </c>
      <c r="M1930" t="str" cm="1">
        <f t="array" ref="M1930">_xlfn.IFS(B1930&lt;18,"Under 18",B1930 &lt;=25,"18-25",B1930&lt;=35,"26-35",B1930&lt;=45,"36-45",B1930&lt;=60,"46-60",TRUE,"60+")</f>
        <v>60+</v>
      </c>
      <c r="N1930" t="str">
        <f t="shared" si="91"/>
        <v>Discounted</v>
      </c>
      <c r="O1930" t="str">
        <f t="shared" si="92"/>
        <v>Returning</v>
      </c>
    </row>
    <row r="1931" spans="1:15" x14ac:dyDescent="0.25">
      <c r="A1931">
        <v>1930</v>
      </c>
      <c r="B1931">
        <v>59</v>
      </c>
      <c r="C1931" t="s">
        <v>11</v>
      </c>
      <c r="D1931" t="s">
        <v>20</v>
      </c>
      <c r="E1931" t="s">
        <v>21</v>
      </c>
      <c r="F1931" s="1">
        <v>150.71</v>
      </c>
      <c r="G1931" t="s">
        <v>19</v>
      </c>
      <c r="H1931" t="s">
        <v>15</v>
      </c>
      <c r="I1931" s="2">
        <v>3.5</v>
      </c>
      <c r="J1931" s="4">
        <v>15</v>
      </c>
      <c r="K1931" s="3">
        <v>5</v>
      </c>
      <c r="L1931" s="1">
        <f t="shared" si="90"/>
        <v>128.1035</v>
      </c>
      <c r="M1931" t="str" cm="1">
        <f t="array" ref="M1931">_xlfn.IFS(B1931&lt;18,"Under 18",B1931 &lt;=25,"18-25",B1931&lt;=35,"26-35",B1931&lt;=45,"36-45",B1931&lt;=60,"46-60",TRUE,"60+")</f>
        <v>46-60</v>
      </c>
      <c r="N1931" t="str">
        <f t="shared" si="91"/>
        <v>Discounted</v>
      </c>
      <c r="O1931" t="str">
        <f t="shared" si="92"/>
        <v>Returning</v>
      </c>
    </row>
    <row r="1932" spans="1:15" x14ac:dyDescent="0.25">
      <c r="A1932">
        <v>1931</v>
      </c>
      <c r="B1932">
        <v>59</v>
      </c>
      <c r="C1932" t="s">
        <v>11</v>
      </c>
      <c r="D1932" t="s">
        <v>41</v>
      </c>
      <c r="E1932" t="s">
        <v>44</v>
      </c>
      <c r="F1932" s="1">
        <v>42.51</v>
      </c>
      <c r="G1932" t="s">
        <v>14</v>
      </c>
      <c r="H1932" t="s">
        <v>15</v>
      </c>
      <c r="I1932" s="2">
        <v>3.5</v>
      </c>
      <c r="J1932" s="4">
        <v>18</v>
      </c>
      <c r="K1932" s="3">
        <v>4</v>
      </c>
      <c r="L1932" s="1">
        <f t="shared" si="90"/>
        <v>34.858200000000004</v>
      </c>
      <c r="M1932" t="str" cm="1">
        <f t="array" ref="M1932">_xlfn.IFS(B1932&lt;18,"Under 18",B1932 &lt;=25,"18-25",B1932&lt;=35,"26-35",B1932&lt;=45,"36-45",B1932&lt;=60,"46-60",TRUE,"60+")</f>
        <v>46-60</v>
      </c>
      <c r="N1932" t="str">
        <f t="shared" si="91"/>
        <v>Discounted</v>
      </c>
      <c r="O1932" t="str">
        <f t="shared" si="92"/>
        <v>Returning</v>
      </c>
    </row>
    <row r="1933" spans="1:15" x14ac:dyDescent="0.25">
      <c r="A1933">
        <v>1932</v>
      </c>
      <c r="B1933">
        <v>64</v>
      </c>
      <c r="C1933" t="s">
        <v>11</v>
      </c>
      <c r="D1933" t="s">
        <v>29</v>
      </c>
      <c r="E1933" t="s">
        <v>30</v>
      </c>
      <c r="F1933" s="1">
        <v>83.82</v>
      </c>
      <c r="G1933" t="s">
        <v>31</v>
      </c>
      <c r="H1933" t="s">
        <v>15</v>
      </c>
      <c r="I1933" s="2">
        <v>2.9</v>
      </c>
      <c r="J1933" s="4">
        <v>12</v>
      </c>
      <c r="K1933" s="3">
        <v>6</v>
      </c>
      <c r="L1933" s="1">
        <f t="shared" si="90"/>
        <v>73.761600000000001</v>
      </c>
      <c r="M1933" t="str" cm="1">
        <f t="array" ref="M1933">_xlfn.IFS(B1933&lt;18,"Under 18",B1933 &lt;=25,"18-25",B1933&lt;=35,"26-35",B1933&lt;=45,"36-45",B1933&lt;=60,"46-60",TRUE,"60+")</f>
        <v>60+</v>
      </c>
      <c r="N1933" t="str">
        <f t="shared" si="91"/>
        <v>Discounted</v>
      </c>
      <c r="O1933" t="str">
        <f t="shared" si="92"/>
        <v>Returning</v>
      </c>
    </row>
    <row r="1934" spans="1:15" x14ac:dyDescent="0.25">
      <c r="A1934">
        <v>1933</v>
      </c>
      <c r="B1934">
        <v>56</v>
      </c>
      <c r="C1934" t="s">
        <v>11</v>
      </c>
      <c r="D1934" t="s">
        <v>29</v>
      </c>
      <c r="E1934" t="s">
        <v>30</v>
      </c>
      <c r="F1934" s="1">
        <v>53.72</v>
      </c>
      <c r="G1934" t="s">
        <v>19</v>
      </c>
      <c r="H1934" t="s">
        <v>37</v>
      </c>
      <c r="I1934" s="2">
        <v>2.4</v>
      </c>
      <c r="J1934" s="4">
        <v>16</v>
      </c>
      <c r="K1934" s="3">
        <v>3</v>
      </c>
      <c r="L1934" s="1">
        <f t="shared" si="90"/>
        <v>45.1248</v>
      </c>
      <c r="M1934" t="str" cm="1">
        <f t="array" ref="M1934">_xlfn.IFS(B1934&lt;18,"Under 18",B1934 &lt;=25,"18-25",B1934&lt;=35,"26-35",B1934&lt;=45,"36-45",B1934&lt;=60,"46-60",TRUE,"60+")</f>
        <v>46-60</v>
      </c>
      <c r="N1934" t="str">
        <f t="shared" si="91"/>
        <v>Discounted</v>
      </c>
      <c r="O1934" t="str">
        <f t="shared" si="92"/>
        <v>Returning</v>
      </c>
    </row>
    <row r="1935" spans="1:15" x14ac:dyDescent="0.25">
      <c r="A1935">
        <v>1934</v>
      </c>
      <c r="B1935">
        <v>42</v>
      </c>
      <c r="C1935" t="s">
        <v>16</v>
      </c>
      <c r="D1935" t="s">
        <v>33</v>
      </c>
      <c r="E1935" t="s">
        <v>40</v>
      </c>
      <c r="F1935" s="1">
        <v>158.32</v>
      </c>
      <c r="G1935" t="s">
        <v>14</v>
      </c>
      <c r="H1935" t="s">
        <v>15</v>
      </c>
      <c r="I1935" s="2">
        <v>4.4000000000000004</v>
      </c>
      <c r="J1935" s="4">
        <v>10</v>
      </c>
      <c r="K1935" s="3">
        <v>5</v>
      </c>
      <c r="L1935" s="1">
        <f t="shared" si="90"/>
        <v>142.488</v>
      </c>
      <c r="M1935" t="str" cm="1">
        <f t="array" ref="M1935">_xlfn.IFS(B1935&lt;18,"Under 18",B1935 &lt;=25,"18-25",B1935&lt;=35,"26-35",B1935&lt;=45,"36-45",B1935&lt;=60,"46-60",TRUE,"60+")</f>
        <v>36-45</v>
      </c>
      <c r="N1935" t="str">
        <f t="shared" si="91"/>
        <v>Discounted</v>
      </c>
      <c r="O1935" t="str">
        <f t="shared" si="92"/>
        <v>Returning</v>
      </c>
    </row>
    <row r="1936" spans="1:15" x14ac:dyDescent="0.25">
      <c r="A1936">
        <v>1935</v>
      </c>
      <c r="B1936">
        <v>61</v>
      </c>
      <c r="C1936" t="s">
        <v>11</v>
      </c>
      <c r="D1936" t="s">
        <v>33</v>
      </c>
      <c r="E1936" t="s">
        <v>40</v>
      </c>
      <c r="F1936" s="1">
        <v>232.32</v>
      </c>
      <c r="G1936" t="s">
        <v>19</v>
      </c>
      <c r="H1936" t="s">
        <v>15</v>
      </c>
      <c r="I1936" s="2">
        <v>2.7</v>
      </c>
      <c r="J1936" s="4">
        <v>4</v>
      </c>
      <c r="K1936" s="3">
        <v>2</v>
      </c>
      <c r="L1936" s="1">
        <f t="shared" si="90"/>
        <v>223.02719999999999</v>
      </c>
      <c r="M1936" t="str" cm="1">
        <f t="array" ref="M1936">_xlfn.IFS(B1936&lt;18,"Under 18",B1936 &lt;=25,"18-25",B1936&lt;=35,"26-35",B1936&lt;=45,"36-45",B1936&lt;=60,"46-60",TRUE,"60+")</f>
        <v>60+</v>
      </c>
      <c r="N1936" t="str">
        <f t="shared" si="91"/>
        <v>Discounted</v>
      </c>
      <c r="O1936" t="str">
        <f t="shared" si="92"/>
        <v>Returning</v>
      </c>
    </row>
    <row r="1937" spans="1:15" x14ac:dyDescent="0.25">
      <c r="A1937">
        <v>1936</v>
      </c>
      <c r="B1937">
        <v>36</v>
      </c>
      <c r="C1937" t="s">
        <v>16</v>
      </c>
      <c r="D1937" t="s">
        <v>20</v>
      </c>
      <c r="E1937" t="s">
        <v>39</v>
      </c>
      <c r="F1937" s="1">
        <v>228.65</v>
      </c>
      <c r="G1937" t="s">
        <v>31</v>
      </c>
      <c r="H1937" t="s">
        <v>15</v>
      </c>
      <c r="I1937" s="2">
        <v>4.0999999999999996</v>
      </c>
      <c r="J1937" s="4">
        <v>13</v>
      </c>
      <c r="K1937" s="3">
        <v>4</v>
      </c>
      <c r="L1937" s="1">
        <f t="shared" si="90"/>
        <v>198.9255</v>
      </c>
      <c r="M1937" t="str" cm="1">
        <f t="array" ref="M1937">_xlfn.IFS(B1937&lt;18,"Under 18",B1937 &lt;=25,"18-25",B1937&lt;=35,"26-35",B1937&lt;=45,"36-45",B1937&lt;=60,"46-60",TRUE,"60+")</f>
        <v>36-45</v>
      </c>
      <c r="N1937" t="str">
        <f t="shared" si="91"/>
        <v>Discounted</v>
      </c>
      <c r="O1937" t="str">
        <f t="shared" si="92"/>
        <v>Returning</v>
      </c>
    </row>
    <row r="1938" spans="1:15" x14ac:dyDescent="0.25">
      <c r="A1938">
        <v>1937</v>
      </c>
      <c r="B1938">
        <v>69</v>
      </c>
      <c r="C1938" t="s">
        <v>16</v>
      </c>
      <c r="D1938" t="s">
        <v>20</v>
      </c>
      <c r="E1938" t="s">
        <v>21</v>
      </c>
      <c r="F1938" s="1">
        <v>56.11</v>
      </c>
      <c r="G1938" t="s">
        <v>31</v>
      </c>
      <c r="H1938" t="s">
        <v>37</v>
      </c>
      <c r="I1938" s="2">
        <v>2.7</v>
      </c>
      <c r="J1938" s="4">
        <v>22</v>
      </c>
      <c r="K1938" s="3">
        <v>6</v>
      </c>
      <c r="L1938" s="1">
        <f t="shared" si="90"/>
        <v>43.765799999999999</v>
      </c>
      <c r="M1938" t="str" cm="1">
        <f t="array" ref="M1938">_xlfn.IFS(B1938&lt;18,"Under 18",B1938 &lt;=25,"18-25",B1938&lt;=35,"26-35",B1938&lt;=45,"36-45",B1938&lt;=60,"46-60",TRUE,"60+")</f>
        <v>60+</v>
      </c>
      <c r="N1938" t="str">
        <f t="shared" si="91"/>
        <v>Discounted</v>
      </c>
      <c r="O1938" t="str">
        <f t="shared" si="92"/>
        <v>Returning</v>
      </c>
    </row>
    <row r="1939" spans="1:15" x14ac:dyDescent="0.25">
      <c r="A1939">
        <v>1938</v>
      </c>
      <c r="B1939">
        <v>32</v>
      </c>
      <c r="C1939" t="s">
        <v>11</v>
      </c>
      <c r="D1939" t="s">
        <v>22</v>
      </c>
      <c r="E1939" t="s">
        <v>23</v>
      </c>
      <c r="F1939" s="1">
        <v>175.14</v>
      </c>
      <c r="G1939" t="s">
        <v>19</v>
      </c>
      <c r="H1939" t="s">
        <v>15</v>
      </c>
      <c r="I1939" s="2">
        <v>3.6</v>
      </c>
      <c r="J1939" s="4">
        <v>20</v>
      </c>
      <c r="K1939" s="3">
        <v>10</v>
      </c>
      <c r="L1939" s="1">
        <f t="shared" si="90"/>
        <v>140.11199999999999</v>
      </c>
      <c r="M1939" t="str" cm="1">
        <f t="array" ref="M1939">_xlfn.IFS(B1939&lt;18,"Under 18",B1939 &lt;=25,"18-25",B1939&lt;=35,"26-35",B1939&lt;=45,"36-45",B1939&lt;=60,"46-60",TRUE,"60+")</f>
        <v>26-35</v>
      </c>
      <c r="N1939" t="str">
        <f t="shared" si="91"/>
        <v>Discounted</v>
      </c>
      <c r="O1939" t="str">
        <f t="shared" si="92"/>
        <v>Returning</v>
      </c>
    </row>
    <row r="1940" spans="1:15" x14ac:dyDescent="0.25">
      <c r="A1940">
        <v>1939</v>
      </c>
      <c r="B1940">
        <v>58</v>
      </c>
      <c r="C1940" t="s">
        <v>11</v>
      </c>
      <c r="D1940" t="s">
        <v>20</v>
      </c>
      <c r="E1940" t="s">
        <v>36</v>
      </c>
      <c r="F1940" s="1">
        <v>195.03</v>
      </c>
      <c r="G1940" t="s">
        <v>24</v>
      </c>
      <c r="H1940" t="s">
        <v>15</v>
      </c>
      <c r="I1940" s="2">
        <v>3.1</v>
      </c>
      <c r="J1940" s="4">
        <v>13</v>
      </c>
      <c r="K1940" s="3">
        <v>4</v>
      </c>
      <c r="L1940" s="1">
        <f t="shared" si="90"/>
        <v>169.67609999999999</v>
      </c>
      <c r="M1940" t="str" cm="1">
        <f t="array" ref="M1940">_xlfn.IFS(B1940&lt;18,"Under 18",B1940 &lt;=25,"18-25",B1940&lt;=35,"26-35",B1940&lt;=45,"36-45",B1940&lt;=60,"46-60",TRUE,"60+")</f>
        <v>46-60</v>
      </c>
      <c r="N1940" t="str">
        <f t="shared" si="91"/>
        <v>Discounted</v>
      </c>
      <c r="O1940" t="str">
        <f t="shared" si="92"/>
        <v>Returning</v>
      </c>
    </row>
    <row r="1941" spans="1:15" x14ac:dyDescent="0.25">
      <c r="A1941">
        <v>1940</v>
      </c>
      <c r="B1941">
        <v>52</v>
      </c>
      <c r="C1941" t="s">
        <v>11</v>
      </c>
      <c r="D1941" t="s">
        <v>22</v>
      </c>
      <c r="E1941" t="s">
        <v>23</v>
      </c>
      <c r="F1941" s="1">
        <v>181.83</v>
      </c>
      <c r="G1941" t="s">
        <v>19</v>
      </c>
      <c r="H1941" t="s">
        <v>15</v>
      </c>
      <c r="I1941" s="2">
        <v>3.8</v>
      </c>
      <c r="J1941" s="4">
        <v>12</v>
      </c>
      <c r="K1941" s="3">
        <v>6</v>
      </c>
      <c r="L1941" s="1">
        <f t="shared" si="90"/>
        <v>160.0104</v>
      </c>
      <c r="M1941" t="str" cm="1">
        <f t="array" ref="M1941">_xlfn.IFS(B1941&lt;18,"Under 18",B1941 &lt;=25,"18-25",B1941&lt;=35,"26-35",B1941&lt;=45,"36-45",B1941&lt;=60,"46-60",TRUE,"60+")</f>
        <v>46-60</v>
      </c>
      <c r="N1941" t="str">
        <f t="shared" si="91"/>
        <v>Discounted</v>
      </c>
      <c r="O1941" t="str">
        <f t="shared" si="92"/>
        <v>Returning</v>
      </c>
    </row>
    <row r="1942" spans="1:15" x14ac:dyDescent="0.25">
      <c r="A1942">
        <v>1941</v>
      </c>
      <c r="B1942">
        <v>64</v>
      </c>
      <c r="C1942" t="s">
        <v>11</v>
      </c>
      <c r="D1942" t="s">
        <v>33</v>
      </c>
      <c r="E1942" t="s">
        <v>40</v>
      </c>
      <c r="F1942" s="1">
        <v>107.22</v>
      </c>
      <c r="G1942" t="s">
        <v>24</v>
      </c>
      <c r="H1942" t="s">
        <v>15</v>
      </c>
      <c r="I1942" s="2">
        <v>4.4000000000000004</v>
      </c>
      <c r="J1942" s="4">
        <v>11</v>
      </c>
      <c r="K1942" s="3">
        <v>3</v>
      </c>
      <c r="L1942" s="1">
        <f t="shared" si="90"/>
        <v>95.425799999999995</v>
      </c>
      <c r="M1942" t="str" cm="1">
        <f t="array" ref="M1942">_xlfn.IFS(B1942&lt;18,"Under 18",B1942 &lt;=25,"18-25",B1942&lt;=35,"26-35",B1942&lt;=45,"36-45",B1942&lt;=60,"46-60",TRUE,"60+")</f>
        <v>60+</v>
      </c>
      <c r="N1942" t="str">
        <f t="shared" si="91"/>
        <v>Discounted</v>
      </c>
      <c r="O1942" t="str">
        <f t="shared" si="92"/>
        <v>Returning</v>
      </c>
    </row>
    <row r="1943" spans="1:15" x14ac:dyDescent="0.25">
      <c r="A1943">
        <v>1942</v>
      </c>
      <c r="B1943">
        <v>42</v>
      </c>
      <c r="C1943" t="s">
        <v>11</v>
      </c>
      <c r="D1943" t="s">
        <v>12</v>
      </c>
      <c r="E1943" t="s">
        <v>56</v>
      </c>
      <c r="F1943" s="1">
        <v>49.81</v>
      </c>
      <c r="G1943" t="s">
        <v>14</v>
      </c>
      <c r="H1943" t="s">
        <v>15</v>
      </c>
      <c r="I1943" s="2">
        <v>4.3</v>
      </c>
      <c r="J1943" s="4">
        <v>11</v>
      </c>
      <c r="K1943" s="3">
        <v>3</v>
      </c>
      <c r="L1943" s="1">
        <f t="shared" si="90"/>
        <v>44.3309</v>
      </c>
      <c r="M1943" t="str" cm="1">
        <f t="array" ref="M1943">_xlfn.IFS(B1943&lt;18,"Under 18",B1943 &lt;=25,"18-25",B1943&lt;=35,"26-35",B1943&lt;=45,"36-45",B1943&lt;=60,"46-60",TRUE,"60+")</f>
        <v>36-45</v>
      </c>
      <c r="N1943" t="str">
        <f t="shared" si="91"/>
        <v>Discounted</v>
      </c>
      <c r="O1943" t="str">
        <f t="shared" si="92"/>
        <v>Returning</v>
      </c>
    </row>
    <row r="1944" spans="1:15" x14ac:dyDescent="0.25">
      <c r="A1944">
        <v>1943</v>
      </c>
      <c r="B1944">
        <v>65</v>
      </c>
      <c r="C1944" t="s">
        <v>16</v>
      </c>
      <c r="D1944" t="s">
        <v>20</v>
      </c>
      <c r="E1944" t="s">
        <v>21</v>
      </c>
      <c r="F1944" s="1">
        <v>54.39</v>
      </c>
      <c r="G1944" t="s">
        <v>24</v>
      </c>
      <c r="H1944" t="s">
        <v>37</v>
      </c>
      <c r="I1944" s="2">
        <v>3.8</v>
      </c>
      <c r="J1944" s="4">
        <v>9</v>
      </c>
      <c r="K1944" s="3">
        <v>2</v>
      </c>
      <c r="L1944" s="1">
        <f t="shared" si="90"/>
        <v>49.494900000000001</v>
      </c>
      <c r="M1944" t="str" cm="1">
        <f t="array" ref="M1944">_xlfn.IFS(B1944&lt;18,"Under 18",B1944 &lt;=25,"18-25",B1944&lt;=35,"26-35",B1944&lt;=45,"36-45",B1944&lt;=60,"46-60",TRUE,"60+")</f>
        <v>60+</v>
      </c>
      <c r="N1944" t="str">
        <f t="shared" si="91"/>
        <v>Discounted</v>
      </c>
      <c r="O1944" t="str">
        <f t="shared" si="92"/>
        <v>Returning</v>
      </c>
    </row>
    <row r="1945" spans="1:15" x14ac:dyDescent="0.25">
      <c r="A1945">
        <v>1944</v>
      </c>
      <c r="B1945">
        <v>48</v>
      </c>
      <c r="C1945" t="s">
        <v>16</v>
      </c>
      <c r="D1945" t="s">
        <v>33</v>
      </c>
      <c r="E1945" t="s">
        <v>40</v>
      </c>
      <c r="F1945" s="1">
        <v>63.06</v>
      </c>
      <c r="G1945" t="s">
        <v>14</v>
      </c>
      <c r="H1945" t="s">
        <v>15</v>
      </c>
      <c r="I1945" s="2">
        <v>4.2</v>
      </c>
      <c r="J1945" s="4">
        <v>22</v>
      </c>
      <c r="K1945" s="3">
        <v>6</v>
      </c>
      <c r="L1945" s="1">
        <f t="shared" si="90"/>
        <v>49.186800000000005</v>
      </c>
      <c r="M1945" t="str" cm="1">
        <f t="array" ref="M1945">_xlfn.IFS(B1945&lt;18,"Under 18",B1945 &lt;=25,"18-25",B1945&lt;=35,"26-35",B1945&lt;=45,"36-45",B1945&lt;=60,"46-60",TRUE,"60+")</f>
        <v>46-60</v>
      </c>
      <c r="N1945" t="str">
        <f t="shared" si="91"/>
        <v>Discounted</v>
      </c>
      <c r="O1945" t="str">
        <f t="shared" si="92"/>
        <v>Returning</v>
      </c>
    </row>
    <row r="1946" spans="1:15" x14ac:dyDescent="0.25">
      <c r="A1946">
        <v>1945</v>
      </c>
      <c r="B1946">
        <v>66</v>
      </c>
      <c r="C1946" t="s">
        <v>16</v>
      </c>
      <c r="D1946" t="s">
        <v>27</v>
      </c>
      <c r="E1946" t="s">
        <v>49</v>
      </c>
      <c r="F1946" s="1">
        <v>1918.19</v>
      </c>
      <c r="G1946" t="s">
        <v>14</v>
      </c>
      <c r="H1946" t="s">
        <v>15</v>
      </c>
      <c r="I1946" s="2">
        <v>3.3</v>
      </c>
      <c r="J1946" s="4">
        <v>8</v>
      </c>
      <c r="K1946" s="3">
        <v>4</v>
      </c>
      <c r="L1946" s="1">
        <f t="shared" si="90"/>
        <v>1764.7348000000002</v>
      </c>
      <c r="M1946" t="str" cm="1">
        <f t="array" ref="M1946">_xlfn.IFS(B1946&lt;18,"Under 18",B1946 &lt;=25,"18-25",B1946&lt;=35,"26-35",B1946&lt;=45,"36-45",B1946&lt;=60,"46-60",TRUE,"60+")</f>
        <v>60+</v>
      </c>
      <c r="N1946" t="str">
        <f t="shared" si="91"/>
        <v>Discounted</v>
      </c>
      <c r="O1946" t="str">
        <f t="shared" si="92"/>
        <v>Returning</v>
      </c>
    </row>
    <row r="1947" spans="1:15" x14ac:dyDescent="0.25">
      <c r="A1947">
        <v>1946</v>
      </c>
      <c r="B1947">
        <v>50</v>
      </c>
      <c r="C1947" t="s">
        <v>16</v>
      </c>
      <c r="D1947" t="s">
        <v>17</v>
      </c>
      <c r="E1947" t="s">
        <v>18</v>
      </c>
      <c r="F1947" s="1">
        <v>132.11000000000001</v>
      </c>
      <c r="G1947" t="s">
        <v>19</v>
      </c>
      <c r="H1947" t="s">
        <v>15</v>
      </c>
      <c r="I1947" s="2">
        <v>3.7</v>
      </c>
      <c r="J1947" s="4">
        <v>18</v>
      </c>
      <c r="K1947" s="3">
        <v>4</v>
      </c>
      <c r="L1947" s="1">
        <f t="shared" si="90"/>
        <v>108.33020000000002</v>
      </c>
      <c r="M1947" t="str" cm="1">
        <f t="array" ref="M1947">_xlfn.IFS(B1947&lt;18,"Under 18",B1947 &lt;=25,"18-25",B1947&lt;=35,"26-35",B1947&lt;=45,"36-45",B1947&lt;=60,"46-60",TRUE,"60+")</f>
        <v>46-60</v>
      </c>
      <c r="N1947" t="str">
        <f t="shared" si="91"/>
        <v>Discounted</v>
      </c>
      <c r="O1947" t="str">
        <f t="shared" si="92"/>
        <v>Returning</v>
      </c>
    </row>
    <row r="1948" spans="1:15" x14ac:dyDescent="0.25">
      <c r="A1948">
        <v>1947</v>
      </c>
      <c r="B1948">
        <v>35</v>
      </c>
      <c r="C1948" t="s">
        <v>11</v>
      </c>
      <c r="D1948" t="s">
        <v>41</v>
      </c>
      <c r="E1948" t="s">
        <v>45</v>
      </c>
      <c r="F1948" s="1">
        <v>84.23</v>
      </c>
      <c r="G1948" t="s">
        <v>31</v>
      </c>
      <c r="H1948" t="s">
        <v>37</v>
      </c>
      <c r="I1948" s="2">
        <v>5</v>
      </c>
      <c r="J1948" s="4">
        <v>8</v>
      </c>
      <c r="K1948" s="3">
        <v>4</v>
      </c>
      <c r="L1948" s="1">
        <f t="shared" si="90"/>
        <v>77.491600000000005</v>
      </c>
      <c r="M1948" t="str" cm="1">
        <f t="array" ref="M1948">_xlfn.IFS(B1948&lt;18,"Under 18",B1948 &lt;=25,"18-25",B1948&lt;=35,"26-35",B1948&lt;=45,"36-45",B1948&lt;=60,"46-60",TRUE,"60+")</f>
        <v>26-35</v>
      </c>
      <c r="N1948" t="str">
        <f t="shared" si="91"/>
        <v>Discounted</v>
      </c>
      <c r="O1948" t="str">
        <f t="shared" si="92"/>
        <v>Returning</v>
      </c>
    </row>
    <row r="1949" spans="1:15" x14ac:dyDescent="0.25">
      <c r="A1949">
        <v>1948</v>
      </c>
      <c r="B1949">
        <v>42</v>
      </c>
      <c r="C1949" t="s">
        <v>11</v>
      </c>
      <c r="D1949" t="s">
        <v>29</v>
      </c>
      <c r="E1949" t="s">
        <v>55</v>
      </c>
      <c r="F1949" s="1">
        <v>114.27</v>
      </c>
      <c r="G1949" t="s">
        <v>19</v>
      </c>
      <c r="H1949" t="s">
        <v>15</v>
      </c>
      <c r="I1949" s="2">
        <v>5</v>
      </c>
      <c r="J1949" s="4">
        <v>12</v>
      </c>
      <c r="K1949" s="3">
        <v>6</v>
      </c>
      <c r="L1949" s="1">
        <f t="shared" si="90"/>
        <v>100.55759999999999</v>
      </c>
      <c r="M1949" t="str" cm="1">
        <f t="array" ref="M1949">_xlfn.IFS(B1949&lt;18,"Under 18",B1949 &lt;=25,"18-25",B1949&lt;=35,"26-35",B1949&lt;=45,"36-45",B1949&lt;=60,"46-60",TRUE,"60+")</f>
        <v>36-45</v>
      </c>
      <c r="N1949" t="str">
        <f t="shared" si="91"/>
        <v>Discounted</v>
      </c>
      <c r="O1949" t="str">
        <f t="shared" si="92"/>
        <v>Returning</v>
      </c>
    </row>
    <row r="1950" spans="1:15" x14ac:dyDescent="0.25">
      <c r="A1950">
        <v>1949</v>
      </c>
      <c r="B1950">
        <v>30</v>
      </c>
      <c r="C1950" t="s">
        <v>11</v>
      </c>
      <c r="D1950" t="s">
        <v>22</v>
      </c>
      <c r="E1950" t="s">
        <v>52</v>
      </c>
      <c r="F1950" s="1">
        <v>39.24</v>
      </c>
      <c r="G1950" t="s">
        <v>19</v>
      </c>
      <c r="H1950" t="s">
        <v>37</v>
      </c>
      <c r="I1950" s="2">
        <v>3.3</v>
      </c>
      <c r="J1950" s="4">
        <v>22</v>
      </c>
      <c r="K1950" s="3">
        <v>6</v>
      </c>
      <c r="L1950" s="1">
        <f t="shared" si="90"/>
        <v>30.607200000000002</v>
      </c>
      <c r="M1950" t="str" cm="1">
        <f t="array" ref="M1950">_xlfn.IFS(B1950&lt;18,"Under 18",B1950 &lt;=25,"18-25",B1950&lt;=35,"26-35",B1950&lt;=45,"36-45",B1950&lt;=60,"46-60",TRUE,"60+")</f>
        <v>26-35</v>
      </c>
      <c r="N1950" t="str">
        <f t="shared" si="91"/>
        <v>Discounted</v>
      </c>
      <c r="O1950" t="str">
        <f t="shared" si="92"/>
        <v>Returning</v>
      </c>
    </row>
    <row r="1951" spans="1:15" x14ac:dyDescent="0.25">
      <c r="A1951">
        <v>1950</v>
      </c>
      <c r="B1951">
        <v>42</v>
      </c>
      <c r="C1951" t="s">
        <v>11</v>
      </c>
      <c r="D1951" t="s">
        <v>33</v>
      </c>
      <c r="E1951" t="s">
        <v>38</v>
      </c>
      <c r="F1951" s="1">
        <v>121.16</v>
      </c>
      <c r="G1951" t="s">
        <v>19</v>
      </c>
      <c r="H1951" t="s">
        <v>15</v>
      </c>
      <c r="I1951" s="2">
        <v>2.8</v>
      </c>
      <c r="J1951" s="4">
        <v>16</v>
      </c>
      <c r="K1951" s="3">
        <v>8</v>
      </c>
      <c r="L1951" s="1">
        <f t="shared" si="90"/>
        <v>101.7744</v>
      </c>
      <c r="M1951" t="str" cm="1">
        <f t="array" ref="M1951">_xlfn.IFS(B1951&lt;18,"Under 18",B1951 &lt;=25,"18-25",B1951&lt;=35,"26-35",B1951&lt;=45,"36-45",B1951&lt;=60,"46-60",TRUE,"60+")</f>
        <v>36-45</v>
      </c>
      <c r="N1951" t="str">
        <f t="shared" si="91"/>
        <v>Discounted</v>
      </c>
      <c r="O1951" t="str">
        <f t="shared" si="92"/>
        <v>Returning</v>
      </c>
    </row>
    <row r="1952" spans="1:15" x14ac:dyDescent="0.25">
      <c r="A1952">
        <v>1951</v>
      </c>
      <c r="B1952">
        <v>51</v>
      </c>
      <c r="C1952" t="s">
        <v>11</v>
      </c>
      <c r="D1952" t="s">
        <v>25</v>
      </c>
      <c r="E1952" t="s">
        <v>26</v>
      </c>
      <c r="F1952" s="1">
        <v>45.86</v>
      </c>
      <c r="G1952" t="s">
        <v>14</v>
      </c>
      <c r="H1952" t="s">
        <v>15</v>
      </c>
      <c r="I1952" s="2">
        <v>3.6</v>
      </c>
      <c r="J1952" s="4">
        <v>8</v>
      </c>
      <c r="K1952" s="3">
        <v>4</v>
      </c>
      <c r="L1952" s="1">
        <f t="shared" si="90"/>
        <v>42.191200000000002</v>
      </c>
      <c r="M1952" t="str" cm="1">
        <f t="array" ref="M1952">_xlfn.IFS(B1952&lt;18,"Under 18",B1952 &lt;=25,"18-25",B1952&lt;=35,"26-35",B1952&lt;=45,"36-45",B1952&lt;=60,"46-60",TRUE,"60+")</f>
        <v>46-60</v>
      </c>
      <c r="N1952" t="str">
        <f t="shared" si="91"/>
        <v>Discounted</v>
      </c>
      <c r="O1952" t="str">
        <f t="shared" si="92"/>
        <v>Returning</v>
      </c>
    </row>
    <row r="1953" spans="1:15" x14ac:dyDescent="0.25">
      <c r="A1953">
        <v>1952</v>
      </c>
      <c r="B1953">
        <v>38</v>
      </c>
      <c r="C1953" t="s">
        <v>16</v>
      </c>
      <c r="D1953" t="s">
        <v>17</v>
      </c>
      <c r="E1953" t="s">
        <v>42</v>
      </c>
      <c r="F1953" s="1">
        <v>38.47</v>
      </c>
      <c r="G1953" t="s">
        <v>19</v>
      </c>
      <c r="H1953" t="s">
        <v>15</v>
      </c>
      <c r="I1953" s="2">
        <v>3.6</v>
      </c>
      <c r="J1953" s="4">
        <v>17</v>
      </c>
      <c r="K1953" s="3">
        <v>6</v>
      </c>
      <c r="L1953" s="1">
        <f t="shared" si="90"/>
        <v>31.930099999999996</v>
      </c>
      <c r="M1953" t="str" cm="1">
        <f t="array" ref="M1953">_xlfn.IFS(B1953&lt;18,"Under 18",B1953 &lt;=25,"18-25",B1953&lt;=35,"26-35",B1953&lt;=45,"36-45",B1953&lt;=60,"46-60",TRUE,"60+")</f>
        <v>36-45</v>
      </c>
      <c r="N1953" t="str">
        <f t="shared" si="91"/>
        <v>Discounted</v>
      </c>
      <c r="O1953" t="str">
        <f t="shared" si="92"/>
        <v>Returning</v>
      </c>
    </row>
    <row r="1954" spans="1:15" x14ac:dyDescent="0.25">
      <c r="A1954">
        <v>1953</v>
      </c>
      <c r="B1954">
        <v>46</v>
      </c>
      <c r="C1954" t="s">
        <v>16</v>
      </c>
      <c r="D1954" t="s">
        <v>20</v>
      </c>
      <c r="E1954" t="s">
        <v>36</v>
      </c>
      <c r="F1954" s="1">
        <v>98.54</v>
      </c>
      <c r="G1954" t="s">
        <v>24</v>
      </c>
      <c r="H1954" t="s">
        <v>15</v>
      </c>
      <c r="I1954" s="2">
        <v>4.7</v>
      </c>
      <c r="J1954" s="4">
        <v>8</v>
      </c>
      <c r="K1954" s="3">
        <v>4</v>
      </c>
      <c r="L1954" s="1">
        <f t="shared" si="90"/>
        <v>90.656800000000004</v>
      </c>
      <c r="M1954" t="str" cm="1">
        <f t="array" ref="M1954">_xlfn.IFS(B1954&lt;18,"Under 18",B1954 &lt;=25,"18-25",B1954&lt;=35,"26-35",B1954&lt;=45,"36-45",B1954&lt;=60,"46-60",TRUE,"60+")</f>
        <v>46-60</v>
      </c>
      <c r="N1954" t="str">
        <f t="shared" si="91"/>
        <v>Discounted</v>
      </c>
      <c r="O1954" t="str">
        <f t="shared" si="92"/>
        <v>Returning</v>
      </c>
    </row>
    <row r="1955" spans="1:15" x14ac:dyDescent="0.25">
      <c r="A1955">
        <v>1954</v>
      </c>
      <c r="B1955">
        <v>55</v>
      </c>
      <c r="C1955" t="s">
        <v>16</v>
      </c>
      <c r="D1955" t="s">
        <v>33</v>
      </c>
      <c r="E1955" t="s">
        <v>34</v>
      </c>
      <c r="F1955" s="1">
        <v>194.32</v>
      </c>
      <c r="G1955" t="s">
        <v>19</v>
      </c>
      <c r="H1955" t="s">
        <v>15</v>
      </c>
      <c r="I1955" s="2">
        <v>3.5</v>
      </c>
      <c r="J1955" s="4">
        <v>8</v>
      </c>
      <c r="K1955" s="3">
        <v>4</v>
      </c>
      <c r="L1955" s="1">
        <f t="shared" si="90"/>
        <v>178.77440000000001</v>
      </c>
      <c r="M1955" t="str" cm="1">
        <f t="array" ref="M1955">_xlfn.IFS(B1955&lt;18,"Under 18",B1955 &lt;=25,"18-25",B1955&lt;=35,"26-35",B1955&lt;=45,"36-45",B1955&lt;=60,"46-60",TRUE,"60+")</f>
        <v>46-60</v>
      </c>
      <c r="N1955" t="str">
        <f t="shared" si="91"/>
        <v>Discounted</v>
      </c>
      <c r="O1955" t="str">
        <f t="shared" si="92"/>
        <v>Returning</v>
      </c>
    </row>
    <row r="1956" spans="1:15" x14ac:dyDescent="0.25">
      <c r="A1956">
        <v>1955</v>
      </c>
      <c r="B1956">
        <v>61</v>
      </c>
      <c r="C1956" t="s">
        <v>11</v>
      </c>
      <c r="D1956" t="s">
        <v>29</v>
      </c>
      <c r="E1956" t="s">
        <v>55</v>
      </c>
      <c r="F1956" s="1">
        <v>71.83</v>
      </c>
      <c r="G1956" t="s">
        <v>24</v>
      </c>
      <c r="H1956" t="s">
        <v>37</v>
      </c>
      <c r="I1956" s="2">
        <v>4</v>
      </c>
      <c r="J1956" s="4">
        <v>18</v>
      </c>
      <c r="K1956" s="3">
        <v>4</v>
      </c>
      <c r="L1956" s="1">
        <f t="shared" si="90"/>
        <v>58.900600000000004</v>
      </c>
      <c r="M1956" t="str" cm="1">
        <f t="array" ref="M1956">_xlfn.IFS(B1956&lt;18,"Under 18",B1956 &lt;=25,"18-25",B1956&lt;=35,"26-35",B1956&lt;=45,"36-45",B1956&lt;=60,"46-60",TRUE,"60+")</f>
        <v>60+</v>
      </c>
      <c r="N1956" t="str">
        <f t="shared" si="91"/>
        <v>Discounted</v>
      </c>
      <c r="O1956" t="str">
        <f t="shared" si="92"/>
        <v>Returning</v>
      </c>
    </row>
    <row r="1957" spans="1:15" x14ac:dyDescent="0.25">
      <c r="A1957">
        <v>1956</v>
      </c>
      <c r="B1957">
        <v>65</v>
      </c>
      <c r="C1957" t="s">
        <v>11</v>
      </c>
      <c r="D1957" t="s">
        <v>33</v>
      </c>
      <c r="E1957" t="s">
        <v>40</v>
      </c>
      <c r="F1957" s="1">
        <v>119.74</v>
      </c>
      <c r="G1957" t="s">
        <v>24</v>
      </c>
      <c r="H1957" t="s">
        <v>15</v>
      </c>
      <c r="I1957" s="2">
        <v>3.5</v>
      </c>
      <c r="J1957" s="4">
        <v>6</v>
      </c>
      <c r="K1957" s="3">
        <v>3</v>
      </c>
      <c r="L1957" s="1">
        <f t="shared" si="90"/>
        <v>112.55559999999998</v>
      </c>
      <c r="M1957" t="str" cm="1">
        <f t="array" ref="M1957">_xlfn.IFS(B1957&lt;18,"Under 18",B1957 &lt;=25,"18-25",B1957&lt;=35,"26-35",B1957&lt;=45,"36-45",B1957&lt;=60,"46-60",TRUE,"60+")</f>
        <v>60+</v>
      </c>
      <c r="N1957" t="str">
        <f t="shared" si="91"/>
        <v>Discounted</v>
      </c>
      <c r="O1957" t="str">
        <f t="shared" si="92"/>
        <v>Returning</v>
      </c>
    </row>
    <row r="1958" spans="1:15" x14ac:dyDescent="0.25">
      <c r="A1958">
        <v>1957</v>
      </c>
      <c r="B1958">
        <v>66</v>
      </c>
      <c r="C1958" t="s">
        <v>11</v>
      </c>
      <c r="D1958" t="s">
        <v>33</v>
      </c>
      <c r="E1958" t="s">
        <v>40</v>
      </c>
      <c r="F1958" s="1">
        <v>242.56</v>
      </c>
      <c r="G1958" t="s">
        <v>31</v>
      </c>
      <c r="H1958" t="s">
        <v>15</v>
      </c>
      <c r="I1958" s="2">
        <v>5</v>
      </c>
      <c r="J1958" s="4">
        <v>14</v>
      </c>
      <c r="K1958" s="3">
        <v>7</v>
      </c>
      <c r="L1958" s="1">
        <f t="shared" si="90"/>
        <v>208.60159999999999</v>
      </c>
      <c r="M1958" t="str" cm="1">
        <f t="array" ref="M1958">_xlfn.IFS(B1958&lt;18,"Under 18",B1958 &lt;=25,"18-25",B1958&lt;=35,"26-35",B1958&lt;=45,"36-45",B1958&lt;=60,"46-60",TRUE,"60+")</f>
        <v>60+</v>
      </c>
      <c r="N1958" t="str">
        <f t="shared" si="91"/>
        <v>Discounted</v>
      </c>
      <c r="O1958" t="str">
        <f t="shared" si="92"/>
        <v>Returning</v>
      </c>
    </row>
    <row r="1959" spans="1:15" x14ac:dyDescent="0.25">
      <c r="A1959">
        <v>1958</v>
      </c>
      <c r="B1959">
        <v>51</v>
      </c>
      <c r="C1959" t="s">
        <v>11</v>
      </c>
      <c r="D1959" t="s">
        <v>41</v>
      </c>
      <c r="E1959" t="s">
        <v>46</v>
      </c>
      <c r="F1959" s="1">
        <v>78.03</v>
      </c>
      <c r="G1959" t="s">
        <v>14</v>
      </c>
      <c r="H1959" t="s">
        <v>37</v>
      </c>
      <c r="I1959" s="2">
        <v>4.0999999999999996</v>
      </c>
      <c r="J1959" s="4">
        <v>13</v>
      </c>
      <c r="K1959" s="3">
        <v>4</v>
      </c>
      <c r="L1959" s="1">
        <f t="shared" si="90"/>
        <v>67.886099999999999</v>
      </c>
      <c r="M1959" t="str" cm="1">
        <f t="array" ref="M1959">_xlfn.IFS(B1959&lt;18,"Under 18",B1959 &lt;=25,"18-25",B1959&lt;=35,"26-35",B1959&lt;=45,"36-45",B1959&lt;=60,"46-60",TRUE,"60+")</f>
        <v>46-60</v>
      </c>
      <c r="N1959" t="str">
        <f t="shared" si="91"/>
        <v>Discounted</v>
      </c>
      <c r="O1959" t="str">
        <f t="shared" si="92"/>
        <v>Returning</v>
      </c>
    </row>
    <row r="1960" spans="1:15" x14ac:dyDescent="0.25">
      <c r="A1960">
        <v>1959</v>
      </c>
      <c r="B1960">
        <v>52</v>
      </c>
      <c r="C1960" t="s">
        <v>16</v>
      </c>
      <c r="D1960" t="s">
        <v>20</v>
      </c>
      <c r="E1960" t="s">
        <v>21</v>
      </c>
      <c r="F1960" s="1">
        <v>82.92</v>
      </c>
      <c r="G1960" t="s">
        <v>31</v>
      </c>
      <c r="H1960" t="s">
        <v>15</v>
      </c>
      <c r="I1960" s="2">
        <v>4.2</v>
      </c>
      <c r="J1960" s="4">
        <v>24</v>
      </c>
      <c r="K1960" s="3">
        <v>7</v>
      </c>
      <c r="L1960" s="1">
        <f t="shared" si="90"/>
        <v>63.019200000000005</v>
      </c>
      <c r="M1960" t="str" cm="1">
        <f t="array" ref="M1960">_xlfn.IFS(B1960&lt;18,"Under 18",B1960 &lt;=25,"18-25",B1960&lt;=35,"26-35",B1960&lt;=45,"36-45",B1960&lt;=60,"46-60",TRUE,"60+")</f>
        <v>46-60</v>
      </c>
      <c r="N1960" t="str">
        <f t="shared" si="91"/>
        <v>Discounted</v>
      </c>
      <c r="O1960" t="str">
        <f t="shared" si="92"/>
        <v>Returning</v>
      </c>
    </row>
    <row r="1961" spans="1:15" x14ac:dyDescent="0.25">
      <c r="A1961">
        <v>1960</v>
      </c>
      <c r="B1961">
        <v>56</v>
      </c>
      <c r="C1961" t="s">
        <v>11</v>
      </c>
      <c r="D1961" t="s">
        <v>22</v>
      </c>
      <c r="E1961" t="s">
        <v>23</v>
      </c>
      <c r="F1961" s="1">
        <v>220.57</v>
      </c>
      <c r="G1961" t="s">
        <v>19</v>
      </c>
      <c r="H1961" t="s">
        <v>15</v>
      </c>
      <c r="I1961" s="2">
        <v>3.1</v>
      </c>
      <c r="J1961" s="4">
        <v>18</v>
      </c>
      <c r="K1961" s="3">
        <v>4</v>
      </c>
      <c r="L1961" s="1">
        <f t="shared" si="90"/>
        <v>180.8674</v>
      </c>
      <c r="M1961" t="str" cm="1">
        <f t="array" ref="M1961">_xlfn.IFS(B1961&lt;18,"Under 18",B1961 &lt;=25,"18-25",B1961&lt;=35,"26-35",B1961&lt;=45,"36-45",B1961&lt;=60,"46-60",TRUE,"60+")</f>
        <v>46-60</v>
      </c>
      <c r="N1961" t="str">
        <f t="shared" si="91"/>
        <v>Discounted</v>
      </c>
      <c r="O1961" t="str">
        <f t="shared" si="92"/>
        <v>Returning</v>
      </c>
    </row>
    <row r="1962" spans="1:15" x14ac:dyDescent="0.25">
      <c r="A1962">
        <v>1961</v>
      </c>
      <c r="B1962">
        <v>61</v>
      </c>
      <c r="C1962" t="s">
        <v>16</v>
      </c>
      <c r="D1962" t="s">
        <v>20</v>
      </c>
      <c r="E1962" t="s">
        <v>21</v>
      </c>
      <c r="F1962" s="1">
        <v>93.71</v>
      </c>
      <c r="G1962" t="s">
        <v>24</v>
      </c>
      <c r="H1962" t="s">
        <v>37</v>
      </c>
      <c r="I1962" s="2">
        <v>3.6</v>
      </c>
      <c r="J1962" s="4">
        <v>2</v>
      </c>
      <c r="K1962" s="3">
        <v>1</v>
      </c>
      <c r="L1962" s="1">
        <f t="shared" si="90"/>
        <v>91.835799999999992</v>
      </c>
      <c r="M1962" t="str" cm="1">
        <f t="array" ref="M1962">_xlfn.IFS(B1962&lt;18,"Under 18",B1962 &lt;=25,"18-25",B1962&lt;=35,"26-35",B1962&lt;=45,"36-45",B1962&lt;=60,"46-60",TRUE,"60+")</f>
        <v>60+</v>
      </c>
      <c r="N1962" t="str">
        <f t="shared" si="91"/>
        <v>Discounted</v>
      </c>
      <c r="O1962" t="str">
        <f t="shared" si="92"/>
        <v>Returning</v>
      </c>
    </row>
    <row r="1963" spans="1:15" x14ac:dyDescent="0.25">
      <c r="A1963">
        <v>1962</v>
      </c>
      <c r="B1963">
        <v>55</v>
      </c>
      <c r="C1963" t="s">
        <v>16</v>
      </c>
      <c r="D1963" t="s">
        <v>33</v>
      </c>
      <c r="E1963" t="s">
        <v>40</v>
      </c>
      <c r="F1963" s="1">
        <v>237.85</v>
      </c>
      <c r="G1963" t="s">
        <v>19</v>
      </c>
      <c r="H1963" t="s">
        <v>15</v>
      </c>
      <c r="I1963" s="2">
        <v>3.4</v>
      </c>
      <c r="J1963" s="4">
        <v>24</v>
      </c>
      <c r="K1963" s="3">
        <v>7</v>
      </c>
      <c r="L1963" s="1">
        <f t="shared" si="90"/>
        <v>180.76599999999999</v>
      </c>
      <c r="M1963" t="str" cm="1">
        <f t="array" ref="M1963">_xlfn.IFS(B1963&lt;18,"Under 18",B1963 &lt;=25,"18-25",B1963&lt;=35,"26-35",B1963&lt;=45,"36-45",B1963&lt;=60,"46-60",TRUE,"60+")</f>
        <v>46-60</v>
      </c>
      <c r="N1963" t="str">
        <f t="shared" si="91"/>
        <v>Discounted</v>
      </c>
      <c r="O1963" t="str">
        <f t="shared" si="92"/>
        <v>Returning</v>
      </c>
    </row>
    <row r="1964" spans="1:15" x14ac:dyDescent="0.25">
      <c r="A1964">
        <v>1963</v>
      </c>
      <c r="B1964">
        <v>43</v>
      </c>
      <c r="C1964" t="s">
        <v>11</v>
      </c>
      <c r="D1964" t="s">
        <v>22</v>
      </c>
      <c r="E1964" t="s">
        <v>43</v>
      </c>
      <c r="F1964" s="1">
        <v>209.95</v>
      </c>
      <c r="G1964" t="s">
        <v>19</v>
      </c>
      <c r="H1964" t="s">
        <v>15</v>
      </c>
      <c r="I1964" s="2">
        <v>2.5</v>
      </c>
      <c r="J1964" s="4">
        <v>16</v>
      </c>
      <c r="K1964" s="3">
        <v>3</v>
      </c>
      <c r="L1964" s="1">
        <f t="shared" si="90"/>
        <v>176.35799999999998</v>
      </c>
      <c r="M1964" t="str" cm="1">
        <f t="array" ref="M1964">_xlfn.IFS(B1964&lt;18,"Under 18",B1964 &lt;=25,"18-25",B1964&lt;=35,"26-35",B1964&lt;=45,"36-45",B1964&lt;=60,"46-60",TRUE,"60+")</f>
        <v>36-45</v>
      </c>
      <c r="N1964" t="str">
        <f t="shared" si="91"/>
        <v>Discounted</v>
      </c>
      <c r="O1964" t="str">
        <f t="shared" si="92"/>
        <v>Returning</v>
      </c>
    </row>
    <row r="1965" spans="1:15" x14ac:dyDescent="0.25">
      <c r="A1965">
        <v>1964</v>
      </c>
      <c r="B1965">
        <v>67</v>
      </c>
      <c r="C1965" t="s">
        <v>16</v>
      </c>
      <c r="D1965" t="s">
        <v>33</v>
      </c>
      <c r="E1965" t="s">
        <v>38</v>
      </c>
      <c r="F1965" s="1">
        <v>208.53</v>
      </c>
      <c r="G1965" t="s">
        <v>24</v>
      </c>
      <c r="H1965" t="s">
        <v>15</v>
      </c>
      <c r="I1965" s="2">
        <v>4.4000000000000004</v>
      </c>
      <c r="J1965" s="4">
        <v>25</v>
      </c>
      <c r="K1965" s="3">
        <v>10</v>
      </c>
      <c r="L1965" s="1">
        <f t="shared" si="90"/>
        <v>156.39750000000001</v>
      </c>
      <c r="M1965" t="str" cm="1">
        <f t="array" ref="M1965">_xlfn.IFS(B1965&lt;18,"Under 18",B1965 &lt;=25,"18-25",B1965&lt;=35,"26-35",B1965&lt;=45,"36-45",B1965&lt;=60,"46-60",TRUE,"60+")</f>
        <v>60+</v>
      </c>
      <c r="N1965" t="str">
        <f t="shared" si="91"/>
        <v>Discounted</v>
      </c>
      <c r="O1965" t="str">
        <f t="shared" si="92"/>
        <v>Returning</v>
      </c>
    </row>
    <row r="1966" spans="1:15" x14ac:dyDescent="0.25">
      <c r="A1966">
        <v>1965</v>
      </c>
      <c r="B1966">
        <v>23</v>
      </c>
      <c r="C1966" t="s">
        <v>16</v>
      </c>
      <c r="D1966" t="s">
        <v>33</v>
      </c>
      <c r="E1966" t="s">
        <v>38</v>
      </c>
      <c r="F1966" s="1">
        <v>79.069999999999993</v>
      </c>
      <c r="G1966" t="s">
        <v>31</v>
      </c>
      <c r="H1966" t="s">
        <v>37</v>
      </c>
      <c r="I1966" s="2">
        <v>5</v>
      </c>
      <c r="J1966" s="4">
        <v>11</v>
      </c>
      <c r="K1966" s="3">
        <v>3</v>
      </c>
      <c r="L1966" s="1">
        <f t="shared" si="90"/>
        <v>70.372299999999996</v>
      </c>
      <c r="M1966" t="str" cm="1">
        <f t="array" ref="M1966">_xlfn.IFS(B1966&lt;18,"Under 18",B1966 &lt;=25,"18-25",B1966&lt;=35,"26-35",B1966&lt;=45,"36-45",B1966&lt;=60,"46-60",TRUE,"60+")</f>
        <v>18-25</v>
      </c>
      <c r="N1966" t="str">
        <f t="shared" si="91"/>
        <v>Discounted</v>
      </c>
      <c r="O1966" t="str">
        <f t="shared" si="92"/>
        <v>Returning</v>
      </c>
    </row>
    <row r="1967" spans="1:15" x14ac:dyDescent="0.25">
      <c r="A1967">
        <v>1966</v>
      </c>
      <c r="B1967">
        <v>54</v>
      </c>
      <c r="C1967" t="s">
        <v>11</v>
      </c>
      <c r="D1967" t="s">
        <v>41</v>
      </c>
      <c r="E1967" t="s">
        <v>44</v>
      </c>
      <c r="F1967" s="1">
        <v>86</v>
      </c>
      <c r="G1967" t="s">
        <v>19</v>
      </c>
      <c r="H1967" t="s">
        <v>37</v>
      </c>
      <c r="I1967" s="2">
        <v>3.2</v>
      </c>
      <c r="J1967" s="4">
        <v>18</v>
      </c>
      <c r="K1967" s="3">
        <v>9</v>
      </c>
      <c r="L1967" s="1">
        <f t="shared" si="90"/>
        <v>70.52000000000001</v>
      </c>
      <c r="M1967" t="str" cm="1">
        <f t="array" ref="M1967">_xlfn.IFS(B1967&lt;18,"Under 18",B1967 &lt;=25,"18-25",B1967&lt;=35,"26-35",B1967&lt;=45,"36-45",B1967&lt;=60,"46-60",TRUE,"60+")</f>
        <v>46-60</v>
      </c>
      <c r="N1967" t="str">
        <f t="shared" si="91"/>
        <v>Discounted</v>
      </c>
      <c r="O1967" t="str">
        <f t="shared" si="92"/>
        <v>Returning</v>
      </c>
    </row>
    <row r="1968" spans="1:15" x14ac:dyDescent="0.25">
      <c r="A1968">
        <v>1967</v>
      </c>
      <c r="B1968">
        <v>37</v>
      </c>
      <c r="C1968" t="s">
        <v>11</v>
      </c>
      <c r="D1968" t="s">
        <v>41</v>
      </c>
      <c r="E1968" t="s">
        <v>46</v>
      </c>
      <c r="F1968" s="1">
        <v>118.51</v>
      </c>
      <c r="G1968" t="s">
        <v>31</v>
      </c>
      <c r="H1968" t="s">
        <v>15</v>
      </c>
      <c r="I1968" s="2">
        <v>4.5999999999999996</v>
      </c>
      <c r="J1968" s="4">
        <v>9</v>
      </c>
      <c r="K1968" s="3">
        <v>2</v>
      </c>
      <c r="L1968" s="1">
        <f t="shared" si="90"/>
        <v>107.84410000000001</v>
      </c>
      <c r="M1968" t="str" cm="1">
        <f t="array" ref="M1968">_xlfn.IFS(B1968&lt;18,"Under 18",B1968 &lt;=25,"18-25",B1968&lt;=35,"26-35",B1968&lt;=45,"36-45",B1968&lt;=60,"46-60",TRUE,"60+")</f>
        <v>36-45</v>
      </c>
      <c r="N1968" t="str">
        <f t="shared" si="91"/>
        <v>Discounted</v>
      </c>
      <c r="O1968" t="str">
        <f t="shared" si="92"/>
        <v>Returning</v>
      </c>
    </row>
    <row r="1969" spans="1:15" x14ac:dyDescent="0.25">
      <c r="A1969">
        <v>1968</v>
      </c>
      <c r="B1969">
        <v>44</v>
      </c>
      <c r="C1969" t="s">
        <v>16</v>
      </c>
      <c r="D1969" t="s">
        <v>27</v>
      </c>
      <c r="E1969" t="s">
        <v>49</v>
      </c>
      <c r="F1969" s="1">
        <v>1102.43</v>
      </c>
      <c r="G1969" t="s">
        <v>19</v>
      </c>
      <c r="H1969" t="s">
        <v>15</v>
      </c>
      <c r="I1969" s="2">
        <v>3.9</v>
      </c>
      <c r="J1969" s="4">
        <v>30</v>
      </c>
      <c r="K1969" s="3">
        <v>10</v>
      </c>
      <c r="L1969" s="1">
        <f t="shared" si="90"/>
        <v>771.70100000000002</v>
      </c>
      <c r="M1969" t="str" cm="1">
        <f t="array" ref="M1969">_xlfn.IFS(B1969&lt;18,"Under 18",B1969 &lt;=25,"18-25",B1969&lt;=35,"26-35",B1969&lt;=45,"36-45",B1969&lt;=60,"46-60",TRUE,"60+")</f>
        <v>36-45</v>
      </c>
      <c r="N1969" t="str">
        <f t="shared" si="91"/>
        <v>Discounted</v>
      </c>
      <c r="O1969" t="str">
        <f t="shared" si="92"/>
        <v>Returning</v>
      </c>
    </row>
    <row r="1970" spans="1:15" x14ac:dyDescent="0.25">
      <c r="A1970">
        <v>1969</v>
      </c>
      <c r="B1970">
        <v>54</v>
      </c>
      <c r="C1970" t="s">
        <v>11</v>
      </c>
      <c r="D1970" t="s">
        <v>41</v>
      </c>
      <c r="E1970" t="s">
        <v>42</v>
      </c>
      <c r="F1970" s="1">
        <v>130.37</v>
      </c>
      <c r="G1970" t="s">
        <v>19</v>
      </c>
      <c r="H1970" t="s">
        <v>15</v>
      </c>
      <c r="I1970" s="2">
        <v>2.8</v>
      </c>
      <c r="J1970" s="4">
        <v>17</v>
      </c>
      <c r="K1970" s="3">
        <v>6</v>
      </c>
      <c r="L1970" s="1">
        <f t="shared" si="90"/>
        <v>108.2071</v>
      </c>
      <c r="M1970" t="str" cm="1">
        <f t="array" ref="M1970">_xlfn.IFS(B1970&lt;18,"Under 18",B1970 &lt;=25,"18-25",B1970&lt;=35,"26-35",B1970&lt;=45,"36-45",B1970&lt;=60,"46-60",TRUE,"60+")</f>
        <v>46-60</v>
      </c>
      <c r="N1970" t="str">
        <f t="shared" si="91"/>
        <v>Discounted</v>
      </c>
      <c r="O1970" t="str">
        <f t="shared" si="92"/>
        <v>Returning</v>
      </c>
    </row>
    <row r="1971" spans="1:15" x14ac:dyDescent="0.25">
      <c r="A1971">
        <v>1970</v>
      </c>
      <c r="B1971">
        <v>39</v>
      </c>
      <c r="C1971" t="s">
        <v>16</v>
      </c>
      <c r="D1971" t="s">
        <v>20</v>
      </c>
      <c r="E1971" t="s">
        <v>39</v>
      </c>
      <c r="F1971" s="1">
        <v>26.25</v>
      </c>
      <c r="G1971" t="s">
        <v>14</v>
      </c>
      <c r="H1971" t="s">
        <v>37</v>
      </c>
      <c r="I1971" s="2">
        <v>3</v>
      </c>
      <c r="J1971" s="4">
        <v>22</v>
      </c>
      <c r="K1971" s="3">
        <v>6</v>
      </c>
      <c r="L1971" s="1">
        <f t="shared" si="90"/>
        <v>20.475000000000001</v>
      </c>
      <c r="M1971" t="str" cm="1">
        <f t="array" ref="M1971">_xlfn.IFS(B1971&lt;18,"Under 18",B1971 &lt;=25,"18-25",B1971&lt;=35,"26-35",B1971&lt;=45,"36-45",B1971&lt;=60,"46-60",TRUE,"60+")</f>
        <v>36-45</v>
      </c>
      <c r="N1971" t="str">
        <f t="shared" si="91"/>
        <v>Discounted</v>
      </c>
      <c r="O1971" t="str">
        <f t="shared" si="92"/>
        <v>Returning</v>
      </c>
    </row>
    <row r="1972" spans="1:15" x14ac:dyDescent="0.25">
      <c r="A1972">
        <v>1971</v>
      </c>
      <c r="B1972">
        <v>41</v>
      </c>
      <c r="C1972" t="s">
        <v>16</v>
      </c>
      <c r="D1972" t="s">
        <v>20</v>
      </c>
      <c r="E1972" t="s">
        <v>21</v>
      </c>
      <c r="F1972" s="1">
        <v>229.64</v>
      </c>
      <c r="G1972" t="s">
        <v>31</v>
      </c>
      <c r="H1972" t="s">
        <v>15</v>
      </c>
      <c r="I1972" s="2">
        <v>4.2</v>
      </c>
      <c r="J1972" s="4">
        <v>10</v>
      </c>
      <c r="K1972" s="3">
        <v>5</v>
      </c>
      <c r="L1972" s="1">
        <f t="shared" si="90"/>
        <v>206.67599999999999</v>
      </c>
      <c r="M1972" t="str" cm="1">
        <f t="array" ref="M1972">_xlfn.IFS(B1972&lt;18,"Under 18",B1972 &lt;=25,"18-25",B1972&lt;=35,"26-35",B1972&lt;=45,"36-45",B1972&lt;=60,"46-60",TRUE,"60+")</f>
        <v>36-45</v>
      </c>
      <c r="N1972" t="str">
        <f t="shared" si="91"/>
        <v>Discounted</v>
      </c>
      <c r="O1972" t="str">
        <f t="shared" si="92"/>
        <v>Returning</v>
      </c>
    </row>
    <row r="1973" spans="1:15" x14ac:dyDescent="0.25">
      <c r="A1973">
        <v>1972</v>
      </c>
      <c r="B1973">
        <v>48</v>
      </c>
      <c r="C1973" t="s">
        <v>11</v>
      </c>
      <c r="D1973" t="s">
        <v>41</v>
      </c>
      <c r="E1973" t="s">
        <v>42</v>
      </c>
      <c r="F1973" s="1">
        <v>144.76</v>
      </c>
      <c r="G1973" t="s">
        <v>31</v>
      </c>
      <c r="H1973" t="s">
        <v>15</v>
      </c>
      <c r="I1973" s="2">
        <v>4.2</v>
      </c>
      <c r="J1973" s="4">
        <v>10</v>
      </c>
      <c r="K1973" s="3">
        <v>5</v>
      </c>
      <c r="L1973" s="1">
        <f t="shared" si="90"/>
        <v>130.28399999999999</v>
      </c>
      <c r="M1973" t="str" cm="1">
        <f t="array" ref="M1973">_xlfn.IFS(B1973&lt;18,"Under 18",B1973 &lt;=25,"18-25",B1973&lt;=35,"26-35",B1973&lt;=45,"36-45",B1973&lt;=60,"46-60",TRUE,"60+")</f>
        <v>46-60</v>
      </c>
      <c r="N1973" t="str">
        <f t="shared" si="91"/>
        <v>Discounted</v>
      </c>
      <c r="O1973" t="str">
        <f t="shared" si="92"/>
        <v>Returning</v>
      </c>
    </row>
    <row r="1974" spans="1:15" x14ac:dyDescent="0.25">
      <c r="A1974">
        <v>1973</v>
      </c>
      <c r="B1974">
        <v>39</v>
      </c>
      <c r="C1974" t="s">
        <v>11</v>
      </c>
      <c r="D1974" t="s">
        <v>41</v>
      </c>
      <c r="E1974" t="s">
        <v>46</v>
      </c>
      <c r="F1974" s="1">
        <v>188.91</v>
      </c>
      <c r="G1974" t="s">
        <v>24</v>
      </c>
      <c r="H1974" t="s">
        <v>15</v>
      </c>
      <c r="I1974" s="2">
        <v>3.4</v>
      </c>
      <c r="J1974" s="4">
        <v>20</v>
      </c>
      <c r="K1974" s="3">
        <v>5</v>
      </c>
      <c r="L1974" s="1">
        <f t="shared" si="90"/>
        <v>151.12800000000001</v>
      </c>
      <c r="M1974" t="str" cm="1">
        <f t="array" ref="M1974">_xlfn.IFS(B1974&lt;18,"Under 18",B1974 &lt;=25,"18-25",B1974&lt;=35,"26-35",B1974&lt;=45,"36-45",B1974&lt;=60,"46-60",TRUE,"60+")</f>
        <v>36-45</v>
      </c>
      <c r="N1974" t="str">
        <f t="shared" si="91"/>
        <v>Discounted</v>
      </c>
      <c r="O1974" t="str">
        <f t="shared" si="92"/>
        <v>Returning</v>
      </c>
    </row>
    <row r="1975" spans="1:15" x14ac:dyDescent="0.25">
      <c r="A1975">
        <v>1974</v>
      </c>
      <c r="B1975">
        <v>44</v>
      </c>
      <c r="C1975" t="s">
        <v>16</v>
      </c>
      <c r="D1975" t="s">
        <v>33</v>
      </c>
      <c r="E1975" t="s">
        <v>38</v>
      </c>
      <c r="F1975" s="1">
        <v>108.13</v>
      </c>
      <c r="G1975" t="s">
        <v>24</v>
      </c>
      <c r="H1975" t="s">
        <v>15</v>
      </c>
      <c r="I1975" s="2">
        <v>3.5</v>
      </c>
      <c r="J1975" s="4">
        <v>4</v>
      </c>
      <c r="K1975" s="3">
        <v>2</v>
      </c>
      <c r="L1975" s="1">
        <f t="shared" si="90"/>
        <v>103.80479999999999</v>
      </c>
      <c r="M1975" t="str" cm="1">
        <f t="array" ref="M1975">_xlfn.IFS(B1975&lt;18,"Under 18",B1975 &lt;=25,"18-25",B1975&lt;=35,"26-35",B1975&lt;=45,"36-45",B1975&lt;=60,"46-60",TRUE,"60+")</f>
        <v>36-45</v>
      </c>
      <c r="N1975" t="str">
        <f t="shared" si="91"/>
        <v>Discounted</v>
      </c>
      <c r="O1975" t="str">
        <f t="shared" si="92"/>
        <v>Returning</v>
      </c>
    </row>
    <row r="1976" spans="1:15" x14ac:dyDescent="0.25">
      <c r="A1976">
        <v>1975</v>
      </c>
      <c r="B1976">
        <v>60</v>
      </c>
      <c r="C1976" t="s">
        <v>11</v>
      </c>
      <c r="D1976" t="s">
        <v>33</v>
      </c>
      <c r="E1976" t="s">
        <v>38</v>
      </c>
      <c r="F1976" s="1">
        <v>49.64</v>
      </c>
      <c r="G1976" t="s">
        <v>19</v>
      </c>
      <c r="H1976" t="s">
        <v>37</v>
      </c>
      <c r="I1976" s="2">
        <v>3.2</v>
      </c>
      <c r="J1976" s="4">
        <v>12</v>
      </c>
      <c r="K1976" s="3">
        <v>6</v>
      </c>
      <c r="L1976" s="1">
        <f t="shared" si="90"/>
        <v>43.683199999999999</v>
      </c>
      <c r="M1976" t="str" cm="1">
        <f t="array" ref="M1976">_xlfn.IFS(B1976&lt;18,"Under 18",B1976 &lt;=25,"18-25",B1976&lt;=35,"26-35",B1976&lt;=45,"36-45",B1976&lt;=60,"46-60",TRUE,"60+")</f>
        <v>46-60</v>
      </c>
      <c r="N1976" t="str">
        <f t="shared" si="91"/>
        <v>Discounted</v>
      </c>
      <c r="O1976" t="str">
        <f t="shared" si="92"/>
        <v>Returning</v>
      </c>
    </row>
    <row r="1977" spans="1:15" x14ac:dyDescent="0.25">
      <c r="A1977">
        <v>1976</v>
      </c>
      <c r="B1977">
        <v>57</v>
      </c>
      <c r="C1977" t="s">
        <v>11</v>
      </c>
      <c r="D1977" t="s">
        <v>41</v>
      </c>
      <c r="E1977" t="s">
        <v>46</v>
      </c>
      <c r="F1977" s="1">
        <v>33.5</v>
      </c>
      <c r="G1977" t="s">
        <v>31</v>
      </c>
      <c r="H1977" t="s">
        <v>15</v>
      </c>
      <c r="I1977" s="2">
        <v>1.7</v>
      </c>
      <c r="J1977" s="4">
        <v>11</v>
      </c>
      <c r="K1977" s="3">
        <v>3</v>
      </c>
      <c r="L1977" s="1">
        <f t="shared" si="90"/>
        <v>29.815000000000001</v>
      </c>
      <c r="M1977" t="str" cm="1">
        <f t="array" ref="M1977">_xlfn.IFS(B1977&lt;18,"Under 18",B1977 &lt;=25,"18-25",B1977&lt;=35,"26-35",B1977&lt;=45,"36-45",B1977&lt;=60,"46-60",TRUE,"60+")</f>
        <v>46-60</v>
      </c>
      <c r="N1977" t="str">
        <f t="shared" si="91"/>
        <v>Discounted</v>
      </c>
      <c r="O1977" t="str">
        <f t="shared" si="92"/>
        <v>Returning</v>
      </c>
    </row>
    <row r="1978" spans="1:15" x14ac:dyDescent="0.25">
      <c r="A1978">
        <v>1977</v>
      </c>
      <c r="B1978">
        <v>48</v>
      </c>
      <c r="C1978" t="s">
        <v>16</v>
      </c>
      <c r="D1978" t="s">
        <v>17</v>
      </c>
      <c r="E1978" t="s">
        <v>48</v>
      </c>
      <c r="F1978" s="1">
        <v>176.4</v>
      </c>
      <c r="G1978" t="s">
        <v>14</v>
      </c>
      <c r="H1978" t="s">
        <v>15</v>
      </c>
      <c r="I1978" s="2">
        <v>4.3</v>
      </c>
      <c r="J1978" s="4">
        <v>2</v>
      </c>
      <c r="K1978" s="3">
        <v>1</v>
      </c>
      <c r="L1978" s="1">
        <f t="shared" si="90"/>
        <v>172.87200000000001</v>
      </c>
      <c r="M1978" t="str" cm="1">
        <f t="array" ref="M1978">_xlfn.IFS(B1978&lt;18,"Under 18",B1978 &lt;=25,"18-25",B1978&lt;=35,"26-35",B1978&lt;=45,"36-45",B1978&lt;=60,"46-60",TRUE,"60+")</f>
        <v>46-60</v>
      </c>
      <c r="N1978" t="str">
        <f t="shared" si="91"/>
        <v>Discounted</v>
      </c>
      <c r="O1978" t="str">
        <f t="shared" si="92"/>
        <v>Returning</v>
      </c>
    </row>
    <row r="1979" spans="1:15" x14ac:dyDescent="0.25">
      <c r="A1979">
        <v>1978</v>
      </c>
      <c r="B1979">
        <v>38</v>
      </c>
      <c r="C1979" t="s">
        <v>11</v>
      </c>
      <c r="D1979" t="s">
        <v>33</v>
      </c>
      <c r="E1979" t="s">
        <v>38</v>
      </c>
      <c r="F1979" s="1">
        <v>177.52</v>
      </c>
      <c r="G1979" t="s">
        <v>24</v>
      </c>
      <c r="H1979" t="s">
        <v>15</v>
      </c>
      <c r="I1979" s="2">
        <v>4.7</v>
      </c>
      <c r="J1979" s="4">
        <v>11</v>
      </c>
      <c r="K1979" s="3">
        <v>3</v>
      </c>
      <c r="L1979" s="1">
        <f t="shared" si="90"/>
        <v>157.99280000000002</v>
      </c>
      <c r="M1979" t="str" cm="1">
        <f t="array" ref="M1979">_xlfn.IFS(B1979&lt;18,"Under 18",B1979 &lt;=25,"18-25",B1979&lt;=35,"26-35",B1979&lt;=45,"36-45",B1979&lt;=60,"46-60",TRUE,"60+")</f>
        <v>36-45</v>
      </c>
      <c r="N1979" t="str">
        <f t="shared" si="91"/>
        <v>Discounted</v>
      </c>
      <c r="O1979" t="str">
        <f t="shared" si="92"/>
        <v>Returning</v>
      </c>
    </row>
    <row r="1980" spans="1:15" x14ac:dyDescent="0.25">
      <c r="A1980">
        <v>1979</v>
      </c>
      <c r="B1980">
        <v>66</v>
      </c>
      <c r="C1980" t="s">
        <v>11</v>
      </c>
      <c r="D1980" t="s">
        <v>41</v>
      </c>
      <c r="E1980" t="s">
        <v>42</v>
      </c>
      <c r="F1980" s="1">
        <v>48.85</v>
      </c>
      <c r="G1980" t="s">
        <v>19</v>
      </c>
      <c r="H1980" t="s">
        <v>15</v>
      </c>
      <c r="I1980" s="2">
        <v>4.3</v>
      </c>
      <c r="J1980" s="4">
        <v>24</v>
      </c>
      <c r="K1980" s="3">
        <v>7</v>
      </c>
      <c r="L1980" s="1">
        <f t="shared" si="90"/>
        <v>37.126000000000005</v>
      </c>
      <c r="M1980" t="str" cm="1">
        <f t="array" ref="M1980">_xlfn.IFS(B1980&lt;18,"Under 18",B1980 &lt;=25,"18-25",B1980&lt;=35,"26-35",B1980&lt;=45,"36-45",B1980&lt;=60,"46-60",TRUE,"60+")</f>
        <v>60+</v>
      </c>
      <c r="N1980" t="str">
        <f t="shared" si="91"/>
        <v>Discounted</v>
      </c>
      <c r="O1980" t="str">
        <f t="shared" si="92"/>
        <v>Returning</v>
      </c>
    </row>
    <row r="1981" spans="1:15" x14ac:dyDescent="0.25">
      <c r="A1981">
        <v>1980</v>
      </c>
      <c r="B1981">
        <v>70</v>
      </c>
      <c r="C1981" t="s">
        <v>11</v>
      </c>
      <c r="D1981" t="s">
        <v>41</v>
      </c>
      <c r="E1981" t="s">
        <v>46</v>
      </c>
      <c r="F1981" s="1">
        <v>139.16999999999999</v>
      </c>
      <c r="G1981" t="s">
        <v>31</v>
      </c>
      <c r="H1981" t="s">
        <v>15</v>
      </c>
      <c r="I1981" s="2">
        <v>4.3</v>
      </c>
      <c r="J1981" s="4">
        <v>19</v>
      </c>
      <c r="K1981" s="3">
        <v>7</v>
      </c>
      <c r="L1981" s="1">
        <f t="shared" si="90"/>
        <v>112.7277</v>
      </c>
      <c r="M1981" t="str" cm="1">
        <f t="array" ref="M1981">_xlfn.IFS(B1981&lt;18,"Under 18",B1981 &lt;=25,"18-25",B1981&lt;=35,"26-35",B1981&lt;=45,"36-45",B1981&lt;=60,"46-60",TRUE,"60+")</f>
        <v>60+</v>
      </c>
      <c r="N1981" t="str">
        <f t="shared" si="91"/>
        <v>Discounted</v>
      </c>
      <c r="O1981" t="str">
        <f t="shared" si="92"/>
        <v>Returning</v>
      </c>
    </row>
    <row r="1982" spans="1:15" x14ac:dyDescent="0.25">
      <c r="A1982">
        <v>1981</v>
      </c>
      <c r="B1982">
        <v>24</v>
      </c>
      <c r="C1982" t="s">
        <v>16</v>
      </c>
      <c r="D1982" t="s">
        <v>17</v>
      </c>
      <c r="E1982" t="s">
        <v>35</v>
      </c>
      <c r="F1982" s="1">
        <v>196.55</v>
      </c>
      <c r="G1982" t="s">
        <v>31</v>
      </c>
      <c r="H1982" t="s">
        <v>15</v>
      </c>
      <c r="I1982" s="2">
        <v>3.2</v>
      </c>
      <c r="J1982" s="4">
        <v>8</v>
      </c>
      <c r="K1982" s="3">
        <v>4</v>
      </c>
      <c r="L1982" s="1">
        <f t="shared" si="90"/>
        <v>180.82600000000002</v>
      </c>
      <c r="M1982" t="str" cm="1">
        <f t="array" ref="M1982">_xlfn.IFS(B1982&lt;18,"Under 18",B1982 &lt;=25,"18-25",B1982&lt;=35,"26-35",B1982&lt;=45,"36-45",B1982&lt;=60,"46-60",TRUE,"60+")</f>
        <v>18-25</v>
      </c>
      <c r="N1982" t="str">
        <f t="shared" si="91"/>
        <v>Discounted</v>
      </c>
      <c r="O1982" t="str">
        <f t="shared" si="92"/>
        <v>Returning</v>
      </c>
    </row>
    <row r="1983" spans="1:15" x14ac:dyDescent="0.25">
      <c r="A1983">
        <v>1982</v>
      </c>
      <c r="B1983">
        <v>41</v>
      </c>
      <c r="C1983" t="s">
        <v>11</v>
      </c>
      <c r="D1983" t="s">
        <v>29</v>
      </c>
      <c r="E1983" t="s">
        <v>30</v>
      </c>
      <c r="F1983" s="1">
        <v>26.86</v>
      </c>
      <c r="G1983" t="s">
        <v>24</v>
      </c>
      <c r="H1983" t="s">
        <v>15</v>
      </c>
      <c r="I1983" s="2">
        <v>3.5</v>
      </c>
      <c r="J1983" s="4">
        <v>9</v>
      </c>
      <c r="K1983" s="3">
        <v>2</v>
      </c>
      <c r="L1983" s="1">
        <f t="shared" si="90"/>
        <v>24.442599999999999</v>
      </c>
      <c r="M1983" t="str" cm="1">
        <f t="array" ref="M1983">_xlfn.IFS(B1983&lt;18,"Under 18",B1983 &lt;=25,"18-25",B1983&lt;=35,"26-35",B1983&lt;=45,"36-45",B1983&lt;=60,"46-60",TRUE,"60+")</f>
        <v>36-45</v>
      </c>
      <c r="N1983" t="str">
        <f t="shared" si="91"/>
        <v>Discounted</v>
      </c>
      <c r="O1983" t="str">
        <f t="shared" si="92"/>
        <v>Returning</v>
      </c>
    </row>
    <row r="1984" spans="1:15" x14ac:dyDescent="0.25">
      <c r="A1984">
        <v>1983</v>
      </c>
      <c r="B1984">
        <v>63</v>
      </c>
      <c r="C1984" t="s">
        <v>16</v>
      </c>
      <c r="D1984" t="s">
        <v>20</v>
      </c>
      <c r="E1984" t="s">
        <v>36</v>
      </c>
      <c r="F1984" s="1">
        <v>161.59</v>
      </c>
      <c r="G1984" t="s">
        <v>19</v>
      </c>
      <c r="H1984" t="s">
        <v>15</v>
      </c>
      <c r="I1984" s="2">
        <v>5</v>
      </c>
      <c r="J1984" s="4">
        <v>21</v>
      </c>
      <c r="K1984" s="3">
        <v>8</v>
      </c>
      <c r="L1984" s="1">
        <f t="shared" si="90"/>
        <v>127.65610000000001</v>
      </c>
      <c r="M1984" t="str" cm="1">
        <f t="array" ref="M1984">_xlfn.IFS(B1984&lt;18,"Under 18",B1984 &lt;=25,"18-25",B1984&lt;=35,"26-35",B1984&lt;=45,"36-45",B1984&lt;=60,"46-60",TRUE,"60+")</f>
        <v>60+</v>
      </c>
      <c r="N1984" t="str">
        <f t="shared" si="91"/>
        <v>Discounted</v>
      </c>
      <c r="O1984" t="str">
        <f t="shared" si="92"/>
        <v>Returning</v>
      </c>
    </row>
    <row r="1985" spans="1:15" x14ac:dyDescent="0.25">
      <c r="A1985">
        <v>1984</v>
      </c>
      <c r="B1985">
        <v>40</v>
      </c>
      <c r="C1985" t="s">
        <v>11</v>
      </c>
      <c r="D1985" t="s">
        <v>41</v>
      </c>
      <c r="E1985" t="s">
        <v>45</v>
      </c>
      <c r="F1985" s="1">
        <v>171.74</v>
      </c>
      <c r="G1985" t="s">
        <v>14</v>
      </c>
      <c r="H1985" t="s">
        <v>15</v>
      </c>
      <c r="I1985" s="2">
        <v>2.9</v>
      </c>
      <c r="J1985" s="4">
        <v>18</v>
      </c>
      <c r="K1985" s="3">
        <v>4</v>
      </c>
      <c r="L1985" s="1">
        <f t="shared" si="90"/>
        <v>140.82680000000002</v>
      </c>
      <c r="M1985" t="str" cm="1">
        <f t="array" ref="M1985">_xlfn.IFS(B1985&lt;18,"Under 18",B1985 &lt;=25,"18-25",B1985&lt;=35,"26-35",B1985&lt;=45,"36-45",B1985&lt;=60,"46-60",TRUE,"60+")</f>
        <v>36-45</v>
      </c>
      <c r="N1985" t="str">
        <f t="shared" si="91"/>
        <v>Discounted</v>
      </c>
      <c r="O1985" t="str">
        <f t="shared" si="92"/>
        <v>Returning</v>
      </c>
    </row>
    <row r="1986" spans="1:15" x14ac:dyDescent="0.25">
      <c r="A1986">
        <v>1985</v>
      </c>
      <c r="B1986">
        <v>52</v>
      </c>
      <c r="C1986" t="s">
        <v>16</v>
      </c>
      <c r="D1986" t="s">
        <v>20</v>
      </c>
      <c r="E1986" t="s">
        <v>39</v>
      </c>
      <c r="F1986" s="1">
        <v>46.83</v>
      </c>
      <c r="G1986" t="s">
        <v>24</v>
      </c>
      <c r="H1986" t="s">
        <v>15</v>
      </c>
      <c r="I1986" s="2">
        <v>3.7</v>
      </c>
      <c r="J1986" s="4">
        <v>22</v>
      </c>
      <c r="K1986" s="3">
        <v>6</v>
      </c>
      <c r="L1986" s="1">
        <f t="shared" si="90"/>
        <v>36.5274</v>
      </c>
      <c r="M1986" t="str" cm="1">
        <f t="array" ref="M1986">_xlfn.IFS(B1986&lt;18,"Under 18",B1986 &lt;=25,"18-25",B1986&lt;=35,"26-35",B1986&lt;=45,"36-45",B1986&lt;=60,"46-60",TRUE,"60+")</f>
        <v>46-60</v>
      </c>
      <c r="N1986" t="str">
        <f t="shared" si="91"/>
        <v>Discounted</v>
      </c>
      <c r="O1986" t="str">
        <f t="shared" si="92"/>
        <v>Returning</v>
      </c>
    </row>
    <row r="1987" spans="1:15" x14ac:dyDescent="0.25">
      <c r="A1987">
        <v>1986</v>
      </c>
      <c r="B1987">
        <v>38</v>
      </c>
      <c r="C1987" t="s">
        <v>16</v>
      </c>
      <c r="D1987" t="s">
        <v>20</v>
      </c>
      <c r="E1987" t="s">
        <v>21</v>
      </c>
      <c r="F1987" s="1">
        <v>61.79</v>
      </c>
      <c r="G1987" t="s">
        <v>14</v>
      </c>
      <c r="H1987" t="s">
        <v>15</v>
      </c>
      <c r="I1987" s="2">
        <v>2.9</v>
      </c>
      <c r="J1987" s="4">
        <v>28</v>
      </c>
      <c r="K1987" s="3">
        <v>9</v>
      </c>
      <c r="L1987" s="1">
        <f t="shared" ref="L1987:L2050" si="93">F1987 * (1 - J1987 / 100)</f>
        <v>44.488799999999998</v>
      </c>
      <c r="M1987" t="str" cm="1">
        <f t="array" ref="M1987">_xlfn.IFS(B1987&lt;18,"Under 18",B1987 &lt;=25,"18-25",B1987&lt;=35,"26-35",B1987&lt;=45,"36-45",B1987&lt;=60,"46-60",TRUE,"60+")</f>
        <v>36-45</v>
      </c>
      <c r="N1987" t="str">
        <f t="shared" ref="N1987:N2050" si="94">IF(J1987&gt;0,"Discounted","No Discount")</f>
        <v>Discounted</v>
      </c>
      <c r="O1987" t="str">
        <f t="shared" ref="O1987:O2050" si="95">IF(K1987&gt;0,"Returning","New")</f>
        <v>Returning</v>
      </c>
    </row>
    <row r="1988" spans="1:15" x14ac:dyDescent="0.25">
      <c r="A1988">
        <v>1987</v>
      </c>
      <c r="B1988">
        <v>25</v>
      </c>
      <c r="C1988" t="s">
        <v>16</v>
      </c>
      <c r="D1988" t="s">
        <v>17</v>
      </c>
      <c r="E1988" t="s">
        <v>48</v>
      </c>
      <c r="F1988" s="1">
        <v>111.92</v>
      </c>
      <c r="G1988" t="s">
        <v>14</v>
      </c>
      <c r="H1988" t="s">
        <v>15</v>
      </c>
      <c r="I1988" s="2">
        <v>4.3</v>
      </c>
      <c r="J1988" s="4">
        <v>21</v>
      </c>
      <c r="K1988" s="3">
        <v>8</v>
      </c>
      <c r="L1988" s="1">
        <f t="shared" si="93"/>
        <v>88.416800000000009</v>
      </c>
      <c r="M1988" t="str" cm="1">
        <f t="array" ref="M1988">_xlfn.IFS(B1988&lt;18,"Under 18",B1988 &lt;=25,"18-25",B1988&lt;=35,"26-35",B1988&lt;=45,"36-45",B1988&lt;=60,"46-60",TRUE,"60+")</f>
        <v>18-25</v>
      </c>
      <c r="N1988" t="str">
        <f t="shared" si="94"/>
        <v>Discounted</v>
      </c>
      <c r="O1988" t="str">
        <f t="shared" si="95"/>
        <v>Returning</v>
      </c>
    </row>
    <row r="1989" spans="1:15" x14ac:dyDescent="0.25">
      <c r="A1989">
        <v>1988</v>
      </c>
      <c r="B1989">
        <v>56</v>
      </c>
      <c r="C1989" t="s">
        <v>16</v>
      </c>
      <c r="D1989" t="s">
        <v>27</v>
      </c>
      <c r="E1989" t="s">
        <v>49</v>
      </c>
      <c r="F1989" s="1">
        <v>1616.64</v>
      </c>
      <c r="G1989" t="s">
        <v>31</v>
      </c>
      <c r="H1989" t="s">
        <v>15</v>
      </c>
      <c r="I1989" s="2">
        <v>4.2</v>
      </c>
      <c r="J1989" s="4">
        <v>16</v>
      </c>
      <c r="K1989" s="3">
        <v>3</v>
      </c>
      <c r="L1989" s="1">
        <f t="shared" si="93"/>
        <v>1357.9775999999999</v>
      </c>
      <c r="M1989" t="str" cm="1">
        <f t="array" ref="M1989">_xlfn.IFS(B1989&lt;18,"Under 18",B1989 &lt;=25,"18-25",B1989&lt;=35,"26-35",B1989&lt;=45,"36-45",B1989&lt;=60,"46-60",TRUE,"60+")</f>
        <v>46-60</v>
      </c>
      <c r="N1989" t="str">
        <f t="shared" si="94"/>
        <v>Discounted</v>
      </c>
      <c r="O1989" t="str">
        <f t="shared" si="95"/>
        <v>Returning</v>
      </c>
    </row>
    <row r="1990" spans="1:15" x14ac:dyDescent="0.25">
      <c r="A1990">
        <v>1989</v>
      </c>
      <c r="B1990">
        <v>48</v>
      </c>
      <c r="C1990" t="s">
        <v>16</v>
      </c>
      <c r="D1990" t="s">
        <v>20</v>
      </c>
      <c r="E1990" t="s">
        <v>36</v>
      </c>
      <c r="F1990" s="1">
        <v>217.52</v>
      </c>
      <c r="G1990" t="s">
        <v>31</v>
      </c>
      <c r="H1990" t="s">
        <v>15</v>
      </c>
      <c r="I1990" s="2">
        <v>4.5</v>
      </c>
      <c r="J1990" s="4">
        <v>22</v>
      </c>
      <c r="K1990" s="3">
        <v>6</v>
      </c>
      <c r="L1990" s="1">
        <f t="shared" si="93"/>
        <v>169.66560000000001</v>
      </c>
      <c r="M1990" t="str" cm="1">
        <f t="array" ref="M1990">_xlfn.IFS(B1990&lt;18,"Under 18",B1990 &lt;=25,"18-25",B1990&lt;=35,"26-35",B1990&lt;=45,"36-45",B1990&lt;=60,"46-60",TRUE,"60+")</f>
        <v>46-60</v>
      </c>
      <c r="N1990" t="str">
        <f t="shared" si="94"/>
        <v>Discounted</v>
      </c>
      <c r="O1990" t="str">
        <f t="shared" si="95"/>
        <v>Returning</v>
      </c>
    </row>
    <row r="1991" spans="1:15" x14ac:dyDescent="0.25">
      <c r="A1991">
        <v>1990</v>
      </c>
      <c r="B1991">
        <v>64</v>
      </c>
      <c r="C1991" t="s">
        <v>16</v>
      </c>
      <c r="D1991" t="s">
        <v>20</v>
      </c>
      <c r="E1991" t="s">
        <v>36</v>
      </c>
      <c r="F1991" s="1">
        <v>162.80000000000001</v>
      </c>
      <c r="G1991" t="s">
        <v>19</v>
      </c>
      <c r="H1991" t="s">
        <v>15</v>
      </c>
      <c r="I1991" s="2">
        <v>4.9000000000000004</v>
      </c>
      <c r="J1991" s="4">
        <v>18</v>
      </c>
      <c r="K1991" s="3">
        <v>4</v>
      </c>
      <c r="L1991" s="1">
        <f t="shared" si="93"/>
        <v>133.49600000000001</v>
      </c>
      <c r="M1991" t="str" cm="1">
        <f t="array" ref="M1991">_xlfn.IFS(B1991&lt;18,"Under 18",B1991 &lt;=25,"18-25",B1991&lt;=35,"26-35",B1991&lt;=45,"36-45",B1991&lt;=60,"46-60",TRUE,"60+")</f>
        <v>60+</v>
      </c>
      <c r="N1991" t="str">
        <f t="shared" si="94"/>
        <v>Discounted</v>
      </c>
      <c r="O1991" t="str">
        <f t="shared" si="95"/>
        <v>Returning</v>
      </c>
    </row>
    <row r="1992" spans="1:15" x14ac:dyDescent="0.25">
      <c r="A1992">
        <v>1991</v>
      </c>
      <c r="B1992">
        <v>22</v>
      </c>
      <c r="C1992" t="s">
        <v>16</v>
      </c>
      <c r="D1992" t="s">
        <v>17</v>
      </c>
      <c r="E1992" t="s">
        <v>48</v>
      </c>
      <c r="F1992" s="1">
        <v>65.02</v>
      </c>
      <c r="G1992" t="s">
        <v>31</v>
      </c>
      <c r="H1992" t="s">
        <v>15</v>
      </c>
      <c r="I1992" s="2">
        <v>3.9</v>
      </c>
      <c r="J1992" s="4">
        <v>16</v>
      </c>
      <c r="K1992" s="3">
        <v>3</v>
      </c>
      <c r="L1992" s="1">
        <f t="shared" si="93"/>
        <v>54.616799999999998</v>
      </c>
      <c r="M1992" t="str" cm="1">
        <f t="array" ref="M1992">_xlfn.IFS(B1992&lt;18,"Under 18",B1992 &lt;=25,"18-25",B1992&lt;=35,"26-35",B1992&lt;=45,"36-45",B1992&lt;=60,"46-60",TRUE,"60+")</f>
        <v>18-25</v>
      </c>
      <c r="N1992" t="str">
        <f t="shared" si="94"/>
        <v>Discounted</v>
      </c>
      <c r="O1992" t="str">
        <f t="shared" si="95"/>
        <v>Returning</v>
      </c>
    </row>
    <row r="1993" spans="1:15" x14ac:dyDescent="0.25">
      <c r="A1993">
        <v>1992</v>
      </c>
      <c r="B1993">
        <v>36</v>
      </c>
      <c r="C1993" t="s">
        <v>16</v>
      </c>
      <c r="D1993" t="s">
        <v>33</v>
      </c>
      <c r="E1993" t="s">
        <v>34</v>
      </c>
      <c r="F1993" s="1">
        <v>138.44999999999999</v>
      </c>
      <c r="G1993" t="s">
        <v>31</v>
      </c>
      <c r="H1993" t="s">
        <v>15</v>
      </c>
      <c r="I1993" s="2">
        <v>3.2</v>
      </c>
      <c r="J1993" s="4">
        <v>20</v>
      </c>
      <c r="K1993" s="3">
        <v>5</v>
      </c>
      <c r="L1993" s="1">
        <f t="shared" si="93"/>
        <v>110.75999999999999</v>
      </c>
      <c r="M1993" t="str" cm="1">
        <f t="array" ref="M1993">_xlfn.IFS(B1993&lt;18,"Under 18",B1993 &lt;=25,"18-25",B1993&lt;=35,"26-35",B1993&lt;=45,"36-45",B1993&lt;=60,"46-60",TRUE,"60+")</f>
        <v>36-45</v>
      </c>
      <c r="N1993" t="str">
        <f t="shared" si="94"/>
        <v>Discounted</v>
      </c>
      <c r="O1993" t="str">
        <f t="shared" si="95"/>
        <v>Returning</v>
      </c>
    </row>
    <row r="1994" spans="1:15" x14ac:dyDescent="0.25">
      <c r="A1994">
        <v>1993</v>
      </c>
      <c r="B1994">
        <v>45</v>
      </c>
      <c r="C1994" t="s">
        <v>11</v>
      </c>
      <c r="D1994" t="s">
        <v>20</v>
      </c>
      <c r="E1994" t="s">
        <v>21</v>
      </c>
      <c r="F1994" s="1">
        <v>184.55</v>
      </c>
      <c r="G1994" t="s">
        <v>19</v>
      </c>
      <c r="H1994" t="s">
        <v>15</v>
      </c>
      <c r="I1994" s="2">
        <v>4.2</v>
      </c>
      <c r="J1994" s="4">
        <v>8</v>
      </c>
      <c r="K1994" s="3">
        <v>4</v>
      </c>
      <c r="L1994" s="1">
        <f t="shared" si="93"/>
        <v>169.78600000000003</v>
      </c>
      <c r="M1994" t="str" cm="1">
        <f t="array" ref="M1994">_xlfn.IFS(B1994&lt;18,"Under 18",B1994 &lt;=25,"18-25",B1994&lt;=35,"26-35",B1994&lt;=45,"36-45",B1994&lt;=60,"46-60",TRUE,"60+")</f>
        <v>36-45</v>
      </c>
      <c r="N1994" t="str">
        <f t="shared" si="94"/>
        <v>Discounted</v>
      </c>
      <c r="O1994" t="str">
        <f t="shared" si="95"/>
        <v>Returning</v>
      </c>
    </row>
    <row r="1995" spans="1:15" x14ac:dyDescent="0.25">
      <c r="A1995">
        <v>1994</v>
      </c>
      <c r="B1995">
        <v>33</v>
      </c>
      <c r="C1995" t="s">
        <v>11</v>
      </c>
      <c r="D1995" t="s">
        <v>41</v>
      </c>
      <c r="E1995" t="s">
        <v>45</v>
      </c>
      <c r="F1995" s="1">
        <v>109.48</v>
      </c>
      <c r="G1995" t="s">
        <v>19</v>
      </c>
      <c r="H1995" t="s">
        <v>15</v>
      </c>
      <c r="I1995" s="2">
        <v>3.8</v>
      </c>
      <c r="J1995" s="4">
        <v>12</v>
      </c>
      <c r="K1995" s="3">
        <v>6</v>
      </c>
      <c r="L1995" s="1">
        <f t="shared" si="93"/>
        <v>96.342399999999998</v>
      </c>
      <c r="M1995" t="str" cm="1">
        <f t="array" ref="M1995">_xlfn.IFS(B1995&lt;18,"Under 18",B1995 &lt;=25,"18-25",B1995&lt;=35,"26-35",B1995&lt;=45,"36-45",B1995&lt;=60,"46-60",TRUE,"60+")</f>
        <v>26-35</v>
      </c>
      <c r="N1995" t="str">
        <f t="shared" si="94"/>
        <v>Discounted</v>
      </c>
      <c r="O1995" t="str">
        <f t="shared" si="95"/>
        <v>Returning</v>
      </c>
    </row>
    <row r="1996" spans="1:15" x14ac:dyDescent="0.25">
      <c r="A1996">
        <v>1995</v>
      </c>
      <c r="B1996">
        <v>59</v>
      </c>
      <c r="C1996" t="s">
        <v>11</v>
      </c>
      <c r="D1996" t="s">
        <v>41</v>
      </c>
      <c r="E1996" t="s">
        <v>42</v>
      </c>
      <c r="F1996" s="1">
        <v>147.63</v>
      </c>
      <c r="G1996" t="s">
        <v>24</v>
      </c>
      <c r="H1996" t="s">
        <v>15</v>
      </c>
      <c r="I1996" s="2">
        <v>5</v>
      </c>
      <c r="J1996" s="4">
        <v>17</v>
      </c>
      <c r="K1996" s="3">
        <v>6</v>
      </c>
      <c r="L1996" s="1">
        <f t="shared" si="93"/>
        <v>122.53289999999998</v>
      </c>
      <c r="M1996" t="str" cm="1">
        <f t="array" ref="M1996">_xlfn.IFS(B1996&lt;18,"Under 18",B1996 &lt;=25,"18-25",B1996&lt;=35,"26-35",B1996&lt;=45,"36-45",B1996&lt;=60,"46-60",TRUE,"60+")</f>
        <v>46-60</v>
      </c>
      <c r="N1996" t="str">
        <f t="shared" si="94"/>
        <v>Discounted</v>
      </c>
      <c r="O1996" t="str">
        <f t="shared" si="95"/>
        <v>Returning</v>
      </c>
    </row>
    <row r="1997" spans="1:15" x14ac:dyDescent="0.25">
      <c r="A1997">
        <v>1996</v>
      </c>
      <c r="B1997">
        <v>49</v>
      </c>
      <c r="C1997" t="s">
        <v>16</v>
      </c>
      <c r="D1997" t="s">
        <v>17</v>
      </c>
      <c r="E1997" t="s">
        <v>18</v>
      </c>
      <c r="F1997" s="1">
        <v>176.47</v>
      </c>
      <c r="G1997" t="s">
        <v>31</v>
      </c>
      <c r="H1997" t="s">
        <v>15</v>
      </c>
      <c r="I1997" s="2">
        <v>3.2</v>
      </c>
      <c r="J1997" s="4">
        <v>18</v>
      </c>
      <c r="K1997" s="3">
        <v>4</v>
      </c>
      <c r="L1997" s="1">
        <f t="shared" si="93"/>
        <v>144.7054</v>
      </c>
      <c r="M1997" t="str" cm="1">
        <f t="array" ref="M1997">_xlfn.IFS(B1997&lt;18,"Under 18",B1997 &lt;=25,"18-25",B1997&lt;=35,"26-35",B1997&lt;=45,"36-45",B1997&lt;=60,"46-60",TRUE,"60+")</f>
        <v>46-60</v>
      </c>
      <c r="N1997" t="str">
        <f t="shared" si="94"/>
        <v>Discounted</v>
      </c>
      <c r="O1997" t="str">
        <f t="shared" si="95"/>
        <v>Returning</v>
      </c>
    </row>
    <row r="1998" spans="1:15" x14ac:dyDescent="0.25">
      <c r="A1998">
        <v>1997</v>
      </c>
      <c r="B1998">
        <v>36</v>
      </c>
      <c r="C1998" t="s">
        <v>16</v>
      </c>
      <c r="D1998" t="s">
        <v>27</v>
      </c>
      <c r="E1998" t="s">
        <v>28</v>
      </c>
      <c r="F1998" s="1">
        <v>1270.98</v>
      </c>
      <c r="G1998" t="s">
        <v>19</v>
      </c>
      <c r="H1998" t="s">
        <v>15</v>
      </c>
      <c r="I1998" s="2">
        <v>5</v>
      </c>
      <c r="J1998" s="4">
        <v>12</v>
      </c>
      <c r="K1998" s="3">
        <v>6</v>
      </c>
      <c r="L1998" s="1">
        <f t="shared" si="93"/>
        <v>1118.4624000000001</v>
      </c>
      <c r="M1998" t="str" cm="1">
        <f t="array" ref="M1998">_xlfn.IFS(B1998&lt;18,"Under 18",B1998 &lt;=25,"18-25",B1998&lt;=35,"26-35",B1998&lt;=45,"36-45",B1998&lt;=60,"46-60",TRUE,"60+")</f>
        <v>36-45</v>
      </c>
      <c r="N1998" t="str">
        <f t="shared" si="94"/>
        <v>Discounted</v>
      </c>
      <c r="O1998" t="str">
        <f t="shared" si="95"/>
        <v>Returning</v>
      </c>
    </row>
    <row r="1999" spans="1:15" x14ac:dyDescent="0.25">
      <c r="A1999">
        <v>1998</v>
      </c>
      <c r="B1999">
        <v>59</v>
      </c>
      <c r="C1999" t="s">
        <v>16</v>
      </c>
      <c r="D1999" t="s">
        <v>20</v>
      </c>
      <c r="E1999" t="s">
        <v>21</v>
      </c>
      <c r="F1999" s="1">
        <v>158.36000000000001</v>
      </c>
      <c r="G1999" t="s">
        <v>31</v>
      </c>
      <c r="H1999" t="s">
        <v>15</v>
      </c>
      <c r="I1999" s="2">
        <v>4.0999999999999996</v>
      </c>
      <c r="J1999" s="4">
        <v>21</v>
      </c>
      <c r="K1999" s="3">
        <v>8</v>
      </c>
      <c r="L1999" s="1">
        <f t="shared" si="93"/>
        <v>125.10440000000001</v>
      </c>
      <c r="M1999" t="str" cm="1">
        <f t="array" ref="M1999">_xlfn.IFS(B1999&lt;18,"Under 18",B1999 &lt;=25,"18-25",B1999&lt;=35,"26-35",B1999&lt;=45,"36-45",B1999&lt;=60,"46-60",TRUE,"60+")</f>
        <v>46-60</v>
      </c>
      <c r="N1999" t="str">
        <f t="shared" si="94"/>
        <v>Discounted</v>
      </c>
      <c r="O1999" t="str">
        <f t="shared" si="95"/>
        <v>Returning</v>
      </c>
    </row>
    <row r="2000" spans="1:15" x14ac:dyDescent="0.25">
      <c r="A2000">
        <v>1999</v>
      </c>
      <c r="B2000">
        <v>47</v>
      </c>
      <c r="C2000" t="s">
        <v>16</v>
      </c>
      <c r="D2000" t="s">
        <v>20</v>
      </c>
      <c r="E2000" t="s">
        <v>21</v>
      </c>
      <c r="F2000" s="1">
        <v>25.96</v>
      </c>
      <c r="G2000" t="s">
        <v>24</v>
      </c>
      <c r="H2000" t="s">
        <v>37</v>
      </c>
      <c r="I2000" s="2">
        <v>3.5</v>
      </c>
      <c r="J2000" s="4">
        <v>24</v>
      </c>
      <c r="K2000" s="3">
        <v>7</v>
      </c>
      <c r="L2000" s="1">
        <f t="shared" si="93"/>
        <v>19.729600000000001</v>
      </c>
      <c r="M2000" t="str" cm="1">
        <f t="array" ref="M2000">_xlfn.IFS(B2000&lt;18,"Under 18",B2000 &lt;=25,"18-25",B2000&lt;=35,"26-35",B2000&lt;=45,"36-45",B2000&lt;=60,"46-60",TRUE,"60+")</f>
        <v>46-60</v>
      </c>
      <c r="N2000" t="str">
        <f t="shared" si="94"/>
        <v>Discounted</v>
      </c>
      <c r="O2000" t="str">
        <f t="shared" si="95"/>
        <v>Returning</v>
      </c>
    </row>
    <row r="2001" spans="1:15" x14ac:dyDescent="0.25">
      <c r="A2001">
        <v>2000</v>
      </c>
      <c r="B2001">
        <v>45</v>
      </c>
      <c r="C2001" t="s">
        <v>11</v>
      </c>
      <c r="D2001" t="s">
        <v>33</v>
      </c>
      <c r="E2001" t="s">
        <v>34</v>
      </c>
      <c r="F2001" s="1">
        <v>219.08</v>
      </c>
      <c r="G2001" t="s">
        <v>19</v>
      </c>
      <c r="H2001" t="s">
        <v>15</v>
      </c>
      <c r="I2001" s="2">
        <v>3.9</v>
      </c>
      <c r="J2001" s="4">
        <v>25</v>
      </c>
      <c r="K2001" s="3">
        <v>10</v>
      </c>
      <c r="L2001" s="1">
        <f t="shared" si="93"/>
        <v>164.31</v>
      </c>
      <c r="M2001" t="str" cm="1">
        <f t="array" ref="M2001">_xlfn.IFS(B2001&lt;18,"Under 18",B2001 &lt;=25,"18-25",B2001&lt;=35,"26-35",B2001&lt;=45,"36-45",B2001&lt;=60,"46-60",TRUE,"60+")</f>
        <v>36-45</v>
      </c>
      <c r="N2001" t="str">
        <f t="shared" si="94"/>
        <v>Discounted</v>
      </c>
      <c r="O2001" t="str">
        <f t="shared" si="95"/>
        <v>Returning</v>
      </c>
    </row>
    <row r="2002" spans="1:15" x14ac:dyDescent="0.25">
      <c r="A2002">
        <v>2001</v>
      </c>
      <c r="B2002">
        <v>44</v>
      </c>
      <c r="C2002" t="s">
        <v>16</v>
      </c>
      <c r="D2002" t="s">
        <v>20</v>
      </c>
      <c r="E2002" t="s">
        <v>36</v>
      </c>
      <c r="F2002" s="1">
        <v>216.53</v>
      </c>
      <c r="G2002" t="s">
        <v>19</v>
      </c>
      <c r="H2002" t="s">
        <v>15</v>
      </c>
      <c r="I2002" s="2">
        <v>3.4</v>
      </c>
      <c r="J2002" s="4">
        <v>2</v>
      </c>
      <c r="K2002" s="3">
        <v>1</v>
      </c>
      <c r="L2002" s="1">
        <f t="shared" si="93"/>
        <v>212.1994</v>
      </c>
      <c r="M2002" t="str" cm="1">
        <f t="array" ref="M2002">_xlfn.IFS(B2002&lt;18,"Under 18",B2002 &lt;=25,"18-25",B2002&lt;=35,"26-35",B2002&lt;=45,"36-45",B2002&lt;=60,"46-60",TRUE,"60+")</f>
        <v>36-45</v>
      </c>
      <c r="N2002" t="str">
        <f t="shared" si="94"/>
        <v>Discounted</v>
      </c>
      <c r="O2002" t="str">
        <f t="shared" si="95"/>
        <v>Returning</v>
      </c>
    </row>
    <row r="2003" spans="1:15" x14ac:dyDescent="0.25">
      <c r="A2003">
        <v>2002</v>
      </c>
      <c r="B2003">
        <v>58</v>
      </c>
      <c r="C2003" t="s">
        <v>16</v>
      </c>
      <c r="D2003" t="s">
        <v>20</v>
      </c>
      <c r="E2003" t="s">
        <v>36</v>
      </c>
      <c r="F2003" s="1">
        <v>155.38999999999999</v>
      </c>
      <c r="G2003" t="s">
        <v>24</v>
      </c>
      <c r="H2003" t="s">
        <v>15</v>
      </c>
      <c r="I2003" s="2">
        <v>3.5</v>
      </c>
      <c r="J2003" s="4">
        <v>21</v>
      </c>
      <c r="K2003" s="3">
        <v>8</v>
      </c>
      <c r="L2003" s="1">
        <f t="shared" si="93"/>
        <v>122.7581</v>
      </c>
      <c r="M2003" t="str" cm="1">
        <f t="array" ref="M2003">_xlfn.IFS(B2003&lt;18,"Under 18",B2003 &lt;=25,"18-25",B2003&lt;=35,"26-35",B2003&lt;=45,"36-45",B2003&lt;=60,"46-60",TRUE,"60+")</f>
        <v>46-60</v>
      </c>
      <c r="N2003" t="str">
        <f t="shared" si="94"/>
        <v>Discounted</v>
      </c>
      <c r="O2003" t="str">
        <f t="shared" si="95"/>
        <v>Returning</v>
      </c>
    </row>
    <row r="2004" spans="1:15" x14ac:dyDescent="0.25">
      <c r="A2004">
        <v>2003</v>
      </c>
      <c r="B2004">
        <v>65</v>
      </c>
      <c r="C2004" t="s">
        <v>16</v>
      </c>
      <c r="D2004" t="s">
        <v>33</v>
      </c>
      <c r="E2004" t="s">
        <v>38</v>
      </c>
      <c r="F2004" s="1">
        <v>178.96</v>
      </c>
      <c r="G2004" t="s">
        <v>24</v>
      </c>
      <c r="H2004" t="s">
        <v>15</v>
      </c>
      <c r="I2004" s="2">
        <v>3.1</v>
      </c>
      <c r="J2004" s="4">
        <v>16</v>
      </c>
      <c r="K2004" s="3">
        <v>3</v>
      </c>
      <c r="L2004" s="1">
        <f t="shared" si="93"/>
        <v>150.32640000000001</v>
      </c>
      <c r="M2004" t="str" cm="1">
        <f t="array" ref="M2004">_xlfn.IFS(B2004&lt;18,"Under 18",B2004 &lt;=25,"18-25",B2004&lt;=35,"26-35",B2004&lt;=45,"36-45",B2004&lt;=60,"46-60",TRUE,"60+")</f>
        <v>60+</v>
      </c>
      <c r="N2004" t="str">
        <f t="shared" si="94"/>
        <v>Discounted</v>
      </c>
      <c r="O2004" t="str">
        <f t="shared" si="95"/>
        <v>Returning</v>
      </c>
    </row>
    <row r="2005" spans="1:15" x14ac:dyDescent="0.25">
      <c r="A2005">
        <v>2004</v>
      </c>
      <c r="B2005">
        <v>50</v>
      </c>
      <c r="C2005" t="s">
        <v>16</v>
      </c>
      <c r="D2005" t="s">
        <v>17</v>
      </c>
      <c r="E2005" t="s">
        <v>35</v>
      </c>
      <c r="F2005" s="1">
        <v>156.35</v>
      </c>
      <c r="G2005" t="s">
        <v>24</v>
      </c>
      <c r="H2005" t="s">
        <v>15</v>
      </c>
      <c r="I2005" s="2">
        <v>3.1</v>
      </c>
      <c r="J2005" s="4">
        <v>9</v>
      </c>
      <c r="K2005" s="3">
        <v>2</v>
      </c>
      <c r="L2005" s="1">
        <f t="shared" si="93"/>
        <v>142.27850000000001</v>
      </c>
      <c r="M2005" t="str" cm="1">
        <f t="array" ref="M2005">_xlfn.IFS(B2005&lt;18,"Under 18",B2005 &lt;=25,"18-25",B2005&lt;=35,"26-35",B2005&lt;=45,"36-45",B2005&lt;=60,"46-60",TRUE,"60+")</f>
        <v>46-60</v>
      </c>
      <c r="N2005" t="str">
        <f t="shared" si="94"/>
        <v>Discounted</v>
      </c>
      <c r="O2005" t="str">
        <f t="shared" si="95"/>
        <v>Returning</v>
      </c>
    </row>
    <row r="2006" spans="1:15" x14ac:dyDescent="0.25">
      <c r="A2006">
        <v>2005</v>
      </c>
      <c r="B2006">
        <v>32</v>
      </c>
      <c r="C2006" t="s">
        <v>11</v>
      </c>
      <c r="D2006" t="s">
        <v>25</v>
      </c>
      <c r="E2006" t="s">
        <v>54</v>
      </c>
      <c r="F2006" s="1">
        <v>30.91</v>
      </c>
      <c r="G2006" t="s">
        <v>19</v>
      </c>
      <c r="H2006" t="s">
        <v>15</v>
      </c>
      <c r="I2006" s="2">
        <v>3.4</v>
      </c>
      <c r="J2006" s="4">
        <v>14</v>
      </c>
      <c r="K2006" s="3">
        <v>2</v>
      </c>
      <c r="L2006" s="1">
        <f t="shared" si="93"/>
        <v>26.582599999999999</v>
      </c>
      <c r="M2006" t="str" cm="1">
        <f t="array" ref="M2006">_xlfn.IFS(B2006&lt;18,"Under 18",B2006 &lt;=25,"18-25",B2006&lt;=35,"26-35",B2006&lt;=45,"36-45",B2006&lt;=60,"46-60",TRUE,"60+")</f>
        <v>26-35</v>
      </c>
      <c r="N2006" t="str">
        <f t="shared" si="94"/>
        <v>Discounted</v>
      </c>
      <c r="O2006" t="str">
        <f t="shared" si="95"/>
        <v>Returning</v>
      </c>
    </row>
    <row r="2007" spans="1:15" x14ac:dyDescent="0.25">
      <c r="A2007">
        <v>2006</v>
      </c>
      <c r="B2007">
        <v>33</v>
      </c>
      <c r="C2007" t="s">
        <v>11</v>
      </c>
      <c r="D2007" t="s">
        <v>25</v>
      </c>
      <c r="E2007" t="s">
        <v>57</v>
      </c>
      <c r="F2007" s="1">
        <v>33.28</v>
      </c>
      <c r="G2007" t="s">
        <v>14</v>
      </c>
      <c r="H2007" t="s">
        <v>15</v>
      </c>
      <c r="I2007" s="2">
        <v>4.2</v>
      </c>
      <c r="J2007" s="4">
        <v>8</v>
      </c>
      <c r="K2007" s="3">
        <v>4</v>
      </c>
      <c r="L2007" s="1">
        <f t="shared" si="93"/>
        <v>30.617600000000003</v>
      </c>
      <c r="M2007" t="str" cm="1">
        <f t="array" ref="M2007">_xlfn.IFS(B2007&lt;18,"Under 18",B2007 &lt;=25,"18-25",B2007&lt;=35,"26-35",B2007&lt;=45,"36-45",B2007&lt;=60,"46-60",TRUE,"60+")</f>
        <v>26-35</v>
      </c>
      <c r="N2007" t="str">
        <f t="shared" si="94"/>
        <v>Discounted</v>
      </c>
      <c r="O2007" t="str">
        <f t="shared" si="95"/>
        <v>Returning</v>
      </c>
    </row>
    <row r="2008" spans="1:15" x14ac:dyDescent="0.25">
      <c r="A2008">
        <v>2007</v>
      </c>
      <c r="B2008">
        <v>41</v>
      </c>
      <c r="C2008" t="s">
        <v>11</v>
      </c>
      <c r="D2008" t="s">
        <v>25</v>
      </c>
      <c r="E2008" t="s">
        <v>26</v>
      </c>
      <c r="F2008" s="1">
        <v>14.36</v>
      </c>
      <c r="G2008" t="s">
        <v>24</v>
      </c>
      <c r="H2008" t="s">
        <v>37</v>
      </c>
      <c r="I2008" s="2">
        <v>3.6</v>
      </c>
      <c r="J2008" s="4">
        <v>15</v>
      </c>
      <c r="K2008" s="3">
        <v>5</v>
      </c>
      <c r="L2008" s="1">
        <f t="shared" si="93"/>
        <v>12.206</v>
      </c>
      <c r="M2008" t="str" cm="1">
        <f t="array" ref="M2008">_xlfn.IFS(B2008&lt;18,"Under 18",B2008 &lt;=25,"18-25",B2008&lt;=35,"26-35",B2008&lt;=45,"36-45",B2008&lt;=60,"46-60",TRUE,"60+")</f>
        <v>36-45</v>
      </c>
      <c r="N2008" t="str">
        <f t="shared" si="94"/>
        <v>Discounted</v>
      </c>
      <c r="O2008" t="str">
        <f t="shared" si="95"/>
        <v>Returning</v>
      </c>
    </row>
    <row r="2009" spans="1:15" x14ac:dyDescent="0.25">
      <c r="A2009">
        <v>2008</v>
      </c>
      <c r="B2009">
        <v>60</v>
      </c>
      <c r="C2009" t="s">
        <v>16</v>
      </c>
      <c r="D2009" t="s">
        <v>20</v>
      </c>
      <c r="E2009" t="s">
        <v>21</v>
      </c>
      <c r="F2009" s="1">
        <v>164.7</v>
      </c>
      <c r="G2009" t="s">
        <v>31</v>
      </c>
      <c r="H2009" t="s">
        <v>15</v>
      </c>
      <c r="I2009" s="2">
        <v>4.8</v>
      </c>
      <c r="J2009" s="4">
        <v>26</v>
      </c>
      <c r="K2009" s="3">
        <v>8</v>
      </c>
      <c r="L2009" s="1">
        <f t="shared" si="93"/>
        <v>121.87799999999999</v>
      </c>
      <c r="M2009" t="str" cm="1">
        <f t="array" ref="M2009">_xlfn.IFS(B2009&lt;18,"Under 18",B2009 &lt;=25,"18-25",B2009&lt;=35,"26-35",B2009&lt;=45,"36-45",B2009&lt;=60,"46-60",TRUE,"60+")</f>
        <v>46-60</v>
      </c>
      <c r="N2009" t="str">
        <f t="shared" si="94"/>
        <v>Discounted</v>
      </c>
      <c r="O2009" t="str">
        <f t="shared" si="95"/>
        <v>Returning</v>
      </c>
    </row>
    <row r="2010" spans="1:15" x14ac:dyDescent="0.25">
      <c r="A2010">
        <v>2009</v>
      </c>
      <c r="B2010">
        <v>54</v>
      </c>
      <c r="C2010" t="s">
        <v>16</v>
      </c>
      <c r="D2010" t="s">
        <v>20</v>
      </c>
      <c r="E2010" t="s">
        <v>39</v>
      </c>
      <c r="F2010" s="1">
        <v>156.24</v>
      </c>
      <c r="G2010" t="s">
        <v>31</v>
      </c>
      <c r="H2010" t="s">
        <v>15</v>
      </c>
      <c r="I2010" s="2">
        <v>4.5999999999999996</v>
      </c>
      <c r="J2010" s="4">
        <v>16</v>
      </c>
      <c r="K2010" s="3">
        <v>3</v>
      </c>
      <c r="L2010" s="1">
        <f t="shared" si="93"/>
        <v>131.24160000000001</v>
      </c>
      <c r="M2010" t="str" cm="1">
        <f t="array" ref="M2010">_xlfn.IFS(B2010&lt;18,"Under 18",B2010 &lt;=25,"18-25",B2010&lt;=35,"26-35",B2010&lt;=45,"36-45",B2010&lt;=60,"46-60",TRUE,"60+")</f>
        <v>46-60</v>
      </c>
      <c r="N2010" t="str">
        <f t="shared" si="94"/>
        <v>Discounted</v>
      </c>
      <c r="O2010" t="str">
        <f t="shared" si="95"/>
        <v>Returning</v>
      </c>
    </row>
    <row r="2011" spans="1:15" x14ac:dyDescent="0.25">
      <c r="A2011">
        <v>2010</v>
      </c>
      <c r="B2011">
        <v>34</v>
      </c>
      <c r="C2011" t="s">
        <v>11</v>
      </c>
      <c r="D2011" t="s">
        <v>41</v>
      </c>
      <c r="E2011" t="s">
        <v>44</v>
      </c>
      <c r="F2011" s="1">
        <v>153.01</v>
      </c>
      <c r="G2011" t="s">
        <v>31</v>
      </c>
      <c r="H2011" t="s">
        <v>15</v>
      </c>
      <c r="I2011" s="2">
        <v>3.8</v>
      </c>
      <c r="J2011" s="4">
        <v>13</v>
      </c>
      <c r="K2011" s="3">
        <v>4</v>
      </c>
      <c r="L2011" s="1">
        <f t="shared" si="93"/>
        <v>133.11869999999999</v>
      </c>
      <c r="M2011" t="str" cm="1">
        <f t="array" ref="M2011">_xlfn.IFS(B2011&lt;18,"Under 18",B2011 &lt;=25,"18-25",B2011&lt;=35,"26-35",B2011&lt;=45,"36-45",B2011&lt;=60,"46-60",TRUE,"60+")</f>
        <v>26-35</v>
      </c>
      <c r="N2011" t="str">
        <f t="shared" si="94"/>
        <v>Discounted</v>
      </c>
      <c r="O2011" t="str">
        <f t="shared" si="95"/>
        <v>Returning</v>
      </c>
    </row>
    <row r="2012" spans="1:15" x14ac:dyDescent="0.25">
      <c r="A2012">
        <v>2011</v>
      </c>
      <c r="B2012">
        <v>46</v>
      </c>
      <c r="C2012" t="s">
        <v>11</v>
      </c>
      <c r="D2012" t="s">
        <v>33</v>
      </c>
      <c r="E2012" t="s">
        <v>38</v>
      </c>
      <c r="F2012" s="1">
        <v>120.06</v>
      </c>
      <c r="G2012" t="s">
        <v>14</v>
      </c>
      <c r="H2012" t="s">
        <v>15</v>
      </c>
      <c r="I2012" s="2">
        <v>4.0999999999999996</v>
      </c>
      <c r="J2012" s="4">
        <v>6</v>
      </c>
      <c r="K2012" s="3">
        <v>3</v>
      </c>
      <c r="L2012" s="1">
        <f t="shared" si="93"/>
        <v>112.85639999999999</v>
      </c>
      <c r="M2012" t="str" cm="1">
        <f t="array" ref="M2012">_xlfn.IFS(B2012&lt;18,"Under 18",B2012 &lt;=25,"18-25",B2012&lt;=35,"26-35",B2012&lt;=45,"36-45",B2012&lt;=60,"46-60",TRUE,"60+")</f>
        <v>46-60</v>
      </c>
      <c r="N2012" t="str">
        <f t="shared" si="94"/>
        <v>Discounted</v>
      </c>
      <c r="O2012" t="str">
        <f t="shared" si="95"/>
        <v>Returning</v>
      </c>
    </row>
    <row r="2013" spans="1:15" x14ac:dyDescent="0.25">
      <c r="A2013">
        <v>2012</v>
      </c>
      <c r="B2013">
        <v>38</v>
      </c>
      <c r="C2013" t="s">
        <v>11</v>
      </c>
      <c r="D2013" t="s">
        <v>41</v>
      </c>
      <c r="E2013" t="s">
        <v>45</v>
      </c>
      <c r="F2013" s="1">
        <v>162.6</v>
      </c>
      <c r="G2013" t="s">
        <v>31</v>
      </c>
      <c r="H2013" t="s">
        <v>15</v>
      </c>
      <c r="I2013" s="2">
        <v>4.4000000000000004</v>
      </c>
      <c r="J2013" s="4">
        <v>26</v>
      </c>
      <c r="K2013" s="3">
        <v>8</v>
      </c>
      <c r="L2013" s="1">
        <f t="shared" si="93"/>
        <v>120.324</v>
      </c>
      <c r="M2013" t="str" cm="1">
        <f t="array" ref="M2013">_xlfn.IFS(B2013&lt;18,"Under 18",B2013 &lt;=25,"18-25",B2013&lt;=35,"26-35",B2013&lt;=45,"36-45",B2013&lt;=60,"46-60",TRUE,"60+")</f>
        <v>36-45</v>
      </c>
      <c r="N2013" t="str">
        <f t="shared" si="94"/>
        <v>Discounted</v>
      </c>
      <c r="O2013" t="str">
        <f t="shared" si="95"/>
        <v>Returning</v>
      </c>
    </row>
    <row r="2014" spans="1:15" x14ac:dyDescent="0.25">
      <c r="A2014">
        <v>2013</v>
      </c>
      <c r="B2014">
        <v>51</v>
      </c>
      <c r="C2014" t="s">
        <v>11</v>
      </c>
      <c r="D2014" t="s">
        <v>29</v>
      </c>
      <c r="E2014" t="s">
        <v>30</v>
      </c>
      <c r="F2014" s="1">
        <v>89.47</v>
      </c>
      <c r="G2014" t="s">
        <v>19</v>
      </c>
      <c r="H2014" t="s">
        <v>15</v>
      </c>
      <c r="I2014" s="2">
        <v>3.6</v>
      </c>
      <c r="J2014" s="4">
        <v>10</v>
      </c>
      <c r="K2014" s="3">
        <v>5</v>
      </c>
      <c r="L2014" s="1">
        <f t="shared" si="93"/>
        <v>80.522999999999996</v>
      </c>
      <c r="M2014" t="str" cm="1">
        <f t="array" ref="M2014">_xlfn.IFS(B2014&lt;18,"Under 18",B2014 &lt;=25,"18-25",B2014&lt;=35,"26-35",B2014&lt;=45,"36-45",B2014&lt;=60,"46-60",TRUE,"60+")</f>
        <v>46-60</v>
      </c>
      <c r="N2014" t="str">
        <f t="shared" si="94"/>
        <v>Discounted</v>
      </c>
      <c r="O2014" t="str">
        <f t="shared" si="95"/>
        <v>Returning</v>
      </c>
    </row>
    <row r="2015" spans="1:15" x14ac:dyDescent="0.25">
      <c r="A2015">
        <v>2014</v>
      </c>
      <c r="B2015">
        <v>20</v>
      </c>
      <c r="C2015" t="s">
        <v>11</v>
      </c>
      <c r="D2015" t="s">
        <v>33</v>
      </c>
      <c r="E2015" t="s">
        <v>40</v>
      </c>
      <c r="F2015" s="1">
        <v>88.2</v>
      </c>
      <c r="G2015" t="s">
        <v>24</v>
      </c>
      <c r="H2015" t="s">
        <v>37</v>
      </c>
      <c r="I2015" s="2">
        <v>3.4</v>
      </c>
      <c r="J2015" s="4">
        <v>17</v>
      </c>
      <c r="K2015" s="3">
        <v>6</v>
      </c>
      <c r="L2015" s="1">
        <f t="shared" si="93"/>
        <v>73.206000000000003</v>
      </c>
      <c r="M2015" t="str" cm="1">
        <f t="array" ref="M2015">_xlfn.IFS(B2015&lt;18,"Under 18",B2015 &lt;=25,"18-25",B2015&lt;=35,"26-35",B2015&lt;=45,"36-45",B2015&lt;=60,"46-60",TRUE,"60+")</f>
        <v>18-25</v>
      </c>
      <c r="N2015" t="str">
        <f t="shared" si="94"/>
        <v>Discounted</v>
      </c>
      <c r="O2015" t="str">
        <f t="shared" si="95"/>
        <v>Returning</v>
      </c>
    </row>
    <row r="2016" spans="1:15" x14ac:dyDescent="0.25">
      <c r="A2016">
        <v>2015</v>
      </c>
      <c r="B2016">
        <v>35</v>
      </c>
      <c r="C2016" t="s">
        <v>16</v>
      </c>
      <c r="D2016" t="s">
        <v>33</v>
      </c>
      <c r="E2016" t="s">
        <v>38</v>
      </c>
      <c r="F2016" s="1">
        <v>199.05</v>
      </c>
      <c r="G2016" t="s">
        <v>24</v>
      </c>
      <c r="H2016" t="s">
        <v>15</v>
      </c>
      <c r="I2016" s="2">
        <v>3.4</v>
      </c>
      <c r="J2016" s="4">
        <v>10</v>
      </c>
      <c r="K2016" s="3">
        <v>5</v>
      </c>
      <c r="L2016" s="1">
        <f t="shared" si="93"/>
        <v>179.14500000000001</v>
      </c>
      <c r="M2016" t="str" cm="1">
        <f t="array" ref="M2016">_xlfn.IFS(B2016&lt;18,"Under 18",B2016 &lt;=25,"18-25",B2016&lt;=35,"26-35",B2016&lt;=45,"36-45",B2016&lt;=60,"46-60",TRUE,"60+")</f>
        <v>26-35</v>
      </c>
      <c r="N2016" t="str">
        <f t="shared" si="94"/>
        <v>Discounted</v>
      </c>
      <c r="O2016" t="str">
        <f t="shared" si="95"/>
        <v>Returning</v>
      </c>
    </row>
    <row r="2017" spans="1:15" x14ac:dyDescent="0.25">
      <c r="A2017">
        <v>2016</v>
      </c>
      <c r="B2017">
        <v>57</v>
      </c>
      <c r="C2017" t="s">
        <v>16</v>
      </c>
      <c r="D2017" t="s">
        <v>22</v>
      </c>
      <c r="E2017" t="s">
        <v>23</v>
      </c>
      <c r="F2017" s="1">
        <v>97.73</v>
      </c>
      <c r="G2017" t="s">
        <v>24</v>
      </c>
      <c r="H2017" t="s">
        <v>37</v>
      </c>
      <c r="I2017" s="2">
        <v>4.0999999999999996</v>
      </c>
      <c r="J2017" s="4">
        <v>12</v>
      </c>
      <c r="K2017" s="3">
        <v>6</v>
      </c>
      <c r="L2017" s="1">
        <f t="shared" si="93"/>
        <v>86.002400000000009</v>
      </c>
      <c r="M2017" t="str" cm="1">
        <f t="array" ref="M2017">_xlfn.IFS(B2017&lt;18,"Under 18",B2017 &lt;=25,"18-25",B2017&lt;=35,"26-35",B2017&lt;=45,"36-45",B2017&lt;=60,"46-60",TRUE,"60+")</f>
        <v>46-60</v>
      </c>
      <c r="N2017" t="str">
        <f t="shared" si="94"/>
        <v>Discounted</v>
      </c>
      <c r="O2017" t="str">
        <f t="shared" si="95"/>
        <v>Returning</v>
      </c>
    </row>
    <row r="2018" spans="1:15" x14ac:dyDescent="0.25">
      <c r="A2018">
        <v>2017</v>
      </c>
      <c r="B2018">
        <v>35</v>
      </c>
      <c r="C2018" t="s">
        <v>16</v>
      </c>
      <c r="D2018" t="s">
        <v>25</v>
      </c>
      <c r="E2018" t="s">
        <v>54</v>
      </c>
      <c r="F2018" s="1">
        <v>21.46</v>
      </c>
      <c r="G2018" t="s">
        <v>31</v>
      </c>
      <c r="H2018" t="s">
        <v>37</v>
      </c>
      <c r="I2018" s="2">
        <v>3.7</v>
      </c>
      <c r="J2018" s="4">
        <v>8</v>
      </c>
      <c r="K2018" s="3">
        <v>4</v>
      </c>
      <c r="L2018" s="1">
        <f t="shared" si="93"/>
        <v>19.743200000000002</v>
      </c>
      <c r="M2018" t="str" cm="1">
        <f t="array" ref="M2018">_xlfn.IFS(B2018&lt;18,"Under 18",B2018 &lt;=25,"18-25",B2018&lt;=35,"26-35",B2018&lt;=45,"36-45",B2018&lt;=60,"46-60",TRUE,"60+")</f>
        <v>26-35</v>
      </c>
      <c r="N2018" t="str">
        <f t="shared" si="94"/>
        <v>Discounted</v>
      </c>
      <c r="O2018" t="str">
        <f t="shared" si="95"/>
        <v>Returning</v>
      </c>
    </row>
    <row r="2019" spans="1:15" x14ac:dyDescent="0.25">
      <c r="A2019">
        <v>2018</v>
      </c>
      <c r="B2019">
        <v>51</v>
      </c>
      <c r="C2019" t="s">
        <v>11</v>
      </c>
      <c r="D2019" t="s">
        <v>41</v>
      </c>
      <c r="E2019" t="s">
        <v>45</v>
      </c>
      <c r="F2019" s="1">
        <v>196.16</v>
      </c>
      <c r="G2019" t="s">
        <v>14</v>
      </c>
      <c r="H2019" t="s">
        <v>15</v>
      </c>
      <c r="I2019" s="2">
        <v>3.4</v>
      </c>
      <c r="J2019" s="4">
        <v>20</v>
      </c>
      <c r="K2019" s="3">
        <v>5</v>
      </c>
      <c r="L2019" s="1">
        <f t="shared" si="93"/>
        <v>156.928</v>
      </c>
      <c r="M2019" t="str" cm="1">
        <f t="array" ref="M2019">_xlfn.IFS(B2019&lt;18,"Under 18",B2019 &lt;=25,"18-25",B2019&lt;=35,"26-35",B2019&lt;=45,"36-45",B2019&lt;=60,"46-60",TRUE,"60+")</f>
        <v>46-60</v>
      </c>
      <c r="N2019" t="str">
        <f t="shared" si="94"/>
        <v>Discounted</v>
      </c>
      <c r="O2019" t="str">
        <f t="shared" si="95"/>
        <v>Returning</v>
      </c>
    </row>
    <row r="2020" spans="1:15" x14ac:dyDescent="0.25">
      <c r="A2020">
        <v>2019</v>
      </c>
      <c r="B2020">
        <v>45</v>
      </c>
      <c r="C2020" t="s">
        <v>11</v>
      </c>
      <c r="D2020" t="s">
        <v>29</v>
      </c>
      <c r="E2020" t="s">
        <v>55</v>
      </c>
      <c r="F2020" s="1">
        <v>89.54</v>
      </c>
      <c r="G2020" t="s">
        <v>19</v>
      </c>
      <c r="H2020" t="s">
        <v>37</v>
      </c>
      <c r="I2020" s="2">
        <v>4.5999999999999996</v>
      </c>
      <c r="J2020" s="4">
        <v>20</v>
      </c>
      <c r="K2020" s="3">
        <v>5</v>
      </c>
      <c r="L2020" s="1">
        <f t="shared" si="93"/>
        <v>71.632000000000005</v>
      </c>
      <c r="M2020" t="str" cm="1">
        <f t="array" ref="M2020">_xlfn.IFS(B2020&lt;18,"Under 18",B2020 &lt;=25,"18-25",B2020&lt;=35,"26-35",B2020&lt;=45,"36-45",B2020&lt;=60,"46-60",TRUE,"60+")</f>
        <v>36-45</v>
      </c>
      <c r="N2020" t="str">
        <f t="shared" si="94"/>
        <v>Discounted</v>
      </c>
      <c r="O2020" t="str">
        <f t="shared" si="95"/>
        <v>Returning</v>
      </c>
    </row>
    <row r="2021" spans="1:15" x14ac:dyDescent="0.25">
      <c r="A2021">
        <v>2020</v>
      </c>
      <c r="B2021">
        <v>48</v>
      </c>
      <c r="C2021" t="s">
        <v>16</v>
      </c>
      <c r="D2021" t="s">
        <v>33</v>
      </c>
      <c r="E2021" t="s">
        <v>40</v>
      </c>
      <c r="F2021" s="1">
        <v>65.63</v>
      </c>
      <c r="G2021" t="s">
        <v>14</v>
      </c>
      <c r="H2021" t="s">
        <v>15</v>
      </c>
      <c r="I2021" s="2">
        <v>3.4</v>
      </c>
      <c r="J2021" s="4">
        <v>20</v>
      </c>
      <c r="K2021" s="3">
        <v>5</v>
      </c>
      <c r="L2021" s="1">
        <f t="shared" si="93"/>
        <v>52.503999999999998</v>
      </c>
      <c r="M2021" t="str" cm="1">
        <f t="array" ref="M2021">_xlfn.IFS(B2021&lt;18,"Under 18",B2021 &lt;=25,"18-25",B2021&lt;=35,"26-35",B2021&lt;=45,"36-45",B2021&lt;=60,"46-60",TRUE,"60+")</f>
        <v>46-60</v>
      </c>
      <c r="N2021" t="str">
        <f t="shared" si="94"/>
        <v>Discounted</v>
      </c>
      <c r="O2021" t="str">
        <f t="shared" si="95"/>
        <v>Returning</v>
      </c>
    </row>
    <row r="2022" spans="1:15" x14ac:dyDescent="0.25">
      <c r="A2022">
        <v>2021</v>
      </c>
      <c r="B2022">
        <v>29</v>
      </c>
      <c r="C2022" t="s">
        <v>16</v>
      </c>
      <c r="D2022" t="s">
        <v>25</v>
      </c>
      <c r="E2022" t="s">
        <v>54</v>
      </c>
      <c r="F2022" s="1">
        <v>50.38</v>
      </c>
      <c r="G2022" t="s">
        <v>14</v>
      </c>
      <c r="H2022" t="s">
        <v>37</v>
      </c>
      <c r="I2022" s="2">
        <v>4.5</v>
      </c>
      <c r="J2022" s="4">
        <v>12</v>
      </c>
      <c r="K2022" s="3">
        <v>6</v>
      </c>
      <c r="L2022" s="1">
        <f t="shared" si="93"/>
        <v>44.334400000000002</v>
      </c>
      <c r="M2022" t="str" cm="1">
        <f t="array" ref="M2022">_xlfn.IFS(B2022&lt;18,"Under 18",B2022 &lt;=25,"18-25",B2022&lt;=35,"26-35",B2022&lt;=45,"36-45",B2022&lt;=60,"46-60",TRUE,"60+")</f>
        <v>26-35</v>
      </c>
      <c r="N2022" t="str">
        <f t="shared" si="94"/>
        <v>Discounted</v>
      </c>
      <c r="O2022" t="str">
        <f t="shared" si="95"/>
        <v>Returning</v>
      </c>
    </row>
    <row r="2023" spans="1:15" x14ac:dyDescent="0.25">
      <c r="A2023">
        <v>2022</v>
      </c>
      <c r="B2023">
        <v>58</v>
      </c>
      <c r="C2023" t="s">
        <v>16</v>
      </c>
      <c r="D2023" t="s">
        <v>25</v>
      </c>
      <c r="E2023" t="s">
        <v>26</v>
      </c>
      <c r="F2023" s="1">
        <v>10.55</v>
      </c>
      <c r="G2023" t="s">
        <v>14</v>
      </c>
      <c r="H2023" t="s">
        <v>15</v>
      </c>
      <c r="I2023" s="2">
        <v>4.2</v>
      </c>
      <c r="J2023" s="4">
        <v>16</v>
      </c>
      <c r="K2023" s="3">
        <v>3</v>
      </c>
      <c r="L2023" s="1">
        <f t="shared" si="93"/>
        <v>8.8620000000000001</v>
      </c>
      <c r="M2023" t="str" cm="1">
        <f t="array" ref="M2023">_xlfn.IFS(B2023&lt;18,"Under 18",B2023 &lt;=25,"18-25",B2023&lt;=35,"26-35",B2023&lt;=45,"36-45",B2023&lt;=60,"46-60",TRUE,"60+")</f>
        <v>46-60</v>
      </c>
      <c r="N2023" t="str">
        <f t="shared" si="94"/>
        <v>Discounted</v>
      </c>
      <c r="O2023" t="str">
        <f t="shared" si="95"/>
        <v>Returning</v>
      </c>
    </row>
    <row r="2024" spans="1:15" x14ac:dyDescent="0.25">
      <c r="A2024">
        <v>2023</v>
      </c>
      <c r="B2024">
        <v>22</v>
      </c>
      <c r="C2024" t="s">
        <v>11</v>
      </c>
      <c r="D2024" t="s">
        <v>25</v>
      </c>
      <c r="E2024" t="s">
        <v>47</v>
      </c>
      <c r="F2024" s="1">
        <v>9.68</v>
      </c>
      <c r="G2024" t="s">
        <v>31</v>
      </c>
      <c r="H2024" t="s">
        <v>37</v>
      </c>
      <c r="I2024" s="2">
        <v>4.4000000000000004</v>
      </c>
      <c r="J2024" s="4">
        <v>18</v>
      </c>
      <c r="K2024" s="3">
        <v>4</v>
      </c>
      <c r="L2024" s="1">
        <f t="shared" si="93"/>
        <v>7.9376000000000007</v>
      </c>
      <c r="M2024" t="str" cm="1">
        <f t="array" ref="M2024">_xlfn.IFS(B2024&lt;18,"Under 18",B2024 &lt;=25,"18-25",B2024&lt;=35,"26-35",B2024&lt;=45,"36-45",B2024&lt;=60,"46-60",TRUE,"60+")</f>
        <v>18-25</v>
      </c>
      <c r="N2024" t="str">
        <f t="shared" si="94"/>
        <v>Discounted</v>
      </c>
      <c r="O2024" t="str">
        <f t="shared" si="95"/>
        <v>Returning</v>
      </c>
    </row>
    <row r="2025" spans="1:15" x14ac:dyDescent="0.25">
      <c r="A2025">
        <v>2024</v>
      </c>
      <c r="B2025">
        <v>69</v>
      </c>
      <c r="C2025" t="s">
        <v>11</v>
      </c>
      <c r="D2025" t="s">
        <v>22</v>
      </c>
      <c r="E2025" t="s">
        <v>52</v>
      </c>
      <c r="F2025" s="1">
        <v>58.08</v>
      </c>
      <c r="G2025" t="s">
        <v>14</v>
      </c>
      <c r="H2025" t="s">
        <v>37</v>
      </c>
      <c r="I2025" s="2">
        <v>3.3</v>
      </c>
      <c r="J2025" s="4">
        <v>20</v>
      </c>
      <c r="K2025" s="3">
        <v>5</v>
      </c>
      <c r="L2025" s="1">
        <f t="shared" si="93"/>
        <v>46.463999999999999</v>
      </c>
      <c r="M2025" t="str" cm="1">
        <f t="array" ref="M2025">_xlfn.IFS(B2025&lt;18,"Under 18",B2025 &lt;=25,"18-25",B2025&lt;=35,"26-35",B2025&lt;=45,"36-45",B2025&lt;=60,"46-60",TRUE,"60+")</f>
        <v>60+</v>
      </c>
      <c r="N2025" t="str">
        <f t="shared" si="94"/>
        <v>Discounted</v>
      </c>
      <c r="O2025" t="str">
        <f t="shared" si="95"/>
        <v>Returning</v>
      </c>
    </row>
    <row r="2026" spans="1:15" x14ac:dyDescent="0.25">
      <c r="A2026">
        <v>2025</v>
      </c>
      <c r="B2026">
        <v>50</v>
      </c>
      <c r="C2026" t="s">
        <v>16</v>
      </c>
      <c r="D2026" t="s">
        <v>33</v>
      </c>
      <c r="E2026" t="s">
        <v>40</v>
      </c>
      <c r="F2026" s="1">
        <v>87.66</v>
      </c>
      <c r="G2026" t="s">
        <v>24</v>
      </c>
      <c r="H2026" t="s">
        <v>15</v>
      </c>
      <c r="I2026" s="2">
        <v>3</v>
      </c>
      <c r="J2026" s="4">
        <v>16</v>
      </c>
      <c r="K2026" s="3">
        <v>3</v>
      </c>
      <c r="L2026" s="1">
        <f t="shared" si="93"/>
        <v>73.634399999999999</v>
      </c>
      <c r="M2026" t="str" cm="1">
        <f t="array" ref="M2026">_xlfn.IFS(B2026&lt;18,"Under 18",B2026 &lt;=25,"18-25",B2026&lt;=35,"26-35",B2026&lt;=45,"36-45",B2026&lt;=60,"46-60",TRUE,"60+")</f>
        <v>46-60</v>
      </c>
      <c r="N2026" t="str">
        <f t="shared" si="94"/>
        <v>Discounted</v>
      </c>
      <c r="O2026" t="str">
        <f t="shared" si="95"/>
        <v>Returning</v>
      </c>
    </row>
    <row r="2027" spans="1:15" x14ac:dyDescent="0.25">
      <c r="A2027">
        <v>2026</v>
      </c>
      <c r="B2027">
        <v>58</v>
      </c>
      <c r="C2027" t="s">
        <v>16</v>
      </c>
      <c r="D2027" t="s">
        <v>27</v>
      </c>
      <c r="E2027" t="s">
        <v>49</v>
      </c>
      <c r="F2027" s="1">
        <v>715.45</v>
      </c>
      <c r="G2027" t="s">
        <v>14</v>
      </c>
      <c r="H2027" t="s">
        <v>15</v>
      </c>
      <c r="I2027" s="2">
        <v>3.3</v>
      </c>
      <c r="J2027" s="4">
        <v>20</v>
      </c>
      <c r="K2027" s="3">
        <v>5</v>
      </c>
      <c r="L2027" s="1">
        <f t="shared" si="93"/>
        <v>572.36</v>
      </c>
      <c r="M2027" t="str" cm="1">
        <f t="array" ref="M2027">_xlfn.IFS(B2027&lt;18,"Under 18",B2027 &lt;=25,"18-25",B2027&lt;=35,"26-35",B2027&lt;=45,"36-45",B2027&lt;=60,"46-60",TRUE,"60+")</f>
        <v>46-60</v>
      </c>
      <c r="N2027" t="str">
        <f t="shared" si="94"/>
        <v>Discounted</v>
      </c>
      <c r="O2027" t="str">
        <f t="shared" si="95"/>
        <v>Returning</v>
      </c>
    </row>
    <row r="2028" spans="1:15" x14ac:dyDescent="0.25">
      <c r="A2028">
        <v>2027</v>
      </c>
      <c r="B2028">
        <v>30</v>
      </c>
      <c r="C2028" t="s">
        <v>11</v>
      </c>
      <c r="D2028" t="s">
        <v>12</v>
      </c>
      <c r="E2028" t="s">
        <v>56</v>
      </c>
      <c r="F2028" s="1">
        <v>96.49</v>
      </c>
      <c r="G2028" t="s">
        <v>24</v>
      </c>
      <c r="H2028" t="s">
        <v>37</v>
      </c>
      <c r="I2028" s="2">
        <v>4.7</v>
      </c>
      <c r="J2028" s="4">
        <v>29</v>
      </c>
      <c r="K2028" s="3">
        <v>12</v>
      </c>
      <c r="L2028" s="1">
        <f t="shared" si="93"/>
        <v>68.507899999999992</v>
      </c>
      <c r="M2028" t="str" cm="1">
        <f t="array" ref="M2028">_xlfn.IFS(B2028&lt;18,"Under 18",B2028 &lt;=25,"18-25",B2028&lt;=35,"26-35",B2028&lt;=45,"36-45",B2028&lt;=60,"46-60",TRUE,"60+")</f>
        <v>26-35</v>
      </c>
      <c r="N2028" t="str">
        <f t="shared" si="94"/>
        <v>Discounted</v>
      </c>
      <c r="O2028" t="str">
        <f t="shared" si="95"/>
        <v>Returning</v>
      </c>
    </row>
    <row r="2029" spans="1:15" x14ac:dyDescent="0.25">
      <c r="A2029">
        <v>2028</v>
      </c>
      <c r="B2029">
        <v>25</v>
      </c>
      <c r="C2029" t="s">
        <v>11</v>
      </c>
      <c r="D2029" t="s">
        <v>12</v>
      </c>
      <c r="E2029" t="s">
        <v>56</v>
      </c>
      <c r="F2029" s="1">
        <v>152.71</v>
      </c>
      <c r="G2029" t="s">
        <v>24</v>
      </c>
      <c r="H2029" t="s">
        <v>15</v>
      </c>
      <c r="I2029" s="2">
        <v>3.8</v>
      </c>
      <c r="J2029" s="4">
        <v>18</v>
      </c>
      <c r="K2029" s="3">
        <v>4</v>
      </c>
      <c r="L2029" s="1">
        <f t="shared" si="93"/>
        <v>125.22220000000002</v>
      </c>
      <c r="M2029" t="str" cm="1">
        <f t="array" ref="M2029">_xlfn.IFS(B2029&lt;18,"Under 18",B2029 &lt;=25,"18-25",B2029&lt;=35,"26-35",B2029&lt;=45,"36-45",B2029&lt;=60,"46-60",TRUE,"60+")</f>
        <v>18-25</v>
      </c>
      <c r="N2029" t="str">
        <f t="shared" si="94"/>
        <v>Discounted</v>
      </c>
      <c r="O2029" t="str">
        <f t="shared" si="95"/>
        <v>Returning</v>
      </c>
    </row>
    <row r="2030" spans="1:15" x14ac:dyDescent="0.25">
      <c r="A2030">
        <v>2029</v>
      </c>
      <c r="B2030">
        <v>51</v>
      </c>
      <c r="C2030" t="s">
        <v>11</v>
      </c>
      <c r="D2030" t="s">
        <v>12</v>
      </c>
      <c r="E2030" t="s">
        <v>13</v>
      </c>
      <c r="F2030" s="1">
        <v>72.38</v>
      </c>
      <c r="G2030" t="s">
        <v>19</v>
      </c>
      <c r="H2030" t="s">
        <v>37</v>
      </c>
      <c r="I2030" s="2">
        <v>5</v>
      </c>
      <c r="J2030" s="4">
        <v>11</v>
      </c>
      <c r="K2030" s="3">
        <v>3</v>
      </c>
      <c r="L2030" s="1">
        <f t="shared" si="93"/>
        <v>64.418199999999999</v>
      </c>
      <c r="M2030" t="str" cm="1">
        <f t="array" ref="M2030">_xlfn.IFS(B2030&lt;18,"Under 18",B2030 &lt;=25,"18-25",B2030&lt;=35,"26-35",B2030&lt;=45,"36-45",B2030&lt;=60,"46-60",TRUE,"60+")</f>
        <v>46-60</v>
      </c>
      <c r="N2030" t="str">
        <f t="shared" si="94"/>
        <v>Discounted</v>
      </c>
      <c r="O2030" t="str">
        <f t="shared" si="95"/>
        <v>Returning</v>
      </c>
    </row>
    <row r="2031" spans="1:15" x14ac:dyDescent="0.25">
      <c r="A2031">
        <v>2030</v>
      </c>
      <c r="B2031">
        <v>46</v>
      </c>
      <c r="C2031" t="s">
        <v>11</v>
      </c>
      <c r="D2031" t="s">
        <v>12</v>
      </c>
      <c r="E2031" t="s">
        <v>56</v>
      </c>
      <c r="F2031" s="1">
        <v>67.510000000000005</v>
      </c>
      <c r="G2031" t="s">
        <v>24</v>
      </c>
      <c r="H2031" t="s">
        <v>37</v>
      </c>
      <c r="I2031" s="2">
        <v>3.8</v>
      </c>
      <c r="J2031" s="4">
        <v>13</v>
      </c>
      <c r="K2031" s="3">
        <v>4</v>
      </c>
      <c r="L2031" s="1">
        <f t="shared" si="93"/>
        <v>58.733700000000006</v>
      </c>
      <c r="M2031" t="str" cm="1">
        <f t="array" ref="M2031">_xlfn.IFS(B2031&lt;18,"Under 18",B2031 &lt;=25,"18-25",B2031&lt;=35,"26-35",B2031&lt;=45,"36-45",B2031&lt;=60,"46-60",TRUE,"60+")</f>
        <v>46-60</v>
      </c>
      <c r="N2031" t="str">
        <f t="shared" si="94"/>
        <v>Discounted</v>
      </c>
      <c r="O2031" t="str">
        <f t="shared" si="95"/>
        <v>Returning</v>
      </c>
    </row>
    <row r="2032" spans="1:15" x14ac:dyDescent="0.25">
      <c r="A2032">
        <v>2031</v>
      </c>
      <c r="B2032">
        <v>54</v>
      </c>
      <c r="C2032" t="s">
        <v>11</v>
      </c>
      <c r="D2032" t="s">
        <v>22</v>
      </c>
      <c r="E2032" t="s">
        <v>43</v>
      </c>
      <c r="F2032" s="1">
        <v>174.89</v>
      </c>
      <c r="G2032" t="s">
        <v>31</v>
      </c>
      <c r="H2032" t="s">
        <v>15</v>
      </c>
      <c r="I2032" s="2">
        <v>4.2</v>
      </c>
      <c r="J2032" s="4">
        <v>11</v>
      </c>
      <c r="K2032" s="3">
        <v>3</v>
      </c>
      <c r="L2032" s="1">
        <f t="shared" si="93"/>
        <v>155.65209999999999</v>
      </c>
      <c r="M2032" t="str" cm="1">
        <f t="array" ref="M2032">_xlfn.IFS(B2032&lt;18,"Under 18",B2032 &lt;=25,"18-25",B2032&lt;=35,"26-35",B2032&lt;=45,"36-45",B2032&lt;=60,"46-60",TRUE,"60+")</f>
        <v>46-60</v>
      </c>
      <c r="N2032" t="str">
        <f t="shared" si="94"/>
        <v>Discounted</v>
      </c>
      <c r="O2032" t="str">
        <f t="shared" si="95"/>
        <v>Returning</v>
      </c>
    </row>
    <row r="2033" spans="1:15" x14ac:dyDescent="0.25">
      <c r="A2033">
        <v>2032</v>
      </c>
      <c r="B2033">
        <v>27</v>
      </c>
      <c r="C2033" t="s">
        <v>16</v>
      </c>
      <c r="D2033" t="s">
        <v>20</v>
      </c>
      <c r="E2033" t="s">
        <v>36</v>
      </c>
      <c r="F2033" s="1">
        <v>96.73</v>
      </c>
      <c r="G2033" t="s">
        <v>24</v>
      </c>
      <c r="H2033" t="s">
        <v>15</v>
      </c>
      <c r="I2033" s="2">
        <v>2.6</v>
      </c>
      <c r="J2033" s="4">
        <v>9</v>
      </c>
      <c r="K2033" s="3">
        <v>2</v>
      </c>
      <c r="L2033" s="1">
        <f t="shared" si="93"/>
        <v>88.024300000000011</v>
      </c>
      <c r="M2033" t="str" cm="1">
        <f t="array" ref="M2033">_xlfn.IFS(B2033&lt;18,"Under 18",B2033 &lt;=25,"18-25",B2033&lt;=35,"26-35",B2033&lt;=45,"36-45",B2033&lt;=60,"46-60",TRUE,"60+")</f>
        <v>26-35</v>
      </c>
      <c r="N2033" t="str">
        <f t="shared" si="94"/>
        <v>Discounted</v>
      </c>
      <c r="O2033" t="str">
        <f t="shared" si="95"/>
        <v>Returning</v>
      </c>
    </row>
    <row r="2034" spans="1:15" x14ac:dyDescent="0.25">
      <c r="A2034">
        <v>2033</v>
      </c>
      <c r="B2034">
        <v>63</v>
      </c>
      <c r="C2034" t="s">
        <v>16</v>
      </c>
      <c r="D2034" t="s">
        <v>17</v>
      </c>
      <c r="E2034" t="s">
        <v>18</v>
      </c>
      <c r="F2034" s="1">
        <v>68.14</v>
      </c>
      <c r="G2034" t="s">
        <v>31</v>
      </c>
      <c r="H2034" t="s">
        <v>15</v>
      </c>
      <c r="I2034" s="2">
        <v>5</v>
      </c>
      <c r="J2034" s="4">
        <v>19</v>
      </c>
      <c r="K2034" s="3">
        <v>7</v>
      </c>
      <c r="L2034" s="1">
        <f t="shared" si="93"/>
        <v>55.193400000000004</v>
      </c>
      <c r="M2034" t="str" cm="1">
        <f t="array" ref="M2034">_xlfn.IFS(B2034&lt;18,"Under 18",B2034 &lt;=25,"18-25",B2034&lt;=35,"26-35",B2034&lt;=45,"36-45",B2034&lt;=60,"46-60",TRUE,"60+")</f>
        <v>60+</v>
      </c>
      <c r="N2034" t="str">
        <f t="shared" si="94"/>
        <v>Discounted</v>
      </c>
      <c r="O2034" t="str">
        <f t="shared" si="95"/>
        <v>Returning</v>
      </c>
    </row>
    <row r="2035" spans="1:15" x14ac:dyDescent="0.25">
      <c r="A2035">
        <v>2034</v>
      </c>
      <c r="B2035">
        <v>66</v>
      </c>
      <c r="C2035" t="s">
        <v>11</v>
      </c>
      <c r="D2035" t="s">
        <v>33</v>
      </c>
      <c r="E2035" t="s">
        <v>38</v>
      </c>
      <c r="F2035" s="1">
        <v>54.49</v>
      </c>
      <c r="G2035" t="s">
        <v>14</v>
      </c>
      <c r="H2035" t="s">
        <v>15</v>
      </c>
      <c r="I2035" s="2">
        <v>4.8</v>
      </c>
      <c r="J2035" s="4">
        <v>4</v>
      </c>
      <c r="K2035" s="3">
        <v>2</v>
      </c>
      <c r="L2035" s="1">
        <f t="shared" si="93"/>
        <v>52.310400000000001</v>
      </c>
      <c r="M2035" t="str" cm="1">
        <f t="array" ref="M2035">_xlfn.IFS(B2035&lt;18,"Under 18",B2035 &lt;=25,"18-25",B2035&lt;=35,"26-35",B2035&lt;=45,"36-45",B2035&lt;=60,"46-60",TRUE,"60+")</f>
        <v>60+</v>
      </c>
      <c r="N2035" t="str">
        <f t="shared" si="94"/>
        <v>Discounted</v>
      </c>
      <c r="O2035" t="str">
        <f t="shared" si="95"/>
        <v>Returning</v>
      </c>
    </row>
    <row r="2036" spans="1:15" x14ac:dyDescent="0.25">
      <c r="A2036">
        <v>2035</v>
      </c>
      <c r="B2036">
        <v>70</v>
      </c>
      <c r="C2036" t="s">
        <v>16</v>
      </c>
      <c r="D2036" t="s">
        <v>27</v>
      </c>
      <c r="E2036" t="s">
        <v>49</v>
      </c>
      <c r="F2036" s="1">
        <v>896.45</v>
      </c>
      <c r="G2036" t="s">
        <v>31</v>
      </c>
      <c r="H2036" t="s">
        <v>15</v>
      </c>
      <c r="I2036" s="2">
        <v>4.4000000000000004</v>
      </c>
      <c r="J2036" s="4">
        <v>15</v>
      </c>
      <c r="K2036" s="3">
        <v>5</v>
      </c>
      <c r="L2036" s="1">
        <f t="shared" si="93"/>
        <v>761.98250000000007</v>
      </c>
      <c r="M2036" t="str" cm="1">
        <f t="array" ref="M2036">_xlfn.IFS(B2036&lt;18,"Under 18",B2036 &lt;=25,"18-25",B2036&lt;=35,"26-35",B2036&lt;=45,"36-45",B2036&lt;=60,"46-60",TRUE,"60+")</f>
        <v>60+</v>
      </c>
      <c r="N2036" t="str">
        <f t="shared" si="94"/>
        <v>Discounted</v>
      </c>
      <c r="O2036" t="str">
        <f t="shared" si="95"/>
        <v>Returning</v>
      </c>
    </row>
    <row r="2037" spans="1:15" x14ac:dyDescent="0.25">
      <c r="A2037">
        <v>2036</v>
      </c>
      <c r="B2037">
        <v>60</v>
      </c>
      <c r="C2037" t="s">
        <v>11</v>
      </c>
      <c r="D2037" t="s">
        <v>12</v>
      </c>
      <c r="E2037" t="s">
        <v>56</v>
      </c>
      <c r="F2037" s="1">
        <v>129.05000000000001</v>
      </c>
      <c r="G2037" t="s">
        <v>31</v>
      </c>
      <c r="H2037" t="s">
        <v>15</v>
      </c>
      <c r="I2037" s="2">
        <v>2.5</v>
      </c>
      <c r="J2037" s="4">
        <v>12</v>
      </c>
      <c r="K2037" s="3">
        <v>6</v>
      </c>
      <c r="L2037" s="1">
        <f t="shared" si="93"/>
        <v>113.56400000000001</v>
      </c>
      <c r="M2037" t="str" cm="1">
        <f t="array" ref="M2037">_xlfn.IFS(B2037&lt;18,"Under 18",B2037 &lt;=25,"18-25",B2037&lt;=35,"26-35",B2037&lt;=45,"36-45",B2037&lt;=60,"46-60",TRUE,"60+")</f>
        <v>46-60</v>
      </c>
      <c r="N2037" t="str">
        <f t="shared" si="94"/>
        <v>Discounted</v>
      </c>
      <c r="O2037" t="str">
        <f t="shared" si="95"/>
        <v>Returning</v>
      </c>
    </row>
    <row r="2038" spans="1:15" x14ac:dyDescent="0.25">
      <c r="A2038">
        <v>2037</v>
      </c>
      <c r="B2038">
        <v>57</v>
      </c>
      <c r="C2038" t="s">
        <v>16</v>
      </c>
      <c r="D2038" t="s">
        <v>25</v>
      </c>
      <c r="E2038" t="s">
        <v>54</v>
      </c>
      <c r="F2038" s="1">
        <v>74.010000000000005</v>
      </c>
      <c r="G2038" t="s">
        <v>19</v>
      </c>
      <c r="H2038" t="s">
        <v>15</v>
      </c>
      <c r="I2038" s="2">
        <v>2.7</v>
      </c>
      <c r="J2038" s="4">
        <v>20</v>
      </c>
      <c r="K2038" s="3">
        <v>5</v>
      </c>
      <c r="L2038" s="1">
        <f t="shared" si="93"/>
        <v>59.208000000000006</v>
      </c>
      <c r="M2038" t="str" cm="1">
        <f t="array" ref="M2038">_xlfn.IFS(B2038&lt;18,"Under 18",B2038 &lt;=25,"18-25",B2038&lt;=35,"26-35",B2038&lt;=45,"36-45",B2038&lt;=60,"46-60",TRUE,"60+")</f>
        <v>46-60</v>
      </c>
      <c r="N2038" t="str">
        <f t="shared" si="94"/>
        <v>Discounted</v>
      </c>
      <c r="O2038" t="str">
        <f t="shared" si="95"/>
        <v>Returning</v>
      </c>
    </row>
    <row r="2039" spans="1:15" x14ac:dyDescent="0.25">
      <c r="A2039">
        <v>2038</v>
      </c>
      <c r="B2039">
        <v>47</v>
      </c>
      <c r="C2039" t="s">
        <v>11</v>
      </c>
      <c r="D2039" t="s">
        <v>25</v>
      </c>
      <c r="E2039" t="s">
        <v>54</v>
      </c>
      <c r="F2039" s="1">
        <v>28.94</v>
      </c>
      <c r="G2039" t="s">
        <v>24</v>
      </c>
      <c r="H2039" t="s">
        <v>15</v>
      </c>
      <c r="I2039" s="2">
        <v>4.2</v>
      </c>
      <c r="J2039" s="4">
        <v>10</v>
      </c>
      <c r="K2039" s="3">
        <v>5</v>
      </c>
      <c r="L2039" s="1">
        <f t="shared" si="93"/>
        <v>26.046000000000003</v>
      </c>
      <c r="M2039" t="str" cm="1">
        <f t="array" ref="M2039">_xlfn.IFS(B2039&lt;18,"Under 18",B2039 &lt;=25,"18-25",B2039&lt;=35,"26-35",B2039&lt;=45,"36-45",B2039&lt;=60,"46-60",TRUE,"60+")</f>
        <v>46-60</v>
      </c>
      <c r="N2039" t="str">
        <f t="shared" si="94"/>
        <v>Discounted</v>
      </c>
      <c r="O2039" t="str">
        <f t="shared" si="95"/>
        <v>Returning</v>
      </c>
    </row>
    <row r="2040" spans="1:15" x14ac:dyDescent="0.25">
      <c r="A2040">
        <v>2039</v>
      </c>
      <c r="B2040">
        <v>60</v>
      </c>
      <c r="C2040" t="s">
        <v>16</v>
      </c>
      <c r="D2040" t="s">
        <v>17</v>
      </c>
      <c r="E2040" t="s">
        <v>42</v>
      </c>
      <c r="F2040" s="1">
        <v>97.47</v>
      </c>
      <c r="G2040" t="s">
        <v>24</v>
      </c>
      <c r="H2040" t="s">
        <v>37</v>
      </c>
      <c r="I2040" s="2">
        <v>4.4000000000000004</v>
      </c>
      <c r="J2040" s="4">
        <v>9</v>
      </c>
      <c r="K2040" s="3">
        <v>2</v>
      </c>
      <c r="L2040" s="1">
        <f t="shared" si="93"/>
        <v>88.697699999999998</v>
      </c>
      <c r="M2040" t="str" cm="1">
        <f t="array" ref="M2040">_xlfn.IFS(B2040&lt;18,"Under 18",B2040 &lt;=25,"18-25",B2040&lt;=35,"26-35",B2040&lt;=45,"36-45",B2040&lt;=60,"46-60",TRUE,"60+")</f>
        <v>46-60</v>
      </c>
      <c r="N2040" t="str">
        <f t="shared" si="94"/>
        <v>Discounted</v>
      </c>
      <c r="O2040" t="str">
        <f t="shared" si="95"/>
        <v>Returning</v>
      </c>
    </row>
    <row r="2041" spans="1:15" x14ac:dyDescent="0.25">
      <c r="A2041">
        <v>2040</v>
      </c>
      <c r="B2041">
        <v>59</v>
      </c>
      <c r="C2041" t="s">
        <v>11</v>
      </c>
      <c r="D2041" t="s">
        <v>33</v>
      </c>
      <c r="E2041" t="s">
        <v>40</v>
      </c>
      <c r="F2041" s="1">
        <v>145.79</v>
      </c>
      <c r="G2041" t="s">
        <v>31</v>
      </c>
      <c r="H2041" t="s">
        <v>15</v>
      </c>
      <c r="I2041" s="2">
        <v>4</v>
      </c>
      <c r="J2041" s="4">
        <v>17</v>
      </c>
      <c r="K2041" s="3">
        <v>6</v>
      </c>
      <c r="L2041" s="1">
        <f t="shared" si="93"/>
        <v>121.00569999999999</v>
      </c>
      <c r="M2041" t="str" cm="1">
        <f t="array" ref="M2041">_xlfn.IFS(B2041&lt;18,"Under 18",B2041 &lt;=25,"18-25",B2041&lt;=35,"26-35",B2041&lt;=45,"36-45",B2041&lt;=60,"46-60",TRUE,"60+")</f>
        <v>46-60</v>
      </c>
      <c r="N2041" t="str">
        <f t="shared" si="94"/>
        <v>Discounted</v>
      </c>
      <c r="O2041" t="str">
        <f t="shared" si="95"/>
        <v>Returning</v>
      </c>
    </row>
    <row r="2042" spans="1:15" x14ac:dyDescent="0.25">
      <c r="A2042">
        <v>2041</v>
      </c>
      <c r="B2042">
        <v>54</v>
      </c>
      <c r="C2042" t="s">
        <v>11</v>
      </c>
      <c r="D2042" t="s">
        <v>22</v>
      </c>
      <c r="E2042" t="s">
        <v>43</v>
      </c>
      <c r="F2042" s="1">
        <v>39.020000000000003</v>
      </c>
      <c r="G2042" t="s">
        <v>14</v>
      </c>
      <c r="H2042" t="s">
        <v>15</v>
      </c>
      <c r="I2042" s="2">
        <v>3.5</v>
      </c>
      <c r="J2042" s="4">
        <v>17</v>
      </c>
      <c r="K2042" s="3">
        <v>6</v>
      </c>
      <c r="L2042" s="1">
        <f t="shared" si="93"/>
        <v>32.386600000000001</v>
      </c>
      <c r="M2042" t="str" cm="1">
        <f t="array" ref="M2042">_xlfn.IFS(B2042&lt;18,"Under 18",B2042 &lt;=25,"18-25",B2042&lt;=35,"26-35",B2042&lt;=45,"36-45",B2042&lt;=60,"46-60",TRUE,"60+")</f>
        <v>46-60</v>
      </c>
      <c r="N2042" t="str">
        <f t="shared" si="94"/>
        <v>Discounted</v>
      </c>
      <c r="O2042" t="str">
        <f t="shared" si="95"/>
        <v>Returning</v>
      </c>
    </row>
    <row r="2043" spans="1:15" x14ac:dyDescent="0.25">
      <c r="A2043">
        <v>2042</v>
      </c>
      <c r="B2043">
        <v>49</v>
      </c>
      <c r="C2043" t="s">
        <v>16</v>
      </c>
      <c r="D2043" t="s">
        <v>20</v>
      </c>
      <c r="E2043" t="s">
        <v>36</v>
      </c>
      <c r="F2043" s="1">
        <v>186.01</v>
      </c>
      <c r="G2043" t="s">
        <v>24</v>
      </c>
      <c r="H2043" t="s">
        <v>15</v>
      </c>
      <c r="I2043" s="2">
        <v>4.3</v>
      </c>
      <c r="J2043" s="4">
        <v>18</v>
      </c>
      <c r="K2043" s="3">
        <v>4</v>
      </c>
      <c r="L2043" s="1">
        <f t="shared" si="93"/>
        <v>152.5282</v>
      </c>
      <c r="M2043" t="str" cm="1">
        <f t="array" ref="M2043">_xlfn.IFS(B2043&lt;18,"Under 18",B2043 &lt;=25,"18-25",B2043&lt;=35,"26-35",B2043&lt;=45,"36-45",B2043&lt;=60,"46-60",TRUE,"60+")</f>
        <v>46-60</v>
      </c>
      <c r="N2043" t="str">
        <f t="shared" si="94"/>
        <v>Discounted</v>
      </c>
      <c r="O2043" t="str">
        <f t="shared" si="95"/>
        <v>Returning</v>
      </c>
    </row>
    <row r="2044" spans="1:15" x14ac:dyDescent="0.25">
      <c r="A2044">
        <v>2043</v>
      </c>
      <c r="B2044">
        <v>67</v>
      </c>
      <c r="C2044" t="s">
        <v>16</v>
      </c>
      <c r="D2044" t="s">
        <v>33</v>
      </c>
      <c r="E2044" t="s">
        <v>40</v>
      </c>
      <c r="F2044" s="1">
        <v>58.17</v>
      </c>
      <c r="G2044" t="s">
        <v>31</v>
      </c>
      <c r="H2044" t="s">
        <v>15</v>
      </c>
      <c r="I2044" s="2">
        <v>4.9000000000000004</v>
      </c>
      <c r="J2044" s="4">
        <v>15</v>
      </c>
      <c r="K2044" s="3">
        <v>5</v>
      </c>
      <c r="L2044" s="1">
        <f t="shared" si="93"/>
        <v>49.444499999999998</v>
      </c>
      <c r="M2044" t="str" cm="1">
        <f t="array" ref="M2044">_xlfn.IFS(B2044&lt;18,"Under 18",B2044 &lt;=25,"18-25",B2044&lt;=35,"26-35",B2044&lt;=45,"36-45",B2044&lt;=60,"46-60",TRUE,"60+")</f>
        <v>60+</v>
      </c>
      <c r="N2044" t="str">
        <f t="shared" si="94"/>
        <v>Discounted</v>
      </c>
      <c r="O2044" t="str">
        <f t="shared" si="95"/>
        <v>Returning</v>
      </c>
    </row>
    <row r="2045" spans="1:15" x14ac:dyDescent="0.25">
      <c r="A2045">
        <v>2044</v>
      </c>
      <c r="B2045">
        <v>69</v>
      </c>
      <c r="C2045" t="s">
        <v>16</v>
      </c>
      <c r="D2045" t="s">
        <v>33</v>
      </c>
      <c r="E2045" t="s">
        <v>40</v>
      </c>
      <c r="F2045" s="1">
        <v>173.95</v>
      </c>
      <c r="G2045" t="s">
        <v>31</v>
      </c>
      <c r="H2045" t="s">
        <v>15</v>
      </c>
      <c r="I2045" s="2">
        <v>3.6</v>
      </c>
      <c r="J2045" s="4">
        <v>21</v>
      </c>
      <c r="K2045" s="3">
        <v>8</v>
      </c>
      <c r="L2045" s="1">
        <f t="shared" si="93"/>
        <v>137.4205</v>
      </c>
      <c r="M2045" t="str" cm="1">
        <f t="array" ref="M2045">_xlfn.IFS(B2045&lt;18,"Under 18",B2045 &lt;=25,"18-25",B2045&lt;=35,"26-35",B2045&lt;=45,"36-45",B2045&lt;=60,"46-60",TRUE,"60+")</f>
        <v>60+</v>
      </c>
      <c r="N2045" t="str">
        <f t="shared" si="94"/>
        <v>Discounted</v>
      </c>
      <c r="O2045" t="str">
        <f t="shared" si="95"/>
        <v>Returning</v>
      </c>
    </row>
    <row r="2046" spans="1:15" x14ac:dyDescent="0.25">
      <c r="A2046">
        <v>2045</v>
      </c>
      <c r="B2046">
        <v>48</v>
      </c>
      <c r="C2046" t="s">
        <v>16</v>
      </c>
      <c r="D2046" t="s">
        <v>33</v>
      </c>
      <c r="E2046" t="s">
        <v>38</v>
      </c>
      <c r="F2046" s="1">
        <v>249.92</v>
      </c>
      <c r="G2046" t="s">
        <v>14</v>
      </c>
      <c r="H2046" t="s">
        <v>15</v>
      </c>
      <c r="I2046" s="2">
        <v>4.5</v>
      </c>
      <c r="J2046" s="4">
        <v>9</v>
      </c>
      <c r="K2046" s="3">
        <v>2</v>
      </c>
      <c r="L2046" s="1">
        <f t="shared" si="93"/>
        <v>227.4272</v>
      </c>
      <c r="M2046" t="str" cm="1">
        <f t="array" ref="M2046">_xlfn.IFS(B2046&lt;18,"Under 18",B2046 &lt;=25,"18-25",B2046&lt;=35,"26-35",B2046&lt;=45,"36-45",B2046&lt;=60,"46-60",TRUE,"60+")</f>
        <v>46-60</v>
      </c>
      <c r="N2046" t="str">
        <f t="shared" si="94"/>
        <v>Discounted</v>
      </c>
      <c r="O2046" t="str">
        <f t="shared" si="95"/>
        <v>Returning</v>
      </c>
    </row>
    <row r="2047" spans="1:15" x14ac:dyDescent="0.25">
      <c r="A2047">
        <v>2046</v>
      </c>
      <c r="B2047">
        <v>21</v>
      </c>
      <c r="C2047" t="s">
        <v>16</v>
      </c>
      <c r="D2047" t="s">
        <v>33</v>
      </c>
      <c r="E2047" t="s">
        <v>40</v>
      </c>
      <c r="F2047" s="1">
        <v>96.58</v>
      </c>
      <c r="G2047" t="s">
        <v>14</v>
      </c>
      <c r="H2047" t="s">
        <v>15</v>
      </c>
      <c r="I2047" s="2">
        <v>2.2000000000000002</v>
      </c>
      <c r="J2047" s="4">
        <v>6</v>
      </c>
      <c r="K2047" s="3">
        <v>3</v>
      </c>
      <c r="L2047" s="1">
        <f t="shared" si="93"/>
        <v>90.785199999999989</v>
      </c>
      <c r="M2047" t="str" cm="1">
        <f t="array" ref="M2047">_xlfn.IFS(B2047&lt;18,"Under 18",B2047 &lt;=25,"18-25",B2047&lt;=35,"26-35",B2047&lt;=45,"36-45",B2047&lt;=60,"46-60",TRUE,"60+")</f>
        <v>18-25</v>
      </c>
      <c r="N2047" t="str">
        <f t="shared" si="94"/>
        <v>Discounted</v>
      </c>
      <c r="O2047" t="str">
        <f t="shared" si="95"/>
        <v>Returning</v>
      </c>
    </row>
    <row r="2048" spans="1:15" x14ac:dyDescent="0.25">
      <c r="A2048">
        <v>2047</v>
      </c>
      <c r="B2048">
        <v>33</v>
      </c>
      <c r="C2048" t="s">
        <v>16</v>
      </c>
      <c r="D2048" t="s">
        <v>20</v>
      </c>
      <c r="E2048" t="s">
        <v>21</v>
      </c>
      <c r="F2048" s="1">
        <v>80.86</v>
      </c>
      <c r="G2048" t="s">
        <v>24</v>
      </c>
      <c r="H2048" t="s">
        <v>15</v>
      </c>
      <c r="I2048" s="2">
        <v>4.5</v>
      </c>
      <c r="J2048" s="4">
        <v>8</v>
      </c>
      <c r="K2048" s="3">
        <v>4</v>
      </c>
      <c r="L2048" s="1">
        <f t="shared" si="93"/>
        <v>74.391199999999998</v>
      </c>
      <c r="M2048" t="str" cm="1">
        <f t="array" ref="M2048">_xlfn.IFS(B2048&lt;18,"Under 18",B2048 &lt;=25,"18-25",B2048&lt;=35,"26-35",B2048&lt;=45,"36-45",B2048&lt;=60,"46-60",TRUE,"60+")</f>
        <v>26-35</v>
      </c>
      <c r="N2048" t="str">
        <f t="shared" si="94"/>
        <v>Discounted</v>
      </c>
      <c r="O2048" t="str">
        <f t="shared" si="95"/>
        <v>Returning</v>
      </c>
    </row>
    <row r="2049" spans="1:15" x14ac:dyDescent="0.25">
      <c r="A2049">
        <v>2048</v>
      </c>
      <c r="B2049">
        <v>37</v>
      </c>
      <c r="C2049" t="s">
        <v>16</v>
      </c>
      <c r="D2049" t="s">
        <v>17</v>
      </c>
      <c r="E2049" t="s">
        <v>18</v>
      </c>
      <c r="F2049" s="1">
        <v>50.27</v>
      </c>
      <c r="G2049" t="s">
        <v>31</v>
      </c>
      <c r="H2049" t="s">
        <v>15</v>
      </c>
      <c r="I2049" s="2">
        <v>3</v>
      </c>
      <c r="J2049" s="4">
        <v>10</v>
      </c>
      <c r="K2049" s="3">
        <v>5</v>
      </c>
      <c r="L2049" s="1">
        <f t="shared" si="93"/>
        <v>45.243000000000002</v>
      </c>
      <c r="M2049" t="str" cm="1">
        <f t="array" ref="M2049">_xlfn.IFS(B2049&lt;18,"Under 18",B2049 &lt;=25,"18-25",B2049&lt;=35,"26-35",B2049&lt;=45,"36-45",B2049&lt;=60,"46-60",TRUE,"60+")</f>
        <v>36-45</v>
      </c>
      <c r="N2049" t="str">
        <f t="shared" si="94"/>
        <v>Discounted</v>
      </c>
      <c r="O2049" t="str">
        <f t="shared" si="95"/>
        <v>Returning</v>
      </c>
    </row>
    <row r="2050" spans="1:15" x14ac:dyDescent="0.25">
      <c r="A2050">
        <v>2049</v>
      </c>
      <c r="B2050">
        <v>24</v>
      </c>
      <c r="C2050" t="s">
        <v>11</v>
      </c>
      <c r="D2050" t="s">
        <v>29</v>
      </c>
      <c r="E2050" t="s">
        <v>51</v>
      </c>
      <c r="F2050" s="1">
        <v>34.42</v>
      </c>
      <c r="G2050" t="s">
        <v>14</v>
      </c>
      <c r="H2050" t="s">
        <v>37</v>
      </c>
      <c r="I2050" s="2">
        <v>4.5</v>
      </c>
      <c r="J2050" s="4">
        <v>17</v>
      </c>
      <c r="K2050" s="3">
        <v>6</v>
      </c>
      <c r="L2050" s="1">
        <f t="shared" si="93"/>
        <v>28.5686</v>
      </c>
      <c r="M2050" t="str" cm="1">
        <f t="array" ref="M2050">_xlfn.IFS(B2050&lt;18,"Under 18",B2050 &lt;=25,"18-25",B2050&lt;=35,"26-35",B2050&lt;=45,"36-45",B2050&lt;=60,"46-60",TRUE,"60+")</f>
        <v>18-25</v>
      </c>
      <c r="N2050" t="str">
        <f t="shared" si="94"/>
        <v>Discounted</v>
      </c>
      <c r="O2050" t="str">
        <f t="shared" si="95"/>
        <v>Returning</v>
      </c>
    </row>
    <row r="2051" spans="1:15" x14ac:dyDescent="0.25">
      <c r="A2051">
        <v>2050</v>
      </c>
      <c r="B2051">
        <v>34</v>
      </c>
      <c r="C2051" t="s">
        <v>11</v>
      </c>
      <c r="D2051" t="s">
        <v>29</v>
      </c>
      <c r="E2051" t="s">
        <v>51</v>
      </c>
      <c r="F2051" s="1">
        <v>49.63</v>
      </c>
      <c r="G2051" t="s">
        <v>31</v>
      </c>
      <c r="H2051" t="s">
        <v>15</v>
      </c>
      <c r="I2051" s="2">
        <v>3.7</v>
      </c>
      <c r="J2051" s="4">
        <v>19</v>
      </c>
      <c r="K2051" s="3">
        <v>7</v>
      </c>
      <c r="L2051" s="1">
        <f t="shared" ref="L2051:L2114" si="96">F2051 * (1 - J2051 / 100)</f>
        <v>40.200300000000006</v>
      </c>
      <c r="M2051" t="str" cm="1">
        <f t="array" ref="M2051">_xlfn.IFS(B2051&lt;18,"Under 18",B2051 &lt;=25,"18-25",B2051&lt;=35,"26-35",B2051&lt;=45,"36-45",B2051&lt;=60,"46-60",TRUE,"60+")</f>
        <v>26-35</v>
      </c>
      <c r="N2051" t="str">
        <f t="shared" ref="N2051:N2114" si="97">IF(J2051&gt;0,"Discounted","No Discount")</f>
        <v>Discounted</v>
      </c>
      <c r="O2051" t="str">
        <f t="shared" ref="O2051:O2114" si="98">IF(K2051&gt;0,"Returning","New")</f>
        <v>Returning</v>
      </c>
    </row>
    <row r="2052" spans="1:15" x14ac:dyDescent="0.25">
      <c r="A2052">
        <v>2051</v>
      </c>
      <c r="B2052">
        <v>25</v>
      </c>
      <c r="C2052" t="s">
        <v>11</v>
      </c>
      <c r="D2052" t="s">
        <v>22</v>
      </c>
      <c r="E2052" t="s">
        <v>23</v>
      </c>
      <c r="F2052" s="1">
        <v>219.43</v>
      </c>
      <c r="G2052" t="s">
        <v>19</v>
      </c>
      <c r="H2052" t="s">
        <v>15</v>
      </c>
      <c r="I2052" s="2">
        <v>2.9</v>
      </c>
      <c r="J2052" s="4">
        <v>20</v>
      </c>
      <c r="K2052" s="3">
        <v>5</v>
      </c>
      <c r="L2052" s="1">
        <f t="shared" si="96"/>
        <v>175.54400000000001</v>
      </c>
      <c r="M2052" t="str" cm="1">
        <f t="array" ref="M2052">_xlfn.IFS(B2052&lt;18,"Under 18",B2052 &lt;=25,"18-25",B2052&lt;=35,"26-35",B2052&lt;=45,"36-45",B2052&lt;=60,"46-60",TRUE,"60+")</f>
        <v>18-25</v>
      </c>
      <c r="N2052" t="str">
        <f t="shared" si="97"/>
        <v>Discounted</v>
      </c>
      <c r="O2052" t="str">
        <f t="shared" si="98"/>
        <v>Returning</v>
      </c>
    </row>
    <row r="2053" spans="1:15" x14ac:dyDescent="0.25">
      <c r="A2053">
        <v>2052</v>
      </c>
      <c r="B2053">
        <v>69</v>
      </c>
      <c r="C2053" t="s">
        <v>16</v>
      </c>
      <c r="D2053" t="s">
        <v>33</v>
      </c>
      <c r="E2053" t="s">
        <v>40</v>
      </c>
      <c r="F2053" s="1">
        <v>145.47999999999999</v>
      </c>
      <c r="G2053" t="s">
        <v>14</v>
      </c>
      <c r="H2053" t="s">
        <v>15</v>
      </c>
      <c r="I2053" s="2">
        <v>3.7</v>
      </c>
      <c r="J2053" s="4">
        <v>13</v>
      </c>
      <c r="K2053" s="3">
        <v>4</v>
      </c>
      <c r="L2053" s="1">
        <f t="shared" si="96"/>
        <v>126.56759999999998</v>
      </c>
      <c r="M2053" t="str" cm="1">
        <f t="array" ref="M2053">_xlfn.IFS(B2053&lt;18,"Under 18",B2053 &lt;=25,"18-25",B2053&lt;=35,"26-35",B2053&lt;=45,"36-45",B2053&lt;=60,"46-60",TRUE,"60+")</f>
        <v>60+</v>
      </c>
      <c r="N2053" t="str">
        <f t="shared" si="97"/>
        <v>Discounted</v>
      </c>
      <c r="O2053" t="str">
        <f t="shared" si="98"/>
        <v>Returning</v>
      </c>
    </row>
    <row r="2054" spans="1:15" x14ac:dyDescent="0.25">
      <c r="A2054">
        <v>2053</v>
      </c>
      <c r="B2054">
        <v>64</v>
      </c>
      <c r="C2054" t="s">
        <v>11</v>
      </c>
      <c r="D2054" t="s">
        <v>33</v>
      </c>
      <c r="E2054" t="s">
        <v>38</v>
      </c>
      <c r="F2054" s="1">
        <v>194.52</v>
      </c>
      <c r="G2054" t="s">
        <v>31</v>
      </c>
      <c r="H2054" t="s">
        <v>15</v>
      </c>
      <c r="I2054" s="2">
        <v>4.0999999999999996</v>
      </c>
      <c r="J2054" s="4">
        <v>8</v>
      </c>
      <c r="K2054" s="3">
        <v>4</v>
      </c>
      <c r="L2054" s="1">
        <f t="shared" si="96"/>
        <v>178.95840000000001</v>
      </c>
      <c r="M2054" t="str" cm="1">
        <f t="array" ref="M2054">_xlfn.IFS(B2054&lt;18,"Under 18",B2054 &lt;=25,"18-25",B2054&lt;=35,"26-35",B2054&lt;=45,"36-45",B2054&lt;=60,"46-60",TRUE,"60+")</f>
        <v>60+</v>
      </c>
      <c r="N2054" t="str">
        <f t="shared" si="97"/>
        <v>Discounted</v>
      </c>
      <c r="O2054" t="str">
        <f t="shared" si="98"/>
        <v>Returning</v>
      </c>
    </row>
    <row r="2055" spans="1:15" x14ac:dyDescent="0.25">
      <c r="A2055">
        <v>2054</v>
      </c>
      <c r="B2055">
        <v>65</v>
      </c>
      <c r="C2055" t="s">
        <v>16</v>
      </c>
      <c r="D2055" t="s">
        <v>33</v>
      </c>
      <c r="E2055" t="s">
        <v>40</v>
      </c>
      <c r="F2055" s="1">
        <v>230.37</v>
      </c>
      <c r="G2055" t="s">
        <v>19</v>
      </c>
      <c r="H2055" t="s">
        <v>15</v>
      </c>
      <c r="I2055" s="2">
        <v>2.6</v>
      </c>
      <c r="J2055" s="4">
        <v>9</v>
      </c>
      <c r="K2055" s="3">
        <v>2</v>
      </c>
      <c r="L2055" s="1">
        <f t="shared" si="96"/>
        <v>209.63670000000002</v>
      </c>
      <c r="M2055" t="str" cm="1">
        <f t="array" ref="M2055">_xlfn.IFS(B2055&lt;18,"Under 18",B2055 &lt;=25,"18-25",B2055&lt;=35,"26-35",B2055&lt;=45,"36-45",B2055&lt;=60,"46-60",TRUE,"60+")</f>
        <v>60+</v>
      </c>
      <c r="N2055" t="str">
        <f t="shared" si="97"/>
        <v>Discounted</v>
      </c>
      <c r="O2055" t="str">
        <f t="shared" si="98"/>
        <v>Returning</v>
      </c>
    </row>
    <row r="2056" spans="1:15" x14ac:dyDescent="0.25">
      <c r="A2056">
        <v>2055</v>
      </c>
      <c r="B2056">
        <v>45</v>
      </c>
      <c r="C2056" t="s">
        <v>16</v>
      </c>
      <c r="D2056" t="s">
        <v>33</v>
      </c>
      <c r="E2056" t="s">
        <v>38</v>
      </c>
      <c r="F2056" s="1">
        <v>60.13</v>
      </c>
      <c r="G2056" t="s">
        <v>19</v>
      </c>
      <c r="H2056" t="s">
        <v>15</v>
      </c>
      <c r="I2056" s="2">
        <v>2.8</v>
      </c>
      <c r="J2056" s="4">
        <v>19</v>
      </c>
      <c r="K2056" s="3">
        <v>7</v>
      </c>
      <c r="L2056" s="1">
        <f t="shared" si="96"/>
        <v>48.705300000000008</v>
      </c>
      <c r="M2056" t="str" cm="1">
        <f t="array" ref="M2056">_xlfn.IFS(B2056&lt;18,"Under 18",B2056 &lt;=25,"18-25",B2056&lt;=35,"26-35",B2056&lt;=45,"36-45",B2056&lt;=60,"46-60",TRUE,"60+")</f>
        <v>36-45</v>
      </c>
      <c r="N2056" t="str">
        <f t="shared" si="97"/>
        <v>Discounted</v>
      </c>
      <c r="O2056" t="str">
        <f t="shared" si="98"/>
        <v>Returning</v>
      </c>
    </row>
    <row r="2057" spans="1:15" x14ac:dyDescent="0.25">
      <c r="A2057">
        <v>2056</v>
      </c>
      <c r="B2057">
        <v>64</v>
      </c>
      <c r="C2057" t="s">
        <v>16</v>
      </c>
      <c r="D2057" t="s">
        <v>20</v>
      </c>
      <c r="E2057" t="s">
        <v>39</v>
      </c>
      <c r="F2057" s="1">
        <v>34.24</v>
      </c>
      <c r="G2057" t="s">
        <v>24</v>
      </c>
      <c r="H2057" t="s">
        <v>15</v>
      </c>
      <c r="I2057" s="2">
        <v>4</v>
      </c>
      <c r="J2057" s="4">
        <v>16</v>
      </c>
      <c r="K2057" s="3">
        <v>8</v>
      </c>
      <c r="L2057" s="1">
        <f t="shared" si="96"/>
        <v>28.761600000000001</v>
      </c>
      <c r="M2057" t="str" cm="1">
        <f t="array" ref="M2057">_xlfn.IFS(B2057&lt;18,"Under 18",B2057 &lt;=25,"18-25",B2057&lt;=35,"26-35",B2057&lt;=45,"36-45",B2057&lt;=60,"46-60",TRUE,"60+")</f>
        <v>60+</v>
      </c>
      <c r="N2057" t="str">
        <f t="shared" si="97"/>
        <v>Discounted</v>
      </c>
      <c r="O2057" t="str">
        <f t="shared" si="98"/>
        <v>Returning</v>
      </c>
    </row>
    <row r="2058" spans="1:15" x14ac:dyDescent="0.25">
      <c r="A2058">
        <v>2057</v>
      </c>
      <c r="B2058">
        <v>60</v>
      </c>
      <c r="C2058" t="s">
        <v>16</v>
      </c>
      <c r="D2058" t="s">
        <v>17</v>
      </c>
      <c r="E2058" t="s">
        <v>48</v>
      </c>
      <c r="F2058" s="1">
        <v>167.44</v>
      </c>
      <c r="G2058" t="s">
        <v>24</v>
      </c>
      <c r="H2058" t="s">
        <v>15</v>
      </c>
      <c r="I2058" s="2">
        <v>3.9</v>
      </c>
      <c r="J2058" s="4">
        <v>18</v>
      </c>
      <c r="K2058" s="3">
        <v>4</v>
      </c>
      <c r="L2058" s="1">
        <f t="shared" si="96"/>
        <v>137.30080000000001</v>
      </c>
      <c r="M2058" t="str" cm="1">
        <f t="array" ref="M2058">_xlfn.IFS(B2058&lt;18,"Under 18",B2058 &lt;=25,"18-25",B2058&lt;=35,"26-35",B2058&lt;=45,"36-45",B2058&lt;=60,"46-60",TRUE,"60+")</f>
        <v>46-60</v>
      </c>
      <c r="N2058" t="str">
        <f t="shared" si="97"/>
        <v>Discounted</v>
      </c>
      <c r="O2058" t="str">
        <f t="shared" si="98"/>
        <v>Returning</v>
      </c>
    </row>
    <row r="2059" spans="1:15" x14ac:dyDescent="0.25">
      <c r="A2059">
        <v>2058</v>
      </c>
      <c r="B2059">
        <v>24</v>
      </c>
      <c r="C2059" t="s">
        <v>11</v>
      </c>
      <c r="D2059" t="s">
        <v>29</v>
      </c>
      <c r="E2059" t="s">
        <v>51</v>
      </c>
      <c r="F2059" s="1">
        <v>115.74</v>
      </c>
      <c r="G2059" t="s">
        <v>19</v>
      </c>
      <c r="H2059" t="s">
        <v>15</v>
      </c>
      <c r="I2059" s="2">
        <v>3.2</v>
      </c>
      <c r="J2059" s="4">
        <v>14</v>
      </c>
      <c r="K2059" s="3">
        <v>2</v>
      </c>
      <c r="L2059" s="1">
        <f t="shared" si="96"/>
        <v>99.5364</v>
      </c>
      <c r="M2059" t="str" cm="1">
        <f t="array" ref="M2059">_xlfn.IFS(B2059&lt;18,"Under 18",B2059 &lt;=25,"18-25",B2059&lt;=35,"26-35",B2059&lt;=45,"36-45",B2059&lt;=60,"46-60",TRUE,"60+")</f>
        <v>18-25</v>
      </c>
      <c r="N2059" t="str">
        <f t="shared" si="97"/>
        <v>Discounted</v>
      </c>
      <c r="O2059" t="str">
        <f t="shared" si="98"/>
        <v>Returning</v>
      </c>
    </row>
    <row r="2060" spans="1:15" x14ac:dyDescent="0.25">
      <c r="A2060">
        <v>2059</v>
      </c>
      <c r="B2060">
        <v>54</v>
      </c>
      <c r="C2060" t="s">
        <v>11</v>
      </c>
      <c r="D2060" t="s">
        <v>33</v>
      </c>
      <c r="E2060" t="s">
        <v>38</v>
      </c>
      <c r="F2060" s="1">
        <v>62.32</v>
      </c>
      <c r="G2060" t="s">
        <v>31</v>
      </c>
      <c r="H2060" t="s">
        <v>37</v>
      </c>
      <c r="I2060" s="2">
        <v>3.2</v>
      </c>
      <c r="J2060" s="4">
        <v>18</v>
      </c>
      <c r="K2060" s="3">
        <v>4</v>
      </c>
      <c r="L2060" s="1">
        <f t="shared" si="96"/>
        <v>51.102400000000003</v>
      </c>
      <c r="M2060" t="str" cm="1">
        <f t="array" ref="M2060">_xlfn.IFS(B2060&lt;18,"Under 18",B2060 &lt;=25,"18-25",B2060&lt;=35,"26-35",B2060&lt;=45,"36-45",B2060&lt;=60,"46-60",TRUE,"60+")</f>
        <v>46-60</v>
      </c>
      <c r="N2060" t="str">
        <f t="shared" si="97"/>
        <v>Discounted</v>
      </c>
      <c r="O2060" t="str">
        <f t="shared" si="98"/>
        <v>Returning</v>
      </c>
    </row>
    <row r="2061" spans="1:15" x14ac:dyDescent="0.25">
      <c r="A2061">
        <v>2060</v>
      </c>
      <c r="B2061">
        <v>22</v>
      </c>
      <c r="C2061" t="s">
        <v>11</v>
      </c>
      <c r="D2061" t="s">
        <v>25</v>
      </c>
      <c r="E2061" t="s">
        <v>54</v>
      </c>
      <c r="F2061" s="1">
        <v>63.29</v>
      </c>
      <c r="G2061" t="s">
        <v>19</v>
      </c>
      <c r="H2061" t="s">
        <v>15</v>
      </c>
      <c r="I2061" s="2">
        <v>4.3</v>
      </c>
      <c r="J2061" s="4">
        <v>13</v>
      </c>
      <c r="K2061" s="3">
        <v>4</v>
      </c>
      <c r="L2061" s="1">
        <f t="shared" si="96"/>
        <v>55.0623</v>
      </c>
      <c r="M2061" t="str" cm="1">
        <f t="array" ref="M2061">_xlfn.IFS(B2061&lt;18,"Under 18",B2061 &lt;=25,"18-25",B2061&lt;=35,"26-35",B2061&lt;=45,"36-45",B2061&lt;=60,"46-60",TRUE,"60+")</f>
        <v>18-25</v>
      </c>
      <c r="N2061" t="str">
        <f t="shared" si="97"/>
        <v>Discounted</v>
      </c>
      <c r="O2061" t="str">
        <f t="shared" si="98"/>
        <v>Returning</v>
      </c>
    </row>
    <row r="2062" spans="1:15" x14ac:dyDescent="0.25">
      <c r="A2062">
        <v>2061</v>
      </c>
      <c r="B2062">
        <v>34</v>
      </c>
      <c r="C2062" t="s">
        <v>11</v>
      </c>
      <c r="D2062" t="s">
        <v>12</v>
      </c>
      <c r="E2062" t="s">
        <v>56</v>
      </c>
      <c r="F2062" s="1">
        <v>32.61</v>
      </c>
      <c r="G2062" t="s">
        <v>31</v>
      </c>
      <c r="H2062" t="s">
        <v>37</v>
      </c>
      <c r="I2062" s="2">
        <v>3.4</v>
      </c>
      <c r="J2062" s="4">
        <v>22</v>
      </c>
      <c r="K2062" s="3">
        <v>6</v>
      </c>
      <c r="L2062" s="1">
        <f t="shared" si="96"/>
        <v>25.4358</v>
      </c>
      <c r="M2062" t="str" cm="1">
        <f t="array" ref="M2062">_xlfn.IFS(B2062&lt;18,"Under 18",B2062 &lt;=25,"18-25",B2062&lt;=35,"26-35",B2062&lt;=45,"36-45",B2062&lt;=60,"46-60",TRUE,"60+")</f>
        <v>26-35</v>
      </c>
      <c r="N2062" t="str">
        <f t="shared" si="97"/>
        <v>Discounted</v>
      </c>
      <c r="O2062" t="str">
        <f t="shared" si="98"/>
        <v>Returning</v>
      </c>
    </row>
    <row r="2063" spans="1:15" x14ac:dyDescent="0.25">
      <c r="A2063">
        <v>2062</v>
      </c>
      <c r="B2063">
        <v>51</v>
      </c>
      <c r="C2063" t="s">
        <v>11</v>
      </c>
      <c r="D2063" t="s">
        <v>22</v>
      </c>
      <c r="E2063" t="s">
        <v>43</v>
      </c>
      <c r="F2063" s="1">
        <v>108.64</v>
      </c>
      <c r="G2063" t="s">
        <v>19</v>
      </c>
      <c r="H2063" t="s">
        <v>15</v>
      </c>
      <c r="I2063" s="2">
        <v>2.8</v>
      </c>
      <c r="J2063" s="4">
        <v>12</v>
      </c>
      <c r="K2063" s="3">
        <v>6</v>
      </c>
      <c r="L2063" s="1">
        <f t="shared" si="96"/>
        <v>95.603200000000001</v>
      </c>
      <c r="M2063" t="str" cm="1">
        <f t="array" ref="M2063">_xlfn.IFS(B2063&lt;18,"Under 18",B2063 &lt;=25,"18-25",B2063&lt;=35,"26-35",B2063&lt;=45,"36-45",B2063&lt;=60,"46-60",TRUE,"60+")</f>
        <v>46-60</v>
      </c>
      <c r="N2063" t="str">
        <f t="shared" si="97"/>
        <v>Discounted</v>
      </c>
      <c r="O2063" t="str">
        <f t="shared" si="98"/>
        <v>Returning</v>
      </c>
    </row>
    <row r="2064" spans="1:15" x14ac:dyDescent="0.25">
      <c r="A2064">
        <v>2063</v>
      </c>
      <c r="B2064">
        <v>36</v>
      </c>
      <c r="C2064" t="s">
        <v>16</v>
      </c>
      <c r="D2064" t="s">
        <v>17</v>
      </c>
      <c r="E2064" t="s">
        <v>35</v>
      </c>
      <c r="F2064" s="1">
        <v>193.29</v>
      </c>
      <c r="G2064" t="s">
        <v>31</v>
      </c>
      <c r="H2064" t="s">
        <v>15</v>
      </c>
      <c r="I2064" s="2">
        <v>3.3</v>
      </c>
      <c r="J2064" s="4">
        <v>20</v>
      </c>
      <c r="K2064" s="3">
        <v>5</v>
      </c>
      <c r="L2064" s="1">
        <f t="shared" si="96"/>
        <v>154.63200000000001</v>
      </c>
      <c r="M2064" t="str" cm="1">
        <f t="array" ref="M2064">_xlfn.IFS(B2064&lt;18,"Under 18",B2064 &lt;=25,"18-25",B2064&lt;=35,"26-35",B2064&lt;=45,"36-45",B2064&lt;=60,"46-60",TRUE,"60+")</f>
        <v>36-45</v>
      </c>
      <c r="N2064" t="str">
        <f t="shared" si="97"/>
        <v>Discounted</v>
      </c>
      <c r="O2064" t="str">
        <f t="shared" si="98"/>
        <v>Returning</v>
      </c>
    </row>
    <row r="2065" spans="1:15" x14ac:dyDescent="0.25">
      <c r="A2065">
        <v>2064</v>
      </c>
      <c r="B2065">
        <v>45</v>
      </c>
      <c r="C2065" t="s">
        <v>16</v>
      </c>
      <c r="D2065" t="s">
        <v>17</v>
      </c>
      <c r="E2065" t="s">
        <v>48</v>
      </c>
      <c r="F2065" s="1">
        <v>58.73</v>
      </c>
      <c r="G2065" t="s">
        <v>31</v>
      </c>
      <c r="H2065" t="s">
        <v>37</v>
      </c>
      <c r="I2065" s="2">
        <v>3.9</v>
      </c>
      <c r="J2065" s="4">
        <v>14</v>
      </c>
      <c r="K2065" s="3">
        <v>7</v>
      </c>
      <c r="L2065" s="1">
        <f t="shared" si="96"/>
        <v>50.507799999999996</v>
      </c>
      <c r="M2065" t="str" cm="1">
        <f t="array" ref="M2065">_xlfn.IFS(B2065&lt;18,"Under 18",B2065 &lt;=25,"18-25",B2065&lt;=35,"26-35",B2065&lt;=45,"36-45",B2065&lt;=60,"46-60",TRUE,"60+")</f>
        <v>36-45</v>
      </c>
      <c r="N2065" t="str">
        <f t="shared" si="97"/>
        <v>Discounted</v>
      </c>
      <c r="O2065" t="str">
        <f t="shared" si="98"/>
        <v>Returning</v>
      </c>
    </row>
    <row r="2066" spans="1:15" x14ac:dyDescent="0.25">
      <c r="A2066">
        <v>2065</v>
      </c>
      <c r="B2066">
        <v>55</v>
      </c>
      <c r="C2066" t="s">
        <v>11</v>
      </c>
      <c r="D2066" t="s">
        <v>33</v>
      </c>
      <c r="E2066" t="s">
        <v>34</v>
      </c>
      <c r="F2066" s="1">
        <v>178.52</v>
      </c>
      <c r="G2066" t="s">
        <v>14</v>
      </c>
      <c r="H2066" t="s">
        <v>15</v>
      </c>
      <c r="I2066" s="2">
        <v>3.8</v>
      </c>
      <c r="J2066" s="4">
        <v>11</v>
      </c>
      <c r="K2066" s="3">
        <v>3</v>
      </c>
      <c r="L2066" s="1">
        <f t="shared" si="96"/>
        <v>158.8828</v>
      </c>
      <c r="M2066" t="str" cm="1">
        <f t="array" ref="M2066">_xlfn.IFS(B2066&lt;18,"Under 18",B2066 &lt;=25,"18-25",B2066&lt;=35,"26-35",B2066&lt;=45,"36-45",B2066&lt;=60,"46-60",TRUE,"60+")</f>
        <v>46-60</v>
      </c>
      <c r="N2066" t="str">
        <f t="shared" si="97"/>
        <v>Discounted</v>
      </c>
      <c r="O2066" t="str">
        <f t="shared" si="98"/>
        <v>Returning</v>
      </c>
    </row>
    <row r="2067" spans="1:15" x14ac:dyDescent="0.25">
      <c r="A2067">
        <v>2066</v>
      </c>
      <c r="B2067">
        <v>29</v>
      </c>
      <c r="C2067" t="s">
        <v>16</v>
      </c>
      <c r="D2067" t="s">
        <v>27</v>
      </c>
      <c r="E2067" t="s">
        <v>32</v>
      </c>
      <c r="F2067" s="1">
        <v>636.49</v>
      </c>
      <c r="G2067" t="s">
        <v>31</v>
      </c>
      <c r="H2067" t="s">
        <v>15</v>
      </c>
      <c r="I2067" s="2">
        <v>3.7</v>
      </c>
      <c r="J2067" s="4">
        <v>12</v>
      </c>
      <c r="K2067" s="3">
        <v>6</v>
      </c>
      <c r="L2067" s="1">
        <f t="shared" si="96"/>
        <v>560.11120000000005</v>
      </c>
      <c r="M2067" t="str" cm="1">
        <f t="array" ref="M2067">_xlfn.IFS(B2067&lt;18,"Under 18",B2067 &lt;=25,"18-25",B2067&lt;=35,"26-35",B2067&lt;=45,"36-45",B2067&lt;=60,"46-60",TRUE,"60+")</f>
        <v>26-35</v>
      </c>
      <c r="N2067" t="str">
        <f t="shared" si="97"/>
        <v>Discounted</v>
      </c>
      <c r="O2067" t="str">
        <f t="shared" si="98"/>
        <v>Returning</v>
      </c>
    </row>
    <row r="2068" spans="1:15" x14ac:dyDescent="0.25">
      <c r="A2068">
        <v>2067</v>
      </c>
      <c r="B2068">
        <v>46</v>
      </c>
      <c r="C2068" t="s">
        <v>11</v>
      </c>
      <c r="D2068" t="s">
        <v>29</v>
      </c>
      <c r="E2068" t="s">
        <v>55</v>
      </c>
      <c r="F2068" s="1">
        <v>86.93</v>
      </c>
      <c r="G2068" t="s">
        <v>19</v>
      </c>
      <c r="H2068" t="s">
        <v>37</v>
      </c>
      <c r="I2068" s="2">
        <v>2.6</v>
      </c>
      <c r="J2068" s="4">
        <v>13</v>
      </c>
      <c r="K2068" s="3">
        <v>4</v>
      </c>
      <c r="L2068" s="1">
        <f t="shared" si="96"/>
        <v>75.629100000000008</v>
      </c>
      <c r="M2068" t="str" cm="1">
        <f t="array" ref="M2068">_xlfn.IFS(B2068&lt;18,"Under 18",B2068 &lt;=25,"18-25",B2068&lt;=35,"26-35",B2068&lt;=45,"36-45",B2068&lt;=60,"46-60",TRUE,"60+")</f>
        <v>46-60</v>
      </c>
      <c r="N2068" t="str">
        <f t="shared" si="97"/>
        <v>Discounted</v>
      </c>
      <c r="O2068" t="str">
        <f t="shared" si="98"/>
        <v>Returning</v>
      </c>
    </row>
    <row r="2069" spans="1:15" x14ac:dyDescent="0.25">
      <c r="A2069">
        <v>2068</v>
      </c>
      <c r="B2069">
        <v>63</v>
      </c>
      <c r="C2069" t="s">
        <v>16</v>
      </c>
      <c r="D2069" t="s">
        <v>17</v>
      </c>
      <c r="E2069" t="s">
        <v>42</v>
      </c>
      <c r="F2069" s="1">
        <v>101.13</v>
      </c>
      <c r="G2069" t="s">
        <v>24</v>
      </c>
      <c r="H2069" t="s">
        <v>15</v>
      </c>
      <c r="I2069" s="2">
        <v>3.7</v>
      </c>
      <c r="J2069" s="4">
        <v>24</v>
      </c>
      <c r="K2069" s="3">
        <v>7</v>
      </c>
      <c r="L2069" s="1">
        <f t="shared" si="96"/>
        <v>76.858800000000002</v>
      </c>
      <c r="M2069" t="str" cm="1">
        <f t="array" ref="M2069">_xlfn.IFS(B2069&lt;18,"Under 18",B2069 &lt;=25,"18-25",B2069&lt;=35,"26-35",B2069&lt;=45,"36-45",B2069&lt;=60,"46-60",TRUE,"60+")</f>
        <v>60+</v>
      </c>
      <c r="N2069" t="str">
        <f t="shared" si="97"/>
        <v>Discounted</v>
      </c>
      <c r="O2069" t="str">
        <f t="shared" si="98"/>
        <v>Returning</v>
      </c>
    </row>
    <row r="2070" spans="1:15" x14ac:dyDescent="0.25">
      <c r="A2070">
        <v>2069</v>
      </c>
      <c r="B2070">
        <v>42</v>
      </c>
      <c r="C2070" t="s">
        <v>16</v>
      </c>
      <c r="D2070" t="s">
        <v>22</v>
      </c>
      <c r="E2070" t="s">
        <v>52</v>
      </c>
      <c r="F2070" s="1">
        <v>143.76</v>
      </c>
      <c r="G2070" t="s">
        <v>31</v>
      </c>
      <c r="H2070" t="s">
        <v>15</v>
      </c>
      <c r="I2070" s="2">
        <v>3.8</v>
      </c>
      <c r="J2070" s="4">
        <v>14</v>
      </c>
      <c r="K2070" s="3">
        <v>7</v>
      </c>
      <c r="L2070" s="1">
        <f t="shared" si="96"/>
        <v>123.63359999999999</v>
      </c>
      <c r="M2070" t="str" cm="1">
        <f t="array" ref="M2070">_xlfn.IFS(B2070&lt;18,"Under 18",B2070 &lt;=25,"18-25",B2070&lt;=35,"26-35",B2070&lt;=45,"36-45",B2070&lt;=60,"46-60",TRUE,"60+")</f>
        <v>36-45</v>
      </c>
      <c r="N2070" t="str">
        <f t="shared" si="97"/>
        <v>Discounted</v>
      </c>
      <c r="O2070" t="str">
        <f t="shared" si="98"/>
        <v>Returning</v>
      </c>
    </row>
    <row r="2071" spans="1:15" x14ac:dyDescent="0.25">
      <c r="A2071">
        <v>2070</v>
      </c>
      <c r="B2071">
        <v>42</v>
      </c>
      <c r="C2071" t="s">
        <v>16</v>
      </c>
      <c r="D2071" t="s">
        <v>22</v>
      </c>
      <c r="E2071" t="s">
        <v>52</v>
      </c>
      <c r="F2071" s="1">
        <v>204.7</v>
      </c>
      <c r="G2071" t="s">
        <v>19</v>
      </c>
      <c r="H2071" t="s">
        <v>15</v>
      </c>
      <c r="I2071" s="2">
        <v>4.2</v>
      </c>
      <c r="J2071" s="4">
        <v>20</v>
      </c>
      <c r="K2071" s="3">
        <v>5</v>
      </c>
      <c r="L2071" s="1">
        <f t="shared" si="96"/>
        <v>163.76</v>
      </c>
      <c r="M2071" t="str" cm="1">
        <f t="array" ref="M2071">_xlfn.IFS(B2071&lt;18,"Under 18",B2071 &lt;=25,"18-25",B2071&lt;=35,"26-35",B2071&lt;=45,"36-45",B2071&lt;=60,"46-60",TRUE,"60+")</f>
        <v>36-45</v>
      </c>
      <c r="N2071" t="str">
        <f t="shared" si="97"/>
        <v>Discounted</v>
      </c>
      <c r="O2071" t="str">
        <f t="shared" si="98"/>
        <v>Returning</v>
      </c>
    </row>
    <row r="2072" spans="1:15" x14ac:dyDescent="0.25">
      <c r="A2072">
        <v>2071</v>
      </c>
      <c r="B2072">
        <v>54</v>
      </c>
      <c r="C2072" t="s">
        <v>11</v>
      </c>
      <c r="D2072" t="s">
        <v>29</v>
      </c>
      <c r="E2072" t="s">
        <v>55</v>
      </c>
      <c r="F2072" s="1">
        <v>78.61</v>
      </c>
      <c r="G2072" t="s">
        <v>19</v>
      </c>
      <c r="H2072" t="s">
        <v>15</v>
      </c>
      <c r="I2072" s="2">
        <v>4.5999999999999996</v>
      </c>
      <c r="J2072" s="4">
        <v>13</v>
      </c>
      <c r="K2072" s="3">
        <v>4</v>
      </c>
      <c r="L2072" s="1">
        <f t="shared" si="96"/>
        <v>68.390699999999995</v>
      </c>
      <c r="M2072" t="str" cm="1">
        <f t="array" ref="M2072">_xlfn.IFS(B2072&lt;18,"Under 18",B2072 &lt;=25,"18-25",B2072&lt;=35,"26-35",B2072&lt;=45,"36-45",B2072&lt;=60,"46-60",TRUE,"60+")</f>
        <v>46-60</v>
      </c>
      <c r="N2072" t="str">
        <f t="shared" si="97"/>
        <v>Discounted</v>
      </c>
      <c r="O2072" t="str">
        <f t="shared" si="98"/>
        <v>Returning</v>
      </c>
    </row>
    <row r="2073" spans="1:15" x14ac:dyDescent="0.25">
      <c r="A2073">
        <v>2072</v>
      </c>
      <c r="B2073">
        <v>43</v>
      </c>
      <c r="C2073" t="s">
        <v>16</v>
      </c>
      <c r="D2073" t="s">
        <v>27</v>
      </c>
      <c r="E2073" t="s">
        <v>28</v>
      </c>
      <c r="F2073" s="1">
        <v>2249.9499999999998</v>
      </c>
      <c r="G2073" t="s">
        <v>19</v>
      </c>
      <c r="H2073" t="s">
        <v>15</v>
      </c>
      <c r="I2073" s="2">
        <v>3.8</v>
      </c>
      <c r="J2073" s="4">
        <v>14</v>
      </c>
      <c r="K2073" s="3">
        <v>2</v>
      </c>
      <c r="L2073" s="1">
        <f t="shared" si="96"/>
        <v>1934.9569999999999</v>
      </c>
      <c r="M2073" t="str" cm="1">
        <f t="array" ref="M2073">_xlfn.IFS(B2073&lt;18,"Under 18",B2073 &lt;=25,"18-25",B2073&lt;=35,"26-35",B2073&lt;=45,"36-45",B2073&lt;=60,"46-60",TRUE,"60+")</f>
        <v>36-45</v>
      </c>
      <c r="N2073" t="str">
        <f t="shared" si="97"/>
        <v>Discounted</v>
      </c>
      <c r="O2073" t="str">
        <f t="shared" si="98"/>
        <v>Returning</v>
      </c>
    </row>
    <row r="2074" spans="1:15" x14ac:dyDescent="0.25">
      <c r="A2074">
        <v>2073</v>
      </c>
      <c r="B2074">
        <v>47</v>
      </c>
      <c r="C2074" t="s">
        <v>16</v>
      </c>
      <c r="D2074" t="s">
        <v>22</v>
      </c>
      <c r="E2074" t="s">
        <v>43</v>
      </c>
      <c r="F2074" s="1">
        <v>129.09</v>
      </c>
      <c r="G2074" t="s">
        <v>31</v>
      </c>
      <c r="H2074" t="s">
        <v>15</v>
      </c>
      <c r="I2074" s="2">
        <v>4</v>
      </c>
      <c r="J2074" s="4">
        <v>19</v>
      </c>
      <c r="K2074" s="3">
        <v>7</v>
      </c>
      <c r="L2074" s="1">
        <f t="shared" si="96"/>
        <v>104.56290000000001</v>
      </c>
      <c r="M2074" t="str" cm="1">
        <f t="array" ref="M2074">_xlfn.IFS(B2074&lt;18,"Under 18",B2074 &lt;=25,"18-25",B2074&lt;=35,"26-35",B2074&lt;=45,"36-45",B2074&lt;=60,"46-60",TRUE,"60+")</f>
        <v>46-60</v>
      </c>
      <c r="N2074" t="str">
        <f t="shared" si="97"/>
        <v>Discounted</v>
      </c>
      <c r="O2074" t="str">
        <f t="shared" si="98"/>
        <v>Returning</v>
      </c>
    </row>
    <row r="2075" spans="1:15" x14ac:dyDescent="0.25">
      <c r="A2075">
        <v>2074</v>
      </c>
      <c r="B2075">
        <v>36</v>
      </c>
      <c r="C2075" t="s">
        <v>16</v>
      </c>
      <c r="D2075" t="s">
        <v>27</v>
      </c>
      <c r="E2075" t="s">
        <v>53</v>
      </c>
      <c r="F2075" s="1">
        <v>2297.54</v>
      </c>
      <c r="G2075" t="s">
        <v>14</v>
      </c>
      <c r="H2075" t="s">
        <v>15</v>
      </c>
      <c r="I2075" s="2">
        <v>3.2</v>
      </c>
      <c r="J2075" s="4">
        <v>4</v>
      </c>
      <c r="K2075" s="3">
        <v>2</v>
      </c>
      <c r="L2075" s="1">
        <f t="shared" si="96"/>
        <v>2205.6383999999998</v>
      </c>
      <c r="M2075" t="str" cm="1">
        <f t="array" ref="M2075">_xlfn.IFS(B2075&lt;18,"Under 18",B2075 &lt;=25,"18-25",B2075&lt;=35,"26-35",B2075&lt;=45,"36-45",B2075&lt;=60,"46-60",TRUE,"60+")</f>
        <v>36-45</v>
      </c>
      <c r="N2075" t="str">
        <f t="shared" si="97"/>
        <v>Discounted</v>
      </c>
      <c r="O2075" t="str">
        <f t="shared" si="98"/>
        <v>Returning</v>
      </c>
    </row>
    <row r="2076" spans="1:15" x14ac:dyDescent="0.25">
      <c r="A2076">
        <v>2075</v>
      </c>
      <c r="B2076">
        <v>23</v>
      </c>
      <c r="C2076" t="s">
        <v>11</v>
      </c>
      <c r="D2076" t="s">
        <v>22</v>
      </c>
      <c r="E2076" t="s">
        <v>23</v>
      </c>
      <c r="F2076" s="1">
        <v>219.81</v>
      </c>
      <c r="G2076" t="s">
        <v>19</v>
      </c>
      <c r="H2076" t="s">
        <v>15</v>
      </c>
      <c r="I2076" s="2">
        <v>3.7</v>
      </c>
      <c r="J2076" s="4">
        <v>11</v>
      </c>
      <c r="K2076" s="3">
        <v>3</v>
      </c>
      <c r="L2076" s="1">
        <f t="shared" si="96"/>
        <v>195.6309</v>
      </c>
      <c r="M2076" t="str" cm="1">
        <f t="array" ref="M2076">_xlfn.IFS(B2076&lt;18,"Under 18",B2076 &lt;=25,"18-25",B2076&lt;=35,"26-35",B2076&lt;=45,"36-45",B2076&lt;=60,"46-60",TRUE,"60+")</f>
        <v>18-25</v>
      </c>
      <c r="N2076" t="str">
        <f t="shared" si="97"/>
        <v>Discounted</v>
      </c>
      <c r="O2076" t="str">
        <f t="shared" si="98"/>
        <v>Returning</v>
      </c>
    </row>
    <row r="2077" spans="1:15" x14ac:dyDescent="0.25">
      <c r="A2077">
        <v>2076</v>
      </c>
      <c r="B2077">
        <v>40</v>
      </c>
      <c r="C2077" t="s">
        <v>11</v>
      </c>
      <c r="D2077" t="s">
        <v>20</v>
      </c>
      <c r="E2077" t="s">
        <v>39</v>
      </c>
      <c r="F2077" s="1">
        <v>211.71</v>
      </c>
      <c r="G2077" t="s">
        <v>19</v>
      </c>
      <c r="H2077" t="s">
        <v>15</v>
      </c>
      <c r="I2077" s="2">
        <v>2.5</v>
      </c>
      <c r="J2077" s="4">
        <v>17</v>
      </c>
      <c r="K2077" s="3">
        <v>6</v>
      </c>
      <c r="L2077" s="1">
        <f t="shared" si="96"/>
        <v>175.7193</v>
      </c>
      <c r="M2077" t="str" cm="1">
        <f t="array" ref="M2077">_xlfn.IFS(B2077&lt;18,"Under 18",B2077 &lt;=25,"18-25",B2077&lt;=35,"26-35",B2077&lt;=45,"36-45",B2077&lt;=60,"46-60",TRUE,"60+")</f>
        <v>36-45</v>
      </c>
      <c r="N2077" t="str">
        <f t="shared" si="97"/>
        <v>Discounted</v>
      </c>
      <c r="O2077" t="str">
        <f t="shared" si="98"/>
        <v>Returning</v>
      </c>
    </row>
    <row r="2078" spans="1:15" x14ac:dyDescent="0.25">
      <c r="A2078">
        <v>2077</v>
      </c>
      <c r="B2078">
        <v>62</v>
      </c>
      <c r="C2078" t="s">
        <v>11</v>
      </c>
      <c r="D2078" t="s">
        <v>25</v>
      </c>
      <c r="E2078" t="s">
        <v>26</v>
      </c>
      <c r="F2078" s="1">
        <v>65.47</v>
      </c>
      <c r="G2078" t="s">
        <v>24</v>
      </c>
      <c r="H2078" t="s">
        <v>15</v>
      </c>
      <c r="I2078" s="2">
        <v>4.8</v>
      </c>
      <c r="J2078" s="4">
        <v>14</v>
      </c>
      <c r="K2078" s="3">
        <v>2</v>
      </c>
      <c r="L2078" s="1">
        <f t="shared" si="96"/>
        <v>56.304200000000002</v>
      </c>
      <c r="M2078" t="str" cm="1">
        <f t="array" ref="M2078">_xlfn.IFS(B2078&lt;18,"Under 18",B2078 &lt;=25,"18-25",B2078&lt;=35,"26-35",B2078&lt;=45,"36-45",B2078&lt;=60,"46-60",TRUE,"60+")</f>
        <v>60+</v>
      </c>
      <c r="N2078" t="str">
        <f t="shared" si="97"/>
        <v>Discounted</v>
      </c>
      <c r="O2078" t="str">
        <f t="shared" si="98"/>
        <v>Returning</v>
      </c>
    </row>
    <row r="2079" spans="1:15" x14ac:dyDescent="0.25">
      <c r="A2079">
        <v>2078</v>
      </c>
      <c r="B2079">
        <v>21</v>
      </c>
      <c r="C2079" t="s">
        <v>16</v>
      </c>
      <c r="D2079" t="s">
        <v>27</v>
      </c>
      <c r="E2079" t="s">
        <v>28</v>
      </c>
      <c r="F2079" s="1">
        <v>854.78</v>
      </c>
      <c r="G2079" t="s">
        <v>24</v>
      </c>
      <c r="H2079" t="s">
        <v>15</v>
      </c>
      <c r="I2079" s="2">
        <v>2.2999999999999998</v>
      </c>
      <c r="J2079" s="4">
        <v>13</v>
      </c>
      <c r="K2079" s="3">
        <v>4</v>
      </c>
      <c r="L2079" s="1">
        <f t="shared" si="96"/>
        <v>743.65859999999998</v>
      </c>
      <c r="M2079" t="str" cm="1">
        <f t="array" ref="M2079">_xlfn.IFS(B2079&lt;18,"Under 18",B2079 &lt;=25,"18-25",B2079&lt;=35,"26-35",B2079&lt;=45,"36-45",B2079&lt;=60,"46-60",TRUE,"60+")</f>
        <v>18-25</v>
      </c>
      <c r="N2079" t="str">
        <f t="shared" si="97"/>
        <v>Discounted</v>
      </c>
      <c r="O2079" t="str">
        <f t="shared" si="98"/>
        <v>Returning</v>
      </c>
    </row>
    <row r="2080" spans="1:15" x14ac:dyDescent="0.25">
      <c r="A2080">
        <v>2079</v>
      </c>
      <c r="B2080">
        <v>60</v>
      </c>
      <c r="C2080" t="s">
        <v>11</v>
      </c>
      <c r="D2080" t="s">
        <v>12</v>
      </c>
      <c r="E2080" t="s">
        <v>13</v>
      </c>
      <c r="F2080" s="1">
        <v>177.57</v>
      </c>
      <c r="G2080" t="s">
        <v>19</v>
      </c>
      <c r="H2080" t="s">
        <v>15</v>
      </c>
      <c r="I2080" s="2">
        <v>5</v>
      </c>
      <c r="J2080" s="4">
        <v>32</v>
      </c>
      <c r="K2080" s="3">
        <v>11</v>
      </c>
      <c r="L2080" s="1">
        <f t="shared" si="96"/>
        <v>120.74759999999999</v>
      </c>
      <c r="M2080" t="str" cm="1">
        <f t="array" ref="M2080">_xlfn.IFS(B2080&lt;18,"Under 18",B2080 &lt;=25,"18-25",B2080&lt;=35,"26-35",B2080&lt;=45,"36-45",B2080&lt;=60,"46-60",TRUE,"60+")</f>
        <v>46-60</v>
      </c>
      <c r="N2080" t="str">
        <f t="shared" si="97"/>
        <v>Discounted</v>
      </c>
      <c r="O2080" t="str">
        <f t="shared" si="98"/>
        <v>Returning</v>
      </c>
    </row>
    <row r="2081" spans="1:15" x14ac:dyDescent="0.25">
      <c r="A2081">
        <v>2080</v>
      </c>
      <c r="B2081">
        <v>45</v>
      </c>
      <c r="C2081" t="s">
        <v>11</v>
      </c>
      <c r="D2081" t="s">
        <v>12</v>
      </c>
      <c r="E2081" t="s">
        <v>56</v>
      </c>
      <c r="F2081" s="1">
        <v>145.21</v>
      </c>
      <c r="G2081" t="s">
        <v>14</v>
      </c>
      <c r="H2081" t="s">
        <v>15</v>
      </c>
      <c r="I2081" s="2">
        <v>3.1</v>
      </c>
      <c r="J2081" s="4">
        <v>17</v>
      </c>
      <c r="K2081" s="3">
        <v>6</v>
      </c>
      <c r="L2081" s="1">
        <f t="shared" si="96"/>
        <v>120.5243</v>
      </c>
      <c r="M2081" t="str" cm="1">
        <f t="array" ref="M2081">_xlfn.IFS(B2081&lt;18,"Under 18",B2081 &lt;=25,"18-25",B2081&lt;=35,"26-35",B2081&lt;=45,"36-45",B2081&lt;=60,"46-60",TRUE,"60+")</f>
        <v>36-45</v>
      </c>
      <c r="N2081" t="str">
        <f t="shared" si="97"/>
        <v>Discounted</v>
      </c>
      <c r="O2081" t="str">
        <f t="shared" si="98"/>
        <v>Returning</v>
      </c>
    </row>
    <row r="2082" spans="1:15" x14ac:dyDescent="0.25">
      <c r="A2082">
        <v>2081</v>
      </c>
      <c r="B2082">
        <v>30</v>
      </c>
      <c r="C2082" t="s">
        <v>16</v>
      </c>
      <c r="D2082" t="s">
        <v>33</v>
      </c>
      <c r="E2082" t="s">
        <v>34</v>
      </c>
      <c r="F2082" s="1">
        <v>162.9</v>
      </c>
      <c r="G2082" t="s">
        <v>19</v>
      </c>
      <c r="H2082" t="s">
        <v>15</v>
      </c>
      <c r="I2082" s="2">
        <v>3.7</v>
      </c>
      <c r="J2082" s="4">
        <v>10</v>
      </c>
      <c r="K2082" s="3">
        <v>5</v>
      </c>
      <c r="L2082" s="1">
        <f t="shared" si="96"/>
        <v>146.61000000000001</v>
      </c>
      <c r="M2082" t="str" cm="1">
        <f t="array" ref="M2082">_xlfn.IFS(B2082&lt;18,"Under 18",B2082 &lt;=25,"18-25",B2082&lt;=35,"26-35",B2082&lt;=45,"36-45",B2082&lt;=60,"46-60",TRUE,"60+")</f>
        <v>26-35</v>
      </c>
      <c r="N2082" t="str">
        <f t="shared" si="97"/>
        <v>Discounted</v>
      </c>
      <c r="O2082" t="str">
        <f t="shared" si="98"/>
        <v>Returning</v>
      </c>
    </row>
    <row r="2083" spans="1:15" x14ac:dyDescent="0.25">
      <c r="A2083">
        <v>2082</v>
      </c>
      <c r="B2083">
        <v>31</v>
      </c>
      <c r="C2083" t="s">
        <v>16</v>
      </c>
      <c r="D2083" t="s">
        <v>33</v>
      </c>
      <c r="E2083" t="s">
        <v>38</v>
      </c>
      <c r="F2083" s="1">
        <v>89.34</v>
      </c>
      <c r="G2083" t="s">
        <v>19</v>
      </c>
      <c r="H2083" t="s">
        <v>37</v>
      </c>
      <c r="I2083" s="2">
        <v>3</v>
      </c>
      <c r="J2083" s="4">
        <v>6</v>
      </c>
      <c r="K2083" s="3">
        <v>3</v>
      </c>
      <c r="L2083" s="1">
        <f t="shared" si="96"/>
        <v>83.979600000000005</v>
      </c>
      <c r="M2083" t="str" cm="1">
        <f t="array" ref="M2083">_xlfn.IFS(B2083&lt;18,"Under 18",B2083 &lt;=25,"18-25",B2083&lt;=35,"26-35",B2083&lt;=45,"36-45",B2083&lt;=60,"46-60",TRUE,"60+")</f>
        <v>26-35</v>
      </c>
      <c r="N2083" t="str">
        <f t="shared" si="97"/>
        <v>Discounted</v>
      </c>
      <c r="O2083" t="str">
        <f t="shared" si="98"/>
        <v>Returning</v>
      </c>
    </row>
    <row r="2084" spans="1:15" x14ac:dyDescent="0.25">
      <c r="A2084">
        <v>2083</v>
      </c>
      <c r="B2084">
        <v>37</v>
      </c>
      <c r="C2084" t="s">
        <v>11</v>
      </c>
      <c r="D2084" t="s">
        <v>29</v>
      </c>
      <c r="E2084" t="s">
        <v>55</v>
      </c>
      <c r="F2084" s="1">
        <v>138.25</v>
      </c>
      <c r="G2084" t="s">
        <v>24</v>
      </c>
      <c r="H2084" t="s">
        <v>15</v>
      </c>
      <c r="I2084" s="2">
        <v>4.5999999999999996</v>
      </c>
      <c r="J2084" s="4">
        <v>6</v>
      </c>
      <c r="K2084" s="3">
        <v>3</v>
      </c>
      <c r="L2084" s="1">
        <f t="shared" si="96"/>
        <v>129.95499999999998</v>
      </c>
      <c r="M2084" t="str" cm="1">
        <f t="array" ref="M2084">_xlfn.IFS(B2084&lt;18,"Under 18",B2084 &lt;=25,"18-25",B2084&lt;=35,"26-35",B2084&lt;=45,"36-45",B2084&lt;=60,"46-60",TRUE,"60+")</f>
        <v>36-45</v>
      </c>
      <c r="N2084" t="str">
        <f t="shared" si="97"/>
        <v>Discounted</v>
      </c>
      <c r="O2084" t="str">
        <f t="shared" si="98"/>
        <v>Returning</v>
      </c>
    </row>
    <row r="2085" spans="1:15" x14ac:dyDescent="0.25">
      <c r="A2085">
        <v>2084</v>
      </c>
      <c r="B2085">
        <v>62</v>
      </c>
      <c r="C2085" t="s">
        <v>16</v>
      </c>
      <c r="D2085" t="s">
        <v>20</v>
      </c>
      <c r="E2085" t="s">
        <v>36</v>
      </c>
      <c r="F2085" s="1">
        <v>99.57</v>
      </c>
      <c r="G2085" t="s">
        <v>19</v>
      </c>
      <c r="H2085" t="s">
        <v>15</v>
      </c>
      <c r="I2085" s="2">
        <v>4.8</v>
      </c>
      <c r="J2085" s="4">
        <v>27</v>
      </c>
      <c r="K2085" s="3">
        <v>11</v>
      </c>
      <c r="L2085" s="1">
        <f t="shared" si="96"/>
        <v>72.686099999999996</v>
      </c>
      <c r="M2085" t="str" cm="1">
        <f t="array" ref="M2085">_xlfn.IFS(B2085&lt;18,"Under 18",B2085 &lt;=25,"18-25",B2085&lt;=35,"26-35",B2085&lt;=45,"36-45",B2085&lt;=60,"46-60",TRUE,"60+")</f>
        <v>60+</v>
      </c>
      <c r="N2085" t="str">
        <f t="shared" si="97"/>
        <v>Discounted</v>
      </c>
      <c r="O2085" t="str">
        <f t="shared" si="98"/>
        <v>Returning</v>
      </c>
    </row>
    <row r="2086" spans="1:15" x14ac:dyDescent="0.25">
      <c r="A2086">
        <v>2085</v>
      </c>
      <c r="B2086">
        <v>56</v>
      </c>
      <c r="C2086" t="s">
        <v>11</v>
      </c>
      <c r="D2086" t="s">
        <v>12</v>
      </c>
      <c r="E2086" t="s">
        <v>50</v>
      </c>
      <c r="F2086" s="1">
        <v>63.46</v>
      </c>
      <c r="G2086" t="s">
        <v>31</v>
      </c>
      <c r="H2086" t="s">
        <v>37</v>
      </c>
      <c r="I2086" s="2">
        <v>3.5</v>
      </c>
      <c r="J2086" s="4">
        <v>13</v>
      </c>
      <c r="K2086" s="3">
        <v>4</v>
      </c>
      <c r="L2086" s="1">
        <f t="shared" si="96"/>
        <v>55.2102</v>
      </c>
      <c r="M2086" t="str" cm="1">
        <f t="array" ref="M2086">_xlfn.IFS(B2086&lt;18,"Under 18",B2086 &lt;=25,"18-25",B2086&lt;=35,"26-35",B2086&lt;=45,"36-45",B2086&lt;=60,"46-60",TRUE,"60+")</f>
        <v>46-60</v>
      </c>
      <c r="N2086" t="str">
        <f t="shared" si="97"/>
        <v>Discounted</v>
      </c>
      <c r="O2086" t="str">
        <f t="shared" si="98"/>
        <v>Returning</v>
      </c>
    </row>
    <row r="2087" spans="1:15" x14ac:dyDescent="0.25">
      <c r="A2087">
        <v>2086</v>
      </c>
      <c r="B2087">
        <v>21</v>
      </c>
      <c r="C2087" t="s">
        <v>16</v>
      </c>
      <c r="D2087" t="s">
        <v>20</v>
      </c>
      <c r="E2087" t="s">
        <v>21</v>
      </c>
      <c r="F2087" s="1">
        <v>245.31</v>
      </c>
      <c r="G2087" t="s">
        <v>14</v>
      </c>
      <c r="H2087" t="s">
        <v>15</v>
      </c>
      <c r="I2087" s="2">
        <v>4.7</v>
      </c>
      <c r="J2087" s="4">
        <v>15</v>
      </c>
      <c r="K2087" s="3">
        <v>5</v>
      </c>
      <c r="L2087" s="1">
        <f t="shared" si="96"/>
        <v>208.51349999999999</v>
      </c>
      <c r="M2087" t="str" cm="1">
        <f t="array" ref="M2087">_xlfn.IFS(B2087&lt;18,"Under 18",B2087 &lt;=25,"18-25",B2087&lt;=35,"26-35",B2087&lt;=45,"36-45",B2087&lt;=60,"46-60",TRUE,"60+")</f>
        <v>18-25</v>
      </c>
      <c r="N2087" t="str">
        <f t="shared" si="97"/>
        <v>Discounted</v>
      </c>
      <c r="O2087" t="str">
        <f t="shared" si="98"/>
        <v>Returning</v>
      </c>
    </row>
    <row r="2088" spans="1:15" x14ac:dyDescent="0.25">
      <c r="A2088">
        <v>2087</v>
      </c>
      <c r="B2088">
        <v>39</v>
      </c>
      <c r="C2088" t="s">
        <v>11</v>
      </c>
      <c r="D2088" t="s">
        <v>22</v>
      </c>
      <c r="E2088" t="s">
        <v>52</v>
      </c>
      <c r="F2088" s="1">
        <v>214</v>
      </c>
      <c r="G2088" t="s">
        <v>19</v>
      </c>
      <c r="H2088" t="s">
        <v>15</v>
      </c>
      <c r="I2088" s="2">
        <v>4</v>
      </c>
      <c r="J2088" s="4">
        <v>24</v>
      </c>
      <c r="K2088" s="3">
        <v>7</v>
      </c>
      <c r="L2088" s="1">
        <f t="shared" si="96"/>
        <v>162.64000000000001</v>
      </c>
      <c r="M2088" t="str" cm="1">
        <f t="array" ref="M2088">_xlfn.IFS(B2088&lt;18,"Under 18",B2088 &lt;=25,"18-25",B2088&lt;=35,"26-35",B2088&lt;=45,"36-45",B2088&lt;=60,"46-60",TRUE,"60+")</f>
        <v>36-45</v>
      </c>
      <c r="N2088" t="str">
        <f t="shared" si="97"/>
        <v>Discounted</v>
      </c>
      <c r="O2088" t="str">
        <f t="shared" si="98"/>
        <v>Returning</v>
      </c>
    </row>
    <row r="2089" spans="1:15" x14ac:dyDescent="0.25">
      <c r="A2089">
        <v>2088</v>
      </c>
      <c r="B2089">
        <v>39</v>
      </c>
      <c r="C2089" t="s">
        <v>11</v>
      </c>
      <c r="D2089" t="s">
        <v>25</v>
      </c>
      <c r="E2089" t="s">
        <v>47</v>
      </c>
      <c r="F2089" s="1">
        <v>16.440000000000001</v>
      </c>
      <c r="G2089" t="s">
        <v>14</v>
      </c>
      <c r="H2089" t="s">
        <v>15</v>
      </c>
      <c r="I2089" s="2">
        <v>4.7</v>
      </c>
      <c r="J2089" s="4">
        <v>14</v>
      </c>
      <c r="K2089" s="3">
        <v>7</v>
      </c>
      <c r="L2089" s="1">
        <f t="shared" si="96"/>
        <v>14.138400000000001</v>
      </c>
      <c r="M2089" t="str" cm="1">
        <f t="array" ref="M2089">_xlfn.IFS(B2089&lt;18,"Under 18",B2089 &lt;=25,"18-25",B2089&lt;=35,"26-35",B2089&lt;=45,"36-45",B2089&lt;=60,"46-60",TRUE,"60+")</f>
        <v>36-45</v>
      </c>
      <c r="N2089" t="str">
        <f t="shared" si="97"/>
        <v>Discounted</v>
      </c>
      <c r="O2089" t="str">
        <f t="shared" si="98"/>
        <v>Returning</v>
      </c>
    </row>
    <row r="2090" spans="1:15" x14ac:dyDescent="0.25">
      <c r="A2090">
        <v>2089</v>
      </c>
      <c r="B2090">
        <v>37</v>
      </c>
      <c r="C2090" t="s">
        <v>11</v>
      </c>
      <c r="D2090" t="s">
        <v>41</v>
      </c>
      <c r="E2090" t="s">
        <v>45</v>
      </c>
      <c r="F2090" s="1">
        <v>141.18</v>
      </c>
      <c r="G2090" t="s">
        <v>19</v>
      </c>
      <c r="H2090" t="s">
        <v>15</v>
      </c>
      <c r="I2090" s="2">
        <v>3.9</v>
      </c>
      <c r="J2090" s="4">
        <v>20</v>
      </c>
      <c r="K2090" s="3">
        <v>5</v>
      </c>
      <c r="L2090" s="1">
        <f t="shared" si="96"/>
        <v>112.94400000000002</v>
      </c>
      <c r="M2090" t="str" cm="1">
        <f t="array" ref="M2090">_xlfn.IFS(B2090&lt;18,"Under 18",B2090 &lt;=25,"18-25",B2090&lt;=35,"26-35",B2090&lt;=45,"36-45",B2090&lt;=60,"46-60",TRUE,"60+")</f>
        <v>36-45</v>
      </c>
      <c r="N2090" t="str">
        <f t="shared" si="97"/>
        <v>Discounted</v>
      </c>
      <c r="O2090" t="str">
        <f t="shared" si="98"/>
        <v>Returning</v>
      </c>
    </row>
    <row r="2091" spans="1:15" x14ac:dyDescent="0.25">
      <c r="A2091">
        <v>2090</v>
      </c>
      <c r="B2091">
        <v>45</v>
      </c>
      <c r="C2091" t="s">
        <v>16</v>
      </c>
      <c r="D2091" t="s">
        <v>33</v>
      </c>
      <c r="E2091" t="s">
        <v>40</v>
      </c>
      <c r="F2091" s="1">
        <v>178.77</v>
      </c>
      <c r="G2091" t="s">
        <v>31</v>
      </c>
      <c r="H2091" t="s">
        <v>15</v>
      </c>
      <c r="I2091" s="2">
        <v>4.2</v>
      </c>
      <c r="J2091" s="4">
        <v>12</v>
      </c>
      <c r="K2091" s="3">
        <v>1</v>
      </c>
      <c r="L2091" s="1">
        <f t="shared" si="96"/>
        <v>157.3176</v>
      </c>
      <c r="M2091" t="str" cm="1">
        <f t="array" ref="M2091">_xlfn.IFS(B2091&lt;18,"Under 18",B2091 &lt;=25,"18-25",B2091&lt;=35,"26-35",B2091&lt;=45,"36-45",B2091&lt;=60,"46-60",TRUE,"60+")</f>
        <v>36-45</v>
      </c>
      <c r="N2091" t="str">
        <f t="shared" si="97"/>
        <v>Discounted</v>
      </c>
      <c r="O2091" t="str">
        <f t="shared" si="98"/>
        <v>Returning</v>
      </c>
    </row>
    <row r="2092" spans="1:15" x14ac:dyDescent="0.25">
      <c r="A2092">
        <v>2091</v>
      </c>
      <c r="B2092">
        <v>30</v>
      </c>
      <c r="C2092" t="s">
        <v>16</v>
      </c>
      <c r="D2092" t="s">
        <v>33</v>
      </c>
      <c r="E2092" t="s">
        <v>38</v>
      </c>
      <c r="F2092" s="1">
        <v>109.01</v>
      </c>
      <c r="G2092" t="s">
        <v>31</v>
      </c>
      <c r="H2092" t="s">
        <v>15</v>
      </c>
      <c r="I2092" s="2">
        <v>2.5</v>
      </c>
      <c r="J2092" s="4">
        <v>20</v>
      </c>
      <c r="K2092" s="3">
        <v>5</v>
      </c>
      <c r="L2092" s="1">
        <f t="shared" si="96"/>
        <v>87.208000000000013</v>
      </c>
      <c r="M2092" t="str" cm="1">
        <f t="array" ref="M2092">_xlfn.IFS(B2092&lt;18,"Under 18",B2092 &lt;=25,"18-25",B2092&lt;=35,"26-35",B2092&lt;=45,"36-45",B2092&lt;=60,"46-60",TRUE,"60+")</f>
        <v>26-35</v>
      </c>
      <c r="N2092" t="str">
        <f t="shared" si="97"/>
        <v>Discounted</v>
      </c>
      <c r="O2092" t="str">
        <f t="shared" si="98"/>
        <v>Returning</v>
      </c>
    </row>
    <row r="2093" spans="1:15" x14ac:dyDescent="0.25">
      <c r="A2093">
        <v>2092</v>
      </c>
      <c r="B2093">
        <v>28</v>
      </c>
      <c r="C2093" t="s">
        <v>11</v>
      </c>
      <c r="D2093" t="s">
        <v>12</v>
      </c>
      <c r="E2093" t="s">
        <v>56</v>
      </c>
      <c r="F2093" s="1">
        <v>167.86</v>
      </c>
      <c r="G2093" t="s">
        <v>19</v>
      </c>
      <c r="H2093" t="s">
        <v>15</v>
      </c>
      <c r="I2093" s="2">
        <v>4.0999999999999996</v>
      </c>
      <c r="J2093" s="4">
        <v>12</v>
      </c>
      <c r="K2093" s="3">
        <v>6</v>
      </c>
      <c r="L2093" s="1">
        <f t="shared" si="96"/>
        <v>147.71680000000001</v>
      </c>
      <c r="M2093" t="str" cm="1">
        <f t="array" ref="M2093">_xlfn.IFS(B2093&lt;18,"Under 18",B2093 &lt;=25,"18-25",B2093&lt;=35,"26-35",B2093&lt;=45,"36-45",B2093&lt;=60,"46-60",TRUE,"60+")</f>
        <v>26-35</v>
      </c>
      <c r="N2093" t="str">
        <f t="shared" si="97"/>
        <v>Discounted</v>
      </c>
      <c r="O2093" t="str">
        <f t="shared" si="98"/>
        <v>Returning</v>
      </c>
    </row>
    <row r="2094" spans="1:15" x14ac:dyDescent="0.25">
      <c r="A2094">
        <v>2093</v>
      </c>
      <c r="B2094">
        <v>49</v>
      </c>
      <c r="C2094" t="s">
        <v>11</v>
      </c>
      <c r="D2094" t="s">
        <v>29</v>
      </c>
      <c r="E2094" t="s">
        <v>55</v>
      </c>
      <c r="F2094" s="1">
        <v>115.21</v>
      </c>
      <c r="G2094" t="s">
        <v>14</v>
      </c>
      <c r="H2094" t="s">
        <v>15</v>
      </c>
      <c r="I2094" s="2">
        <v>3.4</v>
      </c>
      <c r="J2094" s="4">
        <v>9</v>
      </c>
      <c r="K2094" s="3">
        <v>2</v>
      </c>
      <c r="L2094" s="1">
        <f t="shared" si="96"/>
        <v>104.8411</v>
      </c>
      <c r="M2094" t="str" cm="1">
        <f t="array" ref="M2094">_xlfn.IFS(B2094&lt;18,"Under 18",B2094 &lt;=25,"18-25",B2094&lt;=35,"26-35",B2094&lt;=45,"36-45",B2094&lt;=60,"46-60",TRUE,"60+")</f>
        <v>46-60</v>
      </c>
      <c r="N2094" t="str">
        <f t="shared" si="97"/>
        <v>Discounted</v>
      </c>
      <c r="O2094" t="str">
        <f t="shared" si="98"/>
        <v>Returning</v>
      </c>
    </row>
    <row r="2095" spans="1:15" x14ac:dyDescent="0.25">
      <c r="A2095">
        <v>2094</v>
      </c>
      <c r="B2095">
        <v>61</v>
      </c>
      <c r="C2095" t="s">
        <v>11</v>
      </c>
      <c r="D2095" t="s">
        <v>33</v>
      </c>
      <c r="E2095" t="s">
        <v>38</v>
      </c>
      <c r="F2095" s="1">
        <v>54</v>
      </c>
      <c r="G2095" t="s">
        <v>31</v>
      </c>
      <c r="H2095" t="s">
        <v>15</v>
      </c>
      <c r="I2095" s="2">
        <v>2</v>
      </c>
      <c r="J2095" s="4">
        <v>13</v>
      </c>
      <c r="K2095" s="3">
        <v>4</v>
      </c>
      <c r="L2095" s="1">
        <f t="shared" si="96"/>
        <v>46.98</v>
      </c>
      <c r="M2095" t="str" cm="1">
        <f t="array" ref="M2095">_xlfn.IFS(B2095&lt;18,"Under 18",B2095 &lt;=25,"18-25",B2095&lt;=35,"26-35",B2095&lt;=45,"36-45",B2095&lt;=60,"46-60",TRUE,"60+")</f>
        <v>60+</v>
      </c>
      <c r="N2095" t="str">
        <f t="shared" si="97"/>
        <v>Discounted</v>
      </c>
      <c r="O2095" t="str">
        <f t="shared" si="98"/>
        <v>Returning</v>
      </c>
    </row>
    <row r="2096" spans="1:15" x14ac:dyDescent="0.25">
      <c r="A2096">
        <v>2095</v>
      </c>
      <c r="B2096">
        <v>46</v>
      </c>
      <c r="C2096" t="s">
        <v>16</v>
      </c>
      <c r="D2096" t="s">
        <v>27</v>
      </c>
      <c r="E2096" t="s">
        <v>49</v>
      </c>
      <c r="F2096" s="1">
        <v>2492.66</v>
      </c>
      <c r="G2096" t="s">
        <v>31</v>
      </c>
      <c r="H2096" t="s">
        <v>15</v>
      </c>
      <c r="I2096" s="2">
        <v>3.3</v>
      </c>
      <c r="J2096" s="4">
        <v>12</v>
      </c>
      <c r="K2096" s="3">
        <v>6</v>
      </c>
      <c r="L2096" s="1">
        <f t="shared" si="96"/>
        <v>2193.5407999999998</v>
      </c>
      <c r="M2096" t="str" cm="1">
        <f t="array" ref="M2096">_xlfn.IFS(B2096&lt;18,"Under 18",B2096 &lt;=25,"18-25",B2096&lt;=35,"26-35",B2096&lt;=45,"36-45",B2096&lt;=60,"46-60",TRUE,"60+")</f>
        <v>46-60</v>
      </c>
      <c r="N2096" t="str">
        <f t="shared" si="97"/>
        <v>Discounted</v>
      </c>
      <c r="O2096" t="str">
        <f t="shared" si="98"/>
        <v>Returning</v>
      </c>
    </row>
    <row r="2097" spans="1:15" x14ac:dyDescent="0.25">
      <c r="A2097">
        <v>2096</v>
      </c>
      <c r="B2097">
        <v>64</v>
      </c>
      <c r="C2097" t="s">
        <v>11</v>
      </c>
      <c r="D2097" t="s">
        <v>29</v>
      </c>
      <c r="E2097" t="s">
        <v>55</v>
      </c>
      <c r="F2097" s="1">
        <v>124.33</v>
      </c>
      <c r="G2097" t="s">
        <v>19</v>
      </c>
      <c r="H2097" t="s">
        <v>15</v>
      </c>
      <c r="I2097" s="2">
        <v>4</v>
      </c>
      <c r="J2097" s="4">
        <v>18</v>
      </c>
      <c r="K2097" s="3">
        <v>4</v>
      </c>
      <c r="L2097" s="1">
        <f t="shared" si="96"/>
        <v>101.95060000000001</v>
      </c>
      <c r="M2097" t="str" cm="1">
        <f t="array" ref="M2097">_xlfn.IFS(B2097&lt;18,"Under 18",B2097 &lt;=25,"18-25",B2097&lt;=35,"26-35",B2097&lt;=45,"36-45",B2097&lt;=60,"46-60",TRUE,"60+")</f>
        <v>60+</v>
      </c>
      <c r="N2097" t="str">
        <f t="shared" si="97"/>
        <v>Discounted</v>
      </c>
      <c r="O2097" t="str">
        <f t="shared" si="98"/>
        <v>Returning</v>
      </c>
    </row>
    <row r="2098" spans="1:15" x14ac:dyDescent="0.25">
      <c r="A2098">
        <v>2097</v>
      </c>
      <c r="B2098">
        <v>69</v>
      </c>
      <c r="C2098" t="s">
        <v>11</v>
      </c>
      <c r="D2098" t="s">
        <v>20</v>
      </c>
      <c r="E2098" t="s">
        <v>39</v>
      </c>
      <c r="F2098" s="1">
        <v>238.61</v>
      </c>
      <c r="G2098" t="s">
        <v>31</v>
      </c>
      <c r="H2098" t="s">
        <v>15</v>
      </c>
      <c r="I2098" s="2">
        <v>5</v>
      </c>
      <c r="J2098" s="4">
        <v>18</v>
      </c>
      <c r="K2098" s="3">
        <v>4</v>
      </c>
      <c r="L2098" s="1">
        <f t="shared" si="96"/>
        <v>195.66020000000003</v>
      </c>
      <c r="M2098" t="str" cm="1">
        <f t="array" ref="M2098">_xlfn.IFS(B2098&lt;18,"Under 18",B2098 &lt;=25,"18-25",B2098&lt;=35,"26-35",B2098&lt;=45,"36-45",B2098&lt;=60,"46-60",TRUE,"60+")</f>
        <v>60+</v>
      </c>
      <c r="N2098" t="str">
        <f t="shared" si="97"/>
        <v>Discounted</v>
      </c>
      <c r="O2098" t="str">
        <f t="shared" si="98"/>
        <v>Returning</v>
      </c>
    </row>
    <row r="2099" spans="1:15" x14ac:dyDescent="0.25">
      <c r="A2099">
        <v>2098</v>
      </c>
      <c r="B2099">
        <v>64</v>
      </c>
      <c r="C2099" t="s">
        <v>16</v>
      </c>
      <c r="D2099" t="s">
        <v>33</v>
      </c>
      <c r="E2099" t="s">
        <v>38</v>
      </c>
      <c r="F2099" s="1">
        <v>93.33</v>
      </c>
      <c r="G2099" t="s">
        <v>14</v>
      </c>
      <c r="H2099" t="s">
        <v>37</v>
      </c>
      <c r="I2099" s="2">
        <v>3.7</v>
      </c>
      <c r="J2099" s="4">
        <v>14</v>
      </c>
      <c r="K2099" s="3">
        <v>2</v>
      </c>
      <c r="L2099" s="1">
        <f t="shared" si="96"/>
        <v>80.263800000000003</v>
      </c>
      <c r="M2099" t="str" cm="1">
        <f t="array" ref="M2099">_xlfn.IFS(B2099&lt;18,"Under 18",B2099 &lt;=25,"18-25",B2099&lt;=35,"26-35",B2099&lt;=45,"36-45",B2099&lt;=60,"46-60",TRUE,"60+")</f>
        <v>60+</v>
      </c>
      <c r="N2099" t="str">
        <f t="shared" si="97"/>
        <v>Discounted</v>
      </c>
      <c r="O2099" t="str">
        <f t="shared" si="98"/>
        <v>Returning</v>
      </c>
    </row>
    <row r="2100" spans="1:15" x14ac:dyDescent="0.25">
      <c r="A2100">
        <v>2099</v>
      </c>
      <c r="B2100">
        <v>54</v>
      </c>
      <c r="C2100" t="s">
        <v>16</v>
      </c>
      <c r="D2100" t="s">
        <v>25</v>
      </c>
      <c r="E2100" t="s">
        <v>47</v>
      </c>
      <c r="F2100" s="1">
        <v>63.11</v>
      </c>
      <c r="G2100" t="s">
        <v>14</v>
      </c>
      <c r="H2100" t="s">
        <v>37</v>
      </c>
      <c r="I2100" s="2">
        <v>5</v>
      </c>
      <c r="J2100" s="4">
        <v>24</v>
      </c>
      <c r="K2100" s="3">
        <v>7</v>
      </c>
      <c r="L2100" s="1">
        <f t="shared" si="96"/>
        <v>47.9636</v>
      </c>
      <c r="M2100" t="str" cm="1">
        <f t="array" ref="M2100">_xlfn.IFS(B2100&lt;18,"Under 18",B2100 &lt;=25,"18-25",B2100&lt;=35,"26-35",B2100&lt;=45,"36-45",B2100&lt;=60,"46-60",TRUE,"60+")</f>
        <v>46-60</v>
      </c>
      <c r="N2100" t="str">
        <f t="shared" si="97"/>
        <v>Discounted</v>
      </c>
      <c r="O2100" t="str">
        <f t="shared" si="98"/>
        <v>Returning</v>
      </c>
    </row>
    <row r="2101" spans="1:15" x14ac:dyDescent="0.25">
      <c r="A2101">
        <v>2100</v>
      </c>
      <c r="B2101">
        <v>35</v>
      </c>
      <c r="C2101" t="s">
        <v>16</v>
      </c>
      <c r="D2101" t="s">
        <v>17</v>
      </c>
      <c r="E2101" t="s">
        <v>18</v>
      </c>
      <c r="F2101" s="1">
        <v>187.27</v>
      </c>
      <c r="G2101" t="s">
        <v>31</v>
      </c>
      <c r="H2101" t="s">
        <v>15</v>
      </c>
      <c r="I2101" s="2">
        <v>4.4000000000000004</v>
      </c>
      <c r="J2101" s="4">
        <v>20</v>
      </c>
      <c r="K2101" s="3">
        <v>5</v>
      </c>
      <c r="L2101" s="1">
        <f t="shared" si="96"/>
        <v>149.816</v>
      </c>
      <c r="M2101" t="str" cm="1">
        <f t="array" ref="M2101">_xlfn.IFS(B2101&lt;18,"Under 18",B2101 &lt;=25,"18-25",B2101&lt;=35,"26-35",B2101&lt;=45,"36-45",B2101&lt;=60,"46-60",TRUE,"60+")</f>
        <v>26-35</v>
      </c>
      <c r="N2101" t="str">
        <f t="shared" si="97"/>
        <v>Discounted</v>
      </c>
      <c r="O2101" t="str">
        <f t="shared" si="98"/>
        <v>Returning</v>
      </c>
    </row>
    <row r="2102" spans="1:15" x14ac:dyDescent="0.25">
      <c r="A2102">
        <v>2101</v>
      </c>
      <c r="B2102">
        <v>62</v>
      </c>
      <c r="C2102" t="s">
        <v>11</v>
      </c>
      <c r="D2102" t="s">
        <v>33</v>
      </c>
      <c r="E2102" t="s">
        <v>38</v>
      </c>
      <c r="F2102" s="1">
        <v>106.67</v>
      </c>
      <c r="G2102" t="s">
        <v>19</v>
      </c>
      <c r="H2102" t="s">
        <v>15</v>
      </c>
      <c r="I2102" s="2">
        <v>3.3</v>
      </c>
      <c r="J2102" s="4">
        <v>16</v>
      </c>
      <c r="K2102" s="3">
        <v>8</v>
      </c>
      <c r="L2102" s="1">
        <f t="shared" si="96"/>
        <v>89.602800000000002</v>
      </c>
      <c r="M2102" t="str" cm="1">
        <f t="array" ref="M2102">_xlfn.IFS(B2102&lt;18,"Under 18",B2102 &lt;=25,"18-25",B2102&lt;=35,"26-35",B2102&lt;=45,"36-45",B2102&lt;=60,"46-60",TRUE,"60+")</f>
        <v>60+</v>
      </c>
      <c r="N2102" t="str">
        <f t="shared" si="97"/>
        <v>Discounted</v>
      </c>
      <c r="O2102" t="str">
        <f t="shared" si="98"/>
        <v>Returning</v>
      </c>
    </row>
    <row r="2103" spans="1:15" x14ac:dyDescent="0.25">
      <c r="A2103">
        <v>2102</v>
      </c>
      <c r="B2103">
        <v>63</v>
      </c>
      <c r="C2103" t="s">
        <v>16</v>
      </c>
      <c r="D2103" t="s">
        <v>17</v>
      </c>
      <c r="E2103" t="s">
        <v>35</v>
      </c>
      <c r="F2103" s="1">
        <v>52.94</v>
      </c>
      <c r="G2103" t="s">
        <v>19</v>
      </c>
      <c r="H2103" t="s">
        <v>15</v>
      </c>
      <c r="I2103" s="2">
        <v>4.3</v>
      </c>
      <c r="J2103" s="4">
        <v>15</v>
      </c>
      <c r="K2103" s="3">
        <v>5</v>
      </c>
      <c r="L2103" s="1">
        <f t="shared" si="96"/>
        <v>44.998999999999995</v>
      </c>
      <c r="M2103" t="str" cm="1">
        <f t="array" ref="M2103">_xlfn.IFS(B2103&lt;18,"Under 18",B2103 &lt;=25,"18-25",B2103&lt;=35,"26-35",B2103&lt;=45,"36-45",B2103&lt;=60,"46-60",TRUE,"60+")</f>
        <v>60+</v>
      </c>
      <c r="N2103" t="str">
        <f t="shared" si="97"/>
        <v>Discounted</v>
      </c>
      <c r="O2103" t="str">
        <f t="shared" si="98"/>
        <v>Returning</v>
      </c>
    </row>
    <row r="2104" spans="1:15" x14ac:dyDescent="0.25">
      <c r="A2104">
        <v>2103</v>
      </c>
      <c r="B2104">
        <v>56</v>
      </c>
      <c r="C2104" t="s">
        <v>16</v>
      </c>
      <c r="D2104" t="s">
        <v>17</v>
      </c>
      <c r="E2104" t="s">
        <v>35</v>
      </c>
      <c r="F2104" s="1">
        <v>124.47</v>
      </c>
      <c r="G2104" t="s">
        <v>14</v>
      </c>
      <c r="H2104" t="s">
        <v>15</v>
      </c>
      <c r="I2104" s="2">
        <v>3.6</v>
      </c>
      <c r="J2104" s="4">
        <v>12</v>
      </c>
      <c r="K2104" s="3">
        <v>6</v>
      </c>
      <c r="L2104" s="1">
        <f t="shared" si="96"/>
        <v>109.53359999999999</v>
      </c>
      <c r="M2104" t="str" cm="1">
        <f t="array" ref="M2104">_xlfn.IFS(B2104&lt;18,"Under 18",B2104 &lt;=25,"18-25",B2104&lt;=35,"26-35",B2104&lt;=45,"36-45",B2104&lt;=60,"46-60",TRUE,"60+")</f>
        <v>46-60</v>
      </c>
      <c r="N2104" t="str">
        <f t="shared" si="97"/>
        <v>Discounted</v>
      </c>
      <c r="O2104" t="str">
        <f t="shared" si="98"/>
        <v>Returning</v>
      </c>
    </row>
    <row r="2105" spans="1:15" x14ac:dyDescent="0.25">
      <c r="A2105">
        <v>2104</v>
      </c>
      <c r="B2105">
        <v>36</v>
      </c>
      <c r="C2105" t="s">
        <v>11</v>
      </c>
      <c r="D2105" t="s">
        <v>41</v>
      </c>
      <c r="E2105" t="s">
        <v>46</v>
      </c>
      <c r="F2105" s="1">
        <v>165.8</v>
      </c>
      <c r="G2105" t="s">
        <v>19</v>
      </c>
      <c r="H2105" t="s">
        <v>15</v>
      </c>
      <c r="I2105" s="2">
        <v>3.5</v>
      </c>
      <c r="J2105" s="4">
        <v>22</v>
      </c>
      <c r="K2105" s="3">
        <v>6</v>
      </c>
      <c r="L2105" s="1">
        <f t="shared" si="96"/>
        <v>129.32400000000001</v>
      </c>
      <c r="M2105" t="str" cm="1">
        <f t="array" ref="M2105">_xlfn.IFS(B2105&lt;18,"Under 18",B2105 &lt;=25,"18-25",B2105&lt;=35,"26-35",B2105&lt;=45,"36-45",B2105&lt;=60,"46-60",TRUE,"60+")</f>
        <v>36-45</v>
      </c>
      <c r="N2105" t="str">
        <f t="shared" si="97"/>
        <v>Discounted</v>
      </c>
      <c r="O2105" t="str">
        <f t="shared" si="98"/>
        <v>Returning</v>
      </c>
    </row>
    <row r="2106" spans="1:15" x14ac:dyDescent="0.25">
      <c r="A2106">
        <v>2105</v>
      </c>
      <c r="B2106">
        <v>30</v>
      </c>
      <c r="C2106" t="s">
        <v>11</v>
      </c>
      <c r="D2106" t="s">
        <v>12</v>
      </c>
      <c r="E2106" t="s">
        <v>13</v>
      </c>
      <c r="F2106" s="1">
        <v>103.79</v>
      </c>
      <c r="G2106" t="s">
        <v>14</v>
      </c>
      <c r="H2106" t="s">
        <v>15</v>
      </c>
      <c r="I2106" s="2">
        <v>3.3</v>
      </c>
      <c r="J2106" s="4">
        <v>14</v>
      </c>
      <c r="K2106" s="3">
        <v>7</v>
      </c>
      <c r="L2106" s="1">
        <f t="shared" si="96"/>
        <v>89.259399999999999</v>
      </c>
      <c r="M2106" t="str" cm="1">
        <f t="array" ref="M2106">_xlfn.IFS(B2106&lt;18,"Under 18",B2106 &lt;=25,"18-25",B2106&lt;=35,"26-35",B2106&lt;=45,"36-45",B2106&lt;=60,"46-60",TRUE,"60+")</f>
        <v>26-35</v>
      </c>
      <c r="N2106" t="str">
        <f t="shared" si="97"/>
        <v>Discounted</v>
      </c>
      <c r="O2106" t="str">
        <f t="shared" si="98"/>
        <v>Returning</v>
      </c>
    </row>
    <row r="2107" spans="1:15" x14ac:dyDescent="0.25">
      <c r="A2107">
        <v>2106</v>
      </c>
      <c r="B2107">
        <v>20</v>
      </c>
      <c r="C2107" t="s">
        <v>16</v>
      </c>
      <c r="D2107" t="s">
        <v>27</v>
      </c>
      <c r="E2107" t="s">
        <v>49</v>
      </c>
      <c r="F2107" s="1">
        <v>647.02</v>
      </c>
      <c r="G2107" t="s">
        <v>19</v>
      </c>
      <c r="H2107" t="s">
        <v>15</v>
      </c>
      <c r="I2107" s="2">
        <v>3.5</v>
      </c>
      <c r="J2107" s="4">
        <v>10</v>
      </c>
      <c r="K2107" s="3">
        <v>5</v>
      </c>
      <c r="L2107" s="1">
        <f t="shared" si="96"/>
        <v>582.31799999999998</v>
      </c>
      <c r="M2107" t="str" cm="1">
        <f t="array" ref="M2107">_xlfn.IFS(B2107&lt;18,"Under 18",B2107 &lt;=25,"18-25",B2107&lt;=35,"26-35",B2107&lt;=45,"36-45",B2107&lt;=60,"46-60",TRUE,"60+")</f>
        <v>18-25</v>
      </c>
      <c r="N2107" t="str">
        <f t="shared" si="97"/>
        <v>Discounted</v>
      </c>
      <c r="O2107" t="str">
        <f t="shared" si="98"/>
        <v>Returning</v>
      </c>
    </row>
    <row r="2108" spans="1:15" x14ac:dyDescent="0.25">
      <c r="A2108">
        <v>2107</v>
      </c>
      <c r="B2108">
        <v>57</v>
      </c>
      <c r="C2108" t="s">
        <v>16</v>
      </c>
      <c r="D2108" t="s">
        <v>20</v>
      </c>
      <c r="E2108" t="s">
        <v>39</v>
      </c>
      <c r="F2108" s="1">
        <v>70.3</v>
      </c>
      <c r="G2108" t="s">
        <v>19</v>
      </c>
      <c r="H2108" t="s">
        <v>37</v>
      </c>
      <c r="I2108" s="2">
        <v>3.9</v>
      </c>
      <c r="J2108" s="4">
        <v>17</v>
      </c>
      <c r="K2108" s="3">
        <v>6</v>
      </c>
      <c r="L2108" s="1">
        <f t="shared" si="96"/>
        <v>58.348999999999997</v>
      </c>
      <c r="M2108" t="str" cm="1">
        <f t="array" ref="M2108">_xlfn.IFS(B2108&lt;18,"Under 18",B2108 &lt;=25,"18-25",B2108&lt;=35,"26-35",B2108&lt;=45,"36-45",B2108&lt;=60,"46-60",TRUE,"60+")</f>
        <v>46-60</v>
      </c>
      <c r="N2108" t="str">
        <f t="shared" si="97"/>
        <v>Discounted</v>
      </c>
      <c r="O2108" t="str">
        <f t="shared" si="98"/>
        <v>Returning</v>
      </c>
    </row>
    <row r="2109" spans="1:15" x14ac:dyDescent="0.25">
      <c r="A2109">
        <v>2108</v>
      </c>
      <c r="B2109">
        <v>38</v>
      </c>
      <c r="C2109" t="s">
        <v>16</v>
      </c>
      <c r="D2109" t="s">
        <v>27</v>
      </c>
      <c r="E2109" t="s">
        <v>49</v>
      </c>
      <c r="F2109" s="1">
        <v>1795.05</v>
      </c>
      <c r="G2109" t="s">
        <v>24</v>
      </c>
      <c r="H2109" t="s">
        <v>15</v>
      </c>
      <c r="I2109" s="2">
        <v>3.6</v>
      </c>
      <c r="J2109" s="4">
        <v>18</v>
      </c>
      <c r="K2109" s="3">
        <v>4</v>
      </c>
      <c r="L2109" s="1">
        <f t="shared" si="96"/>
        <v>1471.941</v>
      </c>
      <c r="M2109" t="str" cm="1">
        <f t="array" ref="M2109">_xlfn.IFS(B2109&lt;18,"Under 18",B2109 &lt;=25,"18-25",B2109&lt;=35,"26-35",B2109&lt;=45,"36-45",B2109&lt;=60,"46-60",TRUE,"60+")</f>
        <v>36-45</v>
      </c>
      <c r="N2109" t="str">
        <f t="shared" si="97"/>
        <v>Discounted</v>
      </c>
      <c r="O2109" t="str">
        <f t="shared" si="98"/>
        <v>Returning</v>
      </c>
    </row>
    <row r="2110" spans="1:15" x14ac:dyDescent="0.25">
      <c r="A2110">
        <v>2109</v>
      </c>
      <c r="B2110">
        <v>64</v>
      </c>
      <c r="C2110" t="s">
        <v>11</v>
      </c>
      <c r="D2110" t="s">
        <v>33</v>
      </c>
      <c r="E2110" t="s">
        <v>34</v>
      </c>
      <c r="F2110" s="1">
        <v>247.74</v>
      </c>
      <c r="G2110" t="s">
        <v>19</v>
      </c>
      <c r="H2110" t="s">
        <v>15</v>
      </c>
      <c r="I2110" s="2">
        <v>3.6</v>
      </c>
      <c r="J2110" s="4">
        <v>19</v>
      </c>
      <c r="K2110" s="3">
        <v>7</v>
      </c>
      <c r="L2110" s="1">
        <f t="shared" si="96"/>
        <v>200.66940000000002</v>
      </c>
      <c r="M2110" t="str" cm="1">
        <f t="array" ref="M2110">_xlfn.IFS(B2110&lt;18,"Under 18",B2110 &lt;=25,"18-25",B2110&lt;=35,"26-35",B2110&lt;=45,"36-45",B2110&lt;=60,"46-60",TRUE,"60+")</f>
        <v>60+</v>
      </c>
      <c r="N2110" t="str">
        <f t="shared" si="97"/>
        <v>Discounted</v>
      </c>
      <c r="O2110" t="str">
        <f t="shared" si="98"/>
        <v>Returning</v>
      </c>
    </row>
    <row r="2111" spans="1:15" x14ac:dyDescent="0.25">
      <c r="A2111">
        <v>2110</v>
      </c>
      <c r="B2111">
        <v>54</v>
      </c>
      <c r="C2111" t="s">
        <v>11</v>
      </c>
      <c r="D2111" t="s">
        <v>12</v>
      </c>
      <c r="E2111" t="s">
        <v>56</v>
      </c>
      <c r="F2111" s="1">
        <v>161.25</v>
      </c>
      <c r="G2111" t="s">
        <v>31</v>
      </c>
      <c r="H2111" t="s">
        <v>15</v>
      </c>
      <c r="I2111" s="2">
        <v>3.8</v>
      </c>
      <c r="J2111" s="4">
        <v>15</v>
      </c>
      <c r="K2111" s="3">
        <v>5</v>
      </c>
      <c r="L2111" s="1">
        <f t="shared" si="96"/>
        <v>137.0625</v>
      </c>
      <c r="M2111" t="str" cm="1">
        <f t="array" ref="M2111">_xlfn.IFS(B2111&lt;18,"Under 18",B2111 &lt;=25,"18-25",B2111&lt;=35,"26-35",B2111&lt;=45,"36-45",B2111&lt;=60,"46-60",TRUE,"60+")</f>
        <v>46-60</v>
      </c>
      <c r="N2111" t="str">
        <f t="shared" si="97"/>
        <v>Discounted</v>
      </c>
      <c r="O2111" t="str">
        <f t="shared" si="98"/>
        <v>Returning</v>
      </c>
    </row>
    <row r="2112" spans="1:15" x14ac:dyDescent="0.25">
      <c r="A2112">
        <v>2111</v>
      </c>
      <c r="B2112">
        <v>70</v>
      </c>
      <c r="C2112" t="s">
        <v>11</v>
      </c>
      <c r="D2112" t="s">
        <v>29</v>
      </c>
      <c r="E2112" t="s">
        <v>55</v>
      </c>
      <c r="F2112" s="1">
        <v>75.11</v>
      </c>
      <c r="G2112" t="s">
        <v>31</v>
      </c>
      <c r="H2112" t="s">
        <v>37</v>
      </c>
      <c r="I2112" s="2">
        <v>4.2</v>
      </c>
      <c r="J2112" s="4">
        <v>16</v>
      </c>
      <c r="K2112" s="3">
        <v>3</v>
      </c>
      <c r="L2112" s="1">
        <f t="shared" si="96"/>
        <v>63.092399999999998</v>
      </c>
      <c r="M2112" t="str" cm="1">
        <f t="array" ref="M2112">_xlfn.IFS(B2112&lt;18,"Under 18",B2112 &lt;=25,"18-25",B2112&lt;=35,"26-35",B2112&lt;=45,"36-45",B2112&lt;=60,"46-60",TRUE,"60+")</f>
        <v>60+</v>
      </c>
      <c r="N2112" t="str">
        <f t="shared" si="97"/>
        <v>Discounted</v>
      </c>
      <c r="O2112" t="str">
        <f t="shared" si="98"/>
        <v>Returning</v>
      </c>
    </row>
    <row r="2113" spans="1:15" x14ac:dyDescent="0.25">
      <c r="A2113">
        <v>2112</v>
      </c>
      <c r="B2113">
        <v>28</v>
      </c>
      <c r="C2113" t="s">
        <v>16</v>
      </c>
      <c r="D2113" t="s">
        <v>17</v>
      </c>
      <c r="E2113" t="s">
        <v>18</v>
      </c>
      <c r="F2113" s="1">
        <v>47.83</v>
      </c>
      <c r="G2113" t="s">
        <v>24</v>
      </c>
      <c r="H2113" t="s">
        <v>15</v>
      </c>
      <c r="I2113" s="2">
        <v>2.2000000000000002</v>
      </c>
      <c r="J2113" s="4">
        <v>16</v>
      </c>
      <c r="K2113" s="3">
        <v>3</v>
      </c>
      <c r="L2113" s="1">
        <f t="shared" si="96"/>
        <v>40.177199999999999</v>
      </c>
      <c r="M2113" t="str" cm="1">
        <f t="array" ref="M2113">_xlfn.IFS(B2113&lt;18,"Under 18",B2113 &lt;=25,"18-25",B2113&lt;=35,"26-35",B2113&lt;=45,"36-45",B2113&lt;=60,"46-60",TRUE,"60+")</f>
        <v>26-35</v>
      </c>
      <c r="N2113" t="str">
        <f t="shared" si="97"/>
        <v>Discounted</v>
      </c>
      <c r="O2113" t="str">
        <f t="shared" si="98"/>
        <v>Returning</v>
      </c>
    </row>
    <row r="2114" spans="1:15" x14ac:dyDescent="0.25">
      <c r="A2114">
        <v>2113</v>
      </c>
      <c r="B2114">
        <v>65</v>
      </c>
      <c r="C2114" t="s">
        <v>16</v>
      </c>
      <c r="D2114" t="s">
        <v>22</v>
      </c>
      <c r="E2114" t="s">
        <v>52</v>
      </c>
      <c r="F2114" s="1">
        <v>214.25</v>
      </c>
      <c r="G2114" t="s">
        <v>14</v>
      </c>
      <c r="H2114" t="s">
        <v>15</v>
      </c>
      <c r="I2114" s="2">
        <v>3.1</v>
      </c>
      <c r="J2114" s="4">
        <v>9</v>
      </c>
      <c r="K2114" s="3">
        <v>2</v>
      </c>
      <c r="L2114" s="1">
        <f t="shared" si="96"/>
        <v>194.9675</v>
      </c>
      <c r="M2114" t="str" cm="1">
        <f t="array" ref="M2114">_xlfn.IFS(B2114&lt;18,"Under 18",B2114 &lt;=25,"18-25",B2114&lt;=35,"26-35",B2114&lt;=45,"36-45",B2114&lt;=60,"46-60",TRUE,"60+")</f>
        <v>60+</v>
      </c>
      <c r="N2114" t="str">
        <f t="shared" si="97"/>
        <v>Discounted</v>
      </c>
      <c r="O2114" t="str">
        <f t="shared" si="98"/>
        <v>Returning</v>
      </c>
    </row>
    <row r="2115" spans="1:15" x14ac:dyDescent="0.25">
      <c r="A2115">
        <v>2114</v>
      </c>
      <c r="B2115">
        <v>42</v>
      </c>
      <c r="C2115" t="s">
        <v>16</v>
      </c>
      <c r="D2115" t="s">
        <v>33</v>
      </c>
      <c r="E2115" t="s">
        <v>34</v>
      </c>
      <c r="F2115" s="1">
        <v>246.94</v>
      </c>
      <c r="G2115" t="s">
        <v>14</v>
      </c>
      <c r="H2115" t="s">
        <v>15</v>
      </c>
      <c r="I2115" s="2">
        <v>2.5</v>
      </c>
      <c r="J2115" s="4">
        <v>9</v>
      </c>
      <c r="K2115" s="3">
        <v>2</v>
      </c>
      <c r="L2115" s="1">
        <f t="shared" ref="L2115:L2178" si="99">F2115 * (1 - J2115 / 100)</f>
        <v>224.71540000000002</v>
      </c>
      <c r="M2115" t="str" cm="1">
        <f t="array" ref="M2115">_xlfn.IFS(B2115&lt;18,"Under 18",B2115 &lt;=25,"18-25",B2115&lt;=35,"26-35",B2115&lt;=45,"36-45",B2115&lt;=60,"46-60",TRUE,"60+")</f>
        <v>36-45</v>
      </c>
      <c r="N2115" t="str">
        <f t="shared" ref="N2115:N2178" si="100">IF(J2115&gt;0,"Discounted","No Discount")</f>
        <v>Discounted</v>
      </c>
      <c r="O2115" t="str">
        <f t="shared" ref="O2115:O2178" si="101">IF(K2115&gt;0,"Returning","New")</f>
        <v>Returning</v>
      </c>
    </row>
    <row r="2116" spans="1:15" x14ac:dyDescent="0.25">
      <c r="A2116">
        <v>2115</v>
      </c>
      <c r="B2116">
        <v>65</v>
      </c>
      <c r="C2116" t="s">
        <v>11</v>
      </c>
      <c r="D2116" t="s">
        <v>41</v>
      </c>
      <c r="E2116" t="s">
        <v>46</v>
      </c>
      <c r="F2116" s="1">
        <v>32.9</v>
      </c>
      <c r="G2116" t="s">
        <v>24</v>
      </c>
      <c r="H2116" t="s">
        <v>15</v>
      </c>
      <c r="I2116" s="2">
        <v>4.5999999999999996</v>
      </c>
      <c r="J2116" s="4">
        <v>16</v>
      </c>
      <c r="K2116" s="3">
        <v>3</v>
      </c>
      <c r="L2116" s="1">
        <f t="shared" si="99"/>
        <v>27.635999999999999</v>
      </c>
      <c r="M2116" t="str" cm="1">
        <f t="array" ref="M2116">_xlfn.IFS(B2116&lt;18,"Under 18",B2116 &lt;=25,"18-25",B2116&lt;=35,"26-35",B2116&lt;=45,"36-45",B2116&lt;=60,"46-60",TRUE,"60+")</f>
        <v>60+</v>
      </c>
      <c r="N2116" t="str">
        <f t="shared" si="100"/>
        <v>Discounted</v>
      </c>
      <c r="O2116" t="str">
        <f t="shared" si="101"/>
        <v>Returning</v>
      </c>
    </row>
    <row r="2117" spans="1:15" x14ac:dyDescent="0.25">
      <c r="A2117">
        <v>2116</v>
      </c>
      <c r="B2117">
        <v>20</v>
      </c>
      <c r="C2117" t="s">
        <v>16</v>
      </c>
      <c r="D2117" t="s">
        <v>25</v>
      </c>
      <c r="E2117" t="s">
        <v>26</v>
      </c>
      <c r="F2117" s="1">
        <v>53.05</v>
      </c>
      <c r="G2117" t="s">
        <v>19</v>
      </c>
      <c r="H2117" t="s">
        <v>15</v>
      </c>
      <c r="I2117" s="2">
        <v>4.8</v>
      </c>
      <c r="J2117" s="4">
        <v>28</v>
      </c>
      <c r="K2117" s="3">
        <v>9</v>
      </c>
      <c r="L2117" s="1">
        <f t="shared" si="99"/>
        <v>38.195999999999998</v>
      </c>
      <c r="M2117" t="str" cm="1">
        <f t="array" ref="M2117">_xlfn.IFS(B2117&lt;18,"Under 18",B2117 &lt;=25,"18-25",B2117&lt;=35,"26-35",B2117&lt;=45,"36-45",B2117&lt;=60,"46-60",TRUE,"60+")</f>
        <v>18-25</v>
      </c>
      <c r="N2117" t="str">
        <f t="shared" si="100"/>
        <v>Discounted</v>
      </c>
      <c r="O2117" t="str">
        <f t="shared" si="101"/>
        <v>Returning</v>
      </c>
    </row>
    <row r="2118" spans="1:15" x14ac:dyDescent="0.25">
      <c r="A2118">
        <v>2117</v>
      </c>
      <c r="B2118">
        <v>68</v>
      </c>
      <c r="C2118" t="s">
        <v>16</v>
      </c>
      <c r="D2118" t="s">
        <v>17</v>
      </c>
      <c r="E2118" t="s">
        <v>48</v>
      </c>
      <c r="F2118" s="1">
        <v>68.39</v>
      </c>
      <c r="G2118" t="s">
        <v>14</v>
      </c>
      <c r="H2118" t="s">
        <v>37</v>
      </c>
      <c r="I2118" s="2">
        <v>4.0999999999999996</v>
      </c>
      <c r="J2118" s="4">
        <v>26</v>
      </c>
      <c r="K2118" s="3">
        <v>8</v>
      </c>
      <c r="L2118" s="1">
        <f t="shared" si="99"/>
        <v>50.608600000000003</v>
      </c>
      <c r="M2118" t="str" cm="1">
        <f t="array" ref="M2118">_xlfn.IFS(B2118&lt;18,"Under 18",B2118 &lt;=25,"18-25",B2118&lt;=35,"26-35",B2118&lt;=45,"36-45",B2118&lt;=60,"46-60",TRUE,"60+")</f>
        <v>60+</v>
      </c>
      <c r="N2118" t="str">
        <f t="shared" si="100"/>
        <v>Discounted</v>
      </c>
      <c r="O2118" t="str">
        <f t="shared" si="101"/>
        <v>Returning</v>
      </c>
    </row>
    <row r="2119" spans="1:15" x14ac:dyDescent="0.25">
      <c r="A2119">
        <v>2118</v>
      </c>
      <c r="B2119">
        <v>49</v>
      </c>
      <c r="C2119" t="s">
        <v>16</v>
      </c>
      <c r="D2119" t="s">
        <v>17</v>
      </c>
      <c r="E2119" t="s">
        <v>18</v>
      </c>
      <c r="F2119" s="1">
        <v>153.15</v>
      </c>
      <c r="G2119" t="s">
        <v>24</v>
      </c>
      <c r="H2119" t="s">
        <v>15</v>
      </c>
      <c r="I2119" s="2">
        <v>3.1</v>
      </c>
      <c r="J2119" s="4">
        <v>8</v>
      </c>
      <c r="K2119" s="3">
        <v>4</v>
      </c>
      <c r="L2119" s="1">
        <f t="shared" si="99"/>
        <v>140.89800000000002</v>
      </c>
      <c r="M2119" t="str" cm="1">
        <f t="array" ref="M2119">_xlfn.IFS(B2119&lt;18,"Under 18",B2119 &lt;=25,"18-25",B2119&lt;=35,"26-35",B2119&lt;=45,"36-45",B2119&lt;=60,"46-60",TRUE,"60+")</f>
        <v>46-60</v>
      </c>
      <c r="N2119" t="str">
        <f t="shared" si="100"/>
        <v>Discounted</v>
      </c>
      <c r="O2119" t="str">
        <f t="shared" si="101"/>
        <v>Returning</v>
      </c>
    </row>
    <row r="2120" spans="1:15" x14ac:dyDescent="0.25">
      <c r="A2120">
        <v>2119</v>
      </c>
      <c r="B2120">
        <v>63</v>
      </c>
      <c r="C2120" t="s">
        <v>11</v>
      </c>
      <c r="D2120" t="s">
        <v>12</v>
      </c>
      <c r="E2120" t="s">
        <v>13</v>
      </c>
      <c r="F2120" s="1">
        <v>50.16</v>
      </c>
      <c r="G2120" t="s">
        <v>24</v>
      </c>
      <c r="H2120" t="s">
        <v>15</v>
      </c>
      <c r="I2120" s="2">
        <v>4.3</v>
      </c>
      <c r="J2120" s="4">
        <v>12</v>
      </c>
      <c r="K2120" s="3">
        <v>6</v>
      </c>
      <c r="L2120" s="1">
        <f t="shared" si="99"/>
        <v>44.140799999999999</v>
      </c>
      <c r="M2120" t="str" cm="1">
        <f t="array" ref="M2120">_xlfn.IFS(B2120&lt;18,"Under 18",B2120 &lt;=25,"18-25",B2120&lt;=35,"26-35",B2120&lt;=45,"36-45",B2120&lt;=60,"46-60",TRUE,"60+")</f>
        <v>60+</v>
      </c>
      <c r="N2120" t="str">
        <f t="shared" si="100"/>
        <v>Discounted</v>
      </c>
      <c r="O2120" t="str">
        <f t="shared" si="101"/>
        <v>Returning</v>
      </c>
    </row>
    <row r="2121" spans="1:15" x14ac:dyDescent="0.25">
      <c r="A2121">
        <v>2120</v>
      </c>
      <c r="B2121">
        <v>30</v>
      </c>
      <c r="C2121" t="s">
        <v>16</v>
      </c>
      <c r="D2121" t="s">
        <v>33</v>
      </c>
      <c r="E2121" t="s">
        <v>38</v>
      </c>
      <c r="F2121" s="1">
        <v>103.58</v>
      </c>
      <c r="G2121" t="s">
        <v>19</v>
      </c>
      <c r="H2121" t="s">
        <v>15</v>
      </c>
      <c r="I2121" s="2">
        <v>4.5</v>
      </c>
      <c r="J2121" s="4">
        <v>15</v>
      </c>
      <c r="K2121" s="3">
        <v>5</v>
      </c>
      <c r="L2121" s="1">
        <f t="shared" si="99"/>
        <v>88.042999999999992</v>
      </c>
      <c r="M2121" t="str" cm="1">
        <f t="array" ref="M2121">_xlfn.IFS(B2121&lt;18,"Under 18",B2121 &lt;=25,"18-25",B2121&lt;=35,"26-35",B2121&lt;=45,"36-45",B2121&lt;=60,"46-60",TRUE,"60+")</f>
        <v>26-35</v>
      </c>
      <c r="N2121" t="str">
        <f t="shared" si="100"/>
        <v>Discounted</v>
      </c>
      <c r="O2121" t="str">
        <f t="shared" si="101"/>
        <v>Returning</v>
      </c>
    </row>
    <row r="2122" spans="1:15" x14ac:dyDescent="0.25">
      <c r="A2122">
        <v>2121</v>
      </c>
      <c r="B2122">
        <v>65</v>
      </c>
      <c r="C2122" t="s">
        <v>11</v>
      </c>
      <c r="D2122" t="s">
        <v>41</v>
      </c>
      <c r="E2122" t="s">
        <v>45</v>
      </c>
      <c r="F2122" s="1">
        <v>159.66999999999999</v>
      </c>
      <c r="G2122" t="s">
        <v>14</v>
      </c>
      <c r="H2122" t="s">
        <v>15</v>
      </c>
      <c r="I2122" s="2">
        <v>3.8</v>
      </c>
      <c r="J2122" s="4">
        <v>10</v>
      </c>
      <c r="K2122" s="3">
        <v>5</v>
      </c>
      <c r="L2122" s="1">
        <f t="shared" si="99"/>
        <v>143.703</v>
      </c>
      <c r="M2122" t="str" cm="1">
        <f t="array" ref="M2122">_xlfn.IFS(B2122&lt;18,"Under 18",B2122 &lt;=25,"18-25",B2122&lt;=35,"26-35",B2122&lt;=45,"36-45",B2122&lt;=60,"46-60",TRUE,"60+")</f>
        <v>60+</v>
      </c>
      <c r="N2122" t="str">
        <f t="shared" si="100"/>
        <v>Discounted</v>
      </c>
      <c r="O2122" t="str">
        <f t="shared" si="101"/>
        <v>Returning</v>
      </c>
    </row>
    <row r="2123" spans="1:15" x14ac:dyDescent="0.25">
      <c r="A2123">
        <v>2122</v>
      </c>
      <c r="B2123">
        <v>22</v>
      </c>
      <c r="C2123" t="s">
        <v>11</v>
      </c>
      <c r="D2123" t="s">
        <v>29</v>
      </c>
      <c r="E2123" t="s">
        <v>55</v>
      </c>
      <c r="F2123" s="1">
        <v>100.76</v>
      </c>
      <c r="G2123" t="s">
        <v>14</v>
      </c>
      <c r="H2123" t="s">
        <v>15</v>
      </c>
      <c r="I2123" s="2">
        <v>5</v>
      </c>
      <c r="J2123" s="4">
        <v>19</v>
      </c>
      <c r="K2123" s="3">
        <v>7</v>
      </c>
      <c r="L2123" s="1">
        <f t="shared" si="99"/>
        <v>81.615600000000015</v>
      </c>
      <c r="M2123" t="str" cm="1">
        <f t="array" ref="M2123">_xlfn.IFS(B2123&lt;18,"Under 18",B2123 &lt;=25,"18-25",B2123&lt;=35,"26-35",B2123&lt;=45,"36-45",B2123&lt;=60,"46-60",TRUE,"60+")</f>
        <v>18-25</v>
      </c>
      <c r="N2123" t="str">
        <f t="shared" si="100"/>
        <v>Discounted</v>
      </c>
      <c r="O2123" t="str">
        <f t="shared" si="101"/>
        <v>Returning</v>
      </c>
    </row>
    <row r="2124" spans="1:15" x14ac:dyDescent="0.25">
      <c r="A2124">
        <v>2123</v>
      </c>
      <c r="B2124">
        <v>64</v>
      </c>
      <c r="C2124" t="s">
        <v>16</v>
      </c>
      <c r="D2124" t="s">
        <v>20</v>
      </c>
      <c r="E2124" t="s">
        <v>21</v>
      </c>
      <c r="F2124" s="1">
        <v>229.26</v>
      </c>
      <c r="G2124" t="s">
        <v>14</v>
      </c>
      <c r="H2124" t="s">
        <v>15</v>
      </c>
      <c r="I2124" s="2">
        <v>4</v>
      </c>
      <c r="J2124" s="4">
        <v>22</v>
      </c>
      <c r="K2124" s="3">
        <v>6</v>
      </c>
      <c r="L2124" s="1">
        <f t="shared" si="99"/>
        <v>178.8228</v>
      </c>
      <c r="M2124" t="str" cm="1">
        <f t="array" ref="M2124">_xlfn.IFS(B2124&lt;18,"Under 18",B2124 &lt;=25,"18-25",B2124&lt;=35,"26-35",B2124&lt;=45,"36-45",B2124&lt;=60,"46-60",TRUE,"60+")</f>
        <v>60+</v>
      </c>
      <c r="N2124" t="str">
        <f t="shared" si="100"/>
        <v>Discounted</v>
      </c>
      <c r="O2124" t="str">
        <f t="shared" si="101"/>
        <v>Returning</v>
      </c>
    </row>
    <row r="2125" spans="1:15" x14ac:dyDescent="0.25">
      <c r="A2125">
        <v>2124</v>
      </c>
      <c r="B2125">
        <v>20</v>
      </c>
      <c r="C2125" t="s">
        <v>16</v>
      </c>
      <c r="D2125" t="s">
        <v>17</v>
      </c>
      <c r="E2125" t="s">
        <v>35</v>
      </c>
      <c r="F2125" s="1">
        <v>121.19</v>
      </c>
      <c r="G2125" t="s">
        <v>19</v>
      </c>
      <c r="H2125" t="s">
        <v>15</v>
      </c>
      <c r="I2125" s="2">
        <v>3.6</v>
      </c>
      <c r="J2125" s="4">
        <v>20</v>
      </c>
      <c r="K2125" s="3">
        <v>5</v>
      </c>
      <c r="L2125" s="1">
        <f t="shared" si="99"/>
        <v>96.951999999999998</v>
      </c>
      <c r="M2125" t="str" cm="1">
        <f t="array" ref="M2125">_xlfn.IFS(B2125&lt;18,"Under 18",B2125 &lt;=25,"18-25",B2125&lt;=35,"26-35",B2125&lt;=45,"36-45",B2125&lt;=60,"46-60",TRUE,"60+")</f>
        <v>18-25</v>
      </c>
      <c r="N2125" t="str">
        <f t="shared" si="100"/>
        <v>Discounted</v>
      </c>
      <c r="O2125" t="str">
        <f t="shared" si="101"/>
        <v>Returning</v>
      </c>
    </row>
    <row r="2126" spans="1:15" x14ac:dyDescent="0.25">
      <c r="A2126">
        <v>2125</v>
      </c>
      <c r="B2126">
        <v>36</v>
      </c>
      <c r="C2126" t="s">
        <v>16</v>
      </c>
      <c r="D2126" t="s">
        <v>17</v>
      </c>
      <c r="E2126" t="s">
        <v>42</v>
      </c>
      <c r="F2126" s="1">
        <v>172.85</v>
      </c>
      <c r="G2126" t="s">
        <v>24</v>
      </c>
      <c r="H2126" t="s">
        <v>15</v>
      </c>
      <c r="I2126" s="2">
        <v>3.6</v>
      </c>
      <c r="J2126" s="4">
        <v>13</v>
      </c>
      <c r="K2126" s="3">
        <v>4</v>
      </c>
      <c r="L2126" s="1">
        <f t="shared" si="99"/>
        <v>150.37950000000001</v>
      </c>
      <c r="M2126" t="str" cm="1">
        <f t="array" ref="M2126">_xlfn.IFS(B2126&lt;18,"Under 18",B2126 &lt;=25,"18-25",B2126&lt;=35,"26-35",B2126&lt;=45,"36-45",B2126&lt;=60,"46-60",TRUE,"60+")</f>
        <v>36-45</v>
      </c>
      <c r="N2126" t="str">
        <f t="shared" si="100"/>
        <v>Discounted</v>
      </c>
      <c r="O2126" t="str">
        <f t="shared" si="101"/>
        <v>Returning</v>
      </c>
    </row>
    <row r="2127" spans="1:15" x14ac:dyDescent="0.25">
      <c r="A2127">
        <v>2126</v>
      </c>
      <c r="B2127">
        <v>37</v>
      </c>
      <c r="C2127" t="s">
        <v>16</v>
      </c>
      <c r="D2127" t="s">
        <v>27</v>
      </c>
      <c r="E2127" t="s">
        <v>32</v>
      </c>
      <c r="F2127" s="1">
        <v>2994.75</v>
      </c>
      <c r="G2127" t="s">
        <v>24</v>
      </c>
      <c r="H2127" t="s">
        <v>15</v>
      </c>
      <c r="I2127" s="2">
        <v>3.4</v>
      </c>
      <c r="J2127" s="4">
        <v>12</v>
      </c>
      <c r="K2127" s="3">
        <v>6</v>
      </c>
      <c r="L2127" s="1">
        <f t="shared" si="99"/>
        <v>2635.38</v>
      </c>
      <c r="M2127" t="str" cm="1">
        <f t="array" ref="M2127">_xlfn.IFS(B2127&lt;18,"Under 18",B2127 &lt;=25,"18-25",B2127&lt;=35,"26-35",B2127&lt;=45,"36-45",B2127&lt;=60,"46-60",TRUE,"60+")</f>
        <v>36-45</v>
      </c>
      <c r="N2127" t="str">
        <f t="shared" si="100"/>
        <v>Discounted</v>
      </c>
      <c r="O2127" t="str">
        <f t="shared" si="101"/>
        <v>Returning</v>
      </c>
    </row>
    <row r="2128" spans="1:15" x14ac:dyDescent="0.25">
      <c r="A2128">
        <v>2127</v>
      </c>
      <c r="B2128">
        <v>24</v>
      </c>
      <c r="C2128" t="s">
        <v>11</v>
      </c>
      <c r="D2128" t="s">
        <v>33</v>
      </c>
      <c r="E2128" t="s">
        <v>38</v>
      </c>
      <c r="F2128" s="1">
        <v>169.29</v>
      </c>
      <c r="G2128" t="s">
        <v>19</v>
      </c>
      <c r="H2128" t="s">
        <v>15</v>
      </c>
      <c r="I2128" s="2">
        <v>3.5</v>
      </c>
      <c r="J2128" s="4">
        <v>22</v>
      </c>
      <c r="K2128" s="3">
        <v>6</v>
      </c>
      <c r="L2128" s="1">
        <f t="shared" si="99"/>
        <v>132.0462</v>
      </c>
      <c r="M2128" t="str" cm="1">
        <f t="array" ref="M2128">_xlfn.IFS(B2128&lt;18,"Under 18",B2128 &lt;=25,"18-25",B2128&lt;=35,"26-35",B2128&lt;=45,"36-45",B2128&lt;=60,"46-60",TRUE,"60+")</f>
        <v>18-25</v>
      </c>
      <c r="N2128" t="str">
        <f t="shared" si="100"/>
        <v>Discounted</v>
      </c>
      <c r="O2128" t="str">
        <f t="shared" si="101"/>
        <v>Returning</v>
      </c>
    </row>
    <row r="2129" spans="1:15" x14ac:dyDescent="0.25">
      <c r="A2129">
        <v>2128</v>
      </c>
      <c r="B2129">
        <v>45</v>
      </c>
      <c r="C2129" t="s">
        <v>11</v>
      </c>
      <c r="D2129" t="s">
        <v>12</v>
      </c>
      <c r="E2129" t="s">
        <v>50</v>
      </c>
      <c r="F2129" s="1">
        <v>48</v>
      </c>
      <c r="G2129" t="s">
        <v>19</v>
      </c>
      <c r="H2129" t="s">
        <v>15</v>
      </c>
      <c r="I2129" s="2">
        <v>3.6</v>
      </c>
      <c r="J2129" s="4">
        <v>16</v>
      </c>
      <c r="K2129" s="3">
        <v>8</v>
      </c>
      <c r="L2129" s="1">
        <f t="shared" si="99"/>
        <v>40.32</v>
      </c>
      <c r="M2129" t="str" cm="1">
        <f t="array" ref="M2129">_xlfn.IFS(B2129&lt;18,"Under 18",B2129 &lt;=25,"18-25",B2129&lt;=35,"26-35",B2129&lt;=45,"36-45",B2129&lt;=60,"46-60",TRUE,"60+")</f>
        <v>36-45</v>
      </c>
      <c r="N2129" t="str">
        <f t="shared" si="100"/>
        <v>Discounted</v>
      </c>
      <c r="O2129" t="str">
        <f t="shared" si="101"/>
        <v>Returning</v>
      </c>
    </row>
    <row r="2130" spans="1:15" x14ac:dyDescent="0.25">
      <c r="A2130">
        <v>2129</v>
      </c>
      <c r="B2130">
        <v>28</v>
      </c>
      <c r="C2130" t="s">
        <v>16</v>
      </c>
      <c r="D2130" t="s">
        <v>20</v>
      </c>
      <c r="E2130" t="s">
        <v>21</v>
      </c>
      <c r="F2130" s="1">
        <v>73.95</v>
      </c>
      <c r="G2130" t="s">
        <v>31</v>
      </c>
      <c r="H2130" t="s">
        <v>15</v>
      </c>
      <c r="I2130" s="2">
        <v>3.8</v>
      </c>
      <c r="J2130" s="4">
        <v>7</v>
      </c>
      <c r="K2130" s="3">
        <v>1</v>
      </c>
      <c r="L2130" s="1">
        <f t="shared" si="99"/>
        <v>68.773499999999999</v>
      </c>
      <c r="M2130" t="str" cm="1">
        <f t="array" ref="M2130">_xlfn.IFS(B2130&lt;18,"Under 18",B2130 &lt;=25,"18-25",B2130&lt;=35,"26-35",B2130&lt;=45,"36-45",B2130&lt;=60,"46-60",TRUE,"60+")</f>
        <v>26-35</v>
      </c>
      <c r="N2130" t="str">
        <f t="shared" si="100"/>
        <v>Discounted</v>
      </c>
      <c r="O2130" t="str">
        <f t="shared" si="101"/>
        <v>Returning</v>
      </c>
    </row>
    <row r="2131" spans="1:15" x14ac:dyDescent="0.25">
      <c r="A2131">
        <v>2130</v>
      </c>
      <c r="B2131">
        <v>38</v>
      </c>
      <c r="C2131" t="s">
        <v>16</v>
      </c>
      <c r="D2131" t="s">
        <v>25</v>
      </c>
      <c r="E2131" t="s">
        <v>57</v>
      </c>
      <c r="F2131" s="1">
        <v>44.44</v>
      </c>
      <c r="G2131" t="s">
        <v>19</v>
      </c>
      <c r="H2131" t="s">
        <v>37</v>
      </c>
      <c r="I2131" s="2">
        <v>4.9000000000000004</v>
      </c>
      <c r="J2131" s="4">
        <v>20</v>
      </c>
      <c r="K2131" s="3">
        <v>5</v>
      </c>
      <c r="L2131" s="1">
        <f t="shared" si="99"/>
        <v>35.552</v>
      </c>
      <c r="M2131" t="str" cm="1">
        <f t="array" ref="M2131">_xlfn.IFS(B2131&lt;18,"Under 18",B2131 &lt;=25,"18-25",B2131&lt;=35,"26-35",B2131&lt;=45,"36-45",B2131&lt;=60,"46-60",TRUE,"60+")</f>
        <v>36-45</v>
      </c>
      <c r="N2131" t="str">
        <f t="shared" si="100"/>
        <v>Discounted</v>
      </c>
      <c r="O2131" t="str">
        <f t="shared" si="101"/>
        <v>Returning</v>
      </c>
    </row>
    <row r="2132" spans="1:15" x14ac:dyDescent="0.25">
      <c r="A2132">
        <v>2131</v>
      </c>
      <c r="B2132">
        <v>42</v>
      </c>
      <c r="C2132" t="s">
        <v>11</v>
      </c>
      <c r="D2132" t="s">
        <v>12</v>
      </c>
      <c r="E2132" t="s">
        <v>56</v>
      </c>
      <c r="F2132" s="1">
        <v>162.6</v>
      </c>
      <c r="G2132" t="s">
        <v>19</v>
      </c>
      <c r="H2132" t="s">
        <v>15</v>
      </c>
      <c r="I2132" s="2">
        <v>4.7</v>
      </c>
      <c r="J2132" s="4">
        <v>12</v>
      </c>
      <c r="K2132" s="3">
        <v>1</v>
      </c>
      <c r="L2132" s="1">
        <f t="shared" si="99"/>
        <v>143.08799999999999</v>
      </c>
      <c r="M2132" t="str" cm="1">
        <f t="array" ref="M2132">_xlfn.IFS(B2132&lt;18,"Under 18",B2132 &lt;=25,"18-25",B2132&lt;=35,"26-35",B2132&lt;=45,"36-45",B2132&lt;=60,"46-60",TRUE,"60+")</f>
        <v>36-45</v>
      </c>
      <c r="N2132" t="str">
        <f t="shared" si="100"/>
        <v>Discounted</v>
      </c>
      <c r="O2132" t="str">
        <f t="shared" si="101"/>
        <v>Returning</v>
      </c>
    </row>
    <row r="2133" spans="1:15" x14ac:dyDescent="0.25">
      <c r="A2133">
        <v>2132</v>
      </c>
      <c r="B2133">
        <v>36</v>
      </c>
      <c r="C2133" t="s">
        <v>16</v>
      </c>
      <c r="D2133" t="s">
        <v>27</v>
      </c>
      <c r="E2133" t="s">
        <v>53</v>
      </c>
      <c r="F2133" s="1">
        <v>1381.61</v>
      </c>
      <c r="G2133" t="s">
        <v>19</v>
      </c>
      <c r="H2133" t="s">
        <v>15</v>
      </c>
      <c r="I2133" s="2">
        <v>4.8</v>
      </c>
      <c r="J2133" s="4">
        <v>13</v>
      </c>
      <c r="K2133" s="3">
        <v>4</v>
      </c>
      <c r="L2133" s="1">
        <f t="shared" si="99"/>
        <v>1202.0006999999998</v>
      </c>
      <c r="M2133" t="str" cm="1">
        <f t="array" ref="M2133">_xlfn.IFS(B2133&lt;18,"Under 18",B2133 &lt;=25,"18-25",B2133&lt;=35,"26-35",B2133&lt;=45,"36-45",B2133&lt;=60,"46-60",TRUE,"60+")</f>
        <v>36-45</v>
      </c>
      <c r="N2133" t="str">
        <f t="shared" si="100"/>
        <v>Discounted</v>
      </c>
      <c r="O2133" t="str">
        <f t="shared" si="101"/>
        <v>Returning</v>
      </c>
    </row>
    <row r="2134" spans="1:15" x14ac:dyDescent="0.25">
      <c r="A2134">
        <v>2133</v>
      </c>
      <c r="B2134">
        <v>37</v>
      </c>
      <c r="C2134" t="s">
        <v>16</v>
      </c>
      <c r="D2134" t="s">
        <v>27</v>
      </c>
      <c r="E2134" t="s">
        <v>53</v>
      </c>
      <c r="F2134" s="1">
        <v>2720.99</v>
      </c>
      <c r="G2134" t="s">
        <v>19</v>
      </c>
      <c r="H2134" t="s">
        <v>15</v>
      </c>
      <c r="I2134" s="2">
        <v>3.1</v>
      </c>
      <c r="J2134" s="4">
        <v>20</v>
      </c>
      <c r="K2134" s="3">
        <v>5</v>
      </c>
      <c r="L2134" s="1">
        <f t="shared" si="99"/>
        <v>2176.7919999999999</v>
      </c>
      <c r="M2134" t="str" cm="1">
        <f t="array" ref="M2134">_xlfn.IFS(B2134&lt;18,"Under 18",B2134 &lt;=25,"18-25",B2134&lt;=35,"26-35",B2134&lt;=45,"36-45",B2134&lt;=60,"46-60",TRUE,"60+")</f>
        <v>36-45</v>
      </c>
      <c r="N2134" t="str">
        <f t="shared" si="100"/>
        <v>Discounted</v>
      </c>
      <c r="O2134" t="str">
        <f t="shared" si="101"/>
        <v>Returning</v>
      </c>
    </row>
    <row r="2135" spans="1:15" x14ac:dyDescent="0.25">
      <c r="A2135">
        <v>2134</v>
      </c>
      <c r="B2135">
        <v>24</v>
      </c>
      <c r="C2135" t="s">
        <v>16</v>
      </c>
      <c r="D2135" t="s">
        <v>33</v>
      </c>
      <c r="E2135" t="s">
        <v>38</v>
      </c>
      <c r="F2135" s="1">
        <v>53.39</v>
      </c>
      <c r="G2135" t="s">
        <v>19</v>
      </c>
      <c r="H2135" t="s">
        <v>37</v>
      </c>
      <c r="I2135" s="2">
        <v>3.3</v>
      </c>
      <c r="J2135" s="4">
        <v>10</v>
      </c>
      <c r="K2135" s="3">
        <v>5</v>
      </c>
      <c r="L2135" s="1">
        <f t="shared" si="99"/>
        <v>48.051000000000002</v>
      </c>
      <c r="M2135" t="str" cm="1">
        <f t="array" ref="M2135">_xlfn.IFS(B2135&lt;18,"Under 18",B2135 &lt;=25,"18-25",B2135&lt;=35,"26-35",B2135&lt;=45,"36-45",B2135&lt;=60,"46-60",TRUE,"60+")</f>
        <v>18-25</v>
      </c>
      <c r="N2135" t="str">
        <f t="shared" si="100"/>
        <v>Discounted</v>
      </c>
      <c r="O2135" t="str">
        <f t="shared" si="101"/>
        <v>Returning</v>
      </c>
    </row>
    <row r="2136" spans="1:15" x14ac:dyDescent="0.25">
      <c r="A2136">
        <v>2135</v>
      </c>
      <c r="B2136">
        <v>42</v>
      </c>
      <c r="C2136" t="s">
        <v>16</v>
      </c>
      <c r="D2136" t="s">
        <v>33</v>
      </c>
      <c r="E2136" t="s">
        <v>40</v>
      </c>
      <c r="F2136" s="1">
        <v>156.01</v>
      </c>
      <c r="G2136" t="s">
        <v>31</v>
      </c>
      <c r="H2136" t="s">
        <v>15</v>
      </c>
      <c r="I2136" s="2">
        <v>3.9</v>
      </c>
      <c r="J2136" s="4">
        <v>8</v>
      </c>
      <c r="K2136" s="3">
        <v>4</v>
      </c>
      <c r="L2136" s="1">
        <f t="shared" si="99"/>
        <v>143.5292</v>
      </c>
      <c r="M2136" t="str" cm="1">
        <f t="array" ref="M2136">_xlfn.IFS(B2136&lt;18,"Under 18",B2136 &lt;=25,"18-25",B2136&lt;=35,"26-35",B2136&lt;=45,"36-45",B2136&lt;=60,"46-60",TRUE,"60+")</f>
        <v>36-45</v>
      </c>
      <c r="N2136" t="str">
        <f t="shared" si="100"/>
        <v>Discounted</v>
      </c>
      <c r="O2136" t="str">
        <f t="shared" si="101"/>
        <v>Returning</v>
      </c>
    </row>
    <row r="2137" spans="1:15" x14ac:dyDescent="0.25">
      <c r="A2137">
        <v>2136</v>
      </c>
      <c r="B2137">
        <v>23</v>
      </c>
      <c r="C2137" t="s">
        <v>11</v>
      </c>
      <c r="D2137" t="s">
        <v>29</v>
      </c>
      <c r="E2137" t="s">
        <v>30</v>
      </c>
      <c r="F2137" s="1">
        <v>107.23</v>
      </c>
      <c r="G2137" t="s">
        <v>24</v>
      </c>
      <c r="H2137" t="s">
        <v>15</v>
      </c>
      <c r="I2137" s="2">
        <v>3.3</v>
      </c>
      <c r="J2137" s="4">
        <v>9</v>
      </c>
      <c r="K2137" s="3">
        <v>2</v>
      </c>
      <c r="L2137" s="1">
        <f t="shared" si="99"/>
        <v>97.579300000000003</v>
      </c>
      <c r="M2137" t="str" cm="1">
        <f t="array" ref="M2137">_xlfn.IFS(B2137&lt;18,"Under 18",B2137 &lt;=25,"18-25",B2137&lt;=35,"26-35",B2137&lt;=45,"36-45",B2137&lt;=60,"46-60",TRUE,"60+")</f>
        <v>18-25</v>
      </c>
      <c r="N2137" t="str">
        <f t="shared" si="100"/>
        <v>Discounted</v>
      </c>
      <c r="O2137" t="str">
        <f t="shared" si="101"/>
        <v>Returning</v>
      </c>
    </row>
    <row r="2138" spans="1:15" x14ac:dyDescent="0.25">
      <c r="A2138">
        <v>2137</v>
      </c>
      <c r="B2138">
        <v>31</v>
      </c>
      <c r="C2138" t="s">
        <v>11</v>
      </c>
      <c r="D2138" t="s">
        <v>29</v>
      </c>
      <c r="E2138" t="s">
        <v>30</v>
      </c>
      <c r="F2138" s="1">
        <v>72.150000000000006</v>
      </c>
      <c r="G2138" t="s">
        <v>14</v>
      </c>
      <c r="H2138" t="s">
        <v>37</v>
      </c>
      <c r="I2138" s="2">
        <v>4.0999999999999996</v>
      </c>
      <c r="J2138" s="4">
        <v>16</v>
      </c>
      <c r="K2138" s="3">
        <v>3</v>
      </c>
      <c r="L2138" s="1">
        <f t="shared" si="99"/>
        <v>60.606000000000002</v>
      </c>
      <c r="M2138" t="str" cm="1">
        <f t="array" ref="M2138">_xlfn.IFS(B2138&lt;18,"Under 18",B2138 &lt;=25,"18-25",B2138&lt;=35,"26-35",B2138&lt;=45,"36-45",B2138&lt;=60,"46-60",TRUE,"60+")</f>
        <v>26-35</v>
      </c>
      <c r="N2138" t="str">
        <f t="shared" si="100"/>
        <v>Discounted</v>
      </c>
      <c r="O2138" t="str">
        <f t="shared" si="101"/>
        <v>Returning</v>
      </c>
    </row>
    <row r="2139" spans="1:15" x14ac:dyDescent="0.25">
      <c r="A2139">
        <v>2138</v>
      </c>
      <c r="B2139">
        <v>28</v>
      </c>
      <c r="C2139" t="s">
        <v>11</v>
      </c>
      <c r="D2139" t="s">
        <v>33</v>
      </c>
      <c r="E2139" t="s">
        <v>40</v>
      </c>
      <c r="F2139" s="1">
        <v>235.98</v>
      </c>
      <c r="G2139" t="s">
        <v>24</v>
      </c>
      <c r="H2139" t="s">
        <v>15</v>
      </c>
      <c r="I2139" s="2">
        <v>2.6</v>
      </c>
      <c r="J2139" s="4">
        <v>26</v>
      </c>
      <c r="K2139" s="3">
        <v>8</v>
      </c>
      <c r="L2139" s="1">
        <f t="shared" si="99"/>
        <v>174.62519999999998</v>
      </c>
      <c r="M2139" t="str" cm="1">
        <f t="array" ref="M2139">_xlfn.IFS(B2139&lt;18,"Under 18",B2139 &lt;=25,"18-25",B2139&lt;=35,"26-35",B2139&lt;=45,"36-45",B2139&lt;=60,"46-60",TRUE,"60+")</f>
        <v>26-35</v>
      </c>
      <c r="N2139" t="str">
        <f t="shared" si="100"/>
        <v>Discounted</v>
      </c>
      <c r="O2139" t="str">
        <f t="shared" si="101"/>
        <v>Returning</v>
      </c>
    </row>
    <row r="2140" spans="1:15" x14ac:dyDescent="0.25">
      <c r="A2140">
        <v>2139</v>
      </c>
      <c r="B2140">
        <v>65</v>
      </c>
      <c r="C2140" t="s">
        <v>11</v>
      </c>
      <c r="D2140" t="s">
        <v>33</v>
      </c>
      <c r="E2140" t="s">
        <v>40</v>
      </c>
      <c r="F2140" s="1">
        <v>216.73</v>
      </c>
      <c r="G2140" t="s">
        <v>31</v>
      </c>
      <c r="H2140" t="s">
        <v>15</v>
      </c>
      <c r="I2140" s="2">
        <v>5</v>
      </c>
      <c r="J2140" s="4">
        <v>16</v>
      </c>
      <c r="K2140" s="3">
        <v>3</v>
      </c>
      <c r="L2140" s="1">
        <f t="shared" si="99"/>
        <v>182.05319999999998</v>
      </c>
      <c r="M2140" t="str" cm="1">
        <f t="array" ref="M2140">_xlfn.IFS(B2140&lt;18,"Under 18",B2140 &lt;=25,"18-25",B2140&lt;=35,"26-35",B2140&lt;=45,"36-45",B2140&lt;=60,"46-60",TRUE,"60+")</f>
        <v>60+</v>
      </c>
      <c r="N2140" t="str">
        <f t="shared" si="100"/>
        <v>Discounted</v>
      </c>
      <c r="O2140" t="str">
        <f t="shared" si="101"/>
        <v>Returning</v>
      </c>
    </row>
    <row r="2141" spans="1:15" x14ac:dyDescent="0.25">
      <c r="A2141">
        <v>2140</v>
      </c>
      <c r="B2141">
        <v>57</v>
      </c>
      <c r="C2141" t="s">
        <v>16</v>
      </c>
      <c r="D2141" t="s">
        <v>17</v>
      </c>
      <c r="E2141" t="s">
        <v>48</v>
      </c>
      <c r="F2141" s="1">
        <v>76.98</v>
      </c>
      <c r="G2141" t="s">
        <v>31</v>
      </c>
      <c r="H2141" t="s">
        <v>15</v>
      </c>
      <c r="I2141" s="2">
        <v>3.9</v>
      </c>
      <c r="J2141" s="4">
        <v>24</v>
      </c>
      <c r="K2141" s="3">
        <v>7</v>
      </c>
      <c r="L2141" s="1">
        <f t="shared" si="99"/>
        <v>58.504800000000003</v>
      </c>
      <c r="M2141" t="str" cm="1">
        <f t="array" ref="M2141">_xlfn.IFS(B2141&lt;18,"Under 18",B2141 &lt;=25,"18-25",B2141&lt;=35,"26-35",B2141&lt;=45,"36-45",B2141&lt;=60,"46-60",TRUE,"60+")</f>
        <v>46-60</v>
      </c>
      <c r="N2141" t="str">
        <f t="shared" si="100"/>
        <v>Discounted</v>
      </c>
      <c r="O2141" t="str">
        <f t="shared" si="101"/>
        <v>Returning</v>
      </c>
    </row>
    <row r="2142" spans="1:15" x14ac:dyDescent="0.25">
      <c r="A2142">
        <v>2141</v>
      </c>
      <c r="B2142">
        <v>66</v>
      </c>
      <c r="C2142" t="s">
        <v>11</v>
      </c>
      <c r="D2142" t="s">
        <v>41</v>
      </c>
      <c r="E2142" t="s">
        <v>46</v>
      </c>
      <c r="F2142" s="1">
        <v>104.42</v>
      </c>
      <c r="G2142" t="s">
        <v>19</v>
      </c>
      <c r="H2142" t="s">
        <v>15</v>
      </c>
      <c r="I2142" s="2">
        <v>3.6</v>
      </c>
      <c r="J2142" s="4">
        <v>10</v>
      </c>
      <c r="K2142" s="3">
        <v>5</v>
      </c>
      <c r="L2142" s="1">
        <f t="shared" si="99"/>
        <v>93.978000000000009</v>
      </c>
      <c r="M2142" t="str" cm="1">
        <f t="array" ref="M2142">_xlfn.IFS(B2142&lt;18,"Under 18",B2142 &lt;=25,"18-25",B2142&lt;=35,"26-35",B2142&lt;=45,"36-45",B2142&lt;=60,"46-60",TRUE,"60+")</f>
        <v>60+</v>
      </c>
      <c r="N2142" t="str">
        <f t="shared" si="100"/>
        <v>Discounted</v>
      </c>
      <c r="O2142" t="str">
        <f t="shared" si="101"/>
        <v>Returning</v>
      </c>
    </row>
    <row r="2143" spans="1:15" x14ac:dyDescent="0.25">
      <c r="A2143">
        <v>2142</v>
      </c>
      <c r="B2143">
        <v>30</v>
      </c>
      <c r="C2143" t="s">
        <v>11</v>
      </c>
      <c r="D2143" t="s">
        <v>41</v>
      </c>
      <c r="E2143" t="s">
        <v>42</v>
      </c>
      <c r="F2143" s="1">
        <v>190.44</v>
      </c>
      <c r="G2143" t="s">
        <v>24</v>
      </c>
      <c r="H2143" t="s">
        <v>15</v>
      </c>
      <c r="I2143" s="2">
        <v>4</v>
      </c>
      <c r="J2143" s="4">
        <v>8</v>
      </c>
      <c r="K2143" s="3">
        <v>4</v>
      </c>
      <c r="L2143" s="1">
        <f t="shared" si="99"/>
        <v>175.20480000000001</v>
      </c>
      <c r="M2143" t="str" cm="1">
        <f t="array" ref="M2143">_xlfn.IFS(B2143&lt;18,"Under 18",B2143 &lt;=25,"18-25",B2143&lt;=35,"26-35",B2143&lt;=45,"36-45",B2143&lt;=60,"46-60",TRUE,"60+")</f>
        <v>26-35</v>
      </c>
      <c r="N2143" t="str">
        <f t="shared" si="100"/>
        <v>Discounted</v>
      </c>
      <c r="O2143" t="str">
        <f t="shared" si="101"/>
        <v>Returning</v>
      </c>
    </row>
    <row r="2144" spans="1:15" x14ac:dyDescent="0.25">
      <c r="A2144">
        <v>2143</v>
      </c>
      <c r="B2144">
        <v>52</v>
      </c>
      <c r="C2144" t="s">
        <v>16</v>
      </c>
      <c r="D2144" t="s">
        <v>33</v>
      </c>
      <c r="E2144" t="s">
        <v>38</v>
      </c>
      <c r="F2144" s="1">
        <v>140.52000000000001</v>
      </c>
      <c r="G2144" t="s">
        <v>19</v>
      </c>
      <c r="H2144" t="s">
        <v>15</v>
      </c>
      <c r="I2144" s="2">
        <v>3.5</v>
      </c>
      <c r="J2144" s="4">
        <v>15</v>
      </c>
      <c r="K2144" s="3">
        <v>5</v>
      </c>
      <c r="L2144" s="1">
        <f t="shared" si="99"/>
        <v>119.44200000000001</v>
      </c>
      <c r="M2144" t="str" cm="1">
        <f t="array" ref="M2144">_xlfn.IFS(B2144&lt;18,"Under 18",B2144 &lt;=25,"18-25",B2144&lt;=35,"26-35",B2144&lt;=45,"36-45",B2144&lt;=60,"46-60",TRUE,"60+")</f>
        <v>46-60</v>
      </c>
      <c r="N2144" t="str">
        <f t="shared" si="100"/>
        <v>Discounted</v>
      </c>
      <c r="O2144" t="str">
        <f t="shared" si="101"/>
        <v>Returning</v>
      </c>
    </row>
    <row r="2145" spans="1:15" x14ac:dyDescent="0.25">
      <c r="A2145">
        <v>2144</v>
      </c>
      <c r="B2145">
        <v>59</v>
      </c>
      <c r="C2145" t="s">
        <v>16</v>
      </c>
      <c r="D2145" t="s">
        <v>33</v>
      </c>
      <c r="E2145" t="s">
        <v>38</v>
      </c>
      <c r="F2145" s="1">
        <v>109.11</v>
      </c>
      <c r="G2145" t="s">
        <v>24</v>
      </c>
      <c r="H2145" t="s">
        <v>15</v>
      </c>
      <c r="I2145" s="2">
        <v>4.3</v>
      </c>
      <c r="J2145" s="4">
        <v>8</v>
      </c>
      <c r="K2145" s="3">
        <v>4</v>
      </c>
      <c r="L2145" s="1">
        <f t="shared" si="99"/>
        <v>100.38120000000001</v>
      </c>
      <c r="M2145" t="str" cm="1">
        <f t="array" ref="M2145">_xlfn.IFS(B2145&lt;18,"Under 18",B2145 &lt;=25,"18-25",B2145&lt;=35,"26-35",B2145&lt;=45,"36-45",B2145&lt;=60,"46-60",TRUE,"60+")</f>
        <v>46-60</v>
      </c>
      <c r="N2145" t="str">
        <f t="shared" si="100"/>
        <v>Discounted</v>
      </c>
      <c r="O2145" t="str">
        <f t="shared" si="101"/>
        <v>Returning</v>
      </c>
    </row>
    <row r="2146" spans="1:15" x14ac:dyDescent="0.25">
      <c r="A2146">
        <v>2145</v>
      </c>
      <c r="B2146">
        <v>46</v>
      </c>
      <c r="C2146" t="s">
        <v>16</v>
      </c>
      <c r="D2146" t="s">
        <v>20</v>
      </c>
      <c r="E2146" t="s">
        <v>21</v>
      </c>
      <c r="F2146" s="1">
        <v>179.23</v>
      </c>
      <c r="G2146" t="s">
        <v>19</v>
      </c>
      <c r="H2146" t="s">
        <v>15</v>
      </c>
      <c r="I2146" s="2">
        <v>3.8</v>
      </c>
      <c r="J2146" s="4">
        <v>12</v>
      </c>
      <c r="K2146" s="3">
        <v>6</v>
      </c>
      <c r="L2146" s="1">
        <f t="shared" si="99"/>
        <v>157.72239999999999</v>
      </c>
      <c r="M2146" t="str" cm="1">
        <f t="array" ref="M2146">_xlfn.IFS(B2146&lt;18,"Under 18",B2146 &lt;=25,"18-25",B2146&lt;=35,"26-35",B2146&lt;=45,"36-45",B2146&lt;=60,"46-60",TRUE,"60+")</f>
        <v>46-60</v>
      </c>
      <c r="N2146" t="str">
        <f t="shared" si="100"/>
        <v>Discounted</v>
      </c>
      <c r="O2146" t="str">
        <f t="shared" si="101"/>
        <v>Returning</v>
      </c>
    </row>
    <row r="2147" spans="1:15" x14ac:dyDescent="0.25">
      <c r="A2147">
        <v>2146</v>
      </c>
      <c r="B2147">
        <v>40</v>
      </c>
      <c r="C2147" t="s">
        <v>16</v>
      </c>
      <c r="D2147" t="s">
        <v>25</v>
      </c>
      <c r="E2147" t="s">
        <v>54</v>
      </c>
      <c r="F2147" s="1">
        <v>23.38</v>
      </c>
      <c r="G2147" t="s">
        <v>14</v>
      </c>
      <c r="H2147" t="s">
        <v>37</v>
      </c>
      <c r="I2147" s="2">
        <v>2.9</v>
      </c>
      <c r="J2147" s="4">
        <v>12</v>
      </c>
      <c r="K2147" s="3">
        <v>6</v>
      </c>
      <c r="L2147" s="1">
        <f t="shared" si="99"/>
        <v>20.574400000000001</v>
      </c>
      <c r="M2147" t="str" cm="1">
        <f t="array" ref="M2147">_xlfn.IFS(B2147&lt;18,"Under 18",B2147 &lt;=25,"18-25",B2147&lt;=35,"26-35",B2147&lt;=45,"36-45",B2147&lt;=60,"46-60",TRUE,"60+")</f>
        <v>36-45</v>
      </c>
      <c r="N2147" t="str">
        <f t="shared" si="100"/>
        <v>Discounted</v>
      </c>
      <c r="O2147" t="str">
        <f t="shared" si="101"/>
        <v>Returning</v>
      </c>
    </row>
    <row r="2148" spans="1:15" x14ac:dyDescent="0.25">
      <c r="A2148">
        <v>2147</v>
      </c>
      <c r="B2148">
        <v>60</v>
      </c>
      <c r="C2148" t="s">
        <v>11</v>
      </c>
      <c r="D2148" t="s">
        <v>20</v>
      </c>
      <c r="E2148" t="s">
        <v>36</v>
      </c>
      <c r="F2148" s="1">
        <v>243.83</v>
      </c>
      <c r="G2148" t="s">
        <v>14</v>
      </c>
      <c r="H2148" t="s">
        <v>15</v>
      </c>
      <c r="I2148" s="2">
        <v>4</v>
      </c>
      <c r="J2148" s="4">
        <v>20</v>
      </c>
      <c r="K2148" s="3">
        <v>5</v>
      </c>
      <c r="L2148" s="1">
        <f t="shared" si="99"/>
        <v>195.06400000000002</v>
      </c>
      <c r="M2148" t="str" cm="1">
        <f t="array" ref="M2148">_xlfn.IFS(B2148&lt;18,"Under 18",B2148 &lt;=25,"18-25",B2148&lt;=35,"26-35",B2148&lt;=45,"36-45",B2148&lt;=60,"46-60",TRUE,"60+")</f>
        <v>46-60</v>
      </c>
      <c r="N2148" t="str">
        <f t="shared" si="100"/>
        <v>Discounted</v>
      </c>
      <c r="O2148" t="str">
        <f t="shared" si="101"/>
        <v>Returning</v>
      </c>
    </row>
    <row r="2149" spans="1:15" x14ac:dyDescent="0.25">
      <c r="A2149">
        <v>2148</v>
      </c>
      <c r="B2149">
        <v>57</v>
      </c>
      <c r="C2149" t="s">
        <v>16</v>
      </c>
      <c r="D2149" t="s">
        <v>20</v>
      </c>
      <c r="E2149" t="s">
        <v>36</v>
      </c>
      <c r="F2149" s="1">
        <v>111.73</v>
      </c>
      <c r="G2149" t="s">
        <v>19</v>
      </c>
      <c r="H2149" t="s">
        <v>15</v>
      </c>
      <c r="I2149" s="2">
        <v>5</v>
      </c>
      <c r="J2149" s="4">
        <v>26</v>
      </c>
      <c r="K2149" s="3">
        <v>8</v>
      </c>
      <c r="L2149" s="1">
        <f t="shared" si="99"/>
        <v>82.680199999999999</v>
      </c>
      <c r="M2149" t="str" cm="1">
        <f t="array" ref="M2149">_xlfn.IFS(B2149&lt;18,"Under 18",B2149 &lt;=25,"18-25",B2149&lt;=35,"26-35",B2149&lt;=45,"36-45",B2149&lt;=60,"46-60",TRUE,"60+")</f>
        <v>46-60</v>
      </c>
      <c r="N2149" t="str">
        <f t="shared" si="100"/>
        <v>Discounted</v>
      </c>
      <c r="O2149" t="str">
        <f t="shared" si="101"/>
        <v>Returning</v>
      </c>
    </row>
    <row r="2150" spans="1:15" x14ac:dyDescent="0.25">
      <c r="A2150">
        <v>2149</v>
      </c>
      <c r="B2150">
        <v>46</v>
      </c>
      <c r="C2150" t="s">
        <v>16</v>
      </c>
      <c r="D2150" t="s">
        <v>17</v>
      </c>
      <c r="E2150" t="s">
        <v>35</v>
      </c>
      <c r="F2150" s="1">
        <v>86.78</v>
      </c>
      <c r="G2150" t="s">
        <v>24</v>
      </c>
      <c r="H2150" t="s">
        <v>15</v>
      </c>
      <c r="I2150" s="2">
        <v>4.4000000000000004</v>
      </c>
      <c r="J2150" s="4">
        <v>12</v>
      </c>
      <c r="K2150" s="3">
        <v>6</v>
      </c>
      <c r="L2150" s="1">
        <f t="shared" si="99"/>
        <v>76.366399999999999</v>
      </c>
      <c r="M2150" t="str" cm="1">
        <f t="array" ref="M2150">_xlfn.IFS(B2150&lt;18,"Under 18",B2150 &lt;=25,"18-25",B2150&lt;=35,"26-35",B2150&lt;=45,"36-45",B2150&lt;=60,"46-60",TRUE,"60+")</f>
        <v>46-60</v>
      </c>
      <c r="N2150" t="str">
        <f t="shared" si="100"/>
        <v>Discounted</v>
      </c>
      <c r="O2150" t="str">
        <f t="shared" si="101"/>
        <v>Returning</v>
      </c>
    </row>
    <row r="2151" spans="1:15" x14ac:dyDescent="0.25">
      <c r="A2151">
        <v>2150</v>
      </c>
      <c r="B2151">
        <v>66</v>
      </c>
      <c r="C2151" t="s">
        <v>16</v>
      </c>
      <c r="D2151" t="s">
        <v>33</v>
      </c>
      <c r="E2151" t="s">
        <v>34</v>
      </c>
      <c r="F2151" s="1">
        <v>115.51</v>
      </c>
      <c r="G2151" t="s">
        <v>14</v>
      </c>
      <c r="H2151" t="s">
        <v>15</v>
      </c>
      <c r="I2151" s="2">
        <v>3.8</v>
      </c>
      <c r="J2151" s="4">
        <v>8</v>
      </c>
      <c r="K2151" s="3">
        <v>4</v>
      </c>
      <c r="L2151" s="1">
        <f t="shared" si="99"/>
        <v>106.26920000000001</v>
      </c>
      <c r="M2151" t="str" cm="1">
        <f t="array" ref="M2151">_xlfn.IFS(B2151&lt;18,"Under 18",B2151 &lt;=25,"18-25",B2151&lt;=35,"26-35",B2151&lt;=45,"36-45",B2151&lt;=60,"46-60",TRUE,"60+")</f>
        <v>60+</v>
      </c>
      <c r="N2151" t="str">
        <f t="shared" si="100"/>
        <v>Discounted</v>
      </c>
      <c r="O2151" t="str">
        <f t="shared" si="101"/>
        <v>Returning</v>
      </c>
    </row>
    <row r="2152" spans="1:15" x14ac:dyDescent="0.25">
      <c r="A2152">
        <v>2151</v>
      </c>
      <c r="B2152">
        <v>25</v>
      </c>
      <c r="C2152" t="s">
        <v>16</v>
      </c>
      <c r="D2152" t="s">
        <v>27</v>
      </c>
      <c r="E2152" t="s">
        <v>32</v>
      </c>
      <c r="F2152" s="1">
        <v>2459.81</v>
      </c>
      <c r="G2152" t="s">
        <v>24</v>
      </c>
      <c r="H2152" t="s">
        <v>15</v>
      </c>
      <c r="I2152" s="2">
        <v>4.0999999999999996</v>
      </c>
      <c r="J2152" s="4">
        <v>6</v>
      </c>
      <c r="K2152" s="3">
        <v>3</v>
      </c>
      <c r="L2152" s="1">
        <f t="shared" si="99"/>
        <v>2312.2213999999999</v>
      </c>
      <c r="M2152" t="str" cm="1">
        <f t="array" ref="M2152">_xlfn.IFS(B2152&lt;18,"Under 18",B2152 &lt;=25,"18-25",B2152&lt;=35,"26-35",B2152&lt;=45,"36-45",B2152&lt;=60,"46-60",TRUE,"60+")</f>
        <v>18-25</v>
      </c>
      <c r="N2152" t="str">
        <f t="shared" si="100"/>
        <v>Discounted</v>
      </c>
      <c r="O2152" t="str">
        <f t="shared" si="101"/>
        <v>Returning</v>
      </c>
    </row>
    <row r="2153" spans="1:15" x14ac:dyDescent="0.25">
      <c r="A2153">
        <v>2152</v>
      </c>
      <c r="B2153">
        <v>43</v>
      </c>
      <c r="C2153" t="s">
        <v>11</v>
      </c>
      <c r="D2153" t="s">
        <v>41</v>
      </c>
      <c r="E2153" t="s">
        <v>44</v>
      </c>
      <c r="F2153" s="1">
        <v>89.23</v>
      </c>
      <c r="G2153" t="s">
        <v>31</v>
      </c>
      <c r="H2153" t="s">
        <v>15</v>
      </c>
      <c r="I2153" s="2">
        <v>3.2</v>
      </c>
      <c r="J2153" s="4">
        <v>10</v>
      </c>
      <c r="K2153" s="3">
        <v>5</v>
      </c>
      <c r="L2153" s="1">
        <f t="shared" si="99"/>
        <v>80.307000000000002</v>
      </c>
      <c r="M2153" t="str" cm="1">
        <f t="array" ref="M2153">_xlfn.IFS(B2153&lt;18,"Under 18",B2153 &lt;=25,"18-25",B2153&lt;=35,"26-35",B2153&lt;=45,"36-45",B2153&lt;=60,"46-60",TRUE,"60+")</f>
        <v>36-45</v>
      </c>
      <c r="N2153" t="str">
        <f t="shared" si="100"/>
        <v>Discounted</v>
      </c>
      <c r="O2153" t="str">
        <f t="shared" si="101"/>
        <v>Returning</v>
      </c>
    </row>
    <row r="2154" spans="1:15" x14ac:dyDescent="0.25">
      <c r="A2154">
        <v>2153</v>
      </c>
      <c r="B2154">
        <v>48</v>
      </c>
      <c r="C2154" t="s">
        <v>11</v>
      </c>
      <c r="D2154" t="s">
        <v>29</v>
      </c>
      <c r="E2154" t="s">
        <v>51</v>
      </c>
      <c r="F2154" s="1">
        <v>108.66</v>
      </c>
      <c r="G2154" t="s">
        <v>19</v>
      </c>
      <c r="H2154" t="s">
        <v>15</v>
      </c>
      <c r="I2154" s="2">
        <v>3.7</v>
      </c>
      <c r="J2154" s="4">
        <v>12</v>
      </c>
      <c r="K2154" s="3">
        <v>6</v>
      </c>
      <c r="L2154" s="1">
        <f t="shared" si="99"/>
        <v>95.620800000000003</v>
      </c>
      <c r="M2154" t="str" cm="1">
        <f t="array" ref="M2154">_xlfn.IFS(B2154&lt;18,"Under 18",B2154 &lt;=25,"18-25",B2154&lt;=35,"26-35",B2154&lt;=45,"36-45",B2154&lt;=60,"46-60",TRUE,"60+")</f>
        <v>46-60</v>
      </c>
      <c r="N2154" t="str">
        <f t="shared" si="100"/>
        <v>Discounted</v>
      </c>
      <c r="O2154" t="str">
        <f t="shared" si="101"/>
        <v>Returning</v>
      </c>
    </row>
    <row r="2155" spans="1:15" x14ac:dyDescent="0.25">
      <c r="A2155">
        <v>2154</v>
      </c>
      <c r="B2155">
        <v>32</v>
      </c>
      <c r="C2155" t="s">
        <v>11</v>
      </c>
      <c r="D2155" t="s">
        <v>20</v>
      </c>
      <c r="E2155" t="s">
        <v>39</v>
      </c>
      <c r="F2155" s="1">
        <v>156.96</v>
      </c>
      <c r="G2155" t="s">
        <v>14</v>
      </c>
      <c r="H2155" t="s">
        <v>15</v>
      </c>
      <c r="I2155" s="2">
        <v>3.4</v>
      </c>
      <c r="J2155" s="4">
        <v>22</v>
      </c>
      <c r="K2155" s="3">
        <v>6</v>
      </c>
      <c r="L2155" s="1">
        <f t="shared" si="99"/>
        <v>122.42880000000001</v>
      </c>
      <c r="M2155" t="str" cm="1">
        <f t="array" ref="M2155">_xlfn.IFS(B2155&lt;18,"Under 18",B2155 &lt;=25,"18-25",B2155&lt;=35,"26-35",B2155&lt;=45,"36-45",B2155&lt;=60,"46-60",TRUE,"60+")</f>
        <v>26-35</v>
      </c>
      <c r="N2155" t="str">
        <f t="shared" si="100"/>
        <v>Discounted</v>
      </c>
      <c r="O2155" t="str">
        <f t="shared" si="101"/>
        <v>Returning</v>
      </c>
    </row>
    <row r="2156" spans="1:15" x14ac:dyDescent="0.25">
      <c r="A2156">
        <v>2155</v>
      </c>
      <c r="B2156">
        <v>51</v>
      </c>
      <c r="C2156" t="s">
        <v>11</v>
      </c>
      <c r="D2156" t="s">
        <v>41</v>
      </c>
      <c r="E2156" t="s">
        <v>45</v>
      </c>
      <c r="F2156" s="1">
        <v>162.77000000000001</v>
      </c>
      <c r="G2156" t="s">
        <v>24</v>
      </c>
      <c r="H2156" t="s">
        <v>15</v>
      </c>
      <c r="I2156" s="2">
        <v>3.3</v>
      </c>
      <c r="J2156" s="4">
        <v>20</v>
      </c>
      <c r="K2156" s="3">
        <v>5</v>
      </c>
      <c r="L2156" s="1">
        <f t="shared" si="99"/>
        <v>130.21600000000001</v>
      </c>
      <c r="M2156" t="str" cm="1">
        <f t="array" ref="M2156">_xlfn.IFS(B2156&lt;18,"Under 18",B2156 &lt;=25,"18-25",B2156&lt;=35,"26-35",B2156&lt;=45,"36-45",B2156&lt;=60,"46-60",TRUE,"60+")</f>
        <v>46-60</v>
      </c>
      <c r="N2156" t="str">
        <f t="shared" si="100"/>
        <v>Discounted</v>
      </c>
      <c r="O2156" t="str">
        <f t="shared" si="101"/>
        <v>Returning</v>
      </c>
    </row>
    <row r="2157" spans="1:15" x14ac:dyDescent="0.25">
      <c r="A2157">
        <v>2156</v>
      </c>
      <c r="B2157">
        <v>24</v>
      </c>
      <c r="C2157" t="s">
        <v>11</v>
      </c>
      <c r="D2157" t="s">
        <v>41</v>
      </c>
      <c r="E2157" t="s">
        <v>46</v>
      </c>
      <c r="F2157" s="1">
        <v>134.74</v>
      </c>
      <c r="G2157" t="s">
        <v>31</v>
      </c>
      <c r="H2157" t="s">
        <v>15</v>
      </c>
      <c r="I2157" s="2">
        <v>4.4000000000000004</v>
      </c>
      <c r="J2157" s="4">
        <v>12</v>
      </c>
      <c r="K2157" s="3">
        <v>6</v>
      </c>
      <c r="L2157" s="1">
        <f t="shared" si="99"/>
        <v>118.5712</v>
      </c>
      <c r="M2157" t="str" cm="1">
        <f t="array" ref="M2157">_xlfn.IFS(B2157&lt;18,"Under 18",B2157 &lt;=25,"18-25",B2157&lt;=35,"26-35",B2157&lt;=45,"36-45",B2157&lt;=60,"46-60",TRUE,"60+")</f>
        <v>18-25</v>
      </c>
      <c r="N2157" t="str">
        <f t="shared" si="100"/>
        <v>Discounted</v>
      </c>
      <c r="O2157" t="str">
        <f t="shared" si="101"/>
        <v>Returning</v>
      </c>
    </row>
    <row r="2158" spans="1:15" x14ac:dyDescent="0.25">
      <c r="A2158">
        <v>2157</v>
      </c>
      <c r="B2158">
        <v>25</v>
      </c>
      <c r="C2158" t="s">
        <v>11</v>
      </c>
      <c r="D2158" t="s">
        <v>41</v>
      </c>
      <c r="E2158" t="s">
        <v>44</v>
      </c>
      <c r="F2158" s="1">
        <v>62.82</v>
      </c>
      <c r="G2158" t="s">
        <v>31</v>
      </c>
      <c r="H2158" t="s">
        <v>15</v>
      </c>
      <c r="I2158" s="2">
        <v>3.4</v>
      </c>
      <c r="J2158" s="4">
        <v>15</v>
      </c>
      <c r="K2158" s="3">
        <v>5</v>
      </c>
      <c r="L2158" s="1">
        <f t="shared" si="99"/>
        <v>53.396999999999998</v>
      </c>
      <c r="M2158" t="str" cm="1">
        <f t="array" ref="M2158">_xlfn.IFS(B2158&lt;18,"Under 18",B2158 &lt;=25,"18-25",B2158&lt;=35,"26-35",B2158&lt;=45,"36-45",B2158&lt;=60,"46-60",TRUE,"60+")</f>
        <v>18-25</v>
      </c>
      <c r="N2158" t="str">
        <f t="shared" si="100"/>
        <v>Discounted</v>
      </c>
      <c r="O2158" t="str">
        <f t="shared" si="101"/>
        <v>Returning</v>
      </c>
    </row>
    <row r="2159" spans="1:15" x14ac:dyDescent="0.25">
      <c r="A2159">
        <v>2158</v>
      </c>
      <c r="B2159">
        <v>21</v>
      </c>
      <c r="C2159" t="s">
        <v>16</v>
      </c>
      <c r="D2159" t="s">
        <v>17</v>
      </c>
      <c r="E2159" t="s">
        <v>48</v>
      </c>
      <c r="F2159" s="1">
        <v>185.24</v>
      </c>
      <c r="G2159" t="s">
        <v>31</v>
      </c>
      <c r="H2159" t="s">
        <v>15</v>
      </c>
      <c r="I2159" s="2">
        <v>3.7</v>
      </c>
      <c r="J2159" s="4">
        <v>20</v>
      </c>
      <c r="K2159" s="3">
        <v>5</v>
      </c>
      <c r="L2159" s="1">
        <f t="shared" si="99"/>
        <v>148.19200000000001</v>
      </c>
      <c r="M2159" t="str" cm="1">
        <f t="array" ref="M2159">_xlfn.IFS(B2159&lt;18,"Under 18",B2159 &lt;=25,"18-25",B2159&lt;=35,"26-35",B2159&lt;=45,"36-45",B2159&lt;=60,"46-60",TRUE,"60+")</f>
        <v>18-25</v>
      </c>
      <c r="N2159" t="str">
        <f t="shared" si="100"/>
        <v>Discounted</v>
      </c>
      <c r="O2159" t="str">
        <f t="shared" si="101"/>
        <v>Returning</v>
      </c>
    </row>
    <row r="2160" spans="1:15" x14ac:dyDescent="0.25">
      <c r="A2160">
        <v>2159</v>
      </c>
      <c r="B2160">
        <v>21</v>
      </c>
      <c r="C2160" t="s">
        <v>11</v>
      </c>
      <c r="D2160" t="s">
        <v>29</v>
      </c>
      <c r="E2160" t="s">
        <v>30</v>
      </c>
      <c r="F2160" s="1">
        <v>52.12</v>
      </c>
      <c r="G2160" t="s">
        <v>31</v>
      </c>
      <c r="H2160" t="s">
        <v>15</v>
      </c>
      <c r="I2160" s="2">
        <v>2.2000000000000002</v>
      </c>
      <c r="J2160" s="4">
        <v>14</v>
      </c>
      <c r="K2160" s="3">
        <v>7</v>
      </c>
      <c r="L2160" s="1">
        <f t="shared" si="99"/>
        <v>44.8232</v>
      </c>
      <c r="M2160" t="str" cm="1">
        <f t="array" ref="M2160">_xlfn.IFS(B2160&lt;18,"Under 18",B2160 &lt;=25,"18-25",B2160&lt;=35,"26-35",B2160&lt;=45,"36-45",B2160&lt;=60,"46-60",TRUE,"60+")</f>
        <v>18-25</v>
      </c>
      <c r="N2160" t="str">
        <f t="shared" si="100"/>
        <v>Discounted</v>
      </c>
      <c r="O2160" t="str">
        <f t="shared" si="101"/>
        <v>Returning</v>
      </c>
    </row>
    <row r="2161" spans="1:15" x14ac:dyDescent="0.25">
      <c r="A2161">
        <v>2160</v>
      </c>
      <c r="B2161">
        <v>26</v>
      </c>
      <c r="C2161" t="s">
        <v>16</v>
      </c>
      <c r="D2161" t="s">
        <v>17</v>
      </c>
      <c r="E2161" t="s">
        <v>42</v>
      </c>
      <c r="F2161" s="1">
        <v>117.39</v>
      </c>
      <c r="G2161" t="s">
        <v>24</v>
      </c>
      <c r="H2161" t="s">
        <v>15</v>
      </c>
      <c r="I2161" s="2">
        <v>4.0999999999999996</v>
      </c>
      <c r="J2161" s="4">
        <v>17</v>
      </c>
      <c r="K2161" s="3">
        <v>6</v>
      </c>
      <c r="L2161" s="1">
        <f t="shared" si="99"/>
        <v>97.433700000000002</v>
      </c>
      <c r="M2161" t="str" cm="1">
        <f t="array" ref="M2161">_xlfn.IFS(B2161&lt;18,"Under 18",B2161 &lt;=25,"18-25",B2161&lt;=35,"26-35",B2161&lt;=45,"36-45",B2161&lt;=60,"46-60",TRUE,"60+")</f>
        <v>26-35</v>
      </c>
      <c r="N2161" t="str">
        <f t="shared" si="100"/>
        <v>Discounted</v>
      </c>
      <c r="O2161" t="str">
        <f t="shared" si="101"/>
        <v>Returning</v>
      </c>
    </row>
    <row r="2162" spans="1:15" x14ac:dyDescent="0.25">
      <c r="A2162">
        <v>2161</v>
      </c>
      <c r="B2162">
        <v>64</v>
      </c>
      <c r="C2162" t="s">
        <v>16</v>
      </c>
      <c r="D2162" t="s">
        <v>27</v>
      </c>
      <c r="E2162" t="s">
        <v>53</v>
      </c>
      <c r="F2162" s="1">
        <v>1748.62</v>
      </c>
      <c r="G2162" t="s">
        <v>19</v>
      </c>
      <c r="H2162" t="s">
        <v>15</v>
      </c>
      <c r="I2162" s="2">
        <v>4.5999999999999996</v>
      </c>
      <c r="J2162" s="4">
        <v>13</v>
      </c>
      <c r="K2162" s="3">
        <v>4</v>
      </c>
      <c r="L2162" s="1">
        <f t="shared" si="99"/>
        <v>1521.2993999999999</v>
      </c>
      <c r="M2162" t="str" cm="1">
        <f t="array" ref="M2162">_xlfn.IFS(B2162&lt;18,"Under 18",B2162 &lt;=25,"18-25",B2162&lt;=35,"26-35",B2162&lt;=45,"36-45",B2162&lt;=60,"46-60",TRUE,"60+")</f>
        <v>60+</v>
      </c>
      <c r="N2162" t="str">
        <f t="shared" si="100"/>
        <v>Discounted</v>
      </c>
      <c r="O2162" t="str">
        <f t="shared" si="101"/>
        <v>Returning</v>
      </c>
    </row>
    <row r="2163" spans="1:15" x14ac:dyDescent="0.25">
      <c r="A2163">
        <v>2162</v>
      </c>
      <c r="B2163">
        <v>47</v>
      </c>
      <c r="C2163" t="s">
        <v>11</v>
      </c>
      <c r="D2163" t="s">
        <v>41</v>
      </c>
      <c r="E2163" t="s">
        <v>45</v>
      </c>
      <c r="F2163" s="1">
        <v>156.93</v>
      </c>
      <c r="G2163" t="s">
        <v>14</v>
      </c>
      <c r="H2163" t="s">
        <v>15</v>
      </c>
      <c r="I2163" s="2">
        <v>3.4</v>
      </c>
      <c r="J2163" s="4">
        <v>11</v>
      </c>
      <c r="K2163" s="3">
        <v>3</v>
      </c>
      <c r="L2163" s="1">
        <f t="shared" si="99"/>
        <v>139.6677</v>
      </c>
      <c r="M2163" t="str" cm="1">
        <f t="array" ref="M2163">_xlfn.IFS(B2163&lt;18,"Under 18",B2163 &lt;=25,"18-25",B2163&lt;=35,"26-35",B2163&lt;=45,"36-45",B2163&lt;=60,"46-60",TRUE,"60+")</f>
        <v>46-60</v>
      </c>
      <c r="N2163" t="str">
        <f t="shared" si="100"/>
        <v>Discounted</v>
      </c>
      <c r="O2163" t="str">
        <f t="shared" si="101"/>
        <v>Returning</v>
      </c>
    </row>
    <row r="2164" spans="1:15" x14ac:dyDescent="0.25">
      <c r="A2164">
        <v>2163</v>
      </c>
      <c r="B2164">
        <v>58</v>
      </c>
      <c r="C2164" t="s">
        <v>11</v>
      </c>
      <c r="D2164" t="s">
        <v>25</v>
      </c>
      <c r="E2164" t="s">
        <v>54</v>
      </c>
      <c r="F2164" s="1">
        <v>10.97</v>
      </c>
      <c r="G2164" t="s">
        <v>14</v>
      </c>
      <c r="H2164" t="s">
        <v>15</v>
      </c>
      <c r="I2164" s="2">
        <v>3.3</v>
      </c>
      <c r="J2164" s="4">
        <v>10</v>
      </c>
      <c r="K2164" s="3">
        <v>5</v>
      </c>
      <c r="L2164" s="1">
        <f t="shared" si="99"/>
        <v>9.8730000000000011</v>
      </c>
      <c r="M2164" t="str" cm="1">
        <f t="array" ref="M2164">_xlfn.IFS(B2164&lt;18,"Under 18",B2164 &lt;=25,"18-25",B2164&lt;=35,"26-35",B2164&lt;=45,"36-45",B2164&lt;=60,"46-60",TRUE,"60+")</f>
        <v>46-60</v>
      </c>
      <c r="N2164" t="str">
        <f t="shared" si="100"/>
        <v>Discounted</v>
      </c>
      <c r="O2164" t="str">
        <f t="shared" si="101"/>
        <v>Returning</v>
      </c>
    </row>
    <row r="2165" spans="1:15" x14ac:dyDescent="0.25">
      <c r="A2165">
        <v>2164</v>
      </c>
      <c r="B2165">
        <v>38</v>
      </c>
      <c r="C2165" t="s">
        <v>16</v>
      </c>
      <c r="D2165" t="s">
        <v>17</v>
      </c>
      <c r="E2165" t="s">
        <v>48</v>
      </c>
      <c r="F2165" s="1">
        <v>196.58</v>
      </c>
      <c r="G2165" t="s">
        <v>31</v>
      </c>
      <c r="H2165" t="s">
        <v>15</v>
      </c>
      <c r="I2165" s="2">
        <v>4.0999999999999996</v>
      </c>
      <c r="J2165" s="4">
        <v>15</v>
      </c>
      <c r="K2165" s="3">
        <v>5</v>
      </c>
      <c r="L2165" s="1">
        <f t="shared" si="99"/>
        <v>167.09300000000002</v>
      </c>
      <c r="M2165" t="str" cm="1">
        <f t="array" ref="M2165">_xlfn.IFS(B2165&lt;18,"Under 18",B2165 &lt;=25,"18-25",B2165&lt;=35,"26-35",B2165&lt;=45,"36-45",B2165&lt;=60,"46-60",TRUE,"60+")</f>
        <v>36-45</v>
      </c>
      <c r="N2165" t="str">
        <f t="shared" si="100"/>
        <v>Discounted</v>
      </c>
      <c r="O2165" t="str">
        <f t="shared" si="101"/>
        <v>Returning</v>
      </c>
    </row>
    <row r="2166" spans="1:15" x14ac:dyDescent="0.25">
      <c r="A2166">
        <v>2165</v>
      </c>
      <c r="B2166">
        <v>33</v>
      </c>
      <c r="C2166" t="s">
        <v>11</v>
      </c>
      <c r="D2166" t="s">
        <v>29</v>
      </c>
      <c r="E2166" t="s">
        <v>55</v>
      </c>
      <c r="F2166" s="1">
        <v>124.79</v>
      </c>
      <c r="G2166" t="s">
        <v>19</v>
      </c>
      <c r="H2166" t="s">
        <v>15</v>
      </c>
      <c r="I2166" s="2">
        <v>3.2</v>
      </c>
      <c r="J2166" s="4">
        <v>13</v>
      </c>
      <c r="K2166" s="3">
        <v>4</v>
      </c>
      <c r="L2166" s="1">
        <f t="shared" si="99"/>
        <v>108.5673</v>
      </c>
      <c r="M2166" t="str" cm="1">
        <f t="array" ref="M2166">_xlfn.IFS(B2166&lt;18,"Under 18",B2166 &lt;=25,"18-25",B2166&lt;=35,"26-35",B2166&lt;=45,"36-45",B2166&lt;=60,"46-60",TRUE,"60+")</f>
        <v>26-35</v>
      </c>
      <c r="N2166" t="str">
        <f t="shared" si="100"/>
        <v>Discounted</v>
      </c>
      <c r="O2166" t="str">
        <f t="shared" si="101"/>
        <v>Returning</v>
      </c>
    </row>
    <row r="2167" spans="1:15" x14ac:dyDescent="0.25">
      <c r="A2167">
        <v>2166</v>
      </c>
      <c r="B2167">
        <v>58</v>
      </c>
      <c r="C2167" t="s">
        <v>16</v>
      </c>
      <c r="D2167" t="s">
        <v>17</v>
      </c>
      <c r="E2167" t="s">
        <v>18</v>
      </c>
      <c r="F2167" s="1">
        <v>126.22</v>
      </c>
      <c r="G2167" t="s">
        <v>14</v>
      </c>
      <c r="H2167" t="s">
        <v>15</v>
      </c>
      <c r="I2167" s="2">
        <v>4.9000000000000004</v>
      </c>
      <c r="J2167" s="4">
        <v>16</v>
      </c>
      <c r="K2167" s="3">
        <v>3</v>
      </c>
      <c r="L2167" s="1">
        <f t="shared" si="99"/>
        <v>106.0248</v>
      </c>
      <c r="M2167" t="str" cm="1">
        <f t="array" ref="M2167">_xlfn.IFS(B2167&lt;18,"Under 18",B2167 &lt;=25,"18-25",B2167&lt;=35,"26-35",B2167&lt;=45,"36-45",B2167&lt;=60,"46-60",TRUE,"60+")</f>
        <v>46-60</v>
      </c>
      <c r="N2167" t="str">
        <f t="shared" si="100"/>
        <v>Discounted</v>
      </c>
      <c r="O2167" t="str">
        <f t="shared" si="101"/>
        <v>Returning</v>
      </c>
    </row>
    <row r="2168" spans="1:15" x14ac:dyDescent="0.25">
      <c r="A2168">
        <v>2167</v>
      </c>
      <c r="B2168">
        <v>43</v>
      </c>
      <c r="C2168" t="s">
        <v>11</v>
      </c>
      <c r="D2168" t="s">
        <v>29</v>
      </c>
      <c r="E2168" t="s">
        <v>55</v>
      </c>
      <c r="F2168" s="1">
        <v>55.3</v>
      </c>
      <c r="G2168" t="s">
        <v>24</v>
      </c>
      <c r="H2168" t="s">
        <v>37</v>
      </c>
      <c r="I2168" s="2">
        <v>2.7</v>
      </c>
      <c r="J2168" s="4">
        <v>8</v>
      </c>
      <c r="K2168" s="3">
        <v>4</v>
      </c>
      <c r="L2168" s="1">
        <f t="shared" si="99"/>
        <v>50.875999999999998</v>
      </c>
      <c r="M2168" t="str" cm="1">
        <f t="array" ref="M2168">_xlfn.IFS(B2168&lt;18,"Under 18",B2168 &lt;=25,"18-25",B2168&lt;=35,"26-35",B2168&lt;=45,"36-45",B2168&lt;=60,"46-60",TRUE,"60+")</f>
        <v>36-45</v>
      </c>
      <c r="N2168" t="str">
        <f t="shared" si="100"/>
        <v>Discounted</v>
      </c>
      <c r="O2168" t="str">
        <f t="shared" si="101"/>
        <v>Returning</v>
      </c>
    </row>
    <row r="2169" spans="1:15" x14ac:dyDescent="0.25">
      <c r="A2169">
        <v>2168</v>
      </c>
      <c r="B2169">
        <v>49</v>
      </c>
      <c r="C2169" t="s">
        <v>11</v>
      </c>
      <c r="D2169" t="s">
        <v>41</v>
      </c>
      <c r="E2169" t="s">
        <v>42</v>
      </c>
      <c r="F2169" s="1">
        <v>153.03</v>
      </c>
      <c r="G2169" t="s">
        <v>19</v>
      </c>
      <c r="H2169" t="s">
        <v>15</v>
      </c>
      <c r="I2169" s="2">
        <v>3.9</v>
      </c>
      <c r="J2169" s="4">
        <v>23</v>
      </c>
      <c r="K2169" s="3">
        <v>9</v>
      </c>
      <c r="L2169" s="1">
        <f t="shared" si="99"/>
        <v>117.8331</v>
      </c>
      <c r="M2169" t="str" cm="1">
        <f t="array" ref="M2169">_xlfn.IFS(B2169&lt;18,"Under 18",B2169 &lt;=25,"18-25",B2169&lt;=35,"26-35",B2169&lt;=45,"36-45",B2169&lt;=60,"46-60",TRUE,"60+")</f>
        <v>46-60</v>
      </c>
      <c r="N2169" t="str">
        <f t="shared" si="100"/>
        <v>Discounted</v>
      </c>
      <c r="O2169" t="str">
        <f t="shared" si="101"/>
        <v>Returning</v>
      </c>
    </row>
    <row r="2170" spans="1:15" x14ac:dyDescent="0.25">
      <c r="A2170">
        <v>2169</v>
      </c>
      <c r="B2170">
        <v>36</v>
      </c>
      <c r="C2170" t="s">
        <v>16</v>
      </c>
      <c r="D2170" t="s">
        <v>27</v>
      </c>
      <c r="E2170" t="s">
        <v>28</v>
      </c>
      <c r="F2170" s="1">
        <v>2044.39</v>
      </c>
      <c r="G2170" t="s">
        <v>24</v>
      </c>
      <c r="H2170" t="s">
        <v>15</v>
      </c>
      <c r="I2170" s="2">
        <v>3.5</v>
      </c>
      <c r="J2170" s="4">
        <v>28</v>
      </c>
      <c r="K2170" s="3">
        <v>9</v>
      </c>
      <c r="L2170" s="1">
        <f t="shared" si="99"/>
        <v>1471.9608000000001</v>
      </c>
      <c r="M2170" t="str" cm="1">
        <f t="array" ref="M2170">_xlfn.IFS(B2170&lt;18,"Under 18",B2170 &lt;=25,"18-25",B2170&lt;=35,"26-35",B2170&lt;=45,"36-45",B2170&lt;=60,"46-60",TRUE,"60+")</f>
        <v>36-45</v>
      </c>
      <c r="N2170" t="str">
        <f t="shared" si="100"/>
        <v>Discounted</v>
      </c>
      <c r="O2170" t="str">
        <f t="shared" si="101"/>
        <v>Returning</v>
      </c>
    </row>
    <row r="2171" spans="1:15" x14ac:dyDescent="0.25">
      <c r="A2171">
        <v>2170</v>
      </c>
      <c r="B2171">
        <v>69</v>
      </c>
      <c r="C2171" t="s">
        <v>11</v>
      </c>
      <c r="D2171" t="s">
        <v>20</v>
      </c>
      <c r="E2171" t="s">
        <v>21</v>
      </c>
      <c r="F2171" s="1">
        <v>125.7</v>
      </c>
      <c r="G2171" t="s">
        <v>24</v>
      </c>
      <c r="H2171" t="s">
        <v>15</v>
      </c>
      <c r="I2171" s="2">
        <v>4.4000000000000004</v>
      </c>
      <c r="J2171" s="4">
        <v>15</v>
      </c>
      <c r="K2171" s="3">
        <v>5</v>
      </c>
      <c r="L2171" s="1">
        <f t="shared" si="99"/>
        <v>106.845</v>
      </c>
      <c r="M2171" t="str" cm="1">
        <f t="array" ref="M2171">_xlfn.IFS(B2171&lt;18,"Under 18",B2171 &lt;=25,"18-25",B2171&lt;=35,"26-35",B2171&lt;=45,"36-45",B2171&lt;=60,"46-60",TRUE,"60+")</f>
        <v>60+</v>
      </c>
      <c r="N2171" t="str">
        <f t="shared" si="100"/>
        <v>Discounted</v>
      </c>
      <c r="O2171" t="str">
        <f t="shared" si="101"/>
        <v>Returning</v>
      </c>
    </row>
    <row r="2172" spans="1:15" x14ac:dyDescent="0.25">
      <c r="A2172">
        <v>2171</v>
      </c>
      <c r="B2172">
        <v>50</v>
      </c>
      <c r="C2172" t="s">
        <v>16</v>
      </c>
      <c r="D2172" t="s">
        <v>20</v>
      </c>
      <c r="E2172" t="s">
        <v>21</v>
      </c>
      <c r="F2172" s="1">
        <v>57.74</v>
      </c>
      <c r="G2172" t="s">
        <v>31</v>
      </c>
      <c r="H2172" t="s">
        <v>37</v>
      </c>
      <c r="I2172" s="2">
        <v>3</v>
      </c>
      <c r="J2172" s="4">
        <v>16</v>
      </c>
      <c r="K2172" s="3">
        <v>8</v>
      </c>
      <c r="L2172" s="1">
        <f t="shared" si="99"/>
        <v>48.501600000000003</v>
      </c>
      <c r="M2172" t="str" cm="1">
        <f t="array" ref="M2172">_xlfn.IFS(B2172&lt;18,"Under 18",B2172 &lt;=25,"18-25",B2172&lt;=35,"26-35",B2172&lt;=45,"36-45",B2172&lt;=60,"46-60",TRUE,"60+")</f>
        <v>46-60</v>
      </c>
      <c r="N2172" t="str">
        <f t="shared" si="100"/>
        <v>Discounted</v>
      </c>
      <c r="O2172" t="str">
        <f t="shared" si="101"/>
        <v>Returning</v>
      </c>
    </row>
    <row r="2173" spans="1:15" x14ac:dyDescent="0.25">
      <c r="A2173">
        <v>2172</v>
      </c>
      <c r="B2173">
        <v>35</v>
      </c>
      <c r="C2173" t="s">
        <v>11</v>
      </c>
      <c r="D2173" t="s">
        <v>33</v>
      </c>
      <c r="E2173" t="s">
        <v>34</v>
      </c>
      <c r="F2173" s="1">
        <v>42.14</v>
      </c>
      <c r="G2173" t="s">
        <v>31</v>
      </c>
      <c r="H2173" t="s">
        <v>15</v>
      </c>
      <c r="I2173" s="2">
        <v>2.9</v>
      </c>
      <c r="J2173" s="4">
        <v>17</v>
      </c>
      <c r="K2173" s="3">
        <v>6</v>
      </c>
      <c r="L2173" s="1">
        <f t="shared" si="99"/>
        <v>34.976199999999999</v>
      </c>
      <c r="M2173" t="str" cm="1">
        <f t="array" ref="M2173">_xlfn.IFS(B2173&lt;18,"Under 18",B2173 &lt;=25,"18-25",B2173&lt;=35,"26-35",B2173&lt;=45,"36-45",B2173&lt;=60,"46-60",TRUE,"60+")</f>
        <v>26-35</v>
      </c>
      <c r="N2173" t="str">
        <f t="shared" si="100"/>
        <v>Discounted</v>
      </c>
      <c r="O2173" t="str">
        <f t="shared" si="101"/>
        <v>Returning</v>
      </c>
    </row>
    <row r="2174" spans="1:15" x14ac:dyDescent="0.25">
      <c r="A2174">
        <v>2173</v>
      </c>
      <c r="B2174">
        <v>29</v>
      </c>
      <c r="C2174" t="s">
        <v>11</v>
      </c>
      <c r="D2174" t="s">
        <v>12</v>
      </c>
      <c r="E2174" t="s">
        <v>56</v>
      </c>
      <c r="F2174" s="1">
        <v>65.650000000000006</v>
      </c>
      <c r="G2174" t="s">
        <v>31</v>
      </c>
      <c r="H2174" t="s">
        <v>37</v>
      </c>
      <c r="I2174" s="2">
        <v>3.6</v>
      </c>
      <c r="J2174" s="4">
        <v>11</v>
      </c>
      <c r="K2174" s="3">
        <v>3</v>
      </c>
      <c r="L2174" s="1">
        <f t="shared" si="99"/>
        <v>58.428500000000007</v>
      </c>
      <c r="M2174" t="str" cm="1">
        <f t="array" ref="M2174">_xlfn.IFS(B2174&lt;18,"Under 18",B2174 &lt;=25,"18-25",B2174&lt;=35,"26-35",B2174&lt;=45,"36-45",B2174&lt;=60,"46-60",TRUE,"60+")</f>
        <v>26-35</v>
      </c>
      <c r="N2174" t="str">
        <f t="shared" si="100"/>
        <v>Discounted</v>
      </c>
      <c r="O2174" t="str">
        <f t="shared" si="101"/>
        <v>Returning</v>
      </c>
    </row>
    <row r="2175" spans="1:15" x14ac:dyDescent="0.25">
      <c r="A2175">
        <v>2174</v>
      </c>
      <c r="B2175">
        <v>23</v>
      </c>
      <c r="C2175" t="s">
        <v>16</v>
      </c>
      <c r="D2175" t="s">
        <v>27</v>
      </c>
      <c r="E2175" t="s">
        <v>32</v>
      </c>
      <c r="F2175" s="1">
        <v>899.3</v>
      </c>
      <c r="G2175" t="s">
        <v>19</v>
      </c>
      <c r="H2175" t="s">
        <v>15</v>
      </c>
      <c r="I2175" s="2">
        <v>3.8</v>
      </c>
      <c r="J2175" s="4">
        <v>14</v>
      </c>
      <c r="K2175" s="3">
        <v>2</v>
      </c>
      <c r="L2175" s="1">
        <f t="shared" si="99"/>
        <v>773.39799999999991</v>
      </c>
      <c r="M2175" t="str" cm="1">
        <f t="array" ref="M2175">_xlfn.IFS(B2175&lt;18,"Under 18",B2175 &lt;=25,"18-25",B2175&lt;=35,"26-35",B2175&lt;=45,"36-45",B2175&lt;=60,"46-60",TRUE,"60+")</f>
        <v>18-25</v>
      </c>
      <c r="N2175" t="str">
        <f t="shared" si="100"/>
        <v>Discounted</v>
      </c>
      <c r="O2175" t="str">
        <f t="shared" si="101"/>
        <v>Returning</v>
      </c>
    </row>
    <row r="2176" spans="1:15" x14ac:dyDescent="0.25">
      <c r="A2176">
        <v>2175</v>
      </c>
      <c r="B2176">
        <v>70</v>
      </c>
      <c r="C2176" t="s">
        <v>16</v>
      </c>
      <c r="D2176" t="s">
        <v>22</v>
      </c>
      <c r="E2176" t="s">
        <v>43</v>
      </c>
      <c r="F2176" s="1">
        <v>189.01</v>
      </c>
      <c r="G2176" t="s">
        <v>19</v>
      </c>
      <c r="H2176" t="s">
        <v>15</v>
      </c>
      <c r="I2176" s="2">
        <v>4.8</v>
      </c>
      <c r="J2176" s="4">
        <v>24</v>
      </c>
      <c r="K2176" s="3">
        <v>7</v>
      </c>
      <c r="L2176" s="1">
        <f t="shared" si="99"/>
        <v>143.64759999999998</v>
      </c>
      <c r="M2176" t="str" cm="1">
        <f t="array" ref="M2176">_xlfn.IFS(B2176&lt;18,"Under 18",B2176 &lt;=25,"18-25",B2176&lt;=35,"26-35",B2176&lt;=45,"36-45",B2176&lt;=60,"46-60",TRUE,"60+")</f>
        <v>60+</v>
      </c>
      <c r="N2176" t="str">
        <f t="shared" si="100"/>
        <v>Discounted</v>
      </c>
      <c r="O2176" t="str">
        <f t="shared" si="101"/>
        <v>Returning</v>
      </c>
    </row>
    <row r="2177" spans="1:15" x14ac:dyDescent="0.25">
      <c r="A2177">
        <v>2176</v>
      </c>
      <c r="B2177">
        <v>55</v>
      </c>
      <c r="C2177" t="s">
        <v>11</v>
      </c>
      <c r="D2177" t="s">
        <v>12</v>
      </c>
      <c r="E2177" t="s">
        <v>50</v>
      </c>
      <c r="F2177" s="1">
        <v>155.94999999999999</v>
      </c>
      <c r="G2177" t="s">
        <v>19</v>
      </c>
      <c r="H2177" t="s">
        <v>15</v>
      </c>
      <c r="I2177" s="2">
        <v>3.1</v>
      </c>
      <c r="J2177" s="4">
        <v>15</v>
      </c>
      <c r="K2177" s="3">
        <v>5</v>
      </c>
      <c r="L2177" s="1">
        <f t="shared" si="99"/>
        <v>132.55749999999998</v>
      </c>
      <c r="M2177" t="str" cm="1">
        <f t="array" ref="M2177">_xlfn.IFS(B2177&lt;18,"Under 18",B2177 &lt;=25,"18-25",B2177&lt;=35,"26-35",B2177&lt;=45,"36-45",B2177&lt;=60,"46-60",TRUE,"60+")</f>
        <v>46-60</v>
      </c>
      <c r="N2177" t="str">
        <f t="shared" si="100"/>
        <v>Discounted</v>
      </c>
      <c r="O2177" t="str">
        <f t="shared" si="101"/>
        <v>Returning</v>
      </c>
    </row>
    <row r="2178" spans="1:15" x14ac:dyDescent="0.25">
      <c r="A2178">
        <v>2177</v>
      </c>
      <c r="B2178">
        <v>28</v>
      </c>
      <c r="C2178" t="s">
        <v>11</v>
      </c>
      <c r="D2178" t="s">
        <v>29</v>
      </c>
      <c r="E2178" t="s">
        <v>51</v>
      </c>
      <c r="F2178" s="1">
        <v>90.72</v>
      </c>
      <c r="G2178" t="s">
        <v>24</v>
      </c>
      <c r="H2178" t="s">
        <v>37</v>
      </c>
      <c r="I2178" s="2">
        <v>1.4</v>
      </c>
      <c r="J2178" s="4">
        <v>8</v>
      </c>
      <c r="K2178" s="3">
        <v>4</v>
      </c>
      <c r="L2178" s="1">
        <f t="shared" si="99"/>
        <v>83.462400000000002</v>
      </c>
      <c r="M2178" t="str" cm="1">
        <f t="array" ref="M2178">_xlfn.IFS(B2178&lt;18,"Under 18",B2178 &lt;=25,"18-25",B2178&lt;=35,"26-35",B2178&lt;=45,"36-45",B2178&lt;=60,"46-60",TRUE,"60+")</f>
        <v>26-35</v>
      </c>
      <c r="N2178" t="str">
        <f t="shared" si="100"/>
        <v>Discounted</v>
      </c>
      <c r="O2178" t="str">
        <f t="shared" si="101"/>
        <v>Returning</v>
      </c>
    </row>
    <row r="2179" spans="1:15" x14ac:dyDescent="0.25">
      <c r="A2179">
        <v>2178</v>
      </c>
      <c r="B2179">
        <v>24</v>
      </c>
      <c r="C2179" t="s">
        <v>11</v>
      </c>
      <c r="D2179" t="s">
        <v>29</v>
      </c>
      <c r="E2179" t="s">
        <v>51</v>
      </c>
      <c r="F2179" s="1">
        <v>58.6</v>
      </c>
      <c r="G2179" t="s">
        <v>24</v>
      </c>
      <c r="H2179" t="s">
        <v>15</v>
      </c>
      <c r="I2179" s="2">
        <v>3.1</v>
      </c>
      <c r="J2179" s="4">
        <v>17</v>
      </c>
      <c r="K2179" s="3">
        <v>6</v>
      </c>
      <c r="L2179" s="1">
        <f t="shared" ref="L2179:L2242" si="102">F2179 * (1 - J2179 / 100)</f>
        <v>48.637999999999998</v>
      </c>
      <c r="M2179" t="str" cm="1">
        <f t="array" ref="M2179">_xlfn.IFS(B2179&lt;18,"Under 18",B2179 &lt;=25,"18-25",B2179&lt;=35,"26-35",B2179&lt;=45,"36-45",B2179&lt;=60,"46-60",TRUE,"60+")</f>
        <v>18-25</v>
      </c>
      <c r="N2179" t="str">
        <f t="shared" ref="N2179:N2242" si="103">IF(J2179&gt;0,"Discounted","No Discount")</f>
        <v>Discounted</v>
      </c>
      <c r="O2179" t="str">
        <f t="shared" ref="O2179:O2242" si="104">IF(K2179&gt;0,"Returning","New")</f>
        <v>Returning</v>
      </c>
    </row>
    <row r="2180" spans="1:15" x14ac:dyDescent="0.25">
      <c r="A2180">
        <v>2179</v>
      </c>
      <c r="B2180">
        <v>69</v>
      </c>
      <c r="C2180" t="s">
        <v>11</v>
      </c>
      <c r="D2180" t="s">
        <v>41</v>
      </c>
      <c r="E2180" t="s">
        <v>45</v>
      </c>
      <c r="F2180" s="1">
        <v>58.78</v>
      </c>
      <c r="G2180" t="s">
        <v>31</v>
      </c>
      <c r="H2180" t="s">
        <v>15</v>
      </c>
      <c r="I2180" s="2">
        <v>3.7</v>
      </c>
      <c r="J2180" s="4">
        <v>18</v>
      </c>
      <c r="K2180" s="3">
        <v>4</v>
      </c>
      <c r="L2180" s="1">
        <f t="shared" si="102"/>
        <v>48.199600000000004</v>
      </c>
      <c r="M2180" t="str" cm="1">
        <f t="array" ref="M2180">_xlfn.IFS(B2180&lt;18,"Under 18",B2180 &lt;=25,"18-25",B2180&lt;=35,"26-35",B2180&lt;=45,"36-45",B2180&lt;=60,"46-60",TRUE,"60+")</f>
        <v>60+</v>
      </c>
      <c r="N2180" t="str">
        <f t="shared" si="103"/>
        <v>Discounted</v>
      </c>
      <c r="O2180" t="str">
        <f t="shared" si="104"/>
        <v>Returning</v>
      </c>
    </row>
    <row r="2181" spans="1:15" x14ac:dyDescent="0.25">
      <c r="A2181">
        <v>2180</v>
      </c>
      <c r="B2181">
        <v>54</v>
      </c>
      <c r="C2181" t="s">
        <v>11</v>
      </c>
      <c r="D2181" t="s">
        <v>33</v>
      </c>
      <c r="E2181" t="s">
        <v>40</v>
      </c>
      <c r="F2181" s="1">
        <v>249.37</v>
      </c>
      <c r="G2181" t="s">
        <v>31</v>
      </c>
      <c r="H2181" t="s">
        <v>15</v>
      </c>
      <c r="I2181" s="2">
        <v>3.8</v>
      </c>
      <c r="J2181" s="4">
        <v>8</v>
      </c>
      <c r="K2181" s="3">
        <v>4</v>
      </c>
      <c r="L2181" s="1">
        <f t="shared" si="102"/>
        <v>229.4204</v>
      </c>
      <c r="M2181" t="str" cm="1">
        <f t="array" ref="M2181">_xlfn.IFS(B2181&lt;18,"Under 18",B2181 &lt;=25,"18-25",B2181&lt;=35,"26-35",B2181&lt;=45,"36-45",B2181&lt;=60,"46-60",TRUE,"60+")</f>
        <v>46-60</v>
      </c>
      <c r="N2181" t="str">
        <f t="shared" si="103"/>
        <v>Discounted</v>
      </c>
      <c r="O2181" t="str">
        <f t="shared" si="104"/>
        <v>Returning</v>
      </c>
    </row>
    <row r="2182" spans="1:15" x14ac:dyDescent="0.25">
      <c r="A2182">
        <v>2181</v>
      </c>
      <c r="B2182">
        <v>39</v>
      </c>
      <c r="C2182" t="s">
        <v>16</v>
      </c>
      <c r="D2182" t="s">
        <v>20</v>
      </c>
      <c r="E2182" t="s">
        <v>39</v>
      </c>
      <c r="F2182" s="1">
        <v>66.75</v>
      </c>
      <c r="G2182" t="s">
        <v>31</v>
      </c>
      <c r="H2182" t="s">
        <v>15</v>
      </c>
      <c r="I2182" s="2">
        <v>3.3</v>
      </c>
      <c r="J2182" s="4">
        <v>8</v>
      </c>
      <c r="K2182" s="3">
        <v>4</v>
      </c>
      <c r="L2182" s="1">
        <f t="shared" si="102"/>
        <v>61.410000000000004</v>
      </c>
      <c r="M2182" t="str" cm="1">
        <f t="array" ref="M2182">_xlfn.IFS(B2182&lt;18,"Under 18",B2182 &lt;=25,"18-25",B2182&lt;=35,"26-35",B2182&lt;=45,"36-45",B2182&lt;=60,"46-60",TRUE,"60+")</f>
        <v>36-45</v>
      </c>
      <c r="N2182" t="str">
        <f t="shared" si="103"/>
        <v>Discounted</v>
      </c>
      <c r="O2182" t="str">
        <f t="shared" si="104"/>
        <v>Returning</v>
      </c>
    </row>
    <row r="2183" spans="1:15" x14ac:dyDescent="0.25">
      <c r="A2183">
        <v>2182</v>
      </c>
      <c r="B2183">
        <v>21</v>
      </c>
      <c r="C2183" t="s">
        <v>16</v>
      </c>
      <c r="D2183" t="s">
        <v>20</v>
      </c>
      <c r="E2183" t="s">
        <v>39</v>
      </c>
      <c r="F2183" s="1">
        <v>232.78</v>
      </c>
      <c r="G2183" t="s">
        <v>19</v>
      </c>
      <c r="H2183" t="s">
        <v>15</v>
      </c>
      <c r="I2183" s="2">
        <v>4.0999999999999996</v>
      </c>
      <c r="J2183" s="4">
        <v>16</v>
      </c>
      <c r="K2183" s="3">
        <v>3</v>
      </c>
      <c r="L2183" s="1">
        <f t="shared" si="102"/>
        <v>195.5352</v>
      </c>
      <c r="M2183" t="str" cm="1">
        <f t="array" ref="M2183">_xlfn.IFS(B2183&lt;18,"Under 18",B2183 &lt;=25,"18-25",B2183&lt;=35,"26-35",B2183&lt;=45,"36-45",B2183&lt;=60,"46-60",TRUE,"60+")</f>
        <v>18-25</v>
      </c>
      <c r="N2183" t="str">
        <f t="shared" si="103"/>
        <v>Discounted</v>
      </c>
      <c r="O2183" t="str">
        <f t="shared" si="104"/>
        <v>Returning</v>
      </c>
    </row>
    <row r="2184" spans="1:15" x14ac:dyDescent="0.25">
      <c r="A2184">
        <v>2183</v>
      </c>
      <c r="B2184">
        <v>55</v>
      </c>
      <c r="C2184" t="s">
        <v>16</v>
      </c>
      <c r="D2184" t="s">
        <v>22</v>
      </c>
      <c r="E2184" t="s">
        <v>43</v>
      </c>
      <c r="F2184" s="1">
        <v>271.73</v>
      </c>
      <c r="G2184" t="s">
        <v>14</v>
      </c>
      <c r="H2184" t="s">
        <v>15</v>
      </c>
      <c r="I2184" s="2">
        <v>2.8</v>
      </c>
      <c r="J2184" s="4">
        <v>4</v>
      </c>
      <c r="K2184" s="3">
        <v>2</v>
      </c>
      <c r="L2184" s="1">
        <f t="shared" si="102"/>
        <v>260.86079999999998</v>
      </c>
      <c r="M2184" t="str" cm="1">
        <f t="array" ref="M2184">_xlfn.IFS(B2184&lt;18,"Under 18",B2184 &lt;=25,"18-25",B2184&lt;=35,"26-35",B2184&lt;=45,"36-45",B2184&lt;=60,"46-60",TRUE,"60+")</f>
        <v>46-60</v>
      </c>
      <c r="N2184" t="str">
        <f t="shared" si="103"/>
        <v>Discounted</v>
      </c>
      <c r="O2184" t="str">
        <f t="shared" si="104"/>
        <v>Returning</v>
      </c>
    </row>
    <row r="2185" spans="1:15" x14ac:dyDescent="0.25">
      <c r="A2185">
        <v>2184</v>
      </c>
      <c r="B2185">
        <v>32</v>
      </c>
      <c r="C2185" t="s">
        <v>11</v>
      </c>
      <c r="D2185" t="s">
        <v>20</v>
      </c>
      <c r="E2185" t="s">
        <v>36</v>
      </c>
      <c r="F2185" s="1">
        <v>117.69</v>
      </c>
      <c r="G2185" t="s">
        <v>14</v>
      </c>
      <c r="H2185" t="s">
        <v>15</v>
      </c>
      <c r="I2185" s="2">
        <v>3.4</v>
      </c>
      <c r="J2185" s="4">
        <v>22</v>
      </c>
      <c r="K2185" s="3">
        <v>6</v>
      </c>
      <c r="L2185" s="1">
        <f t="shared" si="102"/>
        <v>91.798200000000008</v>
      </c>
      <c r="M2185" t="str" cm="1">
        <f t="array" ref="M2185">_xlfn.IFS(B2185&lt;18,"Under 18",B2185 &lt;=25,"18-25",B2185&lt;=35,"26-35",B2185&lt;=45,"36-45",B2185&lt;=60,"46-60",TRUE,"60+")</f>
        <v>26-35</v>
      </c>
      <c r="N2185" t="str">
        <f t="shared" si="103"/>
        <v>Discounted</v>
      </c>
      <c r="O2185" t="str">
        <f t="shared" si="104"/>
        <v>Returning</v>
      </c>
    </row>
    <row r="2186" spans="1:15" x14ac:dyDescent="0.25">
      <c r="A2186">
        <v>2185</v>
      </c>
      <c r="B2186">
        <v>21</v>
      </c>
      <c r="C2186" t="s">
        <v>11</v>
      </c>
      <c r="D2186" t="s">
        <v>20</v>
      </c>
      <c r="E2186" t="s">
        <v>36</v>
      </c>
      <c r="F2186" s="1">
        <v>248.21</v>
      </c>
      <c r="G2186" t="s">
        <v>19</v>
      </c>
      <c r="H2186" t="s">
        <v>15</v>
      </c>
      <c r="I2186" s="2">
        <v>4</v>
      </c>
      <c r="J2186" s="4">
        <v>8</v>
      </c>
      <c r="K2186" s="3">
        <v>4</v>
      </c>
      <c r="L2186" s="1">
        <f t="shared" si="102"/>
        <v>228.35320000000002</v>
      </c>
      <c r="M2186" t="str" cm="1">
        <f t="array" ref="M2186">_xlfn.IFS(B2186&lt;18,"Under 18",B2186 &lt;=25,"18-25",B2186&lt;=35,"26-35",B2186&lt;=45,"36-45",B2186&lt;=60,"46-60",TRUE,"60+")</f>
        <v>18-25</v>
      </c>
      <c r="N2186" t="str">
        <f t="shared" si="103"/>
        <v>Discounted</v>
      </c>
      <c r="O2186" t="str">
        <f t="shared" si="104"/>
        <v>Returning</v>
      </c>
    </row>
    <row r="2187" spans="1:15" x14ac:dyDescent="0.25">
      <c r="A2187">
        <v>2186</v>
      </c>
      <c r="B2187">
        <v>20</v>
      </c>
      <c r="C2187" t="s">
        <v>11</v>
      </c>
      <c r="D2187" t="s">
        <v>20</v>
      </c>
      <c r="E2187" t="s">
        <v>21</v>
      </c>
      <c r="F2187" s="1">
        <v>83.38</v>
      </c>
      <c r="G2187" t="s">
        <v>24</v>
      </c>
      <c r="H2187" t="s">
        <v>37</v>
      </c>
      <c r="I2187" s="2">
        <v>3.5</v>
      </c>
      <c r="J2187" s="4">
        <v>4</v>
      </c>
      <c r="K2187" s="3">
        <v>2</v>
      </c>
      <c r="L2187" s="1">
        <f t="shared" si="102"/>
        <v>80.044799999999995</v>
      </c>
      <c r="M2187" t="str" cm="1">
        <f t="array" ref="M2187">_xlfn.IFS(B2187&lt;18,"Under 18",B2187 &lt;=25,"18-25",B2187&lt;=35,"26-35",B2187&lt;=45,"36-45",B2187&lt;=60,"46-60",TRUE,"60+")</f>
        <v>18-25</v>
      </c>
      <c r="N2187" t="str">
        <f t="shared" si="103"/>
        <v>Discounted</v>
      </c>
      <c r="O2187" t="str">
        <f t="shared" si="104"/>
        <v>Returning</v>
      </c>
    </row>
    <row r="2188" spans="1:15" x14ac:dyDescent="0.25">
      <c r="A2188">
        <v>2187</v>
      </c>
      <c r="B2188">
        <v>39</v>
      </c>
      <c r="C2188" t="s">
        <v>11</v>
      </c>
      <c r="D2188" t="s">
        <v>22</v>
      </c>
      <c r="E2188" t="s">
        <v>23</v>
      </c>
      <c r="F2188" s="1">
        <v>113.79</v>
      </c>
      <c r="G2188" t="s">
        <v>14</v>
      </c>
      <c r="H2188" t="s">
        <v>15</v>
      </c>
      <c r="I2188" s="2">
        <v>5</v>
      </c>
      <c r="J2188" s="4">
        <v>14</v>
      </c>
      <c r="K2188" s="3">
        <v>2</v>
      </c>
      <c r="L2188" s="1">
        <f t="shared" si="102"/>
        <v>97.859400000000008</v>
      </c>
      <c r="M2188" t="str" cm="1">
        <f t="array" ref="M2188">_xlfn.IFS(B2188&lt;18,"Under 18",B2188 &lt;=25,"18-25",B2188&lt;=35,"26-35",B2188&lt;=45,"36-45",B2188&lt;=60,"46-60",TRUE,"60+")</f>
        <v>36-45</v>
      </c>
      <c r="N2188" t="str">
        <f t="shared" si="103"/>
        <v>Discounted</v>
      </c>
      <c r="O2188" t="str">
        <f t="shared" si="104"/>
        <v>Returning</v>
      </c>
    </row>
    <row r="2189" spans="1:15" x14ac:dyDescent="0.25">
      <c r="A2189">
        <v>2188</v>
      </c>
      <c r="B2189">
        <v>44</v>
      </c>
      <c r="C2189" t="s">
        <v>11</v>
      </c>
      <c r="D2189" t="s">
        <v>22</v>
      </c>
      <c r="E2189" t="s">
        <v>52</v>
      </c>
      <c r="F2189" s="1">
        <v>278.16000000000003</v>
      </c>
      <c r="G2189" t="s">
        <v>19</v>
      </c>
      <c r="H2189" t="s">
        <v>15</v>
      </c>
      <c r="I2189" s="2">
        <v>2.7</v>
      </c>
      <c r="J2189" s="4">
        <v>7</v>
      </c>
      <c r="K2189" s="3">
        <v>1</v>
      </c>
      <c r="L2189" s="1">
        <f t="shared" si="102"/>
        <v>258.68880000000001</v>
      </c>
      <c r="M2189" t="str" cm="1">
        <f t="array" ref="M2189">_xlfn.IFS(B2189&lt;18,"Under 18",B2189 &lt;=25,"18-25",B2189&lt;=35,"26-35",B2189&lt;=45,"36-45",B2189&lt;=60,"46-60",TRUE,"60+")</f>
        <v>36-45</v>
      </c>
      <c r="N2189" t="str">
        <f t="shared" si="103"/>
        <v>Discounted</v>
      </c>
      <c r="O2189" t="str">
        <f t="shared" si="104"/>
        <v>Returning</v>
      </c>
    </row>
    <row r="2190" spans="1:15" x14ac:dyDescent="0.25">
      <c r="A2190">
        <v>2189</v>
      </c>
      <c r="B2190">
        <v>45</v>
      </c>
      <c r="C2190" t="s">
        <v>11</v>
      </c>
      <c r="D2190" t="s">
        <v>33</v>
      </c>
      <c r="E2190" t="s">
        <v>40</v>
      </c>
      <c r="F2190" s="1">
        <v>136.82</v>
      </c>
      <c r="G2190" t="s">
        <v>14</v>
      </c>
      <c r="H2190" t="s">
        <v>15</v>
      </c>
      <c r="I2190" s="2">
        <v>3.7</v>
      </c>
      <c r="J2190" s="4">
        <v>13</v>
      </c>
      <c r="K2190" s="3">
        <v>4</v>
      </c>
      <c r="L2190" s="1">
        <f t="shared" si="102"/>
        <v>119.0334</v>
      </c>
      <c r="M2190" t="str" cm="1">
        <f t="array" ref="M2190">_xlfn.IFS(B2190&lt;18,"Under 18",B2190 &lt;=25,"18-25",B2190&lt;=35,"26-35",B2190&lt;=45,"36-45",B2190&lt;=60,"46-60",TRUE,"60+")</f>
        <v>36-45</v>
      </c>
      <c r="N2190" t="str">
        <f t="shared" si="103"/>
        <v>Discounted</v>
      </c>
      <c r="O2190" t="str">
        <f t="shared" si="104"/>
        <v>Returning</v>
      </c>
    </row>
    <row r="2191" spans="1:15" x14ac:dyDescent="0.25">
      <c r="A2191">
        <v>2190</v>
      </c>
      <c r="B2191">
        <v>22</v>
      </c>
      <c r="C2191" t="s">
        <v>11</v>
      </c>
      <c r="D2191" t="s">
        <v>41</v>
      </c>
      <c r="E2191" t="s">
        <v>45</v>
      </c>
      <c r="F2191" s="1">
        <v>198.84</v>
      </c>
      <c r="G2191" t="s">
        <v>24</v>
      </c>
      <c r="H2191" t="s">
        <v>15</v>
      </c>
      <c r="I2191" s="2">
        <v>3.5</v>
      </c>
      <c r="J2191" s="4">
        <v>15</v>
      </c>
      <c r="K2191" s="3">
        <v>5</v>
      </c>
      <c r="L2191" s="1">
        <f t="shared" si="102"/>
        <v>169.01400000000001</v>
      </c>
      <c r="M2191" t="str" cm="1">
        <f t="array" ref="M2191">_xlfn.IFS(B2191&lt;18,"Under 18",B2191 &lt;=25,"18-25",B2191&lt;=35,"26-35",B2191&lt;=45,"36-45",B2191&lt;=60,"46-60",TRUE,"60+")</f>
        <v>18-25</v>
      </c>
      <c r="N2191" t="str">
        <f t="shared" si="103"/>
        <v>Discounted</v>
      </c>
      <c r="O2191" t="str">
        <f t="shared" si="104"/>
        <v>Returning</v>
      </c>
    </row>
    <row r="2192" spans="1:15" x14ac:dyDescent="0.25">
      <c r="A2192">
        <v>2191</v>
      </c>
      <c r="B2192">
        <v>55</v>
      </c>
      <c r="C2192" t="s">
        <v>11</v>
      </c>
      <c r="D2192" t="s">
        <v>33</v>
      </c>
      <c r="E2192" t="s">
        <v>40</v>
      </c>
      <c r="F2192" s="1">
        <v>228.85</v>
      </c>
      <c r="G2192" t="s">
        <v>31</v>
      </c>
      <c r="H2192" t="s">
        <v>15</v>
      </c>
      <c r="I2192" s="2">
        <v>4.3</v>
      </c>
      <c r="J2192" s="4">
        <v>18</v>
      </c>
      <c r="K2192" s="3">
        <v>4</v>
      </c>
      <c r="L2192" s="1">
        <f t="shared" si="102"/>
        <v>187.65700000000001</v>
      </c>
      <c r="M2192" t="str" cm="1">
        <f t="array" ref="M2192">_xlfn.IFS(B2192&lt;18,"Under 18",B2192 &lt;=25,"18-25",B2192&lt;=35,"26-35",B2192&lt;=45,"36-45",B2192&lt;=60,"46-60",TRUE,"60+")</f>
        <v>46-60</v>
      </c>
      <c r="N2192" t="str">
        <f t="shared" si="103"/>
        <v>Discounted</v>
      </c>
      <c r="O2192" t="str">
        <f t="shared" si="104"/>
        <v>Returning</v>
      </c>
    </row>
    <row r="2193" spans="1:15" x14ac:dyDescent="0.25">
      <c r="A2193">
        <v>2192</v>
      </c>
      <c r="B2193">
        <v>59</v>
      </c>
      <c r="C2193" t="s">
        <v>16</v>
      </c>
      <c r="D2193" t="s">
        <v>20</v>
      </c>
      <c r="E2193" t="s">
        <v>21</v>
      </c>
      <c r="F2193" s="1">
        <v>46.03</v>
      </c>
      <c r="G2193" t="s">
        <v>31</v>
      </c>
      <c r="H2193" t="s">
        <v>37</v>
      </c>
      <c r="I2193" s="2">
        <v>3.2</v>
      </c>
      <c r="J2193" s="4">
        <v>12</v>
      </c>
      <c r="K2193" s="3">
        <v>6</v>
      </c>
      <c r="L2193" s="1">
        <f t="shared" si="102"/>
        <v>40.506399999999999</v>
      </c>
      <c r="M2193" t="str" cm="1">
        <f t="array" ref="M2193">_xlfn.IFS(B2193&lt;18,"Under 18",B2193 &lt;=25,"18-25",B2193&lt;=35,"26-35",B2193&lt;=45,"36-45",B2193&lt;=60,"46-60",TRUE,"60+")</f>
        <v>46-60</v>
      </c>
      <c r="N2193" t="str">
        <f t="shared" si="103"/>
        <v>Discounted</v>
      </c>
      <c r="O2193" t="str">
        <f t="shared" si="104"/>
        <v>Returning</v>
      </c>
    </row>
    <row r="2194" spans="1:15" x14ac:dyDescent="0.25">
      <c r="A2194">
        <v>2193</v>
      </c>
      <c r="B2194">
        <v>42</v>
      </c>
      <c r="C2194" t="s">
        <v>11</v>
      </c>
      <c r="D2194" t="s">
        <v>41</v>
      </c>
      <c r="E2194" t="s">
        <v>46</v>
      </c>
      <c r="F2194" s="1">
        <v>66.91</v>
      </c>
      <c r="G2194" t="s">
        <v>19</v>
      </c>
      <c r="H2194" t="s">
        <v>37</v>
      </c>
      <c r="I2194" s="2">
        <v>4.5</v>
      </c>
      <c r="J2194" s="4">
        <v>20</v>
      </c>
      <c r="K2194" s="3">
        <v>5</v>
      </c>
      <c r="L2194" s="1">
        <f t="shared" si="102"/>
        <v>53.527999999999999</v>
      </c>
      <c r="M2194" t="str" cm="1">
        <f t="array" ref="M2194">_xlfn.IFS(B2194&lt;18,"Under 18",B2194 &lt;=25,"18-25",B2194&lt;=35,"26-35",B2194&lt;=45,"36-45",B2194&lt;=60,"46-60",TRUE,"60+")</f>
        <v>36-45</v>
      </c>
      <c r="N2194" t="str">
        <f t="shared" si="103"/>
        <v>Discounted</v>
      </c>
      <c r="O2194" t="str">
        <f t="shared" si="104"/>
        <v>Returning</v>
      </c>
    </row>
    <row r="2195" spans="1:15" x14ac:dyDescent="0.25">
      <c r="A2195">
        <v>2194</v>
      </c>
      <c r="B2195">
        <v>63</v>
      </c>
      <c r="C2195" t="s">
        <v>11</v>
      </c>
      <c r="D2195" t="s">
        <v>41</v>
      </c>
      <c r="E2195" t="s">
        <v>42</v>
      </c>
      <c r="F2195" s="1">
        <v>70.959999999999994</v>
      </c>
      <c r="G2195" t="s">
        <v>24</v>
      </c>
      <c r="H2195" t="s">
        <v>37</v>
      </c>
      <c r="I2195" s="2">
        <v>2.5</v>
      </c>
      <c r="J2195" s="4">
        <v>6</v>
      </c>
      <c r="K2195" s="3">
        <v>3</v>
      </c>
      <c r="L2195" s="1">
        <f t="shared" si="102"/>
        <v>66.702399999999997</v>
      </c>
      <c r="M2195" t="str" cm="1">
        <f t="array" ref="M2195">_xlfn.IFS(B2195&lt;18,"Under 18",B2195 &lt;=25,"18-25",B2195&lt;=35,"26-35",B2195&lt;=45,"36-45",B2195&lt;=60,"46-60",TRUE,"60+")</f>
        <v>60+</v>
      </c>
      <c r="N2195" t="str">
        <f t="shared" si="103"/>
        <v>Discounted</v>
      </c>
      <c r="O2195" t="str">
        <f t="shared" si="104"/>
        <v>Returning</v>
      </c>
    </row>
    <row r="2196" spans="1:15" x14ac:dyDescent="0.25">
      <c r="A2196">
        <v>2195</v>
      </c>
      <c r="B2196">
        <v>24</v>
      </c>
      <c r="C2196" t="s">
        <v>11</v>
      </c>
      <c r="D2196" t="s">
        <v>29</v>
      </c>
      <c r="E2196" t="s">
        <v>55</v>
      </c>
      <c r="F2196" s="1">
        <v>33.03</v>
      </c>
      <c r="G2196" t="s">
        <v>19</v>
      </c>
      <c r="H2196" t="s">
        <v>37</v>
      </c>
      <c r="I2196" s="2">
        <v>4.7</v>
      </c>
      <c r="J2196" s="4">
        <v>12</v>
      </c>
      <c r="K2196" s="3">
        <v>6</v>
      </c>
      <c r="L2196" s="1">
        <f t="shared" si="102"/>
        <v>29.066400000000002</v>
      </c>
      <c r="M2196" t="str" cm="1">
        <f t="array" ref="M2196">_xlfn.IFS(B2196&lt;18,"Under 18",B2196 &lt;=25,"18-25",B2196&lt;=35,"26-35",B2196&lt;=45,"36-45",B2196&lt;=60,"46-60",TRUE,"60+")</f>
        <v>18-25</v>
      </c>
      <c r="N2196" t="str">
        <f t="shared" si="103"/>
        <v>Discounted</v>
      </c>
      <c r="O2196" t="str">
        <f t="shared" si="104"/>
        <v>Returning</v>
      </c>
    </row>
    <row r="2197" spans="1:15" x14ac:dyDescent="0.25">
      <c r="A2197">
        <v>2196</v>
      </c>
      <c r="B2197">
        <v>27</v>
      </c>
      <c r="C2197" t="s">
        <v>11</v>
      </c>
      <c r="D2197" t="s">
        <v>33</v>
      </c>
      <c r="E2197" t="s">
        <v>34</v>
      </c>
      <c r="F2197" s="1">
        <v>167.37</v>
      </c>
      <c r="G2197" t="s">
        <v>24</v>
      </c>
      <c r="H2197" t="s">
        <v>15</v>
      </c>
      <c r="I2197" s="2">
        <v>3.4</v>
      </c>
      <c r="J2197" s="4">
        <v>19</v>
      </c>
      <c r="K2197" s="3">
        <v>7</v>
      </c>
      <c r="L2197" s="1">
        <f t="shared" si="102"/>
        <v>135.56970000000001</v>
      </c>
      <c r="M2197" t="str" cm="1">
        <f t="array" ref="M2197">_xlfn.IFS(B2197&lt;18,"Under 18",B2197 &lt;=25,"18-25",B2197&lt;=35,"26-35",B2197&lt;=45,"36-45",B2197&lt;=60,"46-60",TRUE,"60+")</f>
        <v>26-35</v>
      </c>
      <c r="N2197" t="str">
        <f t="shared" si="103"/>
        <v>Discounted</v>
      </c>
      <c r="O2197" t="str">
        <f t="shared" si="104"/>
        <v>Returning</v>
      </c>
    </row>
    <row r="2198" spans="1:15" x14ac:dyDescent="0.25">
      <c r="A2198">
        <v>2197</v>
      </c>
      <c r="B2198">
        <v>46</v>
      </c>
      <c r="C2198" t="s">
        <v>16</v>
      </c>
      <c r="D2198" t="s">
        <v>27</v>
      </c>
      <c r="E2198" t="s">
        <v>28</v>
      </c>
      <c r="F2198" s="1">
        <v>1442.61</v>
      </c>
      <c r="G2198" t="s">
        <v>14</v>
      </c>
      <c r="H2198" t="s">
        <v>15</v>
      </c>
      <c r="I2198" s="2">
        <v>2.9</v>
      </c>
      <c r="J2198" s="4">
        <v>17</v>
      </c>
      <c r="K2198" s="3">
        <v>6</v>
      </c>
      <c r="L2198" s="1">
        <f t="shared" si="102"/>
        <v>1197.3662999999999</v>
      </c>
      <c r="M2198" t="str" cm="1">
        <f t="array" ref="M2198">_xlfn.IFS(B2198&lt;18,"Under 18",B2198 &lt;=25,"18-25",B2198&lt;=35,"26-35",B2198&lt;=45,"36-45",B2198&lt;=60,"46-60",TRUE,"60+")</f>
        <v>46-60</v>
      </c>
      <c r="N2198" t="str">
        <f t="shared" si="103"/>
        <v>Discounted</v>
      </c>
      <c r="O2198" t="str">
        <f t="shared" si="104"/>
        <v>Returning</v>
      </c>
    </row>
    <row r="2199" spans="1:15" x14ac:dyDescent="0.25">
      <c r="A2199">
        <v>2198</v>
      </c>
      <c r="B2199">
        <v>67</v>
      </c>
      <c r="C2199" t="s">
        <v>16</v>
      </c>
      <c r="D2199" t="s">
        <v>20</v>
      </c>
      <c r="E2199" t="s">
        <v>21</v>
      </c>
      <c r="F2199" s="1">
        <v>246</v>
      </c>
      <c r="G2199" t="s">
        <v>14</v>
      </c>
      <c r="H2199" t="s">
        <v>15</v>
      </c>
      <c r="I2199" s="2">
        <v>5</v>
      </c>
      <c r="J2199" s="4">
        <v>18</v>
      </c>
      <c r="K2199" s="3">
        <v>4</v>
      </c>
      <c r="L2199" s="1">
        <f t="shared" si="102"/>
        <v>201.72000000000003</v>
      </c>
      <c r="M2199" t="str" cm="1">
        <f t="array" ref="M2199">_xlfn.IFS(B2199&lt;18,"Under 18",B2199 &lt;=25,"18-25",B2199&lt;=35,"26-35",B2199&lt;=45,"36-45",B2199&lt;=60,"46-60",TRUE,"60+")</f>
        <v>60+</v>
      </c>
      <c r="N2199" t="str">
        <f t="shared" si="103"/>
        <v>Discounted</v>
      </c>
      <c r="O2199" t="str">
        <f t="shared" si="104"/>
        <v>Returning</v>
      </c>
    </row>
    <row r="2200" spans="1:15" x14ac:dyDescent="0.25">
      <c r="A2200">
        <v>2199</v>
      </c>
      <c r="B2200">
        <v>46</v>
      </c>
      <c r="C2200" t="s">
        <v>16</v>
      </c>
      <c r="D2200" t="s">
        <v>20</v>
      </c>
      <c r="E2200" t="s">
        <v>39</v>
      </c>
      <c r="F2200" s="1">
        <v>68.17</v>
      </c>
      <c r="G2200" t="s">
        <v>24</v>
      </c>
      <c r="H2200" t="s">
        <v>37</v>
      </c>
      <c r="I2200" s="2">
        <v>3.4</v>
      </c>
      <c r="J2200" s="4">
        <v>17</v>
      </c>
      <c r="K2200" s="3">
        <v>6</v>
      </c>
      <c r="L2200" s="1">
        <f t="shared" si="102"/>
        <v>56.581099999999999</v>
      </c>
      <c r="M2200" t="str" cm="1">
        <f t="array" ref="M2200">_xlfn.IFS(B2200&lt;18,"Under 18",B2200 &lt;=25,"18-25",B2200&lt;=35,"26-35",B2200&lt;=45,"36-45",B2200&lt;=60,"46-60",TRUE,"60+")</f>
        <v>46-60</v>
      </c>
      <c r="N2200" t="str">
        <f t="shared" si="103"/>
        <v>Discounted</v>
      </c>
      <c r="O2200" t="str">
        <f t="shared" si="104"/>
        <v>Returning</v>
      </c>
    </row>
    <row r="2201" spans="1:15" x14ac:dyDescent="0.25">
      <c r="A2201">
        <v>2200</v>
      </c>
      <c r="B2201">
        <v>41</v>
      </c>
      <c r="C2201" t="s">
        <v>16</v>
      </c>
      <c r="D2201" t="s">
        <v>33</v>
      </c>
      <c r="E2201" t="s">
        <v>40</v>
      </c>
      <c r="F2201" s="1">
        <v>74.88</v>
      </c>
      <c r="G2201" t="s">
        <v>31</v>
      </c>
      <c r="H2201" t="s">
        <v>15</v>
      </c>
      <c r="I2201" s="2">
        <v>4.7</v>
      </c>
      <c r="J2201" s="4">
        <v>16</v>
      </c>
      <c r="K2201" s="3">
        <v>3</v>
      </c>
      <c r="L2201" s="1">
        <f t="shared" si="102"/>
        <v>62.899199999999993</v>
      </c>
      <c r="M2201" t="str" cm="1">
        <f t="array" ref="M2201">_xlfn.IFS(B2201&lt;18,"Under 18",B2201 &lt;=25,"18-25",B2201&lt;=35,"26-35",B2201&lt;=45,"36-45",B2201&lt;=60,"46-60",TRUE,"60+")</f>
        <v>36-45</v>
      </c>
      <c r="N2201" t="str">
        <f t="shared" si="103"/>
        <v>Discounted</v>
      </c>
      <c r="O2201" t="str">
        <f t="shared" si="104"/>
        <v>Returning</v>
      </c>
    </row>
    <row r="2202" spans="1:15" x14ac:dyDescent="0.25">
      <c r="A2202">
        <v>2201</v>
      </c>
      <c r="B2202">
        <v>36</v>
      </c>
      <c r="C2202" t="s">
        <v>16</v>
      </c>
      <c r="D2202" t="s">
        <v>20</v>
      </c>
      <c r="E2202" t="s">
        <v>36</v>
      </c>
      <c r="F2202" s="1">
        <v>105.09</v>
      </c>
      <c r="G2202" t="s">
        <v>19</v>
      </c>
      <c r="H2202" t="s">
        <v>15</v>
      </c>
      <c r="I2202" s="2">
        <v>3.6</v>
      </c>
      <c r="J2202" s="4">
        <v>22</v>
      </c>
      <c r="K2202" s="3">
        <v>6</v>
      </c>
      <c r="L2202" s="1">
        <f t="shared" si="102"/>
        <v>81.970200000000006</v>
      </c>
      <c r="M2202" t="str" cm="1">
        <f t="array" ref="M2202">_xlfn.IFS(B2202&lt;18,"Under 18",B2202 &lt;=25,"18-25",B2202&lt;=35,"26-35",B2202&lt;=45,"36-45",B2202&lt;=60,"46-60",TRUE,"60+")</f>
        <v>36-45</v>
      </c>
      <c r="N2202" t="str">
        <f t="shared" si="103"/>
        <v>Discounted</v>
      </c>
      <c r="O2202" t="str">
        <f t="shared" si="104"/>
        <v>Returning</v>
      </c>
    </row>
    <row r="2203" spans="1:15" x14ac:dyDescent="0.25">
      <c r="A2203">
        <v>2202</v>
      </c>
      <c r="B2203">
        <v>23</v>
      </c>
      <c r="C2203" t="s">
        <v>16</v>
      </c>
      <c r="D2203" t="s">
        <v>20</v>
      </c>
      <c r="E2203" t="s">
        <v>21</v>
      </c>
      <c r="F2203" s="1">
        <v>109.86</v>
      </c>
      <c r="G2203" t="s">
        <v>14</v>
      </c>
      <c r="H2203" t="s">
        <v>15</v>
      </c>
      <c r="I2203" s="2">
        <v>5</v>
      </c>
      <c r="J2203" s="4">
        <v>7</v>
      </c>
      <c r="K2203" s="3">
        <v>1</v>
      </c>
      <c r="L2203" s="1">
        <f t="shared" si="102"/>
        <v>102.1698</v>
      </c>
      <c r="M2203" t="str" cm="1">
        <f t="array" ref="M2203">_xlfn.IFS(B2203&lt;18,"Under 18",B2203 &lt;=25,"18-25",B2203&lt;=35,"26-35",B2203&lt;=45,"36-45",B2203&lt;=60,"46-60",TRUE,"60+")</f>
        <v>18-25</v>
      </c>
      <c r="N2203" t="str">
        <f t="shared" si="103"/>
        <v>Discounted</v>
      </c>
      <c r="O2203" t="str">
        <f t="shared" si="104"/>
        <v>Returning</v>
      </c>
    </row>
    <row r="2204" spans="1:15" x14ac:dyDescent="0.25">
      <c r="A2204">
        <v>2203</v>
      </c>
      <c r="B2204">
        <v>32</v>
      </c>
      <c r="C2204" t="s">
        <v>11</v>
      </c>
      <c r="D2204" t="s">
        <v>33</v>
      </c>
      <c r="E2204" t="s">
        <v>34</v>
      </c>
      <c r="F2204" s="1">
        <v>232.22</v>
      </c>
      <c r="G2204" t="s">
        <v>19</v>
      </c>
      <c r="H2204" t="s">
        <v>15</v>
      </c>
      <c r="I2204" s="2">
        <v>3.5</v>
      </c>
      <c r="J2204" s="4">
        <v>11</v>
      </c>
      <c r="K2204" s="3">
        <v>3</v>
      </c>
      <c r="L2204" s="1">
        <f t="shared" si="102"/>
        <v>206.67580000000001</v>
      </c>
      <c r="M2204" t="str" cm="1">
        <f t="array" ref="M2204">_xlfn.IFS(B2204&lt;18,"Under 18",B2204 &lt;=25,"18-25",B2204&lt;=35,"26-35",B2204&lt;=45,"36-45",B2204&lt;=60,"46-60",TRUE,"60+")</f>
        <v>26-35</v>
      </c>
      <c r="N2204" t="str">
        <f t="shared" si="103"/>
        <v>Discounted</v>
      </c>
      <c r="O2204" t="str">
        <f t="shared" si="104"/>
        <v>Returning</v>
      </c>
    </row>
    <row r="2205" spans="1:15" x14ac:dyDescent="0.25">
      <c r="A2205">
        <v>2204</v>
      </c>
      <c r="B2205">
        <v>60</v>
      </c>
      <c r="C2205" t="s">
        <v>16</v>
      </c>
      <c r="D2205" t="s">
        <v>17</v>
      </c>
      <c r="E2205" t="s">
        <v>35</v>
      </c>
      <c r="F2205" s="1">
        <v>170.41</v>
      </c>
      <c r="G2205" t="s">
        <v>31</v>
      </c>
      <c r="H2205" t="s">
        <v>15</v>
      </c>
      <c r="I2205" s="2">
        <v>2.6</v>
      </c>
      <c r="J2205" s="4">
        <v>17</v>
      </c>
      <c r="K2205" s="3">
        <v>6</v>
      </c>
      <c r="L2205" s="1">
        <f t="shared" si="102"/>
        <v>141.44029999999998</v>
      </c>
      <c r="M2205" t="str" cm="1">
        <f t="array" ref="M2205">_xlfn.IFS(B2205&lt;18,"Under 18",B2205 &lt;=25,"18-25",B2205&lt;=35,"26-35",B2205&lt;=45,"36-45",B2205&lt;=60,"46-60",TRUE,"60+")</f>
        <v>46-60</v>
      </c>
      <c r="N2205" t="str">
        <f t="shared" si="103"/>
        <v>Discounted</v>
      </c>
      <c r="O2205" t="str">
        <f t="shared" si="104"/>
        <v>Returning</v>
      </c>
    </row>
    <row r="2206" spans="1:15" x14ac:dyDescent="0.25">
      <c r="A2206">
        <v>2205</v>
      </c>
      <c r="B2206">
        <v>43</v>
      </c>
      <c r="C2206" t="s">
        <v>16</v>
      </c>
      <c r="D2206" t="s">
        <v>17</v>
      </c>
      <c r="E2206" t="s">
        <v>42</v>
      </c>
      <c r="F2206" s="1">
        <v>122.14</v>
      </c>
      <c r="G2206" t="s">
        <v>19</v>
      </c>
      <c r="H2206" t="s">
        <v>15</v>
      </c>
      <c r="I2206" s="2">
        <v>4</v>
      </c>
      <c r="J2206" s="4">
        <v>10</v>
      </c>
      <c r="K2206" s="3">
        <v>5</v>
      </c>
      <c r="L2206" s="1">
        <f t="shared" si="102"/>
        <v>109.926</v>
      </c>
      <c r="M2206" t="str" cm="1">
        <f t="array" ref="M2206">_xlfn.IFS(B2206&lt;18,"Under 18",B2206 &lt;=25,"18-25",B2206&lt;=35,"26-35",B2206&lt;=45,"36-45",B2206&lt;=60,"46-60",TRUE,"60+")</f>
        <v>36-45</v>
      </c>
      <c r="N2206" t="str">
        <f t="shared" si="103"/>
        <v>Discounted</v>
      </c>
      <c r="O2206" t="str">
        <f t="shared" si="104"/>
        <v>Returning</v>
      </c>
    </row>
    <row r="2207" spans="1:15" x14ac:dyDescent="0.25">
      <c r="A2207">
        <v>2206</v>
      </c>
      <c r="B2207">
        <v>58</v>
      </c>
      <c r="C2207" t="s">
        <v>11</v>
      </c>
      <c r="D2207" t="s">
        <v>12</v>
      </c>
      <c r="E2207" t="s">
        <v>13</v>
      </c>
      <c r="F2207" s="1">
        <v>98.65</v>
      </c>
      <c r="G2207" t="s">
        <v>19</v>
      </c>
      <c r="H2207" t="s">
        <v>37</v>
      </c>
      <c r="I2207" s="2">
        <v>3.9</v>
      </c>
      <c r="J2207" s="4">
        <v>8</v>
      </c>
      <c r="K2207" s="3">
        <v>4</v>
      </c>
      <c r="L2207" s="1">
        <f t="shared" si="102"/>
        <v>90.75800000000001</v>
      </c>
      <c r="M2207" t="str" cm="1">
        <f t="array" ref="M2207">_xlfn.IFS(B2207&lt;18,"Under 18",B2207 &lt;=25,"18-25",B2207&lt;=35,"26-35",B2207&lt;=45,"36-45",B2207&lt;=60,"46-60",TRUE,"60+")</f>
        <v>46-60</v>
      </c>
      <c r="N2207" t="str">
        <f t="shared" si="103"/>
        <v>Discounted</v>
      </c>
      <c r="O2207" t="str">
        <f t="shared" si="104"/>
        <v>Returning</v>
      </c>
    </row>
    <row r="2208" spans="1:15" x14ac:dyDescent="0.25">
      <c r="A2208">
        <v>2207</v>
      </c>
      <c r="B2208">
        <v>70</v>
      </c>
      <c r="C2208" t="s">
        <v>16</v>
      </c>
      <c r="D2208" t="s">
        <v>20</v>
      </c>
      <c r="E2208" t="s">
        <v>21</v>
      </c>
      <c r="F2208" s="1">
        <v>43.95</v>
      </c>
      <c r="G2208" t="s">
        <v>14</v>
      </c>
      <c r="H2208" t="s">
        <v>37</v>
      </c>
      <c r="I2208" s="2">
        <v>3.4</v>
      </c>
      <c r="J2208" s="4">
        <v>15</v>
      </c>
      <c r="K2208" s="3">
        <v>5</v>
      </c>
      <c r="L2208" s="1">
        <f t="shared" si="102"/>
        <v>37.357500000000002</v>
      </c>
      <c r="M2208" t="str" cm="1">
        <f t="array" ref="M2208">_xlfn.IFS(B2208&lt;18,"Under 18",B2208 &lt;=25,"18-25",B2208&lt;=35,"26-35",B2208&lt;=45,"36-45",B2208&lt;=60,"46-60",TRUE,"60+")</f>
        <v>60+</v>
      </c>
      <c r="N2208" t="str">
        <f t="shared" si="103"/>
        <v>Discounted</v>
      </c>
      <c r="O2208" t="str">
        <f t="shared" si="104"/>
        <v>Returning</v>
      </c>
    </row>
    <row r="2209" spans="1:15" x14ac:dyDescent="0.25">
      <c r="A2209">
        <v>2208</v>
      </c>
      <c r="B2209">
        <v>43</v>
      </c>
      <c r="C2209" t="s">
        <v>16</v>
      </c>
      <c r="D2209" t="s">
        <v>20</v>
      </c>
      <c r="E2209" t="s">
        <v>21</v>
      </c>
      <c r="F2209" s="1">
        <v>127.93</v>
      </c>
      <c r="G2209" t="s">
        <v>24</v>
      </c>
      <c r="H2209" t="s">
        <v>15</v>
      </c>
      <c r="I2209" s="2">
        <v>2.9</v>
      </c>
      <c r="J2209" s="4">
        <v>13</v>
      </c>
      <c r="K2209" s="3">
        <v>4</v>
      </c>
      <c r="L2209" s="1">
        <f t="shared" si="102"/>
        <v>111.29910000000001</v>
      </c>
      <c r="M2209" t="str" cm="1">
        <f t="array" ref="M2209">_xlfn.IFS(B2209&lt;18,"Under 18",B2209 &lt;=25,"18-25",B2209&lt;=35,"26-35",B2209&lt;=45,"36-45",B2209&lt;=60,"46-60",TRUE,"60+")</f>
        <v>36-45</v>
      </c>
      <c r="N2209" t="str">
        <f t="shared" si="103"/>
        <v>Discounted</v>
      </c>
      <c r="O2209" t="str">
        <f t="shared" si="104"/>
        <v>Returning</v>
      </c>
    </row>
    <row r="2210" spans="1:15" x14ac:dyDescent="0.25">
      <c r="A2210">
        <v>2209</v>
      </c>
      <c r="B2210">
        <v>55</v>
      </c>
      <c r="C2210" t="s">
        <v>16</v>
      </c>
      <c r="D2210" t="s">
        <v>25</v>
      </c>
      <c r="E2210" t="s">
        <v>26</v>
      </c>
      <c r="F2210" s="1">
        <v>62.57</v>
      </c>
      <c r="G2210" t="s">
        <v>14</v>
      </c>
      <c r="H2210" t="s">
        <v>37</v>
      </c>
      <c r="I2210" s="2">
        <v>3.6</v>
      </c>
      <c r="J2210" s="4">
        <v>12</v>
      </c>
      <c r="K2210" s="3">
        <v>6</v>
      </c>
      <c r="L2210" s="1">
        <f t="shared" si="102"/>
        <v>55.061599999999999</v>
      </c>
      <c r="M2210" t="str" cm="1">
        <f t="array" ref="M2210">_xlfn.IFS(B2210&lt;18,"Under 18",B2210 &lt;=25,"18-25",B2210&lt;=35,"26-35",B2210&lt;=45,"36-45",B2210&lt;=60,"46-60",TRUE,"60+")</f>
        <v>46-60</v>
      </c>
      <c r="N2210" t="str">
        <f t="shared" si="103"/>
        <v>Discounted</v>
      </c>
      <c r="O2210" t="str">
        <f t="shared" si="104"/>
        <v>Returning</v>
      </c>
    </row>
    <row r="2211" spans="1:15" x14ac:dyDescent="0.25">
      <c r="A2211">
        <v>2210</v>
      </c>
      <c r="B2211">
        <v>24</v>
      </c>
      <c r="C2211" t="s">
        <v>11</v>
      </c>
      <c r="D2211" t="s">
        <v>41</v>
      </c>
      <c r="E2211" t="s">
        <v>42</v>
      </c>
      <c r="F2211" s="1">
        <v>106.76</v>
      </c>
      <c r="G2211" t="s">
        <v>14</v>
      </c>
      <c r="H2211" t="s">
        <v>15</v>
      </c>
      <c r="I2211" s="2">
        <v>3.2</v>
      </c>
      <c r="J2211" s="4">
        <v>8</v>
      </c>
      <c r="K2211" s="3">
        <v>4</v>
      </c>
      <c r="L2211" s="1">
        <f t="shared" si="102"/>
        <v>98.219200000000015</v>
      </c>
      <c r="M2211" t="str" cm="1">
        <f t="array" ref="M2211">_xlfn.IFS(B2211&lt;18,"Under 18",B2211 &lt;=25,"18-25",B2211&lt;=35,"26-35",B2211&lt;=45,"36-45",B2211&lt;=60,"46-60",TRUE,"60+")</f>
        <v>18-25</v>
      </c>
      <c r="N2211" t="str">
        <f t="shared" si="103"/>
        <v>Discounted</v>
      </c>
      <c r="O2211" t="str">
        <f t="shared" si="104"/>
        <v>Returning</v>
      </c>
    </row>
    <row r="2212" spans="1:15" x14ac:dyDescent="0.25">
      <c r="A2212">
        <v>2211</v>
      </c>
      <c r="B2212">
        <v>41</v>
      </c>
      <c r="C2212" t="s">
        <v>11</v>
      </c>
      <c r="D2212" t="s">
        <v>22</v>
      </c>
      <c r="E2212" t="s">
        <v>52</v>
      </c>
      <c r="F2212" s="1">
        <v>245.42</v>
      </c>
      <c r="G2212" t="s">
        <v>31</v>
      </c>
      <c r="H2212" t="s">
        <v>15</v>
      </c>
      <c r="I2212" s="2">
        <v>3.6</v>
      </c>
      <c r="J2212" s="4">
        <v>20</v>
      </c>
      <c r="K2212" s="3">
        <v>5</v>
      </c>
      <c r="L2212" s="1">
        <f t="shared" si="102"/>
        <v>196.33600000000001</v>
      </c>
      <c r="M2212" t="str" cm="1">
        <f t="array" ref="M2212">_xlfn.IFS(B2212&lt;18,"Under 18",B2212 &lt;=25,"18-25",B2212&lt;=35,"26-35",B2212&lt;=45,"36-45",B2212&lt;=60,"46-60",TRUE,"60+")</f>
        <v>36-45</v>
      </c>
      <c r="N2212" t="str">
        <f t="shared" si="103"/>
        <v>Discounted</v>
      </c>
      <c r="O2212" t="str">
        <f t="shared" si="104"/>
        <v>Returning</v>
      </c>
    </row>
    <row r="2213" spans="1:15" x14ac:dyDescent="0.25">
      <c r="A2213">
        <v>2212</v>
      </c>
      <c r="B2213">
        <v>33</v>
      </c>
      <c r="C2213" t="s">
        <v>16</v>
      </c>
      <c r="D2213" t="s">
        <v>20</v>
      </c>
      <c r="E2213" t="s">
        <v>36</v>
      </c>
      <c r="F2213" s="1">
        <v>184.79</v>
      </c>
      <c r="G2213" t="s">
        <v>24</v>
      </c>
      <c r="H2213" t="s">
        <v>15</v>
      </c>
      <c r="I2213" s="2">
        <v>2.8</v>
      </c>
      <c r="J2213" s="4">
        <v>11</v>
      </c>
      <c r="K2213" s="3">
        <v>3</v>
      </c>
      <c r="L2213" s="1">
        <f t="shared" si="102"/>
        <v>164.4631</v>
      </c>
      <c r="M2213" t="str" cm="1">
        <f t="array" ref="M2213">_xlfn.IFS(B2213&lt;18,"Under 18",B2213 &lt;=25,"18-25",B2213&lt;=35,"26-35",B2213&lt;=45,"36-45",B2213&lt;=60,"46-60",TRUE,"60+")</f>
        <v>26-35</v>
      </c>
      <c r="N2213" t="str">
        <f t="shared" si="103"/>
        <v>Discounted</v>
      </c>
      <c r="O2213" t="str">
        <f t="shared" si="104"/>
        <v>Returning</v>
      </c>
    </row>
    <row r="2214" spans="1:15" x14ac:dyDescent="0.25">
      <c r="A2214">
        <v>2213</v>
      </c>
      <c r="B2214">
        <v>64</v>
      </c>
      <c r="C2214" t="s">
        <v>11</v>
      </c>
      <c r="D2214" t="s">
        <v>12</v>
      </c>
      <c r="E2214" t="s">
        <v>56</v>
      </c>
      <c r="F2214" s="1">
        <v>176.59</v>
      </c>
      <c r="G2214" t="s">
        <v>14</v>
      </c>
      <c r="H2214" t="s">
        <v>15</v>
      </c>
      <c r="I2214" s="2">
        <v>3.9</v>
      </c>
      <c r="J2214" s="4">
        <v>20</v>
      </c>
      <c r="K2214" s="3">
        <v>5</v>
      </c>
      <c r="L2214" s="1">
        <f t="shared" si="102"/>
        <v>141.27200000000002</v>
      </c>
      <c r="M2214" t="str" cm="1">
        <f t="array" ref="M2214">_xlfn.IFS(B2214&lt;18,"Under 18",B2214 &lt;=25,"18-25",B2214&lt;=35,"26-35",B2214&lt;=45,"36-45",B2214&lt;=60,"46-60",TRUE,"60+")</f>
        <v>60+</v>
      </c>
      <c r="N2214" t="str">
        <f t="shared" si="103"/>
        <v>Discounted</v>
      </c>
      <c r="O2214" t="str">
        <f t="shared" si="104"/>
        <v>Returning</v>
      </c>
    </row>
    <row r="2215" spans="1:15" x14ac:dyDescent="0.25">
      <c r="A2215">
        <v>2214</v>
      </c>
      <c r="B2215">
        <v>26</v>
      </c>
      <c r="C2215" t="s">
        <v>11</v>
      </c>
      <c r="D2215" t="s">
        <v>41</v>
      </c>
      <c r="E2215" t="s">
        <v>45</v>
      </c>
      <c r="F2215" s="1">
        <v>58.44</v>
      </c>
      <c r="G2215" t="s">
        <v>24</v>
      </c>
      <c r="H2215" t="s">
        <v>37</v>
      </c>
      <c r="I2215" s="2">
        <v>2.1</v>
      </c>
      <c r="J2215" s="4">
        <v>19</v>
      </c>
      <c r="K2215" s="3">
        <v>7</v>
      </c>
      <c r="L2215" s="1">
        <f t="shared" si="102"/>
        <v>47.336400000000005</v>
      </c>
      <c r="M2215" t="str" cm="1">
        <f t="array" ref="M2215">_xlfn.IFS(B2215&lt;18,"Under 18",B2215 &lt;=25,"18-25",B2215&lt;=35,"26-35",B2215&lt;=45,"36-45",B2215&lt;=60,"46-60",TRUE,"60+")</f>
        <v>26-35</v>
      </c>
      <c r="N2215" t="str">
        <f t="shared" si="103"/>
        <v>Discounted</v>
      </c>
      <c r="O2215" t="str">
        <f t="shared" si="104"/>
        <v>Returning</v>
      </c>
    </row>
    <row r="2216" spans="1:15" x14ac:dyDescent="0.25">
      <c r="A2216">
        <v>2215</v>
      </c>
      <c r="B2216">
        <v>53</v>
      </c>
      <c r="C2216" t="s">
        <v>11</v>
      </c>
      <c r="D2216" t="s">
        <v>25</v>
      </c>
      <c r="E2216" t="s">
        <v>57</v>
      </c>
      <c r="F2216" s="1">
        <v>9.7200000000000006</v>
      </c>
      <c r="G2216" t="s">
        <v>24</v>
      </c>
      <c r="H2216" t="s">
        <v>15</v>
      </c>
      <c r="I2216" s="2">
        <v>3.9</v>
      </c>
      <c r="J2216" s="4">
        <v>24</v>
      </c>
      <c r="K2216" s="3">
        <v>7</v>
      </c>
      <c r="L2216" s="1">
        <f t="shared" si="102"/>
        <v>7.3872000000000009</v>
      </c>
      <c r="M2216" t="str" cm="1">
        <f t="array" ref="M2216">_xlfn.IFS(B2216&lt;18,"Under 18",B2216 &lt;=25,"18-25",B2216&lt;=35,"26-35",B2216&lt;=45,"36-45",B2216&lt;=60,"46-60",TRUE,"60+")</f>
        <v>46-60</v>
      </c>
      <c r="N2216" t="str">
        <f t="shared" si="103"/>
        <v>Discounted</v>
      </c>
      <c r="O2216" t="str">
        <f t="shared" si="104"/>
        <v>Returning</v>
      </c>
    </row>
    <row r="2217" spans="1:15" x14ac:dyDescent="0.25">
      <c r="A2217">
        <v>2216</v>
      </c>
      <c r="B2217">
        <v>34</v>
      </c>
      <c r="C2217" t="s">
        <v>11</v>
      </c>
      <c r="D2217" t="s">
        <v>33</v>
      </c>
      <c r="E2217" t="s">
        <v>40</v>
      </c>
      <c r="F2217" s="1">
        <v>97.08</v>
      </c>
      <c r="G2217" t="s">
        <v>31</v>
      </c>
      <c r="H2217" t="s">
        <v>15</v>
      </c>
      <c r="I2217" s="2">
        <v>2.7</v>
      </c>
      <c r="J2217" s="4">
        <v>12</v>
      </c>
      <c r="K2217" s="3">
        <v>1</v>
      </c>
      <c r="L2217" s="1">
        <f t="shared" si="102"/>
        <v>85.430400000000006</v>
      </c>
      <c r="M2217" t="str" cm="1">
        <f t="array" ref="M2217">_xlfn.IFS(B2217&lt;18,"Under 18",B2217 &lt;=25,"18-25",B2217&lt;=35,"26-35",B2217&lt;=45,"36-45",B2217&lt;=60,"46-60",TRUE,"60+")</f>
        <v>26-35</v>
      </c>
      <c r="N2217" t="str">
        <f t="shared" si="103"/>
        <v>Discounted</v>
      </c>
      <c r="O2217" t="str">
        <f t="shared" si="104"/>
        <v>Returning</v>
      </c>
    </row>
    <row r="2218" spans="1:15" x14ac:dyDescent="0.25">
      <c r="A2218">
        <v>2217</v>
      </c>
      <c r="B2218">
        <v>35</v>
      </c>
      <c r="C2218" t="s">
        <v>11</v>
      </c>
      <c r="D2218" t="s">
        <v>12</v>
      </c>
      <c r="E2218" t="s">
        <v>13</v>
      </c>
      <c r="F2218" s="1">
        <v>150.88</v>
      </c>
      <c r="G2218" t="s">
        <v>24</v>
      </c>
      <c r="H2218" t="s">
        <v>15</v>
      </c>
      <c r="I2218" s="2">
        <v>4.3</v>
      </c>
      <c r="J2218" s="4">
        <v>16</v>
      </c>
      <c r="K2218" s="3">
        <v>8</v>
      </c>
      <c r="L2218" s="1">
        <f t="shared" si="102"/>
        <v>126.7392</v>
      </c>
      <c r="M2218" t="str" cm="1">
        <f t="array" ref="M2218">_xlfn.IFS(B2218&lt;18,"Under 18",B2218 &lt;=25,"18-25",B2218&lt;=35,"26-35",B2218&lt;=45,"36-45",B2218&lt;=60,"46-60",TRUE,"60+")</f>
        <v>26-35</v>
      </c>
      <c r="N2218" t="str">
        <f t="shared" si="103"/>
        <v>Discounted</v>
      </c>
      <c r="O2218" t="str">
        <f t="shared" si="104"/>
        <v>Returning</v>
      </c>
    </row>
    <row r="2219" spans="1:15" x14ac:dyDescent="0.25">
      <c r="A2219">
        <v>2218</v>
      </c>
      <c r="B2219">
        <v>24</v>
      </c>
      <c r="C2219" t="s">
        <v>11</v>
      </c>
      <c r="D2219" t="s">
        <v>33</v>
      </c>
      <c r="E2219" t="s">
        <v>38</v>
      </c>
      <c r="F2219" s="1">
        <v>173.83</v>
      </c>
      <c r="G2219" t="s">
        <v>14</v>
      </c>
      <c r="H2219" t="s">
        <v>15</v>
      </c>
      <c r="I2219" s="2">
        <v>2.7</v>
      </c>
      <c r="J2219" s="4">
        <v>6</v>
      </c>
      <c r="K2219" s="3">
        <v>3</v>
      </c>
      <c r="L2219" s="1">
        <f t="shared" si="102"/>
        <v>163.40020000000001</v>
      </c>
      <c r="M2219" t="str" cm="1">
        <f t="array" ref="M2219">_xlfn.IFS(B2219&lt;18,"Under 18",B2219 &lt;=25,"18-25",B2219&lt;=35,"26-35",B2219&lt;=45,"36-45",B2219&lt;=60,"46-60",TRUE,"60+")</f>
        <v>18-25</v>
      </c>
      <c r="N2219" t="str">
        <f t="shared" si="103"/>
        <v>Discounted</v>
      </c>
      <c r="O2219" t="str">
        <f t="shared" si="104"/>
        <v>Returning</v>
      </c>
    </row>
    <row r="2220" spans="1:15" x14ac:dyDescent="0.25">
      <c r="A2220">
        <v>2219</v>
      </c>
      <c r="B2220">
        <v>57</v>
      </c>
      <c r="C2220" t="s">
        <v>16</v>
      </c>
      <c r="D2220" t="s">
        <v>27</v>
      </c>
      <c r="E2220" t="s">
        <v>28</v>
      </c>
      <c r="F2220" s="1">
        <v>1857.16</v>
      </c>
      <c r="G2220" t="s">
        <v>14</v>
      </c>
      <c r="H2220" t="s">
        <v>15</v>
      </c>
      <c r="I2220" s="2">
        <v>4</v>
      </c>
      <c r="J2220" s="4">
        <v>13</v>
      </c>
      <c r="K2220" s="3">
        <v>4</v>
      </c>
      <c r="L2220" s="1">
        <f t="shared" si="102"/>
        <v>1615.7292</v>
      </c>
      <c r="M2220" t="str" cm="1">
        <f t="array" ref="M2220">_xlfn.IFS(B2220&lt;18,"Under 18",B2220 &lt;=25,"18-25",B2220&lt;=35,"26-35",B2220&lt;=45,"36-45",B2220&lt;=60,"46-60",TRUE,"60+")</f>
        <v>46-60</v>
      </c>
      <c r="N2220" t="str">
        <f t="shared" si="103"/>
        <v>Discounted</v>
      </c>
      <c r="O2220" t="str">
        <f t="shared" si="104"/>
        <v>Returning</v>
      </c>
    </row>
    <row r="2221" spans="1:15" x14ac:dyDescent="0.25">
      <c r="A2221">
        <v>2220</v>
      </c>
      <c r="B2221">
        <v>31</v>
      </c>
      <c r="C2221" t="s">
        <v>16</v>
      </c>
      <c r="D2221" t="s">
        <v>20</v>
      </c>
      <c r="E2221" t="s">
        <v>36</v>
      </c>
      <c r="F2221" s="1">
        <v>227.4</v>
      </c>
      <c r="G2221" t="s">
        <v>24</v>
      </c>
      <c r="H2221" t="s">
        <v>15</v>
      </c>
      <c r="I2221" s="2">
        <v>3.5</v>
      </c>
      <c r="J2221" s="4">
        <v>11</v>
      </c>
      <c r="K2221" s="3">
        <v>3</v>
      </c>
      <c r="L2221" s="1">
        <f t="shared" si="102"/>
        <v>202.386</v>
      </c>
      <c r="M2221" t="str" cm="1">
        <f t="array" ref="M2221">_xlfn.IFS(B2221&lt;18,"Under 18",B2221 &lt;=25,"18-25",B2221&lt;=35,"26-35",B2221&lt;=45,"36-45",B2221&lt;=60,"46-60",TRUE,"60+")</f>
        <v>26-35</v>
      </c>
      <c r="N2221" t="str">
        <f t="shared" si="103"/>
        <v>Discounted</v>
      </c>
      <c r="O2221" t="str">
        <f t="shared" si="104"/>
        <v>Returning</v>
      </c>
    </row>
    <row r="2222" spans="1:15" x14ac:dyDescent="0.25">
      <c r="A2222">
        <v>2221</v>
      </c>
      <c r="B2222">
        <v>52</v>
      </c>
      <c r="C2222" t="s">
        <v>11</v>
      </c>
      <c r="D2222" t="s">
        <v>12</v>
      </c>
      <c r="E2222" t="s">
        <v>13</v>
      </c>
      <c r="F2222" s="1">
        <v>119.11</v>
      </c>
      <c r="G2222" t="s">
        <v>31</v>
      </c>
      <c r="H2222" t="s">
        <v>15</v>
      </c>
      <c r="I2222" s="2">
        <v>4.8</v>
      </c>
      <c r="J2222" s="4">
        <v>25</v>
      </c>
      <c r="K2222" s="3">
        <v>10</v>
      </c>
      <c r="L2222" s="1">
        <f t="shared" si="102"/>
        <v>89.332499999999996</v>
      </c>
      <c r="M2222" t="str" cm="1">
        <f t="array" ref="M2222">_xlfn.IFS(B2222&lt;18,"Under 18",B2222 &lt;=25,"18-25",B2222&lt;=35,"26-35",B2222&lt;=45,"36-45",B2222&lt;=60,"46-60",TRUE,"60+")</f>
        <v>46-60</v>
      </c>
      <c r="N2222" t="str">
        <f t="shared" si="103"/>
        <v>Discounted</v>
      </c>
      <c r="O2222" t="str">
        <f t="shared" si="104"/>
        <v>Returning</v>
      </c>
    </row>
    <row r="2223" spans="1:15" x14ac:dyDescent="0.25">
      <c r="A2223">
        <v>2222</v>
      </c>
      <c r="B2223">
        <v>30</v>
      </c>
      <c r="C2223" t="s">
        <v>16</v>
      </c>
      <c r="D2223" t="s">
        <v>27</v>
      </c>
      <c r="E2223" t="s">
        <v>53</v>
      </c>
      <c r="F2223" s="1">
        <v>1425.84</v>
      </c>
      <c r="G2223" t="s">
        <v>19</v>
      </c>
      <c r="H2223" t="s">
        <v>15</v>
      </c>
      <c r="I2223" s="2">
        <v>3.6</v>
      </c>
      <c r="J2223" s="4">
        <v>14</v>
      </c>
      <c r="K2223" s="3">
        <v>2</v>
      </c>
      <c r="L2223" s="1">
        <f t="shared" si="102"/>
        <v>1226.2223999999999</v>
      </c>
      <c r="M2223" t="str" cm="1">
        <f t="array" ref="M2223">_xlfn.IFS(B2223&lt;18,"Under 18",B2223 &lt;=25,"18-25",B2223&lt;=35,"26-35",B2223&lt;=45,"36-45",B2223&lt;=60,"46-60",TRUE,"60+")</f>
        <v>26-35</v>
      </c>
      <c r="N2223" t="str">
        <f t="shared" si="103"/>
        <v>Discounted</v>
      </c>
      <c r="O2223" t="str">
        <f t="shared" si="104"/>
        <v>Returning</v>
      </c>
    </row>
    <row r="2224" spans="1:15" x14ac:dyDescent="0.25">
      <c r="A2224">
        <v>2223</v>
      </c>
      <c r="B2224">
        <v>32</v>
      </c>
      <c r="C2224" t="s">
        <v>16</v>
      </c>
      <c r="D2224" t="s">
        <v>33</v>
      </c>
      <c r="E2224" t="s">
        <v>34</v>
      </c>
      <c r="F2224" s="1">
        <v>170.66</v>
      </c>
      <c r="G2224" t="s">
        <v>19</v>
      </c>
      <c r="H2224" t="s">
        <v>15</v>
      </c>
      <c r="I2224" s="2">
        <v>4.2</v>
      </c>
      <c r="J2224" s="4">
        <v>17</v>
      </c>
      <c r="K2224" s="3">
        <v>6</v>
      </c>
      <c r="L2224" s="1">
        <f t="shared" si="102"/>
        <v>141.64779999999999</v>
      </c>
      <c r="M2224" t="str" cm="1">
        <f t="array" ref="M2224">_xlfn.IFS(B2224&lt;18,"Under 18",B2224 &lt;=25,"18-25",B2224&lt;=35,"26-35",B2224&lt;=45,"36-45",B2224&lt;=60,"46-60",TRUE,"60+")</f>
        <v>26-35</v>
      </c>
      <c r="N2224" t="str">
        <f t="shared" si="103"/>
        <v>Discounted</v>
      </c>
      <c r="O2224" t="str">
        <f t="shared" si="104"/>
        <v>Returning</v>
      </c>
    </row>
    <row r="2225" spans="1:15" x14ac:dyDescent="0.25">
      <c r="A2225">
        <v>2224</v>
      </c>
      <c r="B2225">
        <v>21</v>
      </c>
      <c r="C2225" t="s">
        <v>16</v>
      </c>
      <c r="D2225" t="s">
        <v>20</v>
      </c>
      <c r="E2225" t="s">
        <v>39</v>
      </c>
      <c r="F2225" s="1">
        <v>246.8</v>
      </c>
      <c r="G2225" t="s">
        <v>14</v>
      </c>
      <c r="H2225" t="s">
        <v>15</v>
      </c>
      <c r="I2225" s="2">
        <v>3.2</v>
      </c>
      <c r="J2225" s="4">
        <v>13</v>
      </c>
      <c r="K2225" s="3">
        <v>4</v>
      </c>
      <c r="L2225" s="1">
        <f t="shared" si="102"/>
        <v>214.71600000000001</v>
      </c>
      <c r="M2225" t="str" cm="1">
        <f t="array" ref="M2225">_xlfn.IFS(B2225&lt;18,"Under 18",B2225 &lt;=25,"18-25",B2225&lt;=35,"26-35",B2225&lt;=45,"36-45",B2225&lt;=60,"46-60",TRUE,"60+")</f>
        <v>18-25</v>
      </c>
      <c r="N2225" t="str">
        <f t="shared" si="103"/>
        <v>Discounted</v>
      </c>
      <c r="O2225" t="str">
        <f t="shared" si="104"/>
        <v>Returning</v>
      </c>
    </row>
    <row r="2226" spans="1:15" x14ac:dyDescent="0.25">
      <c r="A2226">
        <v>2225</v>
      </c>
      <c r="B2226">
        <v>63</v>
      </c>
      <c r="C2226" t="s">
        <v>11</v>
      </c>
      <c r="D2226" t="s">
        <v>29</v>
      </c>
      <c r="E2226" t="s">
        <v>55</v>
      </c>
      <c r="F2226" s="1">
        <v>40.06</v>
      </c>
      <c r="G2226" t="s">
        <v>31</v>
      </c>
      <c r="H2226" t="s">
        <v>37</v>
      </c>
      <c r="I2226" s="2">
        <v>4</v>
      </c>
      <c r="J2226" s="4">
        <v>20</v>
      </c>
      <c r="K2226" s="3">
        <v>5</v>
      </c>
      <c r="L2226" s="1">
        <f t="shared" si="102"/>
        <v>32.048000000000002</v>
      </c>
      <c r="M2226" t="str" cm="1">
        <f t="array" ref="M2226">_xlfn.IFS(B2226&lt;18,"Under 18",B2226 &lt;=25,"18-25",B2226&lt;=35,"26-35",B2226&lt;=45,"36-45",B2226&lt;=60,"46-60",TRUE,"60+")</f>
        <v>60+</v>
      </c>
      <c r="N2226" t="str">
        <f t="shared" si="103"/>
        <v>Discounted</v>
      </c>
      <c r="O2226" t="str">
        <f t="shared" si="104"/>
        <v>Returning</v>
      </c>
    </row>
    <row r="2227" spans="1:15" x14ac:dyDescent="0.25">
      <c r="A2227">
        <v>2226</v>
      </c>
      <c r="B2227">
        <v>38</v>
      </c>
      <c r="C2227" t="s">
        <v>11</v>
      </c>
      <c r="D2227" t="s">
        <v>33</v>
      </c>
      <c r="E2227" t="s">
        <v>34</v>
      </c>
      <c r="F2227" s="1">
        <v>47</v>
      </c>
      <c r="G2227" t="s">
        <v>31</v>
      </c>
      <c r="H2227" t="s">
        <v>15</v>
      </c>
      <c r="I2227" s="2">
        <v>3.4</v>
      </c>
      <c r="J2227" s="4">
        <v>18</v>
      </c>
      <c r="K2227" s="3">
        <v>9</v>
      </c>
      <c r="L2227" s="1">
        <f t="shared" si="102"/>
        <v>38.540000000000006</v>
      </c>
      <c r="M2227" t="str" cm="1">
        <f t="array" ref="M2227">_xlfn.IFS(B2227&lt;18,"Under 18",B2227 &lt;=25,"18-25",B2227&lt;=35,"26-35",B2227&lt;=45,"36-45",B2227&lt;=60,"46-60",TRUE,"60+")</f>
        <v>36-45</v>
      </c>
      <c r="N2227" t="str">
        <f t="shared" si="103"/>
        <v>Discounted</v>
      </c>
      <c r="O2227" t="str">
        <f t="shared" si="104"/>
        <v>Returning</v>
      </c>
    </row>
    <row r="2228" spans="1:15" x14ac:dyDescent="0.25">
      <c r="A2228">
        <v>2227</v>
      </c>
      <c r="B2228">
        <v>46</v>
      </c>
      <c r="C2228" t="s">
        <v>11</v>
      </c>
      <c r="D2228" t="s">
        <v>41</v>
      </c>
      <c r="E2228" t="s">
        <v>45</v>
      </c>
      <c r="F2228" s="1">
        <v>149.94999999999999</v>
      </c>
      <c r="G2228" t="s">
        <v>31</v>
      </c>
      <c r="H2228" t="s">
        <v>15</v>
      </c>
      <c r="I2228" s="2">
        <v>4.2</v>
      </c>
      <c r="J2228" s="4">
        <v>9</v>
      </c>
      <c r="K2228" s="3">
        <v>2</v>
      </c>
      <c r="L2228" s="1">
        <f t="shared" si="102"/>
        <v>136.4545</v>
      </c>
      <c r="M2228" t="str" cm="1">
        <f t="array" ref="M2228">_xlfn.IFS(B2228&lt;18,"Under 18",B2228 &lt;=25,"18-25",B2228&lt;=35,"26-35",B2228&lt;=45,"36-45",B2228&lt;=60,"46-60",TRUE,"60+")</f>
        <v>46-60</v>
      </c>
      <c r="N2228" t="str">
        <f t="shared" si="103"/>
        <v>Discounted</v>
      </c>
      <c r="O2228" t="str">
        <f t="shared" si="104"/>
        <v>Returning</v>
      </c>
    </row>
    <row r="2229" spans="1:15" x14ac:dyDescent="0.25">
      <c r="A2229">
        <v>2228</v>
      </c>
      <c r="B2229">
        <v>68</v>
      </c>
      <c r="C2229" t="s">
        <v>16</v>
      </c>
      <c r="D2229" t="s">
        <v>27</v>
      </c>
      <c r="E2229" t="s">
        <v>32</v>
      </c>
      <c r="F2229" s="1">
        <v>1383.02</v>
      </c>
      <c r="G2229" t="s">
        <v>19</v>
      </c>
      <c r="H2229" t="s">
        <v>15</v>
      </c>
      <c r="I2229" s="2">
        <v>4.5999999999999996</v>
      </c>
      <c r="J2229" s="4">
        <v>16</v>
      </c>
      <c r="K2229" s="3">
        <v>3</v>
      </c>
      <c r="L2229" s="1">
        <f t="shared" si="102"/>
        <v>1161.7367999999999</v>
      </c>
      <c r="M2229" t="str" cm="1">
        <f t="array" ref="M2229">_xlfn.IFS(B2229&lt;18,"Under 18",B2229 &lt;=25,"18-25",B2229&lt;=35,"26-35",B2229&lt;=45,"36-45",B2229&lt;=60,"46-60",TRUE,"60+")</f>
        <v>60+</v>
      </c>
      <c r="N2229" t="str">
        <f t="shared" si="103"/>
        <v>Discounted</v>
      </c>
      <c r="O2229" t="str">
        <f t="shared" si="104"/>
        <v>Returning</v>
      </c>
    </row>
    <row r="2230" spans="1:15" x14ac:dyDescent="0.25">
      <c r="A2230">
        <v>2229</v>
      </c>
      <c r="B2230">
        <v>30</v>
      </c>
      <c r="C2230" t="s">
        <v>11</v>
      </c>
      <c r="D2230" t="s">
        <v>41</v>
      </c>
      <c r="E2230" t="s">
        <v>45</v>
      </c>
      <c r="F2230" s="1">
        <v>170.78</v>
      </c>
      <c r="G2230" t="s">
        <v>24</v>
      </c>
      <c r="H2230" t="s">
        <v>15</v>
      </c>
      <c r="I2230" s="2">
        <v>5</v>
      </c>
      <c r="J2230" s="4">
        <v>22</v>
      </c>
      <c r="K2230" s="3">
        <v>6</v>
      </c>
      <c r="L2230" s="1">
        <f t="shared" si="102"/>
        <v>133.20840000000001</v>
      </c>
      <c r="M2230" t="str" cm="1">
        <f t="array" ref="M2230">_xlfn.IFS(B2230&lt;18,"Under 18",B2230 &lt;=25,"18-25",B2230&lt;=35,"26-35",B2230&lt;=45,"36-45",B2230&lt;=60,"46-60",TRUE,"60+")</f>
        <v>26-35</v>
      </c>
      <c r="N2230" t="str">
        <f t="shared" si="103"/>
        <v>Discounted</v>
      </c>
      <c r="O2230" t="str">
        <f t="shared" si="104"/>
        <v>Returning</v>
      </c>
    </row>
    <row r="2231" spans="1:15" x14ac:dyDescent="0.25">
      <c r="A2231">
        <v>2230</v>
      </c>
      <c r="B2231">
        <v>26</v>
      </c>
      <c r="C2231" t="s">
        <v>16</v>
      </c>
      <c r="D2231" t="s">
        <v>17</v>
      </c>
      <c r="E2231" t="s">
        <v>35</v>
      </c>
      <c r="F2231" s="1">
        <v>119.83</v>
      </c>
      <c r="G2231" t="s">
        <v>14</v>
      </c>
      <c r="H2231" t="s">
        <v>15</v>
      </c>
      <c r="I2231" s="2">
        <v>3.4</v>
      </c>
      <c r="J2231" s="4">
        <v>8</v>
      </c>
      <c r="K2231" s="3">
        <v>4</v>
      </c>
      <c r="L2231" s="1">
        <f t="shared" si="102"/>
        <v>110.2436</v>
      </c>
      <c r="M2231" t="str" cm="1">
        <f t="array" ref="M2231">_xlfn.IFS(B2231&lt;18,"Under 18",B2231 &lt;=25,"18-25",B2231&lt;=35,"26-35",B2231&lt;=45,"36-45",B2231&lt;=60,"46-60",TRUE,"60+")</f>
        <v>26-35</v>
      </c>
      <c r="N2231" t="str">
        <f t="shared" si="103"/>
        <v>Discounted</v>
      </c>
      <c r="O2231" t="str">
        <f t="shared" si="104"/>
        <v>Returning</v>
      </c>
    </row>
    <row r="2232" spans="1:15" x14ac:dyDescent="0.25">
      <c r="A2232">
        <v>2231</v>
      </c>
      <c r="B2232">
        <v>49</v>
      </c>
      <c r="C2232" t="s">
        <v>16</v>
      </c>
      <c r="D2232" t="s">
        <v>27</v>
      </c>
      <c r="E2232" t="s">
        <v>28</v>
      </c>
      <c r="F2232" s="1">
        <v>2780.13</v>
      </c>
      <c r="G2232" t="s">
        <v>24</v>
      </c>
      <c r="H2232" t="s">
        <v>15</v>
      </c>
      <c r="I2232" s="2">
        <v>3.6</v>
      </c>
      <c r="J2232" s="4">
        <v>15</v>
      </c>
      <c r="K2232" s="3">
        <v>5</v>
      </c>
      <c r="L2232" s="1">
        <f t="shared" si="102"/>
        <v>2363.1105000000002</v>
      </c>
      <c r="M2232" t="str" cm="1">
        <f t="array" ref="M2232">_xlfn.IFS(B2232&lt;18,"Under 18",B2232 &lt;=25,"18-25",B2232&lt;=35,"26-35",B2232&lt;=45,"36-45",B2232&lt;=60,"46-60",TRUE,"60+")</f>
        <v>46-60</v>
      </c>
      <c r="N2232" t="str">
        <f t="shared" si="103"/>
        <v>Discounted</v>
      </c>
      <c r="O2232" t="str">
        <f t="shared" si="104"/>
        <v>Returning</v>
      </c>
    </row>
    <row r="2233" spans="1:15" x14ac:dyDescent="0.25">
      <c r="A2233">
        <v>2232</v>
      </c>
      <c r="B2233">
        <v>68</v>
      </c>
      <c r="C2233" t="s">
        <v>16</v>
      </c>
      <c r="D2233" t="s">
        <v>33</v>
      </c>
      <c r="E2233" t="s">
        <v>38</v>
      </c>
      <c r="F2233" s="1">
        <v>206.56</v>
      </c>
      <c r="G2233" t="s">
        <v>19</v>
      </c>
      <c r="H2233" t="s">
        <v>15</v>
      </c>
      <c r="I2233" s="2">
        <v>3.3</v>
      </c>
      <c r="J2233" s="4">
        <v>10</v>
      </c>
      <c r="K2233" s="3">
        <v>5</v>
      </c>
      <c r="L2233" s="1">
        <f t="shared" si="102"/>
        <v>185.904</v>
      </c>
      <c r="M2233" t="str" cm="1">
        <f t="array" ref="M2233">_xlfn.IFS(B2233&lt;18,"Under 18",B2233 &lt;=25,"18-25",B2233&lt;=35,"26-35",B2233&lt;=45,"36-45",B2233&lt;=60,"46-60",TRUE,"60+")</f>
        <v>60+</v>
      </c>
      <c r="N2233" t="str">
        <f t="shared" si="103"/>
        <v>Discounted</v>
      </c>
      <c r="O2233" t="str">
        <f t="shared" si="104"/>
        <v>Returning</v>
      </c>
    </row>
    <row r="2234" spans="1:15" x14ac:dyDescent="0.25">
      <c r="A2234">
        <v>2233</v>
      </c>
      <c r="B2234">
        <v>30</v>
      </c>
      <c r="C2234" t="s">
        <v>11</v>
      </c>
      <c r="D2234" t="s">
        <v>41</v>
      </c>
      <c r="E2234" t="s">
        <v>42</v>
      </c>
      <c r="F2234" s="1">
        <v>186.33</v>
      </c>
      <c r="G2234" t="s">
        <v>19</v>
      </c>
      <c r="H2234" t="s">
        <v>15</v>
      </c>
      <c r="I2234" s="2">
        <v>3.5</v>
      </c>
      <c r="J2234" s="4">
        <v>12</v>
      </c>
      <c r="K2234" s="3">
        <v>6</v>
      </c>
      <c r="L2234" s="1">
        <f t="shared" si="102"/>
        <v>163.97040000000001</v>
      </c>
      <c r="M2234" t="str" cm="1">
        <f t="array" ref="M2234">_xlfn.IFS(B2234&lt;18,"Under 18",B2234 &lt;=25,"18-25",B2234&lt;=35,"26-35",B2234&lt;=45,"36-45",B2234&lt;=60,"46-60",TRUE,"60+")</f>
        <v>26-35</v>
      </c>
      <c r="N2234" t="str">
        <f t="shared" si="103"/>
        <v>Discounted</v>
      </c>
      <c r="O2234" t="str">
        <f t="shared" si="104"/>
        <v>Returning</v>
      </c>
    </row>
    <row r="2235" spans="1:15" x14ac:dyDescent="0.2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 s="1">
        <v>156.71</v>
      </c>
      <c r="G2235" t="s">
        <v>24</v>
      </c>
      <c r="H2235" t="s">
        <v>15</v>
      </c>
      <c r="I2235" s="2">
        <v>3.4</v>
      </c>
      <c r="J2235" s="4">
        <v>16</v>
      </c>
      <c r="K2235" s="3">
        <v>8</v>
      </c>
      <c r="L2235" s="1">
        <f t="shared" si="102"/>
        <v>131.63640000000001</v>
      </c>
      <c r="M2235" t="str" cm="1">
        <f t="array" ref="M2235">_xlfn.IFS(B2235&lt;18,"Under 18",B2235 &lt;=25,"18-25",B2235&lt;=35,"26-35",B2235&lt;=45,"36-45",B2235&lt;=60,"46-60",TRUE,"60+")</f>
        <v>36-45</v>
      </c>
      <c r="N2235" t="str">
        <f t="shared" si="103"/>
        <v>Discounted</v>
      </c>
      <c r="O2235" t="str">
        <f t="shared" si="104"/>
        <v>Returning</v>
      </c>
    </row>
    <row r="2236" spans="1:15" x14ac:dyDescent="0.25">
      <c r="A2236">
        <v>2235</v>
      </c>
      <c r="B2236">
        <v>42</v>
      </c>
      <c r="C2236" t="s">
        <v>11</v>
      </c>
      <c r="D2236" t="s">
        <v>29</v>
      </c>
      <c r="E2236" t="s">
        <v>51</v>
      </c>
      <c r="F2236" s="1">
        <v>78.39</v>
      </c>
      <c r="G2236" t="s">
        <v>31</v>
      </c>
      <c r="H2236" t="s">
        <v>15</v>
      </c>
      <c r="I2236" s="2">
        <v>3.7</v>
      </c>
      <c r="J2236" s="4">
        <v>22</v>
      </c>
      <c r="K2236" s="3">
        <v>6</v>
      </c>
      <c r="L2236" s="1">
        <f t="shared" si="102"/>
        <v>61.144200000000005</v>
      </c>
      <c r="M2236" t="str" cm="1">
        <f t="array" ref="M2236">_xlfn.IFS(B2236&lt;18,"Under 18",B2236 &lt;=25,"18-25",B2236&lt;=35,"26-35",B2236&lt;=45,"36-45",B2236&lt;=60,"46-60",TRUE,"60+")</f>
        <v>36-45</v>
      </c>
      <c r="N2236" t="str">
        <f t="shared" si="103"/>
        <v>Discounted</v>
      </c>
      <c r="O2236" t="str">
        <f t="shared" si="104"/>
        <v>Returning</v>
      </c>
    </row>
    <row r="2237" spans="1:15" x14ac:dyDescent="0.25">
      <c r="A2237">
        <v>2236</v>
      </c>
      <c r="B2237">
        <v>63</v>
      </c>
      <c r="C2237" t="s">
        <v>16</v>
      </c>
      <c r="D2237" t="s">
        <v>20</v>
      </c>
      <c r="E2237" t="s">
        <v>39</v>
      </c>
      <c r="F2237" s="1">
        <v>214.61</v>
      </c>
      <c r="G2237" t="s">
        <v>24</v>
      </c>
      <c r="H2237" t="s">
        <v>15</v>
      </c>
      <c r="I2237" s="2">
        <v>3.4</v>
      </c>
      <c r="J2237" s="4">
        <v>9</v>
      </c>
      <c r="K2237" s="3">
        <v>2</v>
      </c>
      <c r="L2237" s="1">
        <f t="shared" si="102"/>
        <v>195.29510000000002</v>
      </c>
      <c r="M2237" t="str" cm="1">
        <f t="array" ref="M2237">_xlfn.IFS(B2237&lt;18,"Under 18",B2237 &lt;=25,"18-25",B2237&lt;=35,"26-35",B2237&lt;=45,"36-45",B2237&lt;=60,"46-60",TRUE,"60+")</f>
        <v>60+</v>
      </c>
      <c r="N2237" t="str">
        <f t="shared" si="103"/>
        <v>Discounted</v>
      </c>
      <c r="O2237" t="str">
        <f t="shared" si="104"/>
        <v>Returning</v>
      </c>
    </row>
    <row r="2238" spans="1:15" x14ac:dyDescent="0.25">
      <c r="A2238">
        <v>2237</v>
      </c>
      <c r="B2238">
        <v>34</v>
      </c>
      <c r="C2238" t="s">
        <v>16</v>
      </c>
      <c r="D2238" t="s">
        <v>25</v>
      </c>
      <c r="E2238" t="s">
        <v>57</v>
      </c>
      <c r="F2238" s="1">
        <v>10.119999999999999</v>
      </c>
      <c r="G2238" t="s">
        <v>19</v>
      </c>
      <c r="H2238" t="s">
        <v>37</v>
      </c>
      <c r="I2238" s="2">
        <v>4.3</v>
      </c>
      <c r="J2238" s="4">
        <v>10</v>
      </c>
      <c r="K2238" s="3">
        <v>5</v>
      </c>
      <c r="L2238" s="1">
        <f t="shared" si="102"/>
        <v>9.1079999999999988</v>
      </c>
      <c r="M2238" t="str" cm="1">
        <f t="array" ref="M2238">_xlfn.IFS(B2238&lt;18,"Under 18",B2238 &lt;=25,"18-25",B2238&lt;=35,"26-35",B2238&lt;=45,"36-45",B2238&lt;=60,"46-60",TRUE,"60+")</f>
        <v>26-35</v>
      </c>
      <c r="N2238" t="str">
        <f t="shared" si="103"/>
        <v>Discounted</v>
      </c>
      <c r="O2238" t="str">
        <f t="shared" si="104"/>
        <v>Returning</v>
      </c>
    </row>
    <row r="2239" spans="1:15" x14ac:dyDescent="0.25">
      <c r="A2239">
        <v>2238</v>
      </c>
      <c r="B2239">
        <v>28</v>
      </c>
      <c r="C2239" t="s">
        <v>11</v>
      </c>
      <c r="D2239" t="s">
        <v>12</v>
      </c>
      <c r="E2239" t="s">
        <v>56</v>
      </c>
      <c r="F2239" s="1">
        <v>125.16</v>
      </c>
      <c r="G2239" t="s">
        <v>24</v>
      </c>
      <c r="H2239" t="s">
        <v>15</v>
      </c>
      <c r="I2239" s="2">
        <v>3.8</v>
      </c>
      <c r="J2239" s="4">
        <v>8</v>
      </c>
      <c r="K2239" s="3">
        <v>4</v>
      </c>
      <c r="L2239" s="1">
        <f t="shared" si="102"/>
        <v>115.1472</v>
      </c>
      <c r="M2239" t="str" cm="1">
        <f t="array" ref="M2239">_xlfn.IFS(B2239&lt;18,"Under 18",B2239 &lt;=25,"18-25",B2239&lt;=35,"26-35",B2239&lt;=45,"36-45",B2239&lt;=60,"46-60",TRUE,"60+")</f>
        <v>26-35</v>
      </c>
      <c r="N2239" t="str">
        <f t="shared" si="103"/>
        <v>Discounted</v>
      </c>
      <c r="O2239" t="str">
        <f t="shared" si="104"/>
        <v>Returning</v>
      </c>
    </row>
    <row r="2240" spans="1:15" x14ac:dyDescent="0.25">
      <c r="A2240">
        <v>2239</v>
      </c>
      <c r="B2240">
        <v>34</v>
      </c>
      <c r="C2240" t="s">
        <v>11</v>
      </c>
      <c r="D2240" t="s">
        <v>41</v>
      </c>
      <c r="E2240" t="s">
        <v>45</v>
      </c>
      <c r="F2240" s="1">
        <v>90.17</v>
      </c>
      <c r="G2240" t="s">
        <v>19</v>
      </c>
      <c r="H2240" t="s">
        <v>37</v>
      </c>
      <c r="I2240" s="2">
        <v>3.1</v>
      </c>
      <c r="J2240" s="4">
        <v>19</v>
      </c>
      <c r="K2240" s="3">
        <v>7</v>
      </c>
      <c r="L2240" s="1">
        <f t="shared" si="102"/>
        <v>73.037700000000001</v>
      </c>
      <c r="M2240" t="str" cm="1">
        <f t="array" ref="M2240">_xlfn.IFS(B2240&lt;18,"Under 18",B2240 &lt;=25,"18-25",B2240&lt;=35,"26-35",B2240&lt;=45,"36-45",B2240&lt;=60,"46-60",TRUE,"60+")</f>
        <v>26-35</v>
      </c>
      <c r="N2240" t="str">
        <f t="shared" si="103"/>
        <v>Discounted</v>
      </c>
      <c r="O2240" t="str">
        <f t="shared" si="104"/>
        <v>Returning</v>
      </c>
    </row>
    <row r="2241" spans="1:15" x14ac:dyDescent="0.25">
      <c r="A2241">
        <v>2240</v>
      </c>
      <c r="B2241">
        <v>60</v>
      </c>
      <c r="C2241" t="s">
        <v>16</v>
      </c>
      <c r="D2241" t="s">
        <v>27</v>
      </c>
      <c r="E2241" t="s">
        <v>32</v>
      </c>
      <c r="F2241" s="1">
        <v>1445.76</v>
      </c>
      <c r="G2241" t="s">
        <v>19</v>
      </c>
      <c r="H2241" t="s">
        <v>15</v>
      </c>
      <c r="I2241" s="2">
        <v>4.5</v>
      </c>
      <c r="J2241" s="4">
        <v>16</v>
      </c>
      <c r="K2241" s="3">
        <v>3</v>
      </c>
      <c r="L2241" s="1">
        <f t="shared" si="102"/>
        <v>1214.4384</v>
      </c>
      <c r="M2241" t="str" cm="1">
        <f t="array" ref="M2241">_xlfn.IFS(B2241&lt;18,"Under 18",B2241 &lt;=25,"18-25",B2241&lt;=35,"26-35",B2241&lt;=45,"36-45",B2241&lt;=60,"46-60",TRUE,"60+")</f>
        <v>46-60</v>
      </c>
      <c r="N2241" t="str">
        <f t="shared" si="103"/>
        <v>Discounted</v>
      </c>
      <c r="O2241" t="str">
        <f t="shared" si="104"/>
        <v>Returning</v>
      </c>
    </row>
    <row r="2242" spans="1:15" x14ac:dyDescent="0.25">
      <c r="A2242">
        <v>2241</v>
      </c>
      <c r="B2242">
        <v>64</v>
      </c>
      <c r="C2242" t="s">
        <v>16</v>
      </c>
      <c r="D2242" t="s">
        <v>33</v>
      </c>
      <c r="E2242" t="s">
        <v>34</v>
      </c>
      <c r="F2242" s="1">
        <v>45.29</v>
      </c>
      <c r="G2242" t="s">
        <v>31</v>
      </c>
      <c r="H2242" t="s">
        <v>37</v>
      </c>
      <c r="I2242" s="2">
        <v>4</v>
      </c>
      <c r="J2242" s="4">
        <v>30</v>
      </c>
      <c r="K2242" s="3">
        <v>10</v>
      </c>
      <c r="L2242" s="1">
        <f t="shared" si="102"/>
        <v>31.702999999999996</v>
      </c>
      <c r="M2242" t="str" cm="1">
        <f t="array" ref="M2242">_xlfn.IFS(B2242&lt;18,"Under 18",B2242 &lt;=25,"18-25",B2242&lt;=35,"26-35",B2242&lt;=45,"36-45",B2242&lt;=60,"46-60",TRUE,"60+")</f>
        <v>60+</v>
      </c>
      <c r="N2242" t="str">
        <f t="shared" si="103"/>
        <v>Discounted</v>
      </c>
      <c r="O2242" t="str">
        <f t="shared" si="104"/>
        <v>Returning</v>
      </c>
    </row>
    <row r="2243" spans="1:15" x14ac:dyDescent="0.25">
      <c r="A2243">
        <v>2242</v>
      </c>
      <c r="B2243">
        <v>36</v>
      </c>
      <c r="C2243" t="s">
        <v>11</v>
      </c>
      <c r="D2243" t="s">
        <v>33</v>
      </c>
      <c r="E2243" t="s">
        <v>38</v>
      </c>
      <c r="F2243" s="1">
        <v>120.65</v>
      </c>
      <c r="G2243" t="s">
        <v>19</v>
      </c>
      <c r="H2243" t="s">
        <v>15</v>
      </c>
      <c r="I2243" s="2">
        <v>4.9000000000000004</v>
      </c>
      <c r="J2243" s="4">
        <v>6</v>
      </c>
      <c r="K2243" s="3">
        <v>3</v>
      </c>
      <c r="L2243" s="1">
        <f t="shared" ref="L2243:L2306" si="105">F2243 * (1 - J2243 / 100)</f>
        <v>113.411</v>
      </c>
      <c r="M2243" t="str" cm="1">
        <f t="array" ref="M2243">_xlfn.IFS(B2243&lt;18,"Under 18",B2243 &lt;=25,"18-25",B2243&lt;=35,"26-35",B2243&lt;=45,"36-45",B2243&lt;=60,"46-60",TRUE,"60+")</f>
        <v>36-45</v>
      </c>
      <c r="N2243" t="str">
        <f t="shared" ref="N2243:N2306" si="106">IF(J2243&gt;0,"Discounted","No Discount")</f>
        <v>Discounted</v>
      </c>
      <c r="O2243" t="str">
        <f t="shared" ref="O2243:O2306" si="107">IF(K2243&gt;0,"Returning","New")</f>
        <v>Returning</v>
      </c>
    </row>
    <row r="2244" spans="1:15" x14ac:dyDescent="0.25">
      <c r="A2244">
        <v>2243</v>
      </c>
      <c r="B2244">
        <v>69</v>
      </c>
      <c r="C2244" t="s">
        <v>16</v>
      </c>
      <c r="D2244" t="s">
        <v>20</v>
      </c>
      <c r="E2244" t="s">
        <v>36</v>
      </c>
      <c r="F2244" s="1">
        <v>204.74</v>
      </c>
      <c r="G2244" t="s">
        <v>31</v>
      </c>
      <c r="H2244" t="s">
        <v>15</v>
      </c>
      <c r="I2244" s="2">
        <v>4.0999999999999996</v>
      </c>
      <c r="J2244" s="4">
        <v>15</v>
      </c>
      <c r="K2244" s="3">
        <v>5</v>
      </c>
      <c r="L2244" s="1">
        <f t="shared" si="105"/>
        <v>174.029</v>
      </c>
      <c r="M2244" t="str" cm="1">
        <f t="array" ref="M2244">_xlfn.IFS(B2244&lt;18,"Under 18",B2244 &lt;=25,"18-25",B2244&lt;=35,"26-35",B2244&lt;=45,"36-45",B2244&lt;=60,"46-60",TRUE,"60+")</f>
        <v>60+</v>
      </c>
      <c r="N2244" t="str">
        <f t="shared" si="106"/>
        <v>Discounted</v>
      </c>
      <c r="O2244" t="str">
        <f t="shared" si="107"/>
        <v>Returning</v>
      </c>
    </row>
    <row r="2245" spans="1:15" x14ac:dyDescent="0.25">
      <c r="A2245">
        <v>2244</v>
      </c>
      <c r="B2245">
        <v>37</v>
      </c>
      <c r="C2245" t="s">
        <v>11</v>
      </c>
      <c r="D2245" t="s">
        <v>29</v>
      </c>
      <c r="E2245" t="s">
        <v>51</v>
      </c>
      <c r="F2245" s="1">
        <v>23.24</v>
      </c>
      <c r="G2245" t="s">
        <v>31</v>
      </c>
      <c r="H2245" t="s">
        <v>15</v>
      </c>
      <c r="I2245" s="2">
        <v>3.6</v>
      </c>
      <c r="J2245" s="4">
        <v>20</v>
      </c>
      <c r="K2245" s="3">
        <v>5</v>
      </c>
      <c r="L2245" s="1">
        <f t="shared" si="105"/>
        <v>18.591999999999999</v>
      </c>
      <c r="M2245" t="str" cm="1">
        <f t="array" ref="M2245">_xlfn.IFS(B2245&lt;18,"Under 18",B2245 &lt;=25,"18-25",B2245&lt;=35,"26-35",B2245&lt;=45,"36-45",B2245&lt;=60,"46-60",TRUE,"60+")</f>
        <v>36-45</v>
      </c>
      <c r="N2245" t="str">
        <f t="shared" si="106"/>
        <v>Discounted</v>
      </c>
      <c r="O2245" t="str">
        <f t="shared" si="107"/>
        <v>Returning</v>
      </c>
    </row>
    <row r="2246" spans="1:15" x14ac:dyDescent="0.25">
      <c r="A2246">
        <v>2245</v>
      </c>
      <c r="B2246">
        <v>52</v>
      </c>
      <c r="C2246" t="s">
        <v>11</v>
      </c>
      <c r="D2246" t="s">
        <v>29</v>
      </c>
      <c r="E2246" t="s">
        <v>30</v>
      </c>
      <c r="F2246" s="1">
        <v>32.67</v>
      </c>
      <c r="G2246" t="s">
        <v>24</v>
      </c>
      <c r="H2246" t="s">
        <v>37</v>
      </c>
      <c r="I2246" s="2">
        <v>3.6</v>
      </c>
      <c r="J2246" s="4">
        <v>17</v>
      </c>
      <c r="K2246" s="3">
        <v>6</v>
      </c>
      <c r="L2246" s="1">
        <f t="shared" si="105"/>
        <v>27.116099999999999</v>
      </c>
      <c r="M2246" t="str" cm="1">
        <f t="array" ref="M2246">_xlfn.IFS(B2246&lt;18,"Under 18",B2246 &lt;=25,"18-25",B2246&lt;=35,"26-35",B2246&lt;=45,"36-45",B2246&lt;=60,"46-60",TRUE,"60+")</f>
        <v>46-60</v>
      </c>
      <c r="N2246" t="str">
        <f t="shared" si="106"/>
        <v>Discounted</v>
      </c>
      <c r="O2246" t="str">
        <f t="shared" si="107"/>
        <v>Returning</v>
      </c>
    </row>
    <row r="2247" spans="1:15" x14ac:dyDescent="0.25">
      <c r="A2247">
        <v>2246</v>
      </c>
      <c r="B2247">
        <v>31</v>
      </c>
      <c r="C2247" t="s">
        <v>16</v>
      </c>
      <c r="D2247" t="s">
        <v>27</v>
      </c>
      <c r="E2247" t="s">
        <v>28</v>
      </c>
      <c r="F2247" s="1">
        <v>2789.38</v>
      </c>
      <c r="G2247" t="s">
        <v>19</v>
      </c>
      <c r="H2247" t="s">
        <v>15</v>
      </c>
      <c r="I2247" s="2">
        <v>4.7</v>
      </c>
      <c r="J2247" s="4">
        <v>12</v>
      </c>
      <c r="K2247" s="3">
        <v>6</v>
      </c>
      <c r="L2247" s="1">
        <f t="shared" si="105"/>
        <v>2454.6543999999999</v>
      </c>
      <c r="M2247" t="str" cm="1">
        <f t="array" ref="M2247">_xlfn.IFS(B2247&lt;18,"Under 18",B2247 &lt;=25,"18-25",B2247&lt;=35,"26-35",B2247&lt;=45,"36-45",B2247&lt;=60,"46-60",TRUE,"60+")</f>
        <v>26-35</v>
      </c>
      <c r="N2247" t="str">
        <f t="shared" si="106"/>
        <v>Discounted</v>
      </c>
      <c r="O2247" t="str">
        <f t="shared" si="107"/>
        <v>Returning</v>
      </c>
    </row>
    <row r="2248" spans="1:15" x14ac:dyDescent="0.25">
      <c r="A2248">
        <v>2247</v>
      </c>
      <c r="B2248">
        <v>67</v>
      </c>
      <c r="C2248" t="s">
        <v>16</v>
      </c>
      <c r="D2248" t="s">
        <v>33</v>
      </c>
      <c r="E2248" t="s">
        <v>34</v>
      </c>
      <c r="F2248" s="1">
        <v>54.61</v>
      </c>
      <c r="G2248" t="s">
        <v>14</v>
      </c>
      <c r="H2248" t="s">
        <v>15</v>
      </c>
      <c r="I2248" s="2">
        <v>4.0999999999999996</v>
      </c>
      <c r="J2248" s="4">
        <v>8</v>
      </c>
      <c r="K2248" s="3">
        <v>4</v>
      </c>
      <c r="L2248" s="1">
        <f t="shared" si="105"/>
        <v>50.241199999999999</v>
      </c>
      <c r="M2248" t="str" cm="1">
        <f t="array" ref="M2248">_xlfn.IFS(B2248&lt;18,"Under 18",B2248 &lt;=25,"18-25",B2248&lt;=35,"26-35",B2248&lt;=45,"36-45",B2248&lt;=60,"46-60",TRUE,"60+")</f>
        <v>60+</v>
      </c>
      <c r="N2248" t="str">
        <f t="shared" si="106"/>
        <v>Discounted</v>
      </c>
      <c r="O2248" t="str">
        <f t="shared" si="107"/>
        <v>Returning</v>
      </c>
    </row>
    <row r="2249" spans="1:15" x14ac:dyDescent="0.25">
      <c r="A2249">
        <v>2248</v>
      </c>
      <c r="B2249">
        <v>28</v>
      </c>
      <c r="C2249" t="s">
        <v>16</v>
      </c>
      <c r="D2249" t="s">
        <v>20</v>
      </c>
      <c r="E2249" t="s">
        <v>36</v>
      </c>
      <c r="F2249" s="1">
        <v>157.25</v>
      </c>
      <c r="G2249" t="s">
        <v>19</v>
      </c>
      <c r="H2249" t="s">
        <v>15</v>
      </c>
      <c r="I2249" s="2">
        <v>4.2</v>
      </c>
      <c r="J2249" s="4">
        <v>18</v>
      </c>
      <c r="K2249" s="3">
        <v>4</v>
      </c>
      <c r="L2249" s="1">
        <f t="shared" si="105"/>
        <v>128.94500000000002</v>
      </c>
      <c r="M2249" t="str" cm="1">
        <f t="array" ref="M2249">_xlfn.IFS(B2249&lt;18,"Under 18",B2249 &lt;=25,"18-25",B2249&lt;=35,"26-35",B2249&lt;=45,"36-45",B2249&lt;=60,"46-60",TRUE,"60+")</f>
        <v>26-35</v>
      </c>
      <c r="N2249" t="str">
        <f t="shared" si="106"/>
        <v>Discounted</v>
      </c>
      <c r="O2249" t="str">
        <f t="shared" si="107"/>
        <v>Returning</v>
      </c>
    </row>
    <row r="2250" spans="1:15" x14ac:dyDescent="0.25">
      <c r="A2250">
        <v>2249</v>
      </c>
      <c r="B2250">
        <v>43</v>
      </c>
      <c r="C2250" t="s">
        <v>16</v>
      </c>
      <c r="D2250" t="s">
        <v>25</v>
      </c>
      <c r="E2250" t="s">
        <v>26</v>
      </c>
      <c r="F2250" s="1">
        <v>20.079999999999998</v>
      </c>
      <c r="G2250" t="s">
        <v>31</v>
      </c>
      <c r="H2250" t="s">
        <v>15</v>
      </c>
      <c r="I2250" s="2">
        <v>4.2</v>
      </c>
      <c r="J2250" s="4">
        <v>9</v>
      </c>
      <c r="K2250" s="3">
        <v>2</v>
      </c>
      <c r="L2250" s="1">
        <f t="shared" si="105"/>
        <v>18.2728</v>
      </c>
      <c r="M2250" t="str" cm="1">
        <f t="array" ref="M2250">_xlfn.IFS(B2250&lt;18,"Under 18",B2250 &lt;=25,"18-25",B2250&lt;=35,"26-35",B2250&lt;=45,"36-45",B2250&lt;=60,"46-60",TRUE,"60+")</f>
        <v>36-45</v>
      </c>
      <c r="N2250" t="str">
        <f t="shared" si="106"/>
        <v>Discounted</v>
      </c>
      <c r="O2250" t="str">
        <f t="shared" si="107"/>
        <v>Returning</v>
      </c>
    </row>
    <row r="2251" spans="1:15" x14ac:dyDescent="0.25">
      <c r="A2251">
        <v>2250</v>
      </c>
      <c r="B2251">
        <v>45</v>
      </c>
      <c r="C2251" t="s">
        <v>11</v>
      </c>
      <c r="D2251" t="s">
        <v>12</v>
      </c>
      <c r="E2251" t="s">
        <v>50</v>
      </c>
      <c r="F2251" s="1">
        <v>50.5</v>
      </c>
      <c r="G2251" t="s">
        <v>14</v>
      </c>
      <c r="H2251" t="s">
        <v>37</v>
      </c>
      <c r="I2251" s="2">
        <v>2.5</v>
      </c>
      <c r="J2251" s="4">
        <v>20</v>
      </c>
      <c r="K2251" s="3">
        <v>5</v>
      </c>
      <c r="L2251" s="1">
        <f t="shared" si="105"/>
        <v>40.400000000000006</v>
      </c>
      <c r="M2251" t="str" cm="1">
        <f t="array" ref="M2251">_xlfn.IFS(B2251&lt;18,"Under 18",B2251 &lt;=25,"18-25",B2251&lt;=35,"26-35",B2251&lt;=45,"36-45",B2251&lt;=60,"46-60",TRUE,"60+")</f>
        <v>36-45</v>
      </c>
      <c r="N2251" t="str">
        <f t="shared" si="106"/>
        <v>Discounted</v>
      </c>
      <c r="O2251" t="str">
        <f t="shared" si="107"/>
        <v>Returning</v>
      </c>
    </row>
    <row r="2252" spans="1:15" x14ac:dyDescent="0.25">
      <c r="A2252">
        <v>2251</v>
      </c>
      <c r="B2252">
        <v>57</v>
      </c>
      <c r="C2252" t="s">
        <v>11</v>
      </c>
      <c r="D2252" t="s">
        <v>41</v>
      </c>
      <c r="E2252" t="s">
        <v>42</v>
      </c>
      <c r="F2252" s="1">
        <v>106.78</v>
      </c>
      <c r="G2252" t="s">
        <v>19</v>
      </c>
      <c r="H2252" t="s">
        <v>15</v>
      </c>
      <c r="I2252" s="2">
        <v>5</v>
      </c>
      <c r="J2252" s="4">
        <v>28</v>
      </c>
      <c r="K2252" s="3">
        <v>9</v>
      </c>
      <c r="L2252" s="1">
        <f t="shared" si="105"/>
        <v>76.881599999999992</v>
      </c>
      <c r="M2252" t="str" cm="1">
        <f t="array" ref="M2252">_xlfn.IFS(B2252&lt;18,"Under 18",B2252 &lt;=25,"18-25",B2252&lt;=35,"26-35",B2252&lt;=45,"36-45",B2252&lt;=60,"46-60",TRUE,"60+")</f>
        <v>46-60</v>
      </c>
      <c r="N2252" t="str">
        <f t="shared" si="106"/>
        <v>Discounted</v>
      </c>
      <c r="O2252" t="str">
        <f t="shared" si="107"/>
        <v>Returning</v>
      </c>
    </row>
    <row r="2253" spans="1:15" x14ac:dyDescent="0.25">
      <c r="A2253">
        <v>2252</v>
      </c>
      <c r="B2253">
        <v>33</v>
      </c>
      <c r="C2253" t="s">
        <v>11</v>
      </c>
      <c r="D2253" t="s">
        <v>12</v>
      </c>
      <c r="E2253" t="s">
        <v>56</v>
      </c>
      <c r="F2253" s="1">
        <v>21.35</v>
      </c>
      <c r="G2253" t="s">
        <v>24</v>
      </c>
      <c r="H2253" t="s">
        <v>37</v>
      </c>
      <c r="I2253" s="2">
        <v>3.9</v>
      </c>
      <c r="J2253" s="4">
        <v>13</v>
      </c>
      <c r="K2253" s="3">
        <v>4</v>
      </c>
      <c r="L2253" s="1">
        <f t="shared" si="105"/>
        <v>18.5745</v>
      </c>
      <c r="M2253" t="str" cm="1">
        <f t="array" ref="M2253">_xlfn.IFS(B2253&lt;18,"Under 18",B2253 &lt;=25,"18-25",B2253&lt;=35,"26-35",B2253&lt;=45,"36-45",B2253&lt;=60,"46-60",TRUE,"60+")</f>
        <v>26-35</v>
      </c>
      <c r="N2253" t="str">
        <f t="shared" si="106"/>
        <v>Discounted</v>
      </c>
      <c r="O2253" t="str">
        <f t="shared" si="107"/>
        <v>Returning</v>
      </c>
    </row>
    <row r="2254" spans="1:15" x14ac:dyDescent="0.25">
      <c r="A2254">
        <v>2253</v>
      </c>
      <c r="B2254">
        <v>69</v>
      </c>
      <c r="C2254" t="s">
        <v>11</v>
      </c>
      <c r="D2254" t="s">
        <v>41</v>
      </c>
      <c r="E2254" t="s">
        <v>45</v>
      </c>
      <c r="F2254" s="1">
        <v>59.4</v>
      </c>
      <c r="G2254" t="s">
        <v>19</v>
      </c>
      <c r="H2254" t="s">
        <v>15</v>
      </c>
      <c r="I2254" s="2">
        <v>3.6</v>
      </c>
      <c r="J2254" s="4">
        <v>17</v>
      </c>
      <c r="K2254" s="3">
        <v>6</v>
      </c>
      <c r="L2254" s="1">
        <f t="shared" si="105"/>
        <v>49.302</v>
      </c>
      <c r="M2254" t="str" cm="1">
        <f t="array" ref="M2254">_xlfn.IFS(B2254&lt;18,"Under 18",B2254 &lt;=25,"18-25",B2254&lt;=35,"26-35",B2254&lt;=45,"36-45",B2254&lt;=60,"46-60",TRUE,"60+")</f>
        <v>60+</v>
      </c>
      <c r="N2254" t="str">
        <f t="shared" si="106"/>
        <v>Discounted</v>
      </c>
      <c r="O2254" t="str">
        <f t="shared" si="107"/>
        <v>Returning</v>
      </c>
    </row>
    <row r="2255" spans="1:15" x14ac:dyDescent="0.25">
      <c r="A2255">
        <v>2254</v>
      </c>
      <c r="B2255">
        <v>60</v>
      </c>
      <c r="C2255" t="s">
        <v>16</v>
      </c>
      <c r="D2255" t="s">
        <v>20</v>
      </c>
      <c r="E2255" t="s">
        <v>39</v>
      </c>
      <c r="F2255" s="1">
        <v>196.16</v>
      </c>
      <c r="G2255" t="s">
        <v>14</v>
      </c>
      <c r="H2255" t="s">
        <v>15</v>
      </c>
      <c r="I2255" s="2">
        <v>1.9</v>
      </c>
      <c r="J2255" s="4">
        <v>4</v>
      </c>
      <c r="K2255" s="3">
        <v>2</v>
      </c>
      <c r="L2255" s="1">
        <f t="shared" si="105"/>
        <v>188.31359999999998</v>
      </c>
      <c r="M2255" t="str" cm="1">
        <f t="array" ref="M2255">_xlfn.IFS(B2255&lt;18,"Under 18",B2255 &lt;=25,"18-25",B2255&lt;=35,"26-35",B2255&lt;=45,"36-45",B2255&lt;=60,"46-60",TRUE,"60+")</f>
        <v>46-60</v>
      </c>
      <c r="N2255" t="str">
        <f t="shared" si="106"/>
        <v>Discounted</v>
      </c>
      <c r="O2255" t="str">
        <f t="shared" si="107"/>
        <v>Returning</v>
      </c>
    </row>
    <row r="2256" spans="1:15" x14ac:dyDescent="0.25">
      <c r="A2256">
        <v>2255</v>
      </c>
      <c r="B2256">
        <v>34</v>
      </c>
      <c r="C2256" t="s">
        <v>11</v>
      </c>
      <c r="D2256" t="s">
        <v>22</v>
      </c>
      <c r="E2256" t="s">
        <v>52</v>
      </c>
      <c r="F2256" s="1">
        <v>228.6</v>
      </c>
      <c r="G2256" t="s">
        <v>31</v>
      </c>
      <c r="H2256" t="s">
        <v>15</v>
      </c>
      <c r="I2256" s="2">
        <v>3.6</v>
      </c>
      <c r="J2256" s="4">
        <v>22</v>
      </c>
      <c r="K2256" s="3">
        <v>6</v>
      </c>
      <c r="L2256" s="1">
        <f t="shared" si="105"/>
        <v>178.30799999999999</v>
      </c>
      <c r="M2256" t="str" cm="1">
        <f t="array" ref="M2256">_xlfn.IFS(B2256&lt;18,"Under 18",B2256 &lt;=25,"18-25",B2256&lt;=35,"26-35",B2256&lt;=45,"36-45",B2256&lt;=60,"46-60",TRUE,"60+")</f>
        <v>26-35</v>
      </c>
      <c r="N2256" t="str">
        <f t="shared" si="106"/>
        <v>Discounted</v>
      </c>
      <c r="O2256" t="str">
        <f t="shared" si="107"/>
        <v>Returning</v>
      </c>
    </row>
    <row r="2257" spans="1:15" x14ac:dyDescent="0.25">
      <c r="A2257">
        <v>2256</v>
      </c>
      <c r="B2257">
        <v>62</v>
      </c>
      <c r="C2257" t="s">
        <v>11</v>
      </c>
      <c r="D2257" t="s">
        <v>29</v>
      </c>
      <c r="E2257" t="s">
        <v>51</v>
      </c>
      <c r="F2257" s="1">
        <v>146.15</v>
      </c>
      <c r="G2257" t="s">
        <v>14</v>
      </c>
      <c r="H2257" t="s">
        <v>15</v>
      </c>
      <c r="I2257" s="2">
        <v>2.4</v>
      </c>
      <c r="J2257" s="4">
        <v>14</v>
      </c>
      <c r="K2257" s="3">
        <v>7</v>
      </c>
      <c r="L2257" s="1">
        <f t="shared" si="105"/>
        <v>125.68900000000001</v>
      </c>
      <c r="M2257" t="str" cm="1">
        <f t="array" ref="M2257">_xlfn.IFS(B2257&lt;18,"Under 18",B2257 &lt;=25,"18-25",B2257&lt;=35,"26-35",B2257&lt;=45,"36-45",B2257&lt;=60,"46-60",TRUE,"60+")</f>
        <v>60+</v>
      </c>
      <c r="N2257" t="str">
        <f t="shared" si="106"/>
        <v>Discounted</v>
      </c>
      <c r="O2257" t="str">
        <f t="shared" si="107"/>
        <v>Returning</v>
      </c>
    </row>
    <row r="2258" spans="1:15" x14ac:dyDescent="0.25">
      <c r="A2258">
        <v>2257</v>
      </c>
      <c r="B2258">
        <v>44</v>
      </c>
      <c r="C2258" t="s">
        <v>11</v>
      </c>
      <c r="D2258" t="s">
        <v>29</v>
      </c>
      <c r="E2258" t="s">
        <v>30</v>
      </c>
      <c r="F2258" s="1">
        <v>118.63</v>
      </c>
      <c r="G2258" t="s">
        <v>19</v>
      </c>
      <c r="H2258" t="s">
        <v>15</v>
      </c>
      <c r="I2258" s="2">
        <v>3.1</v>
      </c>
      <c r="J2258" s="4">
        <v>8</v>
      </c>
      <c r="K2258" s="3">
        <v>4</v>
      </c>
      <c r="L2258" s="1">
        <f t="shared" si="105"/>
        <v>109.1396</v>
      </c>
      <c r="M2258" t="str" cm="1">
        <f t="array" ref="M2258">_xlfn.IFS(B2258&lt;18,"Under 18",B2258 &lt;=25,"18-25",B2258&lt;=35,"26-35",B2258&lt;=45,"36-45",B2258&lt;=60,"46-60",TRUE,"60+")</f>
        <v>36-45</v>
      </c>
      <c r="N2258" t="str">
        <f t="shared" si="106"/>
        <v>Discounted</v>
      </c>
      <c r="O2258" t="str">
        <f t="shared" si="107"/>
        <v>Returning</v>
      </c>
    </row>
    <row r="2259" spans="1:15" x14ac:dyDescent="0.25">
      <c r="A2259">
        <v>2258</v>
      </c>
      <c r="B2259">
        <v>21</v>
      </c>
      <c r="C2259" t="s">
        <v>16</v>
      </c>
      <c r="D2259" t="s">
        <v>27</v>
      </c>
      <c r="E2259" t="s">
        <v>28</v>
      </c>
      <c r="F2259" s="1">
        <v>1725.52</v>
      </c>
      <c r="G2259" t="s">
        <v>19</v>
      </c>
      <c r="H2259" t="s">
        <v>15</v>
      </c>
      <c r="I2259" s="2">
        <v>4.3</v>
      </c>
      <c r="J2259" s="4">
        <v>10</v>
      </c>
      <c r="K2259" s="3">
        <v>5</v>
      </c>
      <c r="L2259" s="1">
        <f t="shared" si="105"/>
        <v>1552.9680000000001</v>
      </c>
      <c r="M2259" t="str" cm="1">
        <f t="array" ref="M2259">_xlfn.IFS(B2259&lt;18,"Under 18",B2259 &lt;=25,"18-25",B2259&lt;=35,"26-35",B2259&lt;=45,"36-45",B2259&lt;=60,"46-60",TRUE,"60+")</f>
        <v>18-25</v>
      </c>
      <c r="N2259" t="str">
        <f t="shared" si="106"/>
        <v>Discounted</v>
      </c>
      <c r="O2259" t="str">
        <f t="shared" si="107"/>
        <v>Returning</v>
      </c>
    </row>
    <row r="2260" spans="1:15" x14ac:dyDescent="0.25">
      <c r="A2260">
        <v>2259</v>
      </c>
      <c r="B2260">
        <v>42</v>
      </c>
      <c r="C2260" t="s">
        <v>16</v>
      </c>
      <c r="D2260" t="s">
        <v>33</v>
      </c>
      <c r="E2260" t="s">
        <v>38</v>
      </c>
      <c r="F2260" s="1">
        <v>217.85</v>
      </c>
      <c r="G2260" t="s">
        <v>14</v>
      </c>
      <c r="H2260" t="s">
        <v>15</v>
      </c>
      <c r="I2260" s="2">
        <v>4</v>
      </c>
      <c r="J2260" s="4">
        <v>26</v>
      </c>
      <c r="K2260" s="3">
        <v>8</v>
      </c>
      <c r="L2260" s="1">
        <f t="shared" si="105"/>
        <v>161.209</v>
      </c>
      <c r="M2260" t="str" cm="1">
        <f t="array" ref="M2260">_xlfn.IFS(B2260&lt;18,"Under 18",B2260 &lt;=25,"18-25",B2260&lt;=35,"26-35",B2260&lt;=45,"36-45",B2260&lt;=60,"46-60",TRUE,"60+")</f>
        <v>36-45</v>
      </c>
      <c r="N2260" t="str">
        <f t="shared" si="106"/>
        <v>Discounted</v>
      </c>
      <c r="O2260" t="str">
        <f t="shared" si="107"/>
        <v>Returning</v>
      </c>
    </row>
    <row r="2261" spans="1:15" x14ac:dyDescent="0.25">
      <c r="A2261">
        <v>2260</v>
      </c>
      <c r="B2261">
        <v>39</v>
      </c>
      <c r="C2261" t="s">
        <v>16</v>
      </c>
      <c r="D2261" t="s">
        <v>33</v>
      </c>
      <c r="E2261" t="s">
        <v>34</v>
      </c>
      <c r="F2261" s="1">
        <v>106.65</v>
      </c>
      <c r="G2261" t="s">
        <v>24</v>
      </c>
      <c r="H2261" t="s">
        <v>15</v>
      </c>
      <c r="I2261" s="2">
        <v>4.4000000000000004</v>
      </c>
      <c r="J2261" s="4">
        <v>16</v>
      </c>
      <c r="K2261" s="3">
        <v>3</v>
      </c>
      <c r="L2261" s="1">
        <f t="shared" si="105"/>
        <v>89.585999999999999</v>
      </c>
      <c r="M2261" t="str" cm="1">
        <f t="array" ref="M2261">_xlfn.IFS(B2261&lt;18,"Under 18",B2261 &lt;=25,"18-25",B2261&lt;=35,"26-35",B2261&lt;=45,"36-45",B2261&lt;=60,"46-60",TRUE,"60+")</f>
        <v>36-45</v>
      </c>
      <c r="N2261" t="str">
        <f t="shared" si="106"/>
        <v>Discounted</v>
      </c>
      <c r="O2261" t="str">
        <f t="shared" si="107"/>
        <v>Returning</v>
      </c>
    </row>
    <row r="2262" spans="1:15" x14ac:dyDescent="0.25">
      <c r="A2262">
        <v>2261</v>
      </c>
      <c r="B2262">
        <v>44</v>
      </c>
      <c r="C2262" t="s">
        <v>11</v>
      </c>
      <c r="D2262" t="s">
        <v>20</v>
      </c>
      <c r="E2262" t="s">
        <v>39</v>
      </c>
      <c r="F2262" s="1">
        <v>108.39</v>
      </c>
      <c r="G2262" t="s">
        <v>24</v>
      </c>
      <c r="H2262" t="s">
        <v>15</v>
      </c>
      <c r="I2262" s="2">
        <v>3.3</v>
      </c>
      <c r="J2262" s="4">
        <v>23</v>
      </c>
      <c r="K2262" s="3">
        <v>9</v>
      </c>
      <c r="L2262" s="1">
        <f t="shared" si="105"/>
        <v>83.460300000000004</v>
      </c>
      <c r="M2262" t="str" cm="1">
        <f t="array" ref="M2262">_xlfn.IFS(B2262&lt;18,"Under 18",B2262 &lt;=25,"18-25",B2262&lt;=35,"26-35",B2262&lt;=45,"36-45",B2262&lt;=60,"46-60",TRUE,"60+")</f>
        <v>36-45</v>
      </c>
      <c r="N2262" t="str">
        <f t="shared" si="106"/>
        <v>Discounted</v>
      </c>
      <c r="O2262" t="str">
        <f t="shared" si="107"/>
        <v>Returning</v>
      </c>
    </row>
    <row r="2263" spans="1:15" x14ac:dyDescent="0.25">
      <c r="A2263">
        <v>2262</v>
      </c>
      <c r="B2263">
        <v>20</v>
      </c>
      <c r="C2263" t="s">
        <v>16</v>
      </c>
      <c r="D2263" t="s">
        <v>17</v>
      </c>
      <c r="E2263" t="s">
        <v>35</v>
      </c>
      <c r="F2263" s="1">
        <v>167.57</v>
      </c>
      <c r="G2263" t="s">
        <v>24</v>
      </c>
      <c r="H2263" t="s">
        <v>15</v>
      </c>
      <c r="I2263" s="2">
        <v>3.5</v>
      </c>
      <c r="J2263" s="4">
        <v>11</v>
      </c>
      <c r="K2263" s="3">
        <v>3</v>
      </c>
      <c r="L2263" s="1">
        <f t="shared" si="105"/>
        <v>149.13729999999998</v>
      </c>
      <c r="M2263" t="str" cm="1">
        <f t="array" ref="M2263">_xlfn.IFS(B2263&lt;18,"Under 18",B2263 &lt;=25,"18-25",B2263&lt;=35,"26-35",B2263&lt;=45,"36-45",B2263&lt;=60,"46-60",TRUE,"60+")</f>
        <v>18-25</v>
      </c>
      <c r="N2263" t="str">
        <f t="shared" si="106"/>
        <v>Discounted</v>
      </c>
      <c r="O2263" t="str">
        <f t="shared" si="107"/>
        <v>Returning</v>
      </c>
    </row>
    <row r="2264" spans="1:15" x14ac:dyDescent="0.25">
      <c r="A2264">
        <v>2263</v>
      </c>
      <c r="B2264">
        <v>57</v>
      </c>
      <c r="C2264" t="s">
        <v>11</v>
      </c>
      <c r="D2264" t="s">
        <v>29</v>
      </c>
      <c r="E2264" t="s">
        <v>55</v>
      </c>
      <c r="F2264" s="1">
        <v>102.35</v>
      </c>
      <c r="G2264" t="s">
        <v>14</v>
      </c>
      <c r="H2264" t="s">
        <v>15</v>
      </c>
      <c r="I2264" s="2">
        <v>4</v>
      </c>
      <c r="J2264" s="4">
        <v>10</v>
      </c>
      <c r="K2264" s="3">
        <v>5</v>
      </c>
      <c r="L2264" s="1">
        <f t="shared" si="105"/>
        <v>92.114999999999995</v>
      </c>
      <c r="M2264" t="str" cm="1">
        <f t="array" ref="M2264">_xlfn.IFS(B2264&lt;18,"Under 18",B2264 &lt;=25,"18-25",B2264&lt;=35,"26-35",B2264&lt;=45,"36-45",B2264&lt;=60,"46-60",TRUE,"60+")</f>
        <v>46-60</v>
      </c>
      <c r="N2264" t="str">
        <f t="shared" si="106"/>
        <v>Discounted</v>
      </c>
      <c r="O2264" t="str">
        <f t="shared" si="107"/>
        <v>Returning</v>
      </c>
    </row>
    <row r="2265" spans="1:15" x14ac:dyDescent="0.25">
      <c r="A2265">
        <v>2264</v>
      </c>
      <c r="B2265">
        <v>44</v>
      </c>
      <c r="C2265" t="s">
        <v>16</v>
      </c>
      <c r="D2265" t="s">
        <v>17</v>
      </c>
      <c r="E2265" t="s">
        <v>48</v>
      </c>
      <c r="F2265" s="1">
        <v>121.98</v>
      </c>
      <c r="G2265" t="s">
        <v>24</v>
      </c>
      <c r="H2265" t="s">
        <v>15</v>
      </c>
      <c r="I2265" s="2">
        <v>2.2000000000000002</v>
      </c>
      <c r="J2265" s="4">
        <v>9</v>
      </c>
      <c r="K2265" s="3">
        <v>2</v>
      </c>
      <c r="L2265" s="1">
        <f t="shared" si="105"/>
        <v>111.0018</v>
      </c>
      <c r="M2265" t="str" cm="1">
        <f t="array" ref="M2265">_xlfn.IFS(B2265&lt;18,"Under 18",B2265 &lt;=25,"18-25",B2265&lt;=35,"26-35",B2265&lt;=45,"36-45",B2265&lt;=60,"46-60",TRUE,"60+")</f>
        <v>36-45</v>
      </c>
      <c r="N2265" t="str">
        <f t="shared" si="106"/>
        <v>Discounted</v>
      </c>
      <c r="O2265" t="str">
        <f t="shared" si="107"/>
        <v>Returning</v>
      </c>
    </row>
    <row r="2266" spans="1:15" x14ac:dyDescent="0.25">
      <c r="A2266">
        <v>2265</v>
      </c>
      <c r="B2266">
        <v>35</v>
      </c>
      <c r="C2266" t="s">
        <v>16</v>
      </c>
      <c r="D2266" t="s">
        <v>33</v>
      </c>
      <c r="E2266" t="s">
        <v>34</v>
      </c>
      <c r="F2266" s="1">
        <v>248.74</v>
      </c>
      <c r="G2266" t="s">
        <v>19</v>
      </c>
      <c r="H2266" t="s">
        <v>15</v>
      </c>
      <c r="I2266" s="2">
        <v>2.5</v>
      </c>
      <c r="J2266" s="4">
        <v>14</v>
      </c>
      <c r="K2266" s="3">
        <v>2</v>
      </c>
      <c r="L2266" s="1">
        <f t="shared" si="105"/>
        <v>213.91640000000001</v>
      </c>
      <c r="M2266" t="str" cm="1">
        <f t="array" ref="M2266">_xlfn.IFS(B2266&lt;18,"Under 18",B2266 &lt;=25,"18-25",B2266&lt;=35,"26-35",B2266&lt;=45,"36-45",B2266&lt;=60,"46-60",TRUE,"60+")</f>
        <v>26-35</v>
      </c>
      <c r="N2266" t="str">
        <f t="shared" si="106"/>
        <v>Discounted</v>
      </c>
      <c r="O2266" t="str">
        <f t="shared" si="107"/>
        <v>Returning</v>
      </c>
    </row>
    <row r="2267" spans="1:15" x14ac:dyDescent="0.25">
      <c r="A2267">
        <v>2266</v>
      </c>
      <c r="B2267">
        <v>43</v>
      </c>
      <c r="C2267" t="s">
        <v>11</v>
      </c>
      <c r="D2267" t="s">
        <v>29</v>
      </c>
      <c r="E2267" t="s">
        <v>30</v>
      </c>
      <c r="F2267" s="1">
        <v>73.459999999999994</v>
      </c>
      <c r="G2267" t="s">
        <v>24</v>
      </c>
      <c r="H2267" t="s">
        <v>37</v>
      </c>
      <c r="I2267" s="2">
        <v>3.6</v>
      </c>
      <c r="J2267" s="4">
        <v>20</v>
      </c>
      <c r="K2267" s="3">
        <v>5</v>
      </c>
      <c r="L2267" s="1">
        <f t="shared" si="105"/>
        <v>58.768000000000001</v>
      </c>
      <c r="M2267" t="str" cm="1">
        <f t="array" ref="M2267">_xlfn.IFS(B2267&lt;18,"Under 18",B2267 &lt;=25,"18-25",B2267&lt;=35,"26-35",B2267&lt;=45,"36-45",B2267&lt;=60,"46-60",TRUE,"60+")</f>
        <v>36-45</v>
      </c>
      <c r="N2267" t="str">
        <f t="shared" si="106"/>
        <v>Discounted</v>
      </c>
      <c r="O2267" t="str">
        <f t="shared" si="107"/>
        <v>Returning</v>
      </c>
    </row>
    <row r="2268" spans="1:15" x14ac:dyDescent="0.25">
      <c r="A2268">
        <v>2267</v>
      </c>
      <c r="B2268">
        <v>29</v>
      </c>
      <c r="C2268" t="s">
        <v>16</v>
      </c>
      <c r="D2268" t="s">
        <v>27</v>
      </c>
      <c r="E2268" t="s">
        <v>49</v>
      </c>
      <c r="F2268" s="1">
        <v>1145.69</v>
      </c>
      <c r="G2268" t="s">
        <v>24</v>
      </c>
      <c r="H2268" t="s">
        <v>15</v>
      </c>
      <c r="I2268" s="2">
        <v>3.3</v>
      </c>
      <c r="J2268" s="4">
        <v>18</v>
      </c>
      <c r="K2268" s="3">
        <v>4</v>
      </c>
      <c r="L2268" s="1">
        <f t="shared" si="105"/>
        <v>939.46580000000017</v>
      </c>
      <c r="M2268" t="str" cm="1">
        <f t="array" ref="M2268">_xlfn.IFS(B2268&lt;18,"Under 18",B2268 &lt;=25,"18-25",B2268&lt;=35,"26-35",B2268&lt;=45,"36-45",B2268&lt;=60,"46-60",TRUE,"60+")</f>
        <v>26-35</v>
      </c>
      <c r="N2268" t="str">
        <f t="shared" si="106"/>
        <v>Discounted</v>
      </c>
      <c r="O2268" t="str">
        <f t="shared" si="107"/>
        <v>Returning</v>
      </c>
    </row>
    <row r="2269" spans="1:15" x14ac:dyDescent="0.25">
      <c r="A2269">
        <v>2268</v>
      </c>
      <c r="B2269">
        <v>21</v>
      </c>
      <c r="C2269" t="s">
        <v>11</v>
      </c>
      <c r="D2269" t="s">
        <v>25</v>
      </c>
      <c r="E2269" t="s">
        <v>54</v>
      </c>
      <c r="F2269" s="1">
        <v>52.42</v>
      </c>
      <c r="G2269" t="s">
        <v>31</v>
      </c>
      <c r="H2269" t="s">
        <v>15</v>
      </c>
      <c r="I2269" s="2">
        <v>3.7</v>
      </c>
      <c r="J2269" s="4">
        <v>6</v>
      </c>
      <c r="K2269" s="3">
        <v>3</v>
      </c>
      <c r="L2269" s="1">
        <f t="shared" si="105"/>
        <v>49.274799999999999</v>
      </c>
      <c r="M2269" t="str" cm="1">
        <f t="array" ref="M2269">_xlfn.IFS(B2269&lt;18,"Under 18",B2269 &lt;=25,"18-25",B2269&lt;=35,"26-35",B2269&lt;=45,"36-45",B2269&lt;=60,"46-60",TRUE,"60+")</f>
        <v>18-25</v>
      </c>
      <c r="N2269" t="str">
        <f t="shared" si="106"/>
        <v>Discounted</v>
      </c>
      <c r="O2269" t="str">
        <f t="shared" si="107"/>
        <v>Returning</v>
      </c>
    </row>
    <row r="2270" spans="1:15" x14ac:dyDescent="0.25">
      <c r="A2270">
        <v>2269</v>
      </c>
      <c r="B2270">
        <v>50</v>
      </c>
      <c r="C2270" t="s">
        <v>16</v>
      </c>
      <c r="D2270" t="s">
        <v>17</v>
      </c>
      <c r="E2270" t="s">
        <v>18</v>
      </c>
      <c r="F2270" s="1">
        <v>173.36</v>
      </c>
      <c r="G2270" t="s">
        <v>24</v>
      </c>
      <c r="H2270" t="s">
        <v>15</v>
      </c>
      <c r="I2270" s="2">
        <v>3.5</v>
      </c>
      <c r="J2270" s="4">
        <v>4</v>
      </c>
      <c r="K2270" s="3">
        <v>2</v>
      </c>
      <c r="L2270" s="1">
        <f t="shared" si="105"/>
        <v>166.4256</v>
      </c>
      <c r="M2270" t="str" cm="1">
        <f t="array" ref="M2270">_xlfn.IFS(B2270&lt;18,"Under 18",B2270 &lt;=25,"18-25",B2270&lt;=35,"26-35",B2270&lt;=45,"36-45",B2270&lt;=60,"46-60",TRUE,"60+")</f>
        <v>46-60</v>
      </c>
      <c r="N2270" t="str">
        <f t="shared" si="106"/>
        <v>Discounted</v>
      </c>
      <c r="O2270" t="str">
        <f t="shared" si="107"/>
        <v>Returning</v>
      </c>
    </row>
    <row r="2271" spans="1:15" x14ac:dyDescent="0.25">
      <c r="A2271">
        <v>2270</v>
      </c>
      <c r="B2271">
        <v>51</v>
      </c>
      <c r="C2271" t="s">
        <v>16</v>
      </c>
      <c r="D2271" t="s">
        <v>27</v>
      </c>
      <c r="E2271" t="s">
        <v>32</v>
      </c>
      <c r="F2271" s="1">
        <v>1611.83</v>
      </c>
      <c r="G2271" t="s">
        <v>19</v>
      </c>
      <c r="H2271" t="s">
        <v>15</v>
      </c>
      <c r="I2271" s="2">
        <v>2.6</v>
      </c>
      <c r="J2271" s="4">
        <v>24</v>
      </c>
      <c r="K2271" s="3">
        <v>7</v>
      </c>
      <c r="L2271" s="1">
        <f t="shared" si="105"/>
        <v>1224.9908</v>
      </c>
      <c r="M2271" t="str" cm="1">
        <f t="array" ref="M2271">_xlfn.IFS(B2271&lt;18,"Under 18",B2271 &lt;=25,"18-25",B2271&lt;=35,"26-35",B2271&lt;=45,"36-45",B2271&lt;=60,"46-60",TRUE,"60+")</f>
        <v>46-60</v>
      </c>
      <c r="N2271" t="str">
        <f t="shared" si="106"/>
        <v>Discounted</v>
      </c>
      <c r="O2271" t="str">
        <f t="shared" si="107"/>
        <v>Returning</v>
      </c>
    </row>
    <row r="2272" spans="1:15" x14ac:dyDescent="0.25">
      <c r="A2272">
        <v>2271</v>
      </c>
      <c r="B2272">
        <v>49</v>
      </c>
      <c r="C2272" t="s">
        <v>11</v>
      </c>
      <c r="D2272" t="s">
        <v>41</v>
      </c>
      <c r="E2272" t="s">
        <v>46</v>
      </c>
      <c r="F2272" s="1">
        <v>189.27</v>
      </c>
      <c r="G2272" t="s">
        <v>31</v>
      </c>
      <c r="H2272" t="s">
        <v>15</v>
      </c>
      <c r="I2272" s="2">
        <v>4.0999999999999996</v>
      </c>
      <c r="J2272" s="4">
        <v>12</v>
      </c>
      <c r="K2272" s="3">
        <v>1</v>
      </c>
      <c r="L2272" s="1">
        <f t="shared" si="105"/>
        <v>166.55760000000001</v>
      </c>
      <c r="M2272" t="str" cm="1">
        <f t="array" ref="M2272">_xlfn.IFS(B2272&lt;18,"Under 18",B2272 &lt;=25,"18-25",B2272&lt;=35,"26-35",B2272&lt;=45,"36-45",B2272&lt;=60,"46-60",TRUE,"60+")</f>
        <v>46-60</v>
      </c>
      <c r="N2272" t="str">
        <f t="shared" si="106"/>
        <v>Discounted</v>
      </c>
      <c r="O2272" t="str">
        <f t="shared" si="107"/>
        <v>Returning</v>
      </c>
    </row>
    <row r="2273" spans="1:15" x14ac:dyDescent="0.25">
      <c r="A2273">
        <v>2272</v>
      </c>
      <c r="B2273">
        <v>38</v>
      </c>
      <c r="C2273" t="s">
        <v>11</v>
      </c>
      <c r="D2273" t="s">
        <v>25</v>
      </c>
      <c r="E2273" t="s">
        <v>54</v>
      </c>
      <c r="F2273" s="1">
        <v>36.090000000000003</v>
      </c>
      <c r="G2273" t="s">
        <v>19</v>
      </c>
      <c r="H2273" t="s">
        <v>37</v>
      </c>
      <c r="I2273" s="2">
        <v>3.3</v>
      </c>
      <c r="J2273" s="4">
        <v>7</v>
      </c>
      <c r="K2273" s="3">
        <v>1</v>
      </c>
      <c r="L2273" s="1">
        <f t="shared" si="105"/>
        <v>33.563700000000004</v>
      </c>
      <c r="M2273" t="str" cm="1">
        <f t="array" ref="M2273">_xlfn.IFS(B2273&lt;18,"Under 18",B2273 &lt;=25,"18-25",B2273&lt;=35,"26-35",B2273&lt;=45,"36-45",B2273&lt;=60,"46-60",TRUE,"60+")</f>
        <v>36-45</v>
      </c>
      <c r="N2273" t="str">
        <f t="shared" si="106"/>
        <v>Discounted</v>
      </c>
      <c r="O2273" t="str">
        <f t="shared" si="107"/>
        <v>Returning</v>
      </c>
    </row>
    <row r="2274" spans="1:15" x14ac:dyDescent="0.25">
      <c r="A2274">
        <v>2273</v>
      </c>
      <c r="B2274">
        <v>33</v>
      </c>
      <c r="C2274" t="s">
        <v>11</v>
      </c>
      <c r="D2274" t="s">
        <v>12</v>
      </c>
      <c r="E2274" t="s">
        <v>56</v>
      </c>
      <c r="F2274" s="1">
        <v>107.15</v>
      </c>
      <c r="G2274" t="s">
        <v>19</v>
      </c>
      <c r="H2274" t="s">
        <v>15</v>
      </c>
      <c r="I2274" s="2">
        <v>4.5</v>
      </c>
      <c r="J2274" s="4">
        <v>17</v>
      </c>
      <c r="K2274" s="3">
        <v>6</v>
      </c>
      <c r="L2274" s="1">
        <f t="shared" si="105"/>
        <v>88.9345</v>
      </c>
      <c r="M2274" t="str" cm="1">
        <f t="array" ref="M2274">_xlfn.IFS(B2274&lt;18,"Under 18",B2274 &lt;=25,"18-25",B2274&lt;=35,"26-35",B2274&lt;=45,"36-45",B2274&lt;=60,"46-60",TRUE,"60+")</f>
        <v>26-35</v>
      </c>
      <c r="N2274" t="str">
        <f t="shared" si="106"/>
        <v>Discounted</v>
      </c>
      <c r="O2274" t="str">
        <f t="shared" si="107"/>
        <v>Returning</v>
      </c>
    </row>
    <row r="2275" spans="1:15" x14ac:dyDescent="0.25">
      <c r="A2275">
        <v>2274</v>
      </c>
      <c r="B2275">
        <v>59</v>
      </c>
      <c r="C2275" t="s">
        <v>11</v>
      </c>
      <c r="D2275" t="s">
        <v>12</v>
      </c>
      <c r="E2275" t="s">
        <v>50</v>
      </c>
      <c r="F2275" s="1">
        <v>23.3</v>
      </c>
      <c r="G2275" t="s">
        <v>19</v>
      </c>
      <c r="H2275" t="s">
        <v>15</v>
      </c>
      <c r="I2275" s="2">
        <v>3.7</v>
      </c>
      <c r="J2275" s="4">
        <v>12</v>
      </c>
      <c r="K2275" s="3">
        <v>6</v>
      </c>
      <c r="L2275" s="1">
        <f t="shared" si="105"/>
        <v>20.504000000000001</v>
      </c>
      <c r="M2275" t="str" cm="1">
        <f t="array" ref="M2275">_xlfn.IFS(B2275&lt;18,"Under 18",B2275 &lt;=25,"18-25",B2275&lt;=35,"26-35",B2275&lt;=45,"36-45",B2275&lt;=60,"46-60",TRUE,"60+")</f>
        <v>46-60</v>
      </c>
      <c r="N2275" t="str">
        <f t="shared" si="106"/>
        <v>Discounted</v>
      </c>
      <c r="O2275" t="str">
        <f t="shared" si="107"/>
        <v>Returning</v>
      </c>
    </row>
    <row r="2276" spans="1:15" x14ac:dyDescent="0.25">
      <c r="A2276">
        <v>2275</v>
      </c>
      <c r="B2276">
        <v>51</v>
      </c>
      <c r="C2276" t="s">
        <v>11</v>
      </c>
      <c r="D2276" t="s">
        <v>25</v>
      </c>
      <c r="E2276" t="s">
        <v>57</v>
      </c>
      <c r="F2276" s="1">
        <v>37.909999999999997</v>
      </c>
      <c r="G2276" t="s">
        <v>14</v>
      </c>
      <c r="H2276" t="s">
        <v>37</v>
      </c>
      <c r="I2276" s="2">
        <v>4.2</v>
      </c>
      <c r="J2276" s="4">
        <v>20</v>
      </c>
      <c r="K2276" s="3">
        <v>5</v>
      </c>
      <c r="L2276" s="1">
        <f t="shared" si="105"/>
        <v>30.327999999999999</v>
      </c>
      <c r="M2276" t="str" cm="1">
        <f t="array" ref="M2276">_xlfn.IFS(B2276&lt;18,"Under 18",B2276 &lt;=25,"18-25",B2276&lt;=35,"26-35",B2276&lt;=45,"36-45",B2276&lt;=60,"46-60",TRUE,"60+")</f>
        <v>46-60</v>
      </c>
      <c r="N2276" t="str">
        <f t="shared" si="106"/>
        <v>Discounted</v>
      </c>
      <c r="O2276" t="str">
        <f t="shared" si="107"/>
        <v>Returning</v>
      </c>
    </row>
    <row r="2277" spans="1:15" x14ac:dyDescent="0.25">
      <c r="A2277">
        <v>2276</v>
      </c>
      <c r="B2277">
        <v>21</v>
      </c>
      <c r="C2277" t="s">
        <v>11</v>
      </c>
      <c r="D2277" t="s">
        <v>25</v>
      </c>
      <c r="E2277" t="s">
        <v>57</v>
      </c>
      <c r="F2277" s="1">
        <v>14.56</v>
      </c>
      <c r="G2277" t="s">
        <v>14</v>
      </c>
      <c r="H2277" t="s">
        <v>37</v>
      </c>
      <c r="I2277" s="2">
        <v>4.2</v>
      </c>
      <c r="J2277" s="4">
        <v>11</v>
      </c>
      <c r="K2277" s="3">
        <v>3</v>
      </c>
      <c r="L2277" s="1">
        <f t="shared" si="105"/>
        <v>12.958400000000001</v>
      </c>
      <c r="M2277" t="str" cm="1">
        <f t="array" ref="M2277">_xlfn.IFS(B2277&lt;18,"Under 18",B2277 &lt;=25,"18-25",B2277&lt;=35,"26-35",B2277&lt;=45,"36-45",B2277&lt;=60,"46-60",TRUE,"60+")</f>
        <v>18-25</v>
      </c>
      <c r="N2277" t="str">
        <f t="shared" si="106"/>
        <v>Discounted</v>
      </c>
      <c r="O2277" t="str">
        <f t="shared" si="107"/>
        <v>Returning</v>
      </c>
    </row>
    <row r="2278" spans="1:15" x14ac:dyDescent="0.25">
      <c r="A2278">
        <v>2277</v>
      </c>
      <c r="B2278">
        <v>25</v>
      </c>
      <c r="C2278" t="s">
        <v>11</v>
      </c>
      <c r="D2278" t="s">
        <v>29</v>
      </c>
      <c r="E2278" t="s">
        <v>51</v>
      </c>
      <c r="F2278" s="1">
        <v>95.41</v>
      </c>
      <c r="G2278" t="s">
        <v>14</v>
      </c>
      <c r="H2278" t="s">
        <v>37</v>
      </c>
      <c r="I2278" s="2">
        <v>2.7</v>
      </c>
      <c r="J2278" s="4">
        <v>18</v>
      </c>
      <c r="K2278" s="3">
        <v>4</v>
      </c>
      <c r="L2278" s="1">
        <f t="shared" si="105"/>
        <v>78.236199999999997</v>
      </c>
      <c r="M2278" t="str" cm="1">
        <f t="array" ref="M2278">_xlfn.IFS(B2278&lt;18,"Under 18",B2278 &lt;=25,"18-25",B2278&lt;=35,"26-35",B2278&lt;=45,"36-45",B2278&lt;=60,"46-60",TRUE,"60+")</f>
        <v>18-25</v>
      </c>
      <c r="N2278" t="str">
        <f t="shared" si="106"/>
        <v>Discounted</v>
      </c>
      <c r="O2278" t="str">
        <f t="shared" si="107"/>
        <v>Returning</v>
      </c>
    </row>
    <row r="2279" spans="1:15" x14ac:dyDescent="0.25">
      <c r="A2279">
        <v>2278</v>
      </c>
      <c r="B2279">
        <v>35</v>
      </c>
      <c r="C2279" t="s">
        <v>16</v>
      </c>
      <c r="D2279" t="s">
        <v>27</v>
      </c>
      <c r="E2279" t="s">
        <v>32</v>
      </c>
      <c r="F2279" s="1">
        <v>549.72</v>
      </c>
      <c r="G2279" t="s">
        <v>14</v>
      </c>
      <c r="H2279" t="s">
        <v>15</v>
      </c>
      <c r="I2279" s="2">
        <v>2.4</v>
      </c>
      <c r="J2279" s="4">
        <v>18</v>
      </c>
      <c r="K2279" s="3">
        <v>4</v>
      </c>
      <c r="L2279" s="1">
        <f t="shared" si="105"/>
        <v>450.77040000000005</v>
      </c>
      <c r="M2279" t="str" cm="1">
        <f t="array" ref="M2279">_xlfn.IFS(B2279&lt;18,"Under 18",B2279 &lt;=25,"18-25",B2279&lt;=35,"26-35",B2279&lt;=45,"36-45",B2279&lt;=60,"46-60",TRUE,"60+")</f>
        <v>26-35</v>
      </c>
      <c r="N2279" t="str">
        <f t="shared" si="106"/>
        <v>Discounted</v>
      </c>
      <c r="O2279" t="str">
        <f t="shared" si="107"/>
        <v>Returning</v>
      </c>
    </row>
    <row r="2280" spans="1:15" x14ac:dyDescent="0.25">
      <c r="A2280">
        <v>2279</v>
      </c>
      <c r="B2280">
        <v>21</v>
      </c>
      <c r="C2280" t="s">
        <v>16</v>
      </c>
      <c r="D2280" t="s">
        <v>27</v>
      </c>
      <c r="E2280" t="s">
        <v>28</v>
      </c>
      <c r="F2280" s="1">
        <v>2756.53</v>
      </c>
      <c r="G2280" t="s">
        <v>24</v>
      </c>
      <c r="H2280" t="s">
        <v>15</v>
      </c>
      <c r="I2280" s="2">
        <v>3.4</v>
      </c>
      <c r="J2280" s="4">
        <v>4</v>
      </c>
      <c r="K2280" s="3">
        <v>2</v>
      </c>
      <c r="L2280" s="1">
        <f t="shared" si="105"/>
        <v>2646.2688000000003</v>
      </c>
      <c r="M2280" t="str" cm="1">
        <f t="array" ref="M2280">_xlfn.IFS(B2280&lt;18,"Under 18",B2280 &lt;=25,"18-25",B2280&lt;=35,"26-35",B2280&lt;=45,"36-45",B2280&lt;=60,"46-60",TRUE,"60+")</f>
        <v>18-25</v>
      </c>
      <c r="N2280" t="str">
        <f t="shared" si="106"/>
        <v>Discounted</v>
      </c>
      <c r="O2280" t="str">
        <f t="shared" si="107"/>
        <v>Returning</v>
      </c>
    </row>
    <row r="2281" spans="1:15" x14ac:dyDescent="0.25">
      <c r="A2281">
        <v>2280</v>
      </c>
      <c r="B2281">
        <v>44</v>
      </c>
      <c r="C2281" t="s">
        <v>11</v>
      </c>
      <c r="D2281" t="s">
        <v>33</v>
      </c>
      <c r="E2281" t="s">
        <v>38</v>
      </c>
      <c r="F2281" s="1">
        <v>189.21</v>
      </c>
      <c r="G2281" t="s">
        <v>31</v>
      </c>
      <c r="H2281" t="s">
        <v>15</v>
      </c>
      <c r="I2281" s="2">
        <v>5</v>
      </c>
      <c r="J2281" s="4">
        <v>12</v>
      </c>
      <c r="K2281" s="3">
        <v>6</v>
      </c>
      <c r="L2281" s="1">
        <f t="shared" si="105"/>
        <v>166.50480000000002</v>
      </c>
      <c r="M2281" t="str" cm="1">
        <f t="array" ref="M2281">_xlfn.IFS(B2281&lt;18,"Under 18",B2281 &lt;=25,"18-25",B2281&lt;=35,"26-35",B2281&lt;=45,"36-45",B2281&lt;=60,"46-60",TRUE,"60+")</f>
        <v>36-45</v>
      </c>
      <c r="N2281" t="str">
        <f t="shared" si="106"/>
        <v>Discounted</v>
      </c>
      <c r="O2281" t="str">
        <f t="shared" si="107"/>
        <v>Returning</v>
      </c>
    </row>
    <row r="2282" spans="1:15" x14ac:dyDescent="0.25">
      <c r="A2282">
        <v>2281</v>
      </c>
      <c r="B2282">
        <v>47</v>
      </c>
      <c r="C2282" t="s">
        <v>11</v>
      </c>
      <c r="D2282" t="s">
        <v>41</v>
      </c>
      <c r="E2282" t="s">
        <v>45</v>
      </c>
      <c r="F2282" s="1">
        <v>110.42</v>
      </c>
      <c r="G2282" t="s">
        <v>14</v>
      </c>
      <c r="H2282" t="s">
        <v>15</v>
      </c>
      <c r="I2282" s="2">
        <v>3.7</v>
      </c>
      <c r="J2282" s="4">
        <v>15</v>
      </c>
      <c r="K2282" s="3">
        <v>5</v>
      </c>
      <c r="L2282" s="1">
        <f t="shared" si="105"/>
        <v>93.856999999999999</v>
      </c>
      <c r="M2282" t="str" cm="1">
        <f t="array" ref="M2282">_xlfn.IFS(B2282&lt;18,"Under 18",B2282 &lt;=25,"18-25",B2282&lt;=35,"26-35",B2282&lt;=45,"36-45",B2282&lt;=60,"46-60",TRUE,"60+")</f>
        <v>46-60</v>
      </c>
      <c r="N2282" t="str">
        <f t="shared" si="106"/>
        <v>Discounted</v>
      </c>
      <c r="O2282" t="str">
        <f t="shared" si="107"/>
        <v>Returning</v>
      </c>
    </row>
    <row r="2283" spans="1:15" x14ac:dyDescent="0.25">
      <c r="A2283">
        <v>2282</v>
      </c>
      <c r="B2283">
        <v>24</v>
      </c>
      <c r="C2283" t="s">
        <v>16</v>
      </c>
      <c r="D2283" t="s">
        <v>27</v>
      </c>
      <c r="E2283" t="s">
        <v>28</v>
      </c>
      <c r="F2283" s="1">
        <v>1152.0999999999999</v>
      </c>
      <c r="G2283" t="s">
        <v>31</v>
      </c>
      <c r="H2283" t="s">
        <v>15</v>
      </c>
      <c r="I2283" s="2">
        <v>3.8</v>
      </c>
      <c r="J2283" s="4">
        <v>17</v>
      </c>
      <c r="K2283" s="3">
        <v>6</v>
      </c>
      <c r="L2283" s="1">
        <f t="shared" si="105"/>
        <v>956.24299999999982</v>
      </c>
      <c r="M2283" t="str" cm="1">
        <f t="array" ref="M2283">_xlfn.IFS(B2283&lt;18,"Under 18",B2283 &lt;=25,"18-25",B2283&lt;=35,"26-35",B2283&lt;=45,"36-45",B2283&lt;=60,"46-60",TRUE,"60+")</f>
        <v>18-25</v>
      </c>
      <c r="N2283" t="str">
        <f t="shared" si="106"/>
        <v>Discounted</v>
      </c>
      <c r="O2283" t="str">
        <f t="shared" si="107"/>
        <v>Returning</v>
      </c>
    </row>
    <row r="2284" spans="1:15" x14ac:dyDescent="0.25">
      <c r="A2284">
        <v>2283</v>
      </c>
      <c r="B2284">
        <v>56</v>
      </c>
      <c r="C2284" t="s">
        <v>16</v>
      </c>
      <c r="D2284" t="s">
        <v>20</v>
      </c>
      <c r="E2284" t="s">
        <v>39</v>
      </c>
      <c r="F2284" s="1">
        <v>114.65</v>
      </c>
      <c r="G2284" t="s">
        <v>19</v>
      </c>
      <c r="H2284" t="s">
        <v>15</v>
      </c>
      <c r="I2284" s="2">
        <v>4</v>
      </c>
      <c r="J2284" s="4">
        <v>20</v>
      </c>
      <c r="K2284" s="3">
        <v>5</v>
      </c>
      <c r="L2284" s="1">
        <f t="shared" si="105"/>
        <v>91.720000000000013</v>
      </c>
      <c r="M2284" t="str" cm="1">
        <f t="array" ref="M2284">_xlfn.IFS(B2284&lt;18,"Under 18",B2284 &lt;=25,"18-25",B2284&lt;=35,"26-35",B2284&lt;=45,"36-45",B2284&lt;=60,"46-60",TRUE,"60+")</f>
        <v>46-60</v>
      </c>
      <c r="N2284" t="str">
        <f t="shared" si="106"/>
        <v>Discounted</v>
      </c>
      <c r="O2284" t="str">
        <f t="shared" si="107"/>
        <v>Returning</v>
      </c>
    </row>
    <row r="2285" spans="1:15" x14ac:dyDescent="0.25">
      <c r="A2285">
        <v>2284</v>
      </c>
      <c r="B2285">
        <v>42</v>
      </c>
      <c r="C2285" t="s">
        <v>11</v>
      </c>
      <c r="D2285" t="s">
        <v>20</v>
      </c>
      <c r="E2285" t="s">
        <v>36</v>
      </c>
      <c r="F2285" s="1">
        <v>41.07</v>
      </c>
      <c r="G2285" t="s">
        <v>19</v>
      </c>
      <c r="H2285" t="s">
        <v>37</v>
      </c>
      <c r="I2285" s="2">
        <v>4.0999999999999996</v>
      </c>
      <c r="J2285" s="4">
        <v>12</v>
      </c>
      <c r="K2285" s="3">
        <v>6</v>
      </c>
      <c r="L2285" s="1">
        <f t="shared" si="105"/>
        <v>36.141600000000004</v>
      </c>
      <c r="M2285" t="str" cm="1">
        <f t="array" ref="M2285">_xlfn.IFS(B2285&lt;18,"Under 18",B2285 &lt;=25,"18-25",B2285&lt;=35,"26-35",B2285&lt;=45,"36-45",B2285&lt;=60,"46-60",TRUE,"60+")</f>
        <v>36-45</v>
      </c>
      <c r="N2285" t="str">
        <f t="shared" si="106"/>
        <v>Discounted</v>
      </c>
      <c r="O2285" t="str">
        <f t="shared" si="107"/>
        <v>Returning</v>
      </c>
    </row>
    <row r="2286" spans="1:15" x14ac:dyDescent="0.25">
      <c r="A2286">
        <v>2285</v>
      </c>
      <c r="B2286">
        <v>61</v>
      </c>
      <c r="C2286" t="s">
        <v>16</v>
      </c>
      <c r="D2286" t="s">
        <v>17</v>
      </c>
      <c r="E2286" t="s">
        <v>18</v>
      </c>
      <c r="F2286" s="1">
        <v>74.099999999999994</v>
      </c>
      <c r="G2286" t="s">
        <v>14</v>
      </c>
      <c r="H2286" t="s">
        <v>15</v>
      </c>
      <c r="I2286" s="2">
        <v>3.9</v>
      </c>
      <c r="J2286" s="4">
        <v>19</v>
      </c>
      <c r="K2286" s="3">
        <v>7</v>
      </c>
      <c r="L2286" s="1">
        <f t="shared" si="105"/>
        <v>60.021000000000001</v>
      </c>
      <c r="M2286" t="str" cm="1">
        <f t="array" ref="M2286">_xlfn.IFS(B2286&lt;18,"Under 18",B2286 &lt;=25,"18-25",B2286&lt;=35,"26-35",B2286&lt;=45,"36-45",B2286&lt;=60,"46-60",TRUE,"60+")</f>
        <v>60+</v>
      </c>
      <c r="N2286" t="str">
        <f t="shared" si="106"/>
        <v>Discounted</v>
      </c>
      <c r="O2286" t="str">
        <f t="shared" si="107"/>
        <v>Returning</v>
      </c>
    </row>
    <row r="2287" spans="1:15" x14ac:dyDescent="0.25">
      <c r="A2287">
        <v>2286</v>
      </c>
      <c r="B2287">
        <v>53</v>
      </c>
      <c r="C2287" t="s">
        <v>11</v>
      </c>
      <c r="D2287" t="s">
        <v>22</v>
      </c>
      <c r="E2287" t="s">
        <v>52</v>
      </c>
      <c r="F2287" s="1">
        <v>168.46</v>
      </c>
      <c r="G2287" t="s">
        <v>14</v>
      </c>
      <c r="H2287" t="s">
        <v>15</v>
      </c>
      <c r="I2287" s="2">
        <v>3</v>
      </c>
      <c r="J2287" s="4">
        <v>21</v>
      </c>
      <c r="K2287" s="3">
        <v>8</v>
      </c>
      <c r="L2287" s="1">
        <f t="shared" si="105"/>
        <v>133.08340000000001</v>
      </c>
      <c r="M2287" t="str" cm="1">
        <f t="array" ref="M2287">_xlfn.IFS(B2287&lt;18,"Under 18",B2287 &lt;=25,"18-25",B2287&lt;=35,"26-35",B2287&lt;=45,"36-45",B2287&lt;=60,"46-60",TRUE,"60+")</f>
        <v>46-60</v>
      </c>
      <c r="N2287" t="str">
        <f t="shared" si="106"/>
        <v>Discounted</v>
      </c>
      <c r="O2287" t="str">
        <f t="shared" si="107"/>
        <v>Returning</v>
      </c>
    </row>
    <row r="2288" spans="1:15" x14ac:dyDescent="0.25">
      <c r="A2288">
        <v>2287</v>
      </c>
      <c r="B2288">
        <v>39</v>
      </c>
      <c r="C2288" t="s">
        <v>16</v>
      </c>
      <c r="D2288" t="s">
        <v>27</v>
      </c>
      <c r="E2288" t="s">
        <v>53</v>
      </c>
      <c r="F2288" s="1">
        <v>1717.63</v>
      </c>
      <c r="G2288" t="s">
        <v>14</v>
      </c>
      <c r="H2288" t="s">
        <v>15</v>
      </c>
      <c r="I2288" s="2">
        <v>4.3</v>
      </c>
      <c r="J2288" s="4">
        <v>18</v>
      </c>
      <c r="K2288" s="3">
        <v>4</v>
      </c>
      <c r="L2288" s="1">
        <f t="shared" si="105"/>
        <v>1408.4566000000002</v>
      </c>
      <c r="M2288" t="str" cm="1">
        <f t="array" ref="M2288">_xlfn.IFS(B2288&lt;18,"Under 18",B2288 &lt;=25,"18-25",B2288&lt;=35,"26-35",B2288&lt;=45,"36-45",B2288&lt;=60,"46-60",TRUE,"60+")</f>
        <v>36-45</v>
      </c>
      <c r="N2288" t="str">
        <f t="shared" si="106"/>
        <v>Discounted</v>
      </c>
      <c r="O2288" t="str">
        <f t="shared" si="107"/>
        <v>Returning</v>
      </c>
    </row>
    <row r="2289" spans="1:15" x14ac:dyDescent="0.25">
      <c r="A2289">
        <v>2288</v>
      </c>
      <c r="B2289">
        <v>58</v>
      </c>
      <c r="C2289" t="s">
        <v>11</v>
      </c>
      <c r="D2289" t="s">
        <v>12</v>
      </c>
      <c r="E2289" t="s">
        <v>56</v>
      </c>
      <c r="F2289" s="1">
        <v>74.28</v>
      </c>
      <c r="G2289" t="s">
        <v>24</v>
      </c>
      <c r="H2289" t="s">
        <v>37</v>
      </c>
      <c r="I2289" s="2">
        <v>5</v>
      </c>
      <c r="J2289" s="4">
        <v>18</v>
      </c>
      <c r="K2289" s="3">
        <v>4</v>
      </c>
      <c r="L2289" s="1">
        <f t="shared" si="105"/>
        <v>60.909600000000005</v>
      </c>
      <c r="M2289" t="str" cm="1">
        <f t="array" ref="M2289">_xlfn.IFS(B2289&lt;18,"Under 18",B2289 &lt;=25,"18-25",B2289&lt;=35,"26-35",B2289&lt;=45,"36-45",B2289&lt;=60,"46-60",TRUE,"60+")</f>
        <v>46-60</v>
      </c>
      <c r="N2289" t="str">
        <f t="shared" si="106"/>
        <v>Discounted</v>
      </c>
      <c r="O2289" t="str">
        <f t="shared" si="107"/>
        <v>Returning</v>
      </c>
    </row>
    <row r="2290" spans="1:15" x14ac:dyDescent="0.25">
      <c r="A2290">
        <v>2289</v>
      </c>
      <c r="B2290">
        <v>70</v>
      </c>
      <c r="C2290" t="s">
        <v>11</v>
      </c>
      <c r="D2290" t="s">
        <v>25</v>
      </c>
      <c r="E2290" t="s">
        <v>57</v>
      </c>
      <c r="F2290" s="1">
        <v>52.34</v>
      </c>
      <c r="G2290" t="s">
        <v>24</v>
      </c>
      <c r="H2290" t="s">
        <v>15</v>
      </c>
      <c r="I2290" s="2">
        <v>3.8</v>
      </c>
      <c r="J2290" s="4">
        <v>18</v>
      </c>
      <c r="K2290" s="3">
        <v>4</v>
      </c>
      <c r="L2290" s="1">
        <f t="shared" si="105"/>
        <v>42.918800000000005</v>
      </c>
      <c r="M2290" t="str" cm="1">
        <f t="array" ref="M2290">_xlfn.IFS(B2290&lt;18,"Under 18",B2290 &lt;=25,"18-25",B2290&lt;=35,"26-35",B2290&lt;=45,"36-45",B2290&lt;=60,"46-60",TRUE,"60+")</f>
        <v>60+</v>
      </c>
      <c r="N2290" t="str">
        <f t="shared" si="106"/>
        <v>Discounted</v>
      </c>
      <c r="O2290" t="str">
        <f t="shared" si="107"/>
        <v>Returning</v>
      </c>
    </row>
    <row r="2291" spans="1:15" x14ac:dyDescent="0.25">
      <c r="A2291">
        <v>2290</v>
      </c>
      <c r="B2291">
        <v>62</v>
      </c>
      <c r="C2291" t="s">
        <v>16</v>
      </c>
      <c r="D2291" t="s">
        <v>17</v>
      </c>
      <c r="E2291" t="s">
        <v>18</v>
      </c>
      <c r="F2291" s="1">
        <v>174.7</v>
      </c>
      <c r="G2291" t="s">
        <v>24</v>
      </c>
      <c r="H2291" t="s">
        <v>15</v>
      </c>
      <c r="I2291" s="2">
        <v>4.2</v>
      </c>
      <c r="J2291" s="4">
        <v>10</v>
      </c>
      <c r="K2291" s="3">
        <v>5</v>
      </c>
      <c r="L2291" s="1">
        <f t="shared" si="105"/>
        <v>157.22999999999999</v>
      </c>
      <c r="M2291" t="str" cm="1">
        <f t="array" ref="M2291">_xlfn.IFS(B2291&lt;18,"Under 18",B2291 &lt;=25,"18-25",B2291&lt;=35,"26-35",B2291&lt;=45,"36-45",B2291&lt;=60,"46-60",TRUE,"60+")</f>
        <v>60+</v>
      </c>
      <c r="N2291" t="str">
        <f t="shared" si="106"/>
        <v>Discounted</v>
      </c>
      <c r="O2291" t="str">
        <f t="shared" si="107"/>
        <v>Returning</v>
      </c>
    </row>
    <row r="2292" spans="1:15" x14ac:dyDescent="0.25">
      <c r="A2292">
        <v>2291</v>
      </c>
      <c r="B2292">
        <v>45</v>
      </c>
      <c r="C2292" t="s">
        <v>16</v>
      </c>
      <c r="D2292" t="s">
        <v>20</v>
      </c>
      <c r="E2292" t="s">
        <v>21</v>
      </c>
      <c r="F2292" s="1">
        <v>169.77</v>
      </c>
      <c r="G2292" t="s">
        <v>14</v>
      </c>
      <c r="H2292" t="s">
        <v>15</v>
      </c>
      <c r="I2292" s="2">
        <v>4.5999999999999996</v>
      </c>
      <c r="J2292" s="4">
        <v>14</v>
      </c>
      <c r="K2292" s="3">
        <v>7</v>
      </c>
      <c r="L2292" s="1">
        <f t="shared" si="105"/>
        <v>146.00220000000002</v>
      </c>
      <c r="M2292" t="str" cm="1">
        <f t="array" ref="M2292">_xlfn.IFS(B2292&lt;18,"Under 18",B2292 &lt;=25,"18-25",B2292&lt;=35,"26-35",B2292&lt;=45,"36-45",B2292&lt;=60,"46-60",TRUE,"60+")</f>
        <v>36-45</v>
      </c>
      <c r="N2292" t="str">
        <f t="shared" si="106"/>
        <v>Discounted</v>
      </c>
      <c r="O2292" t="str">
        <f t="shared" si="107"/>
        <v>Returning</v>
      </c>
    </row>
    <row r="2293" spans="1:15" x14ac:dyDescent="0.25">
      <c r="A2293">
        <v>2292</v>
      </c>
      <c r="B2293">
        <v>60</v>
      </c>
      <c r="C2293" t="s">
        <v>16</v>
      </c>
      <c r="D2293" t="s">
        <v>33</v>
      </c>
      <c r="E2293" t="s">
        <v>38</v>
      </c>
      <c r="F2293" s="1">
        <v>70.959999999999994</v>
      </c>
      <c r="G2293" t="s">
        <v>19</v>
      </c>
      <c r="H2293" t="s">
        <v>15</v>
      </c>
      <c r="I2293" s="2">
        <v>3.6</v>
      </c>
      <c r="J2293" s="4">
        <v>20</v>
      </c>
      <c r="K2293" s="3">
        <v>5</v>
      </c>
      <c r="L2293" s="1">
        <f t="shared" si="105"/>
        <v>56.768000000000001</v>
      </c>
      <c r="M2293" t="str" cm="1">
        <f t="array" ref="M2293">_xlfn.IFS(B2293&lt;18,"Under 18",B2293 &lt;=25,"18-25",B2293&lt;=35,"26-35",B2293&lt;=45,"36-45",B2293&lt;=60,"46-60",TRUE,"60+")</f>
        <v>46-60</v>
      </c>
      <c r="N2293" t="str">
        <f t="shared" si="106"/>
        <v>Discounted</v>
      </c>
      <c r="O2293" t="str">
        <f t="shared" si="107"/>
        <v>Returning</v>
      </c>
    </row>
    <row r="2294" spans="1:15" x14ac:dyDescent="0.25">
      <c r="A2294">
        <v>2293</v>
      </c>
      <c r="B2294">
        <v>68</v>
      </c>
      <c r="C2294" t="s">
        <v>16</v>
      </c>
      <c r="D2294" t="s">
        <v>20</v>
      </c>
      <c r="E2294" t="s">
        <v>21</v>
      </c>
      <c r="F2294" s="1">
        <v>177.66</v>
      </c>
      <c r="G2294" t="s">
        <v>31</v>
      </c>
      <c r="H2294" t="s">
        <v>15</v>
      </c>
      <c r="I2294" s="2">
        <v>4.7</v>
      </c>
      <c r="J2294" s="4">
        <v>22</v>
      </c>
      <c r="K2294" s="3">
        <v>6</v>
      </c>
      <c r="L2294" s="1">
        <f t="shared" si="105"/>
        <v>138.57480000000001</v>
      </c>
      <c r="M2294" t="str" cm="1">
        <f t="array" ref="M2294">_xlfn.IFS(B2294&lt;18,"Under 18",B2294 &lt;=25,"18-25",B2294&lt;=35,"26-35",B2294&lt;=45,"36-45",B2294&lt;=60,"46-60",TRUE,"60+")</f>
        <v>60+</v>
      </c>
      <c r="N2294" t="str">
        <f t="shared" si="106"/>
        <v>Discounted</v>
      </c>
      <c r="O2294" t="str">
        <f t="shared" si="107"/>
        <v>Returning</v>
      </c>
    </row>
    <row r="2295" spans="1:15" x14ac:dyDescent="0.25">
      <c r="A2295">
        <v>2294</v>
      </c>
      <c r="B2295">
        <v>58</v>
      </c>
      <c r="C2295" t="s">
        <v>11</v>
      </c>
      <c r="D2295" t="s">
        <v>12</v>
      </c>
      <c r="E2295" t="s">
        <v>13</v>
      </c>
      <c r="F2295" s="1">
        <v>114.19</v>
      </c>
      <c r="G2295" t="s">
        <v>19</v>
      </c>
      <c r="H2295" t="s">
        <v>15</v>
      </c>
      <c r="I2295" s="2">
        <v>1.8</v>
      </c>
      <c r="J2295" s="4">
        <v>10</v>
      </c>
      <c r="K2295" s="3">
        <v>5</v>
      </c>
      <c r="L2295" s="1">
        <f t="shared" si="105"/>
        <v>102.771</v>
      </c>
      <c r="M2295" t="str" cm="1">
        <f t="array" ref="M2295">_xlfn.IFS(B2295&lt;18,"Under 18",B2295 &lt;=25,"18-25",B2295&lt;=35,"26-35",B2295&lt;=45,"36-45",B2295&lt;=60,"46-60",TRUE,"60+")</f>
        <v>46-60</v>
      </c>
      <c r="N2295" t="str">
        <f t="shared" si="106"/>
        <v>Discounted</v>
      </c>
      <c r="O2295" t="str">
        <f t="shared" si="107"/>
        <v>Returning</v>
      </c>
    </row>
    <row r="2296" spans="1:15" x14ac:dyDescent="0.25">
      <c r="A2296">
        <v>2295</v>
      </c>
      <c r="B2296">
        <v>66</v>
      </c>
      <c r="C2296" t="s">
        <v>16</v>
      </c>
      <c r="D2296" t="s">
        <v>20</v>
      </c>
      <c r="E2296" t="s">
        <v>36</v>
      </c>
      <c r="F2296" s="1">
        <v>242.46</v>
      </c>
      <c r="G2296" t="s">
        <v>19</v>
      </c>
      <c r="H2296" t="s">
        <v>15</v>
      </c>
      <c r="I2296" s="2">
        <v>3.9</v>
      </c>
      <c r="J2296" s="4">
        <v>12</v>
      </c>
      <c r="K2296" s="3">
        <v>6</v>
      </c>
      <c r="L2296" s="1">
        <f t="shared" si="105"/>
        <v>213.3648</v>
      </c>
      <c r="M2296" t="str" cm="1">
        <f t="array" ref="M2296">_xlfn.IFS(B2296&lt;18,"Under 18",B2296 &lt;=25,"18-25",B2296&lt;=35,"26-35",B2296&lt;=45,"36-45",B2296&lt;=60,"46-60",TRUE,"60+")</f>
        <v>60+</v>
      </c>
      <c r="N2296" t="str">
        <f t="shared" si="106"/>
        <v>Discounted</v>
      </c>
      <c r="O2296" t="str">
        <f t="shared" si="107"/>
        <v>Returning</v>
      </c>
    </row>
    <row r="2297" spans="1:15" x14ac:dyDescent="0.25">
      <c r="A2297">
        <v>2296</v>
      </c>
      <c r="B2297">
        <v>51</v>
      </c>
      <c r="C2297" t="s">
        <v>11</v>
      </c>
      <c r="D2297" t="s">
        <v>12</v>
      </c>
      <c r="E2297" t="s">
        <v>56</v>
      </c>
      <c r="F2297" s="1">
        <v>140.91999999999999</v>
      </c>
      <c r="G2297" t="s">
        <v>19</v>
      </c>
      <c r="H2297" t="s">
        <v>15</v>
      </c>
      <c r="I2297" s="2">
        <v>2.7</v>
      </c>
      <c r="J2297" s="4">
        <v>28</v>
      </c>
      <c r="K2297" s="3">
        <v>9</v>
      </c>
      <c r="L2297" s="1">
        <f t="shared" si="105"/>
        <v>101.46239999999999</v>
      </c>
      <c r="M2297" t="str" cm="1">
        <f t="array" ref="M2297">_xlfn.IFS(B2297&lt;18,"Under 18",B2297 &lt;=25,"18-25",B2297&lt;=35,"26-35",B2297&lt;=45,"36-45",B2297&lt;=60,"46-60",TRUE,"60+")</f>
        <v>46-60</v>
      </c>
      <c r="N2297" t="str">
        <f t="shared" si="106"/>
        <v>Discounted</v>
      </c>
      <c r="O2297" t="str">
        <f t="shared" si="107"/>
        <v>Returning</v>
      </c>
    </row>
    <row r="2298" spans="1:15" x14ac:dyDescent="0.25">
      <c r="A2298">
        <v>2297</v>
      </c>
      <c r="B2298">
        <v>55</v>
      </c>
      <c r="C2298" t="s">
        <v>11</v>
      </c>
      <c r="D2298" t="s">
        <v>33</v>
      </c>
      <c r="E2298" t="s">
        <v>40</v>
      </c>
      <c r="F2298" s="1">
        <v>81.99</v>
      </c>
      <c r="G2298" t="s">
        <v>31</v>
      </c>
      <c r="H2298" t="s">
        <v>37</v>
      </c>
      <c r="I2298" s="2">
        <v>4.7</v>
      </c>
      <c r="J2298" s="4">
        <v>18</v>
      </c>
      <c r="K2298" s="3">
        <v>9</v>
      </c>
      <c r="L2298" s="1">
        <f t="shared" si="105"/>
        <v>67.231800000000007</v>
      </c>
      <c r="M2298" t="str" cm="1">
        <f t="array" ref="M2298">_xlfn.IFS(B2298&lt;18,"Under 18",B2298 &lt;=25,"18-25",B2298&lt;=35,"26-35",B2298&lt;=45,"36-45",B2298&lt;=60,"46-60",TRUE,"60+")</f>
        <v>46-60</v>
      </c>
      <c r="N2298" t="str">
        <f t="shared" si="106"/>
        <v>Discounted</v>
      </c>
      <c r="O2298" t="str">
        <f t="shared" si="107"/>
        <v>Returning</v>
      </c>
    </row>
    <row r="2299" spans="1:15" x14ac:dyDescent="0.25">
      <c r="A2299">
        <v>2298</v>
      </c>
      <c r="B2299">
        <v>50</v>
      </c>
      <c r="C2299" t="s">
        <v>16</v>
      </c>
      <c r="D2299" t="s">
        <v>33</v>
      </c>
      <c r="E2299" t="s">
        <v>38</v>
      </c>
      <c r="F2299" s="1">
        <v>72.37</v>
      </c>
      <c r="G2299" t="s">
        <v>14</v>
      </c>
      <c r="H2299" t="s">
        <v>15</v>
      </c>
      <c r="I2299" s="2">
        <v>4.2</v>
      </c>
      <c r="J2299" s="4">
        <v>12</v>
      </c>
      <c r="K2299" s="3">
        <v>6</v>
      </c>
      <c r="L2299" s="1">
        <f t="shared" si="105"/>
        <v>63.685600000000001</v>
      </c>
      <c r="M2299" t="str" cm="1">
        <f t="array" ref="M2299">_xlfn.IFS(B2299&lt;18,"Under 18",B2299 &lt;=25,"18-25",B2299&lt;=35,"26-35",B2299&lt;=45,"36-45",B2299&lt;=60,"46-60",TRUE,"60+")</f>
        <v>46-60</v>
      </c>
      <c r="N2299" t="str">
        <f t="shared" si="106"/>
        <v>Discounted</v>
      </c>
      <c r="O2299" t="str">
        <f t="shared" si="107"/>
        <v>Returning</v>
      </c>
    </row>
    <row r="2300" spans="1:15" x14ac:dyDescent="0.25">
      <c r="A2300">
        <v>2299</v>
      </c>
      <c r="B2300">
        <v>36</v>
      </c>
      <c r="C2300" t="s">
        <v>11</v>
      </c>
      <c r="D2300" t="s">
        <v>33</v>
      </c>
      <c r="E2300" t="s">
        <v>38</v>
      </c>
      <c r="F2300" s="1">
        <v>174.35</v>
      </c>
      <c r="G2300" t="s">
        <v>14</v>
      </c>
      <c r="H2300" t="s">
        <v>15</v>
      </c>
      <c r="I2300" s="2">
        <v>4.2</v>
      </c>
      <c r="J2300" s="4">
        <v>16</v>
      </c>
      <c r="K2300" s="3">
        <v>3</v>
      </c>
      <c r="L2300" s="1">
        <f t="shared" si="105"/>
        <v>146.45399999999998</v>
      </c>
      <c r="M2300" t="str" cm="1">
        <f t="array" ref="M2300">_xlfn.IFS(B2300&lt;18,"Under 18",B2300 &lt;=25,"18-25",B2300&lt;=35,"26-35",B2300&lt;=45,"36-45",B2300&lt;=60,"46-60",TRUE,"60+")</f>
        <v>36-45</v>
      </c>
      <c r="N2300" t="str">
        <f t="shared" si="106"/>
        <v>Discounted</v>
      </c>
      <c r="O2300" t="str">
        <f t="shared" si="107"/>
        <v>Returning</v>
      </c>
    </row>
    <row r="2301" spans="1:15" x14ac:dyDescent="0.25">
      <c r="A2301">
        <v>2300</v>
      </c>
      <c r="B2301">
        <v>31</v>
      </c>
      <c r="C2301" t="s">
        <v>16</v>
      </c>
      <c r="D2301" t="s">
        <v>17</v>
      </c>
      <c r="E2301" t="s">
        <v>42</v>
      </c>
      <c r="F2301" s="1">
        <v>78.33</v>
      </c>
      <c r="G2301" t="s">
        <v>31</v>
      </c>
      <c r="H2301" t="s">
        <v>37</v>
      </c>
      <c r="I2301" s="2">
        <v>3.5</v>
      </c>
      <c r="J2301" s="4">
        <v>18</v>
      </c>
      <c r="K2301" s="3">
        <v>9</v>
      </c>
      <c r="L2301" s="1">
        <f t="shared" si="105"/>
        <v>64.23060000000001</v>
      </c>
      <c r="M2301" t="str" cm="1">
        <f t="array" ref="M2301">_xlfn.IFS(B2301&lt;18,"Under 18",B2301 &lt;=25,"18-25",B2301&lt;=35,"26-35",B2301&lt;=45,"36-45",B2301&lt;=60,"46-60",TRUE,"60+")</f>
        <v>26-35</v>
      </c>
      <c r="N2301" t="str">
        <f t="shared" si="106"/>
        <v>Discounted</v>
      </c>
      <c r="O2301" t="str">
        <f t="shared" si="107"/>
        <v>Returning</v>
      </c>
    </row>
    <row r="2302" spans="1:15" x14ac:dyDescent="0.25">
      <c r="A2302">
        <v>2301</v>
      </c>
      <c r="B2302">
        <v>44</v>
      </c>
      <c r="C2302" t="s">
        <v>11</v>
      </c>
      <c r="D2302" t="s">
        <v>29</v>
      </c>
      <c r="E2302" t="s">
        <v>30</v>
      </c>
      <c r="F2302" s="1">
        <v>39.78</v>
      </c>
      <c r="G2302" t="s">
        <v>31</v>
      </c>
      <c r="H2302" t="s">
        <v>37</v>
      </c>
      <c r="I2302" s="2">
        <v>3.2</v>
      </c>
      <c r="J2302" s="4">
        <v>14</v>
      </c>
      <c r="K2302" s="3">
        <v>2</v>
      </c>
      <c r="L2302" s="1">
        <f t="shared" si="105"/>
        <v>34.210799999999999</v>
      </c>
      <c r="M2302" t="str" cm="1">
        <f t="array" ref="M2302">_xlfn.IFS(B2302&lt;18,"Under 18",B2302 &lt;=25,"18-25",B2302&lt;=35,"26-35",B2302&lt;=45,"36-45",B2302&lt;=60,"46-60",TRUE,"60+")</f>
        <v>36-45</v>
      </c>
      <c r="N2302" t="str">
        <f t="shared" si="106"/>
        <v>Discounted</v>
      </c>
      <c r="O2302" t="str">
        <f t="shared" si="107"/>
        <v>Returning</v>
      </c>
    </row>
    <row r="2303" spans="1:15" x14ac:dyDescent="0.25">
      <c r="A2303">
        <v>2302</v>
      </c>
      <c r="B2303">
        <v>48</v>
      </c>
      <c r="C2303" t="s">
        <v>16</v>
      </c>
      <c r="D2303" t="s">
        <v>17</v>
      </c>
      <c r="E2303" t="s">
        <v>18</v>
      </c>
      <c r="F2303" s="1">
        <v>185.38</v>
      </c>
      <c r="G2303" t="s">
        <v>24</v>
      </c>
      <c r="H2303" t="s">
        <v>15</v>
      </c>
      <c r="I2303" s="2">
        <v>4</v>
      </c>
      <c r="J2303" s="4">
        <v>21</v>
      </c>
      <c r="K2303" s="3">
        <v>8</v>
      </c>
      <c r="L2303" s="1">
        <f t="shared" si="105"/>
        <v>146.4502</v>
      </c>
      <c r="M2303" t="str" cm="1">
        <f t="array" ref="M2303">_xlfn.IFS(B2303&lt;18,"Under 18",B2303 &lt;=25,"18-25",B2303&lt;=35,"26-35",B2303&lt;=45,"36-45",B2303&lt;=60,"46-60",TRUE,"60+")</f>
        <v>46-60</v>
      </c>
      <c r="N2303" t="str">
        <f t="shared" si="106"/>
        <v>Discounted</v>
      </c>
      <c r="O2303" t="str">
        <f t="shared" si="107"/>
        <v>Returning</v>
      </c>
    </row>
    <row r="2304" spans="1:15" x14ac:dyDescent="0.25">
      <c r="A2304">
        <v>2303</v>
      </c>
      <c r="B2304">
        <v>56</v>
      </c>
      <c r="C2304" t="s">
        <v>16</v>
      </c>
      <c r="D2304" t="s">
        <v>27</v>
      </c>
      <c r="E2304" t="s">
        <v>49</v>
      </c>
      <c r="F2304" s="1">
        <v>1705.8</v>
      </c>
      <c r="G2304" t="s">
        <v>24</v>
      </c>
      <c r="H2304" t="s">
        <v>15</v>
      </c>
      <c r="I2304" s="2">
        <v>4.4000000000000004</v>
      </c>
      <c r="J2304" s="4">
        <v>12</v>
      </c>
      <c r="K2304" s="3">
        <v>6</v>
      </c>
      <c r="L2304" s="1">
        <f t="shared" si="105"/>
        <v>1501.104</v>
      </c>
      <c r="M2304" t="str" cm="1">
        <f t="array" ref="M2304">_xlfn.IFS(B2304&lt;18,"Under 18",B2304 &lt;=25,"18-25",B2304&lt;=35,"26-35",B2304&lt;=45,"36-45",B2304&lt;=60,"46-60",TRUE,"60+")</f>
        <v>46-60</v>
      </c>
      <c r="N2304" t="str">
        <f t="shared" si="106"/>
        <v>Discounted</v>
      </c>
      <c r="O2304" t="str">
        <f t="shared" si="107"/>
        <v>Returning</v>
      </c>
    </row>
    <row r="2305" spans="1:15" x14ac:dyDescent="0.25">
      <c r="A2305">
        <v>2304</v>
      </c>
      <c r="B2305">
        <v>64</v>
      </c>
      <c r="C2305" t="s">
        <v>11</v>
      </c>
      <c r="D2305" t="s">
        <v>22</v>
      </c>
      <c r="E2305" t="s">
        <v>23</v>
      </c>
      <c r="F2305" s="1">
        <v>169.94</v>
      </c>
      <c r="G2305" t="s">
        <v>24</v>
      </c>
      <c r="H2305" t="s">
        <v>15</v>
      </c>
      <c r="I2305" s="2">
        <v>4.5</v>
      </c>
      <c r="J2305" s="4">
        <v>11</v>
      </c>
      <c r="K2305" s="3">
        <v>3</v>
      </c>
      <c r="L2305" s="1">
        <f t="shared" si="105"/>
        <v>151.2466</v>
      </c>
      <c r="M2305" t="str" cm="1">
        <f t="array" ref="M2305">_xlfn.IFS(B2305&lt;18,"Under 18",B2305 &lt;=25,"18-25",B2305&lt;=35,"26-35",B2305&lt;=45,"36-45",B2305&lt;=60,"46-60",TRUE,"60+")</f>
        <v>60+</v>
      </c>
      <c r="N2305" t="str">
        <f t="shared" si="106"/>
        <v>Discounted</v>
      </c>
      <c r="O2305" t="str">
        <f t="shared" si="107"/>
        <v>Returning</v>
      </c>
    </row>
    <row r="2306" spans="1:15" x14ac:dyDescent="0.25">
      <c r="A2306">
        <v>2305</v>
      </c>
      <c r="B2306">
        <v>61</v>
      </c>
      <c r="C2306" t="s">
        <v>11</v>
      </c>
      <c r="D2306" t="s">
        <v>33</v>
      </c>
      <c r="E2306" t="s">
        <v>34</v>
      </c>
      <c r="F2306" s="1">
        <v>50</v>
      </c>
      <c r="G2306" t="s">
        <v>31</v>
      </c>
      <c r="H2306" t="s">
        <v>37</v>
      </c>
      <c r="I2306" s="2">
        <v>3.8</v>
      </c>
      <c r="J2306" s="4">
        <v>15</v>
      </c>
      <c r="K2306" s="3">
        <v>5</v>
      </c>
      <c r="L2306" s="1">
        <f t="shared" si="105"/>
        <v>42.5</v>
      </c>
      <c r="M2306" t="str" cm="1">
        <f t="array" ref="M2306">_xlfn.IFS(B2306&lt;18,"Under 18",B2306 &lt;=25,"18-25",B2306&lt;=35,"26-35",B2306&lt;=45,"36-45",B2306&lt;=60,"46-60",TRUE,"60+")</f>
        <v>60+</v>
      </c>
      <c r="N2306" t="str">
        <f t="shared" si="106"/>
        <v>Discounted</v>
      </c>
      <c r="O2306" t="str">
        <f t="shared" si="107"/>
        <v>Returning</v>
      </c>
    </row>
    <row r="2307" spans="1:15" x14ac:dyDescent="0.25">
      <c r="A2307">
        <v>2306</v>
      </c>
      <c r="B2307">
        <v>27</v>
      </c>
      <c r="C2307" t="s">
        <v>11</v>
      </c>
      <c r="D2307" t="s">
        <v>41</v>
      </c>
      <c r="E2307" t="s">
        <v>42</v>
      </c>
      <c r="F2307" s="1">
        <v>60.07</v>
      </c>
      <c r="G2307" t="s">
        <v>14</v>
      </c>
      <c r="H2307" t="s">
        <v>37</v>
      </c>
      <c r="I2307" s="2">
        <v>4.2</v>
      </c>
      <c r="J2307" s="4">
        <v>13</v>
      </c>
      <c r="K2307" s="3">
        <v>4</v>
      </c>
      <c r="L2307" s="1">
        <f t="shared" ref="L2307:L2370" si="108">F2307 * (1 - J2307 / 100)</f>
        <v>52.260899999999999</v>
      </c>
      <c r="M2307" t="str" cm="1">
        <f t="array" ref="M2307">_xlfn.IFS(B2307&lt;18,"Under 18",B2307 &lt;=25,"18-25",B2307&lt;=35,"26-35",B2307&lt;=45,"36-45",B2307&lt;=60,"46-60",TRUE,"60+")</f>
        <v>26-35</v>
      </c>
      <c r="N2307" t="str">
        <f t="shared" ref="N2307:N2370" si="109">IF(J2307&gt;0,"Discounted","No Discount")</f>
        <v>Discounted</v>
      </c>
      <c r="O2307" t="str">
        <f t="shared" ref="O2307:O2370" si="110">IF(K2307&gt;0,"Returning","New")</f>
        <v>Returning</v>
      </c>
    </row>
    <row r="2308" spans="1:15" x14ac:dyDescent="0.25">
      <c r="A2308">
        <v>2307</v>
      </c>
      <c r="B2308">
        <v>27</v>
      </c>
      <c r="C2308" t="s">
        <v>11</v>
      </c>
      <c r="D2308" t="s">
        <v>12</v>
      </c>
      <c r="E2308" t="s">
        <v>50</v>
      </c>
      <c r="F2308" s="1">
        <v>20.49</v>
      </c>
      <c r="G2308" t="s">
        <v>19</v>
      </c>
      <c r="H2308" t="s">
        <v>15</v>
      </c>
      <c r="I2308" s="2">
        <v>4.7</v>
      </c>
      <c r="J2308" s="4">
        <v>19</v>
      </c>
      <c r="K2308" s="3">
        <v>7</v>
      </c>
      <c r="L2308" s="1">
        <f t="shared" si="108"/>
        <v>16.596900000000002</v>
      </c>
      <c r="M2308" t="str" cm="1">
        <f t="array" ref="M2308">_xlfn.IFS(B2308&lt;18,"Under 18",B2308 &lt;=25,"18-25",B2308&lt;=35,"26-35",B2308&lt;=45,"36-45",B2308&lt;=60,"46-60",TRUE,"60+")</f>
        <v>26-35</v>
      </c>
      <c r="N2308" t="str">
        <f t="shared" si="109"/>
        <v>Discounted</v>
      </c>
      <c r="O2308" t="str">
        <f t="shared" si="110"/>
        <v>Returning</v>
      </c>
    </row>
    <row r="2309" spans="1:15" x14ac:dyDescent="0.25">
      <c r="A2309">
        <v>2308</v>
      </c>
      <c r="B2309">
        <v>50</v>
      </c>
      <c r="C2309" t="s">
        <v>11</v>
      </c>
      <c r="D2309" t="s">
        <v>12</v>
      </c>
      <c r="E2309" t="s">
        <v>56</v>
      </c>
      <c r="F2309" s="1">
        <v>140.16</v>
      </c>
      <c r="G2309" t="s">
        <v>31</v>
      </c>
      <c r="H2309" t="s">
        <v>15</v>
      </c>
      <c r="I2309" s="2">
        <v>4.5</v>
      </c>
      <c r="J2309" s="4">
        <v>9</v>
      </c>
      <c r="K2309" s="3">
        <v>2</v>
      </c>
      <c r="L2309" s="1">
        <f t="shared" si="108"/>
        <v>127.54560000000001</v>
      </c>
      <c r="M2309" t="str" cm="1">
        <f t="array" ref="M2309">_xlfn.IFS(B2309&lt;18,"Under 18",B2309 &lt;=25,"18-25",B2309&lt;=35,"26-35",B2309&lt;=45,"36-45",B2309&lt;=60,"46-60",TRUE,"60+")</f>
        <v>46-60</v>
      </c>
      <c r="N2309" t="str">
        <f t="shared" si="109"/>
        <v>Discounted</v>
      </c>
      <c r="O2309" t="str">
        <f t="shared" si="110"/>
        <v>Returning</v>
      </c>
    </row>
    <row r="2310" spans="1:15" x14ac:dyDescent="0.25">
      <c r="A2310">
        <v>2309</v>
      </c>
      <c r="B2310">
        <v>21</v>
      </c>
      <c r="C2310" t="s">
        <v>11</v>
      </c>
      <c r="D2310" t="s">
        <v>29</v>
      </c>
      <c r="E2310" t="s">
        <v>51</v>
      </c>
      <c r="F2310" s="1">
        <v>108.17</v>
      </c>
      <c r="G2310" t="s">
        <v>14</v>
      </c>
      <c r="H2310" t="s">
        <v>15</v>
      </c>
      <c r="I2310" s="2">
        <v>4.5</v>
      </c>
      <c r="J2310" s="4">
        <v>12</v>
      </c>
      <c r="K2310" s="3">
        <v>6</v>
      </c>
      <c r="L2310" s="1">
        <f t="shared" si="108"/>
        <v>95.189599999999999</v>
      </c>
      <c r="M2310" t="str" cm="1">
        <f t="array" ref="M2310">_xlfn.IFS(B2310&lt;18,"Under 18",B2310 &lt;=25,"18-25",B2310&lt;=35,"26-35",B2310&lt;=45,"36-45",B2310&lt;=60,"46-60",TRUE,"60+")</f>
        <v>18-25</v>
      </c>
      <c r="N2310" t="str">
        <f t="shared" si="109"/>
        <v>Discounted</v>
      </c>
      <c r="O2310" t="str">
        <f t="shared" si="110"/>
        <v>Returning</v>
      </c>
    </row>
    <row r="2311" spans="1:15" x14ac:dyDescent="0.25">
      <c r="A2311">
        <v>2310</v>
      </c>
      <c r="B2311">
        <v>65</v>
      </c>
      <c r="C2311" t="s">
        <v>16</v>
      </c>
      <c r="D2311" t="s">
        <v>20</v>
      </c>
      <c r="E2311" t="s">
        <v>21</v>
      </c>
      <c r="F2311" s="1">
        <v>153.65</v>
      </c>
      <c r="G2311" t="s">
        <v>14</v>
      </c>
      <c r="H2311" t="s">
        <v>15</v>
      </c>
      <c r="I2311" s="2">
        <v>2.9</v>
      </c>
      <c r="J2311" s="4">
        <v>23</v>
      </c>
      <c r="K2311" s="3">
        <v>9</v>
      </c>
      <c r="L2311" s="1">
        <f t="shared" si="108"/>
        <v>118.3105</v>
      </c>
      <c r="M2311" t="str" cm="1">
        <f t="array" ref="M2311">_xlfn.IFS(B2311&lt;18,"Under 18",B2311 &lt;=25,"18-25",B2311&lt;=35,"26-35",B2311&lt;=45,"36-45",B2311&lt;=60,"46-60",TRUE,"60+")</f>
        <v>60+</v>
      </c>
      <c r="N2311" t="str">
        <f t="shared" si="109"/>
        <v>Discounted</v>
      </c>
      <c r="O2311" t="str">
        <f t="shared" si="110"/>
        <v>Returning</v>
      </c>
    </row>
    <row r="2312" spans="1:15" x14ac:dyDescent="0.25">
      <c r="A2312">
        <v>2311</v>
      </c>
      <c r="B2312">
        <v>68</v>
      </c>
      <c r="C2312" t="s">
        <v>16</v>
      </c>
      <c r="D2312" t="s">
        <v>33</v>
      </c>
      <c r="E2312" t="s">
        <v>40</v>
      </c>
      <c r="F2312" s="1">
        <v>224.62</v>
      </c>
      <c r="G2312" t="s">
        <v>31</v>
      </c>
      <c r="H2312" t="s">
        <v>15</v>
      </c>
      <c r="I2312" s="2">
        <v>3.9</v>
      </c>
      <c r="J2312" s="4">
        <v>4</v>
      </c>
      <c r="K2312" s="3">
        <v>2</v>
      </c>
      <c r="L2312" s="1">
        <f t="shared" si="108"/>
        <v>215.6352</v>
      </c>
      <c r="M2312" t="str" cm="1">
        <f t="array" ref="M2312">_xlfn.IFS(B2312&lt;18,"Under 18",B2312 &lt;=25,"18-25",B2312&lt;=35,"26-35",B2312&lt;=45,"36-45",B2312&lt;=60,"46-60",TRUE,"60+")</f>
        <v>60+</v>
      </c>
      <c r="N2312" t="str">
        <f t="shared" si="109"/>
        <v>Discounted</v>
      </c>
      <c r="O2312" t="str">
        <f t="shared" si="110"/>
        <v>Returning</v>
      </c>
    </row>
    <row r="2313" spans="1:15" x14ac:dyDescent="0.25">
      <c r="A2313">
        <v>2312</v>
      </c>
      <c r="B2313">
        <v>45</v>
      </c>
      <c r="C2313" t="s">
        <v>16</v>
      </c>
      <c r="D2313" t="s">
        <v>20</v>
      </c>
      <c r="E2313" t="s">
        <v>21</v>
      </c>
      <c r="F2313" s="1">
        <v>111.02</v>
      </c>
      <c r="G2313" t="s">
        <v>24</v>
      </c>
      <c r="H2313" t="s">
        <v>15</v>
      </c>
      <c r="I2313" s="2">
        <v>3.4</v>
      </c>
      <c r="J2313" s="4">
        <v>10</v>
      </c>
      <c r="K2313" s="3">
        <v>5</v>
      </c>
      <c r="L2313" s="1">
        <f t="shared" si="108"/>
        <v>99.917999999999992</v>
      </c>
      <c r="M2313" t="str" cm="1">
        <f t="array" ref="M2313">_xlfn.IFS(B2313&lt;18,"Under 18",B2313 &lt;=25,"18-25",B2313&lt;=35,"26-35",B2313&lt;=45,"36-45",B2313&lt;=60,"46-60",TRUE,"60+")</f>
        <v>36-45</v>
      </c>
      <c r="N2313" t="str">
        <f t="shared" si="109"/>
        <v>Discounted</v>
      </c>
      <c r="O2313" t="str">
        <f t="shared" si="110"/>
        <v>Returning</v>
      </c>
    </row>
    <row r="2314" spans="1:15" x14ac:dyDescent="0.25">
      <c r="A2314">
        <v>2313</v>
      </c>
      <c r="B2314">
        <v>34</v>
      </c>
      <c r="C2314" t="s">
        <v>16</v>
      </c>
      <c r="D2314" t="s">
        <v>17</v>
      </c>
      <c r="E2314" t="s">
        <v>35</v>
      </c>
      <c r="F2314" s="1">
        <v>149.08000000000001</v>
      </c>
      <c r="G2314" t="s">
        <v>31</v>
      </c>
      <c r="H2314" t="s">
        <v>15</v>
      </c>
      <c r="I2314" s="2">
        <v>3.8</v>
      </c>
      <c r="J2314" s="4">
        <v>20</v>
      </c>
      <c r="K2314" s="3">
        <v>5</v>
      </c>
      <c r="L2314" s="1">
        <f t="shared" si="108"/>
        <v>119.26400000000001</v>
      </c>
      <c r="M2314" t="str" cm="1">
        <f t="array" ref="M2314">_xlfn.IFS(B2314&lt;18,"Under 18",B2314 &lt;=25,"18-25",B2314&lt;=35,"26-35",B2314&lt;=45,"36-45",B2314&lt;=60,"46-60",TRUE,"60+")</f>
        <v>26-35</v>
      </c>
      <c r="N2314" t="str">
        <f t="shared" si="109"/>
        <v>Discounted</v>
      </c>
      <c r="O2314" t="str">
        <f t="shared" si="110"/>
        <v>Returning</v>
      </c>
    </row>
    <row r="2315" spans="1:15" x14ac:dyDescent="0.25">
      <c r="A2315">
        <v>2314</v>
      </c>
      <c r="B2315">
        <v>25</v>
      </c>
      <c r="C2315" t="s">
        <v>16</v>
      </c>
      <c r="D2315" t="s">
        <v>25</v>
      </c>
      <c r="E2315" t="s">
        <v>26</v>
      </c>
      <c r="F2315" s="1">
        <v>13.2</v>
      </c>
      <c r="G2315" t="s">
        <v>14</v>
      </c>
      <c r="H2315" t="s">
        <v>15</v>
      </c>
      <c r="I2315" s="2">
        <v>3.9</v>
      </c>
      <c r="J2315" s="4">
        <v>26</v>
      </c>
      <c r="K2315" s="3">
        <v>8</v>
      </c>
      <c r="L2315" s="1">
        <f t="shared" si="108"/>
        <v>9.7679999999999989</v>
      </c>
      <c r="M2315" t="str" cm="1">
        <f t="array" ref="M2315">_xlfn.IFS(B2315&lt;18,"Under 18",B2315 &lt;=25,"18-25",B2315&lt;=35,"26-35",B2315&lt;=45,"36-45",B2315&lt;=60,"46-60",TRUE,"60+")</f>
        <v>18-25</v>
      </c>
      <c r="N2315" t="str">
        <f t="shared" si="109"/>
        <v>Discounted</v>
      </c>
      <c r="O2315" t="str">
        <f t="shared" si="110"/>
        <v>Returning</v>
      </c>
    </row>
    <row r="2316" spans="1:15" x14ac:dyDescent="0.25">
      <c r="A2316">
        <v>2315</v>
      </c>
      <c r="B2316">
        <v>37</v>
      </c>
      <c r="C2316" t="s">
        <v>16</v>
      </c>
      <c r="D2316" t="s">
        <v>22</v>
      </c>
      <c r="E2316" t="s">
        <v>43</v>
      </c>
      <c r="F2316" s="1">
        <v>64.239999999999995</v>
      </c>
      <c r="G2316" t="s">
        <v>31</v>
      </c>
      <c r="H2316" t="s">
        <v>15</v>
      </c>
      <c r="I2316" s="2">
        <v>3.6</v>
      </c>
      <c r="J2316" s="4">
        <v>4</v>
      </c>
      <c r="K2316" s="3">
        <v>2</v>
      </c>
      <c r="L2316" s="1">
        <f t="shared" si="108"/>
        <v>61.670399999999994</v>
      </c>
      <c r="M2316" t="str" cm="1">
        <f t="array" ref="M2316">_xlfn.IFS(B2316&lt;18,"Under 18",B2316 &lt;=25,"18-25",B2316&lt;=35,"26-35",B2316&lt;=45,"36-45",B2316&lt;=60,"46-60",TRUE,"60+")</f>
        <v>36-45</v>
      </c>
      <c r="N2316" t="str">
        <f t="shared" si="109"/>
        <v>Discounted</v>
      </c>
      <c r="O2316" t="str">
        <f t="shared" si="110"/>
        <v>Returning</v>
      </c>
    </row>
    <row r="2317" spans="1:15" x14ac:dyDescent="0.25">
      <c r="A2317">
        <v>2316</v>
      </c>
      <c r="B2317">
        <v>41</v>
      </c>
      <c r="C2317" t="s">
        <v>16</v>
      </c>
      <c r="D2317" t="s">
        <v>20</v>
      </c>
      <c r="E2317" t="s">
        <v>36</v>
      </c>
      <c r="F2317" s="1">
        <v>124.84</v>
      </c>
      <c r="G2317" t="s">
        <v>14</v>
      </c>
      <c r="H2317" t="s">
        <v>15</v>
      </c>
      <c r="I2317" s="2">
        <v>3.9</v>
      </c>
      <c r="J2317" s="4">
        <v>22</v>
      </c>
      <c r="K2317" s="3">
        <v>6</v>
      </c>
      <c r="L2317" s="1">
        <f t="shared" si="108"/>
        <v>97.375200000000007</v>
      </c>
      <c r="M2317" t="str" cm="1">
        <f t="array" ref="M2317">_xlfn.IFS(B2317&lt;18,"Under 18",B2317 &lt;=25,"18-25",B2317&lt;=35,"26-35",B2317&lt;=45,"36-45",B2317&lt;=60,"46-60",TRUE,"60+")</f>
        <v>36-45</v>
      </c>
      <c r="N2317" t="str">
        <f t="shared" si="109"/>
        <v>Discounted</v>
      </c>
      <c r="O2317" t="str">
        <f t="shared" si="110"/>
        <v>Returning</v>
      </c>
    </row>
    <row r="2318" spans="1:15" x14ac:dyDescent="0.25">
      <c r="A2318">
        <v>2317</v>
      </c>
      <c r="B2318">
        <v>68</v>
      </c>
      <c r="C2318" t="s">
        <v>16</v>
      </c>
      <c r="D2318" t="s">
        <v>33</v>
      </c>
      <c r="E2318" t="s">
        <v>38</v>
      </c>
      <c r="F2318" s="1">
        <v>102.27</v>
      </c>
      <c r="G2318" t="s">
        <v>31</v>
      </c>
      <c r="H2318" t="s">
        <v>15</v>
      </c>
      <c r="I2318" s="2">
        <v>3.9</v>
      </c>
      <c r="J2318" s="4">
        <v>12</v>
      </c>
      <c r="K2318" s="3">
        <v>6</v>
      </c>
      <c r="L2318" s="1">
        <f t="shared" si="108"/>
        <v>89.997599999999991</v>
      </c>
      <c r="M2318" t="str" cm="1">
        <f t="array" ref="M2318">_xlfn.IFS(B2318&lt;18,"Under 18",B2318 &lt;=25,"18-25",B2318&lt;=35,"26-35",B2318&lt;=45,"36-45",B2318&lt;=60,"46-60",TRUE,"60+")</f>
        <v>60+</v>
      </c>
      <c r="N2318" t="str">
        <f t="shared" si="109"/>
        <v>Discounted</v>
      </c>
      <c r="O2318" t="str">
        <f t="shared" si="110"/>
        <v>Returning</v>
      </c>
    </row>
    <row r="2319" spans="1:15" x14ac:dyDescent="0.25">
      <c r="A2319">
        <v>2318</v>
      </c>
      <c r="B2319">
        <v>46</v>
      </c>
      <c r="C2319" t="s">
        <v>11</v>
      </c>
      <c r="D2319" t="s">
        <v>22</v>
      </c>
      <c r="E2319" t="s">
        <v>23</v>
      </c>
      <c r="F2319" s="1">
        <v>186.17</v>
      </c>
      <c r="G2319" t="s">
        <v>19</v>
      </c>
      <c r="H2319" t="s">
        <v>15</v>
      </c>
      <c r="I2319" s="2">
        <v>3.7</v>
      </c>
      <c r="J2319" s="4">
        <v>22</v>
      </c>
      <c r="K2319" s="3">
        <v>6</v>
      </c>
      <c r="L2319" s="1">
        <f t="shared" si="108"/>
        <v>145.21260000000001</v>
      </c>
      <c r="M2319" t="str" cm="1">
        <f t="array" ref="M2319">_xlfn.IFS(B2319&lt;18,"Under 18",B2319 &lt;=25,"18-25",B2319&lt;=35,"26-35",B2319&lt;=45,"36-45",B2319&lt;=60,"46-60",TRUE,"60+")</f>
        <v>46-60</v>
      </c>
      <c r="N2319" t="str">
        <f t="shared" si="109"/>
        <v>Discounted</v>
      </c>
      <c r="O2319" t="str">
        <f t="shared" si="110"/>
        <v>Returning</v>
      </c>
    </row>
    <row r="2320" spans="1:15" x14ac:dyDescent="0.25">
      <c r="A2320">
        <v>2319</v>
      </c>
      <c r="B2320">
        <v>39</v>
      </c>
      <c r="C2320" t="s">
        <v>11</v>
      </c>
      <c r="D2320" t="s">
        <v>41</v>
      </c>
      <c r="E2320" t="s">
        <v>45</v>
      </c>
      <c r="F2320" s="1">
        <v>143.51</v>
      </c>
      <c r="G2320" t="s">
        <v>31</v>
      </c>
      <c r="H2320" t="s">
        <v>15</v>
      </c>
      <c r="I2320" s="2">
        <v>3.7</v>
      </c>
      <c r="J2320" s="4">
        <v>22</v>
      </c>
      <c r="K2320" s="3">
        <v>6</v>
      </c>
      <c r="L2320" s="1">
        <f t="shared" si="108"/>
        <v>111.9378</v>
      </c>
      <c r="M2320" t="str" cm="1">
        <f t="array" ref="M2320">_xlfn.IFS(B2320&lt;18,"Under 18",B2320 &lt;=25,"18-25",B2320&lt;=35,"26-35",B2320&lt;=45,"36-45",B2320&lt;=60,"46-60",TRUE,"60+")</f>
        <v>36-45</v>
      </c>
      <c r="N2320" t="str">
        <f t="shared" si="109"/>
        <v>Discounted</v>
      </c>
      <c r="O2320" t="str">
        <f t="shared" si="110"/>
        <v>Returning</v>
      </c>
    </row>
    <row r="2321" spans="1:15" x14ac:dyDescent="0.25">
      <c r="A2321">
        <v>2320</v>
      </c>
      <c r="B2321">
        <v>53</v>
      </c>
      <c r="C2321" t="s">
        <v>16</v>
      </c>
      <c r="D2321" t="s">
        <v>33</v>
      </c>
      <c r="E2321" t="s">
        <v>40</v>
      </c>
      <c r="F2321" s="1">
        <v>97.72</v>
      </c>
      <c r="G2321" t="s">
        <v>14</v>
      </c>
      <c r="H2321" t="s">
        <v>15</v>
      </c>
      <c r="I2321" s="2">
        <v>3.3</v>
      </c>
      <c r="J2321" s="4">
        <v>24</v>
      </c>
      <c r="K2321" s="3">
        <v>7</v>
      </c>
      <c r="L2321" s="1">
        <f t="shared" si="108"/>
        <v>74.267200000000003</v>
      </c>
      <c r="M2321" t="str" cm="1">
        <f t="array" ref="M2321">_xlfn.IFS(B2321&lt;18,"Under 18",B2321 &lt;=25,"18-25",B2321&lt;=35,"26-35",B2321&lt;=45,"36-45",B2321&lt;=60,"46-60",TRUE,"60+")</f>
        <v>46-60</v>
      </c>
      <c r="N2321" t="str">
        <f t="shared" si="109"/>
        <v>Discounted</v>
      </c>
      <c r="O2321" t="str">
        <f t="shared" si="110"/>
        <v>Returning</v>
      </c>
    </row>
    <row r="2322" spans="1:15" x14ac:dyDescent="0.25">
      <c r="A2322">
        <v>2321</v>
      </c>
      <c r="B2322">
        <v>47</v>
      </c>
      <c r="C2322" t="s">
        <v>11</v>
      </c>
      <c r="D2322" t="s">
        <v>20</v>
      </c>
      <c r="E2322" t="s">
        <v>21</v>
      </c>
      <c r="F2322" s="1">
        <v>212.99</v>
      </c>
      <c r="G2322" t="s">
        <v>14</v>
      </c>
      <c r="H2322" t="s">
        <v>15</v>
      </c>
      <c r="I2322" s="2">
        <v>4.0999999999999996</v>
      </c>
      <c r="J2322" s="4">
        <v>15</v>
      </c>
      <c r="K2322" s="3">
        <v>5</v>
      </c>
      <c r="L2322" s="1">
        <f t="shared" si="108"/>
        <v>181.04150000000001</v>
      </c>
      <c r="M2322" t="str" cm="1">
        <f t="array" ref="M2322">_xlfn.IFS(B2322&lt;18,"Under 18",B2322 &lt;=25,"18-25",B2322&lt;=35,"26-35",B2322&lt;=45,"36-45",B2322&lt;=60,"46-60",TRUE,"60+")</f>
        <v>46-60</v>
      </c>
      <c r="N2322" t="str">
        <f t="shared" si="109"/>
        <v>Discounted</v>
      </c>
      <c r="O2322" t="str">
        <f t="shared" si="110"/>
        <v>Returning</v>
      </c>
    </row>
    <row r="2323" spans="1:15" x14ac:dyDescent="0.25">
      <c r="A2323">
        <v>2322</v>
      </c>
      <c r="B2323">
        <v>70</v>
      </c>
      <c r="C2323" t="s">
        <v>11</v>
      </c>
      <c r="D2323" t="s">
        <v>12</v>
      </c>
      <c r="E2323" t="s">
        <v>50</v>
      </c>
      <c r="F2323" s="1">
        <v>149.53</v>
      </c>
      <c r="G2323" t="s">
        <v>31</v>
      </c>
      <c r="H2323" t="s">
        <v>15</v>
      </c>
      <c r="I2323" s="2">
        <v>3.8</v>
      </c>
      <c r="J2323" s="4">
        <v>8</v>
      </c>
      <c r="K2323" s="3">
        <v>4</v>
      </c>
      <c r="L2323" s="1">
        <f t="shared" si="108"/>
        <v>137.5676</v>
      </c>
      <c r="M2323" t="str" cm="1">
        <f t="array" ref="M2323">_xlfn.IFS(B2323&lt;18,"Under 18",B2323 &lt;=25,"18-25",B2323&lt;=35,"26-35",B2323&lt;=45,"36-45",B2323&lt;=60,"46-60",TRUE,"60+")</f>
        <v>60+</v>
      </c>
      <c r="N2323" t="str">
        <f t="shared" si="109"/>
        <v>Discounted</v>
      </c>
      <c r="O2323" t="str">
        <f t="shared" si="110"/>
        <v>Returning</v>
      </c>
    </row>
    <row r="2324" spans="1:15" x14ac:dyDescent="0.25">
      <c r="A2324">
        <v>2323</v>
      </c>
      <c r="B2324">
        <v>27</v>
      </c>
      <c r="C2324" t="s">
        <v>16</v>
      </c>
      <c r="D2324" t="s">
        <v>33</v>
      </c>
      <c r="E2324" t="s">
        <v>40</v>
      </c>
      <c r="F2324" s="1">
        <v>104.13</v>
      </c>
      <c r="G2324" t="s">
        <v>24</v>
      </c>
      <c r="H2324" t="s">
        <v>15</v>
      </c>
      <c r="I2324" s="2">
        <v>3</v>
      </c>
      <c r="J2324" s="4">
        <v>19</v>
      </c>
      <c r="K2324" s="3">
        <v>7</v>
      </c>
      <c r="L2324" s="1">
        <f t="shared" si="108"/>
        <v>84.345300000000009</v>
      </c>
      <c r="M2324" t="str" cm="1">
        <f t="array" ref="M2324">_xlfn.IFS(B2324&lt;18,"Under 18",B2324 &lt;=25,"18-25",B2324&lt;=35,"26-35",B2324&lt;=45,"36-45",B2324&lt;=60,"46-60",TRUE,"60+")</f>
        <v>26-35</v>
      </c>
      <c r="N2324" t="str">
        <f t="shared" si="109"/>
        <v>Discounted</v>
      </c>
      <c r="O2324" t="str">
        <f t="shared" si="110"/>
        <v>Returning</v>
      </c>
    </row>
    <row r="2325" spans="1:15" x14ac:dyDescent="0.25">
      <c r="A2325">
        <v>2324</v>
      </c>
      <c r="B2325">
        <v>66</v>
      </c>
      <c r="C2325" t="s">
        <v>16</v>
      </c>
      <c r="D2325" t="s">
        <v>33</v>
      </c>
      <c r="E2325" t="s">
        <v>40</v>
      </c>
      <c r="F2325" s="1">
        <v>86.86</v>
      </c>
      <c r="G2325" t="s">
        <v>19</v>
      </c>
      <c r="H2325" t="s">
        <v>37</v>
      </c>
      <c r="I2325" s="2">
        <v>2.6</v>
      </c>
      <c r="J2325" s="4">
        <v>12</v>
      </c>
      <c r="K2325" s="3">
        <v>6</v>
      </c>
      <c r="L2325" s="1">
        <f t="shared" si="108"/>
        <v>76.436800000000005</v>
      </c>
      <c r="M2325" t="str" cm="1">
        <f t="array" ref="M2325">_xlfn.IFS(B2325&lt;18,"Under 18",B2325 &lt;=25,"18-25",B2325&lt;=35,"26-35",B2325&lt;=45,"36-45",B2325&lt;=60,"46-60",TRUE,"60+")</f>
        <v>60+</v>
      </c>
      <c r="N2325" t="str">
        <f t="shared" si="109"/>
        <v>Discounted</v>
      </c>
      <c r="O2325" t="str">
        <f t="shared" si="110"/>
        <v>Returning</v>
      </c>
    </row>
    <row r="2326" spans="1:15" x14ac:dyDescent="0.25">
      <c r="A2326">
        <v>2325</v>
      </c>
      <c r="B2326">
        <v>50</v>
      </c>
      <c r="C2326" t="s">
        <v>16</v>
      </c>
      <c r="D2326" t="s">
        <v>33</v>
      </c>
      <c r="E2326" t="s">
        <v>40</v>
      </c>
      <c r="F2326" s="1">
        <v>155.91999999999999</v>
      </c>
      <c r="G2326" t="s">
        <v>24</v>
      </c>
      <c r="H2326" t="s">
        <v>15</v>
      </c>
      <c r="I2326" s="2">
        <v>2.6</v>
      </c>
      <c r="J2326" s="4">
        <v>6</v>
      </c>
      <c r="K2326" s="3">
        <v>3</v>
      </c>
      <c r="L2326" s="1">
        <f t="shared" si="108"/>
        <v>146.56479999999999</v>
      </c>
      <c r="M2326" t="str" cm="1">
        <f t="array" ref="M2326">_xlfn.IFS(B2326&lt;18,"Under 18",B2326 &lt;=25,"18-25",B2326&lt;=35,"26-35",B2326&lt;=45,"36-45",B2326&lt;=60,"46-60",TRUE,"60+")</f>
        <v>46-60</v>
      </c>
      <c r="N2326" t="str">
        <f t="shared" si="109"/>
        <v>Discounted</v>
      </c>
      <c r="O2326" t="str">
        <f t="shared" si="110"/>
        <v>Returning</v>
      </c>
    </row>
    <row r="2327" spans="1:15" x14ac:dyDescent="0.25">
      <c r="A2327">
        <v>2326</v>
      </c>
      <c r="B2327">
        <v>46</v>
      </c>
      <c r="C2327" t="s">
        <v>11</v>
      </c>
      <c r="D2327" t="s">
        <v>29</v>
      </c>
      <c r="E2327" t="s">
        <v>55</v>
      </c>
      <c r="F2327" s="1">
        <v>42.37</v>
      </c>
      <c r="G2327" t="s">
        <v>31</v>
      </c>
      <c r="H2327" t="s">
        <v>15</v>
      </c>
      <c r="I2327" s="2">
        <v>3.3</v>
      </c>
      <c r="J2327" s="4">
        <v>11</v>
      </c>
      <c r="K2327" s="3">
        <v>3</v>
      </c>
      <c r="L2327" s="1">
        <f t="shared" si="108"/>
        <v>37.709299999999999</v>
      </c>
      <c r="M2327" t="str" cm="1">
        <f t="array" ref="M2327">_xlfn.IFS(B2327&lt;18,"Under 18",B2327 &lt;=25,"18-25",B2327&lt;=35,"26-35",B2327&lt;=45,"36-45",B2327&lt;=60,"46-60",TRUE,"60+")</f>
        <v>46-60</v>
      </c>
      <c r="N2327" t="str">
        <f t="shared" si="109"/>
        <v>Discounted</v>
      </c>
      <c r="O2327" t="str">
        <f t="shared" si="110"/>
        <v>Returning</v>
      </c>
    </row>
    <row r="2328" spans="1:15" x14ac:dyDescent="0.25">
      <c r="A2328">
        <v>2327</v>
      </c>
      <c r="B2328">
        <v>34</v>
      </c>
      <c r="C2328" t="s">
        <v>16</v>
      </c>
      <c r="D2328" t="s">
        <v>17</v>
      </c>
      <c r="E2328" t="s">
        <v>35</v>
      </c>
      <c r="F2328" s="1">
        <v>55.77</v>
      </c>
      <c r="G2328" t="s">
        <v>14</v>
      </c>
      <c r="H2328" t="s">
        <v>15</v>
      </c>
      <c r="I2328" s="2">
        <v>2.4</v>
      </c>
      <c r="J2328" s="4">
        <v>10</v>
      </c>
      <c r="K2328" s="3">
        <v>5</v>
      </c>
      <c r="L2328" s="1">
        <f t="shared" si="108"/>
        <v>50.193000000000005</v>
      </c>
      <c r="M2328" t="str" cm="1">
        <f t="array" ref="M2328">_xlfn.IFS(B2328&lt;18,"Under 18",B2328 &lt;=25,"18-25",B2328&lt;=35,"26-35",B2328&lt;=45,"36-45",B2328&lt;=60,"46-60",TRUE,"60+")</f>
        <v>26-35</v>
      </c>
      <c r="N2328" t="str">
        <f t="shared" si="109"/>
        <v>Discounted</v>
      </c>
      <c r="O2328" t="str">
        <f t="shared" si="110"/>
        <v>Returning</v>
      </c>
    </row>
    <row r="2329" spans="1:15" x14ac:dyDescent="0.25">
      <c r="A2329">
        <v>2328</v>
      </c>
      <c r="B2329">
        <v>35</v>
      </c>
      <c r="C2329" t="s">
        <v>11</v>
      </c>
      <c r="D2329" t="s">
        <v>33</v>
      </c>
      <c r="E2329" t="s">
        <v>38</v>
      </c>
      <c r="F2329" s="1">
        <v>202.39</v>
      </c>
      <c r="G2329" t="s">
        <v>24</v>
      </c>
      <c r="H2329" t="s">
        <v>15</v>
      </c>
      <c r="I2329" s="2">
        <v>2.5</v>
      </c>
      <c r="J2329" s="4">
        <v>11</v>
      </c>
      <c r="K2329" s="3">
        <v>3</v>
      </c>
      <c r="L2329" s="1">
        <f t="shared" si="108"/>
        <v>180.12709999999998</v>
      </c>
      <c r="M2329" t="str" cm="1">
        <f t="array" ref="M2329">_xlfn.IFS(B2329&lt;18,"Under 18",B2329 &lt;=25,"18-25",B2329&lt;=35,"26-35",B2329&lt;=45,"36-45",B2329&lt;=60,"46-60",TRUE,"60+")</f>
        <v>26-35</v>
      </c>
      <c r="N2329" t="str">
        <f t="shared" si="109"/>
        <v>Discounted</v>
      </c>
      <c r="O2329" t="str">
        <f t="shared" si="110"/>
        <v>Returning</v>
      </c>
    </row>
    <row r="2330" spans="1:15" x14ac:dyDescent="0.25">
      <c r="A2330">
        <v>2329</v>
      </c>
      <c r="B2330">
        <v>30</v>
      </c>
      <c r="C2330" t="s">
        <v>11</v>
      </c>
      <c r="D2330" t="s">
        <v>29</v>
      </c>
      <c r="E2330" t="s">
        <v>51</v>
      </c>
      <c r="F2330" s="1">
        <v>146.26</v>
      </c>
      <c r="G2330" t="s">
        <v>24</v>
      </c>
      <c r="H2330" t="s">
        <v>15</v>
      </c>
      <c r="I2330" s="2">
        <v>3.9</v>
      </c>
      <c r="J2330" s="4">
        <v>7</v>
      </c>
      <c r="K2330" s="3">
        <v>1</v>
      </c>
      <c r="L2330" s="1">
        <f t="shared" si="108"/>
        <v>136.02179999999998</v>
      </c>
      <c r="M2330" t="str" cm="1">
        <f t="array" ref="M2330">_xlfn.IFS(B2330&lt;18,"Under 18",B2330 &lt;=25,"18-25",B2330&lt;=35,"26-35",B2330&lt;=45,"36-45",B2330&lt;=60,"46-60",TRUE,"60+")</f>
        <v>26-35</v>
      </c>
      <c r="N2330" t="str">
        <f t="shared" si="109"/>
        <v>Discounted</v>
      </c>
      <c r="O2330" t="str">
        <f t="shared" si="110"/>
        <v>Returning</v>
      </c>
    </row>
    <row r="2331" spans="1:15" x14ac:dyDescent="0.25">
      <c r="A2331">
        <v>2330</v>
      </c>
      <c r="B2331">
        <v>64</v>
      </c>
      <c r="C2331" t="s">
        <v>16</v>
      </c>
      <c r="D2331" t="s">
        <v>27</v>
      </c>
      <c r="E2331" t="s">
        <v>53</v>
      </c>
      <c r="F2331" s="1">
        <v>1531.63</v>
      </c>
      <c r="G2331" t="s">
        <v>19</v>
      </c>
      <c r="H2331" t="s">
        <v>15</v>
      </c>
      <c r="I2331" s="2">
        <v>4.0999999999999996</v>
      </c>
      <c r="J2331" s="4">
        <v>28</v>
      </c>
      <c r="K2331" s="3">
        <v>9</v>
      </c>
      <c r="L2331" s="1">
        <f t="shared" si="108"/>
        <v>1102.7736</v>
      </c>
      <c r="M2331" t="str" cm="1">
        <f t="array" ref="M2331">_xlfn.IFS(B2331&lt;18,"Under 18",B2331 &lt;=25,"18-25",B2331&lt;=35,"26-35",B2331&lt;=45,"36-45",B2331&lt;=60,"46-60",TRUE,"60+")</f>
        <v>60+</v>
      </c>
      <c r="N2331" t="str">
        <f t="shared" si="109"/>
        <v>Discounted</v>
      </c>
      <c r="O2331" t="str">
        <f t="shared" si="110"/>
        <v>Returning</v>
      </c>
    </row>
    <row r="2332" spans="1:15" x14ac:dyDescent="0.25">
      <c r="A2332">
        <v>2331</v>
      </c>
      <c r="B2332">
        <v>42</v>
      </c>
      <c r="C2332" t="s">
        <v>16</v>
      </c>
      <c r="D2332" t="s">
        <v>33</v>
      </c>
      <c r="E2332" t="s">
        <v>38</v>
      </c>
      <c r="F2332" s="1">
        <v>53.4</v>
      </c>
      <c r="G2332" t="s">
        <v>31</v>
      </c>
      <c r="H2332" t="s">
        <v>37</v>
      </c>
      <c r="I2332" s="2">
        <v>4.4000000000000004</v>
      </c>
      <c r="J2332" s="4">
        <v>16</v>
      </c>
      <c r="K2332" s="3">
        <v>3</v>
      </c>
      <c r="L2332" s="1">
        <f t="shared" si="108"/>
        <v>44.855999999999995</v>
      </c>
      <c r="M2332" t="str" cm="1">
        <f t="array" ref="M2332">_xlfn.IFS(B2332&lt;18,"Under 18",B2332 &lt;=25,"18-25",B2332&lt;=35,"26-35",B2332&lt;=45,"36-45",B2332&lt;=60,"46-60",TRUE,"60+")</f>
        <v>36-45</v>
      </c>
      <c r="N2332" t="str">
        <f t="shared" si="109"/>
        <v>Discounted</v>
      </c>
      <c r="O2332" t="str">
        <f t="shared" si="110"/>
        <v>Returning</v>
      </c>
    </row>
    <row r="2333" spans="1:15" x14ac:dyDescent="0.25">
      <c r="A2333">
        <v>2332</v>
      </c>
      <c r="B2333">
        <v>70</v>
      </c>
      <c r="C2333" t="s">
        <v>16</v>
      </c>
      <c r="D2333" t="s">
        <v>22</v>
      </c>
      <c r="E2333" t="s">
        <v>23</v>
      </c>
      <c r="F2333" s="1">
        <v>255.78</v>
      </c>
      <c r="G2333" t="s">
        <v>14</v>
      </c>
      <c r="H2333" t="s">
        <v>15</v>
      </c>
      <c r="I2333" s="2">
        <v>2.9</v>
      </c>
      <c r="J2333" s="4">
        <v>20</v>
      </c>
      <c r="K2333" s="3">
        <v>5</v>
      </c>
      <c r="L2333" s="1">
        <f t="shared" si="108"/>
        <v>204.62400000000002</v>
      </c>
      <c r="M2333" t="str" cm="1">
        <f t="array" ref="M2333">_xlfn.IFS(B2333&lt;18,"Under 18",B2333 &lt;=25,"18-25",B2333&lt;=35,"26-35",B2333&lt;=45,"36-45",B2333&lt;=60,"46-60",TRUE,"60+")</f>
        <v>60+</v>
      </c>
      <c r="N2333" t="str">
        <f t="shared" si="109"/>
        <v>Discounted</v>
      </c>
      <c r="O2333" t="str">
        <f t="shared" si="110"/>
        <v>Returning</v>
      </c>
    </row>
    <row r="2334" spans="1:15" x14ac:dyDescent="0.25">
      <c r="A2334">
        <v>2333</v>
      </c>
      <c r="B2334">
        <v>48</v>
      </c>
      <c r="C2334" t="s">
        <v>11</v>
      </c>
      <c r="D2334" t="s">
        <v>41</v>
      </c>
      <c r="E2334" t="s">
        <v>44</v>
      </c>
      <c r="F2334" s="1">
        <v>171.19</v>
      </c>
      <c r="G2334" t="s">
        <v>24</v>
      </c>
      <c r="H2334" t="s">
        <v>15</v>
      </c>
      <c r="I2334" s="2">
        <v>3.8</v>
      </c>
      <c r="J2334" s="4">
        <v>14</v>
      </c>
      <c r="K2334" s="3">
        <v>7</v>
      </c>
      <c r="L2334" s="1">
        <f t="shared" si="108"/>
        <v>147.2234</v>
      </c>
      <c r="M2334" t="str" cm="1">
        <f t="array" ref="M2334">_xlfn.IFS(B2334&lt;18,"Under 18",B2334 &lt;=25,"18-25",B2334&lt;=35,"26-35",B2334&lt;=45,"36-45",B2334&lt;=60,"46-60",TRUE,"60+")</f>
        <v>46-60</v>
      </c>
      <c r="N2334" t="str">
        <f t="shared" si="109"/>
        <v>Discounted</v>
      </c>
      <c r="O2334" t="str">
        <f t="shared" si="110"/>
        <v>Returning</v>
      </c>
    </row>
    <row r="2335" spans="1:15" x14ac:dyDescent="0.25">
      <c r="A2335">
        <v>2334</v>
      </c>
      <c r="B2335">
        <v>43</v>
      </c>
      <c r="C2335" t="s">
        <v>11</v>
      </c>
      <c r="D2335" t="s">
        <v>12</v>
      </c>
      <c r="E2335" t="s">
        <v>13</v>
      </c>
      <c r="F2335" s="1">
        <v>38.450000000000003</v>
      </c>
      <c r="G2335" t="s">
        <v>24</v>
      </c>
      <c r="H2335" t="s">
        <v>15</v>
      </c>
      <c r="I2335" s="2">
        <v>4.2</v>
      </c>
      <c r="J2335" s="4">
        <v>19</v>
      </c>
      <c r="K2335" s="3">
        <v>7</v>
      </c>
      <c r="L2335" s="1">
        <f t="shared" si="108"/>
        <v>31.144500000000004</v>
      </c>
      <c r="M2335" t="str" cm="1">
        <f t="array" ref="M2335">_xlfn.IFS(B2335&lt;18,"Under 18",B2335 &lt;=25,"18-25",B2335&lt;=35,"26-35",B2335&lt;=45,"36-45",B2335&lt;=60,"46-60",TRUE,"60+")</f>
        <v>36-45</v>
      </c>
      <c r="N2335" t="str">
        <f t="shared" si="109"/>
        <v>Discounted</v>
      </c>
      <c r="O2335" t="str">
        <f t="shared" si="110"/>
        <v>Returning</v>
      </c>
    </row>
    <row r="2336" spans="1:15" x14ac:dyDescent="0.25">
      <c r="A2336">
        <v>2335</v>
      </c>
      <c r="B2336">
        <v>68</v>
      </c>
      <c r="C2336" t="s">
        <v>16</v>
      </c>
      <c r="D2336" t="s">
        <v>33</v>
      </c>
      <c r="E2336" t="s">
        <v>34</v>
      </c>
      <c r="F2336" s="1">
        <v>117.49</v>
      </c>
      <c r="G2336" t="s">
        <v>14</v>
      </c>
      <c r="H2336" t="s">
        <v>15</v>
      </c>
      <c r="I2336" s="2">
        <v>4.3</v>
      </c>
      <c r="J2336" s="4">
        <v>19</v>
      </c>
      <c r="K2336" s="3">
        <v>7</v>
      </c>
      <c r="L2336" s="1">
        <f t="shared" si="108"/>
        <v>95.166899999999998</v>
      </c>
      <c r="M2336" t="str" cm="1">
        <f t="array" ref="M2336">_xlfn.IFS(B2336&lt;18,"Under 18",B2336 &lt;=25,"18-25",B2336&lt;=35,"26-35",B2336&lt;=45,"36-45",B2336&lt;=60,"46-60",TRUE,"60+")</f>
        <v>60+</v>
      </c>
      <c r="N2336" t="str">
        <f t="shared" si="109"/>
        <v>Discounted</v>
      </c>
      <c r="O2336" t="str">
        <f t="shared" si="110"/>
        <v>Returning</v>
      </c>
    </row>
    <row r="2337" spans="1:15" x14ac:dyDescent="0.25">
      <c r="A2337">
        <v>2336</v>
      </c>
      <c r="B2337">
        <v>64</v>
      </c>
      <c r="C2337" t="s">
        <v>16</v>
      </c>
      <c r="D2337" t="s">
        <v>25</v>
      </c>
      <c r="E2337" t="s">
        <v>54</v>
      </c>
      <c r="F2337" s="1">
        <v>8.3699999999999992</v>
      </c>
      <c r="G2337" t="s">
        <v>31</v>
      </c>
      <c r="H2337" t="s">
        <v>37</v>
      </c>
      <c r="I2337" s="2">
        <v>4.4000000000000004</v>
      </c>
      <c r="J2337" s="4">
        <v>22</v>
      </c>
      <c r="K2337" s="3">
        <v>11</v>
      </c>
      <c r="L2337" s="1">
        <f t="shared" si="108"/>
        <v>6.5286</v>
      </c>
      <c r="M2337" t="str" cm="1">
        <f t="array" ref="M2337">_xlfn.IFS(B2337&lt;18,"Under 18",B2337 &lt;=25,"18-25",B2337&lt;=35,"26-35",B2337&lt;=45,"36-45",B2337&lt;=60,"46-60",TRUE,"60+")</f>
        <v>60+</v>
      </c>
      <c r="N2337" t="str">
        <f t="shared" si="109"/>
        <v>Discounted</v>
      </c>
      <c r="O2337" t="str">
        <f t="shared" si="110"/>
        <v>Returning</v>
      </c>
    </row>
    <row r="2338" spans="1:15" x14ac:dyDescent="0.25">
      <c r="A2338">
        <v>2337</v>
      </c>
      <c r="B2338">
        <v>45</v>
      </c>
      <c r="C2338" t="s">
        <v>16</v>
      </c>
      <c r="D2338" t="s">
        <v>17</v>
      </c>
      <c r="E2338" t="s">
        <v>18</v>
      </c>
      <c r="F2338" s="1">
        <v>157.65</v>
      </c>
      <c r="G2338" t="s">
        <v>24</v>
      </c>
      <c r="H2338" t="s">
        <v>15</v>
      </c>
      <c r="I2338" s="2">
        <v>2.7</v>
      </c>
      <c r="J2338" s="4">
        <v>15</v>
      </c>
      <c r="K2338" s="3">
        <v>5</v>
      </c>
      <c r="L2338" s="1">
        <f t="shared" si="108"/>
        <v>134.0025</v>
      </c>
      <c r="M2338" t="str" cm="1">
        <f t="array" ref="M2338">_xlfn.IFS(B2338&lt;18,"Under 18",B2338 &lt;=25,"18-25",B2338&lt;=35,"26-35",B2338&lt;=45,"36-45",B2338&lt;=60,"46-60",TRUE,"60+")</f>
        <v>36-45</v>
      </c>
      <c r="N2338" t="str">
        <f t="shared" si="109"/>
        <v>Discounted</v>
      </c>
      <c r="O2338" t="str">
        <f t="shared" si="110"/>
        <v>Returning</v>
      </c>
    </row>
    <row r="2339" spans="1:15" x14ac:dyDescent="0.25">
      <c r="A2339">
        <v>2338</v>
      </c>
      <c r="B2339">
        <v>37</v>
      </c>
      <c r="C2339" t="s">
        <v>11</v>
      </c>
      <c r="D2339" t="s">
        <v>12</v>
      </c>
      <c r="E2339" t="s">
        <v>50</v>
      </c>
      <c r="F2339" s="1">
        <v>172.44</v>
      </c>
      <c r="G2339" t="s">
        <v>31</v>
      </c>
      <c r="H2339" t="s">
        <v>15</v>
      </c>
      <c r="I2339" s="2">
        <v>3.9</v>
      </c>
      <c r="J2339" s="4">
        <v>18</v>
      </c>
      <c r="K2339" s="3">
        <v>9</v>
      </c>
      <c r="L2339" s="1">
        <f t="shared" si="108"/>
        <v>141.4008</v>
      </c>
      <c r="M2339" t="str" cm="1">
        <f t="array" ref="M2339">_xlfn.IFS(B2339&lt;18,"Under 18",B2339 &lt;=25,"18-25",B2339&lt;=35,"26-35",B2339&lt;=45,"36-45",B2339&lt;=60,"46-60",TRUE,"60+")</f>
        <v>36-45</v>
      </c>
      <c r="N2339" t="str">
        <f t="shared" si="109"/>
        <v>Discounted</v>
      </c>
      <c r="O2339" t="str">
        <f t="shared" si="110"/>
        <v>Returning</v>
      </c>
    </row>
    <row r="2340" spans="1:15" x14ac:dyDescent="0.25">
      <c r="A2340">
        <v>2339</v>
      </c>
      <c r="B2340">
        <v>55</v>
      </c>
      <c r="C2340" t="s">
        <v>11</v>
      </c>
      <c r="D2340" t="s">
        <v>12</v>
      </c>
      <c r="E2340" t="s">
        <v>56</v>
      </c>
      <c r="F2340" s="1">
        <v>109.99</v>
      </c>
      <c r="G2340" t="s">
        <v>31</v>
      </c>
      <c r="H2340" t="s">
        <v>15</v>
      </c>
      <c r="I2340" s="2">
        <v>3.8</v>
      </c>
      <c r="J2340" s="4">
        <v>6</v>
      </c>
      <c r="K2340" s="3">
        <v>3</v>
      </c>
      <c r="L2340" s="1">
        <f t="shared" si="108"/>
        <v>103.39059999999999</v>
      </c>
      <c r="M2340" t="str" cm="1">
        <f t="array" ref="M2340">_xlfn.IFS(B2340&lt;18,"Under 18",B2340 &lt;=25,"18-25",B2340&lt;=35,"26-35",B2340&lt;=45,"36-45",B2340&lt;=60,"46-60",TRUE,"60+")</f>
        <v>46-60</v>
      </c>
      <c r="N2340" t="str">
        <f t="shared" si="109"/>
        <v>Discounted</v>
      </c>
      <c r="O2340" t="str">
        <f t="shared" si="110"/>
        <v>Returning</v>
      </c>
    </row>
    <row r="2341" spans="1:15" x14ac:dyDescent="0.25">
      <c r="A2341">
        <v>2340</v>
      </c>
      <c r="B2341">
        <v>26</v>
      </c>
      <c r="C2341" t="s">
        <v>16</v>
      </c>
      <c r="D2341" t="s">
        <v>33</v>
      </c>
      <c r="E2341" t="s">
        <v>38</v>
      </c>
      <c r="F2341" s="1">
        <v>123.73</v>
      </c>
      <c r="G2341" t="s">
        <v>19</v>
      </c>
      <c r="H2341" t="s">
        <v>15</v>
      </c>
      <c r="I2341" s="2">
        <v>3.3</v>
      </c>
      <c r="J2341" s="4">
        <v>23</v>
      </c>
      <c r="K2341" s="3">
        <v>9</v>
      </c>
      <c r="L2341" s="1">
        <f t="shared" si="108"/>
        <v>95.272100000000009</v>
      </c>
      <c r="M2341" t="str" cm="1">
        <f t="array" ref="M2341">_xlfn.IFS(B2341&lt;18,"Under 18",B2341 &lt;=25,"18-25",B2341&lt;=35,"26-35",B2341&lt;=45,"36-45",B2341&lt;=60,"46-60",TRUE,"60+")</f>
        <v>26-35</v>
      </c>
      <c r="N2341" t="str">
        <f t="shared" si="109"/>
        <v>Discounted</v>
      </c>
      <c r="O2341" t="str">
        <f t="shared" si="110"/>
        <v>Returning</v>
      </c>
    </row>
    <row r="2342" spans="1:15" x14ac:dyDescent="0.25">
      <c r="A2342">
        <v>2341</v>
      </c>
      <c r="B2342">
        <v>66</v>
      </c>
      <c r="C2342" t="s">
        <v>11</v>
      </c>
      <c r="D2342" t="s">
        <v>29</v>
      </c>
      <c r="E2342" t="s">
        <v>55</v>
      </c>
      <c r="F2342" s="1">
        <v>102.25</v>
      </c>
      <c r="G2342" t="s">
        <v>19</v>
      </c>
      <c r="H2342" t="s">
        <v>15</v>
      </c>
      <c r="I2342" s="2">
        <v>3.4</v>
      </c>
      <c r="J2342" s="4">
        <v>16</v>
      </c>
      <c r="K2342" s="3">
        <v>3</v>
      </c>
      <c r="L2342" s="1">
        <f t="shared" si="108"/>
        <v>85.89</v>
      </c>
      <c r="M2342" t="str" cm="1">
        <f t="array" ref="M2342">_xlfn.IFS(B2342&lt;18,"Under 18",B2342 &lt;=25,"18-25",B2342&lt;=35,"26-35",B2342&lt;=45,"36-45",B2342&lt;=60,"46-60",TRUE,"60+")</f>
        <v>60+</v>
      </c>
      <c r="N2342" t="str">
        <f t="shared" si="109"/>
        <v>Discounted</v>
      </c>
      <c r="O2342" t="str">
        <f t="shared" si="110"/>
        <v>Returning</v>
      </c>
    </row>
    <row r="2343" spans="1:15" x14ac:dyDescent="0.25">
      <c r="A2343">
        <v>2342</v>
      </c>
      <c r="B2343">
        <v>49</v>
      </c>
      <c r="C2343" t="s">
        <v>11</v>
      </c>
      <c r="D2343" t="s">
        <v>41</v>
      </c>
      <c r="E2343" t="s">
        <v>46</v>
      </c>
      <c r="F2343" s="1">
        <v>46.77</v>
      </c>
      <c r="G2343" t="s">
        <v>31</v>
      </c>
      <c r="H2343" t="s">
        <v>37</v>
      </c>
      <c r="I2343" s="2">
        <v>4.4000000000000004</v>
      </c>
      <c r="J2343" s="4">
        <v>14</v>
      </c>
      <c r="K2343" s="3">
        <v>2</v>
      </c>
      <c r="L2343" s="1">
        <f t="shared" si="108"/>
        <v>40.222200000000001</v>
      </c>
      <c r="M2343" t="str" cm="1">
        <f t="array" ref="M2343">_xlfn.IFS(B2343&lt;18,"Under 18",B2343 &lt;=25,"18-25",B2343&lt;=35,"26-35",B2343&lt;=45,"36-45",B2343&lt;=60,"46-60",TRUE,"60+")</f>
        <v>46-60</v>
      </c>
      <c r="N2343" t="str">
        <f t="shared" si="109"/>
        <v>Discounted</v>
      </c>
      <c r="O2343" t="str">
        <f t="shared" si="110"/>
        <v>Returning</v>
      </c>
    </row>
    <row r="2344" spans="1:15" x14ac:dyDescent="0.25">
      <c r="A2344">
        <v>2343</v>
      </c>
      <c r="B2344">
        <v>52</v>
      </c>
      <c r="C2344" t="s">
        <v>16</v>
      </c>
      <c r="D2344" t="s">
        <v>33</v>
      </c>
      <c r="E2344" t="s">
        <v>38</v>
      </c>
      <c r="F2344" s="1">
        <v>107.99</v>
      </c>
      <c r="G2344" t="s">
        <v>24</v>
      </c>
      <c r="H2344" t="s">
        <v>15</v>
      </c>
      <c r="I2344" s="2">
        <v>3.7</v>
      </c>
      <c r="J2344" s="4">
        <v>14</v>
      </c>
      <c r="K2344" s="3">
        <v>7</v>
      </c>
      <c r="L2344" s="1">
        <f t="shared" si="108"/>
        <v>92.871399999999994</v>
      </c>
      <c r="M2344" t="str" cm="1">
        <f t="array" ref="M2344">_xlfn.IFS(B2344&lt;18,"Under 18",B2344 &lt;=25,"18-25",B2344&lt;=35,"26-35",B2344&lt;=45,"36-45",B2344&lt;=60,"46-60",TRUE,"60+")</f>
        <v>46-60</v>
      </c>
      <c r="N2344" t="str">
        <f t="shared" si="109"/>
        <v>Discounted</v>
      </c>
      <c r="O2344" t="str">
        <f t="shared" si="110"/>
        <v>Returning</v>
      </c>
    </row>
    <row r="2345" spans="1:15" x14ac:dyDescent="0.25">
      <c r="A2345">
        <v>2344</v>
      </c>
      <c r="B2345">
        <v>57</v>
      </c>
      <c r="C2345" t="s">
        <v>11</v>
      </c>
      <c r="D2345" t="s">
        <v>20</v>
      </c>
      <c r="E2345" t="s">
        <v>36</v>
      </c>
      <c r="F2345" s="1">
        <v>133.57</v>
      </c>
      <c r="G2345" t="s">
        <v>14</v>
      </c>
      <c r="H2345" t="s">
        <v>15</v>
      </c>
      <c r="I2345" s="2">
        <v>3.8</v>
      </c>
      <c r="J2345" s="4">
        <v>24</v>
      </c>
      <c r="K2345" s="3">
        <v>7</v>
      </c>
      <c r="L2345" s="1">
        <f t="shared" si="108"/>
        <v>101.5132</v>
      </c>
      <c r="M2345" t="str" cm="1">
        <f t="array" ref="M2345">_xlfn.IFS(B2345&lt;18,"Under 18",B2345 &lt;=25,"18-25",B2345&lt;=35,"26-35",B2345&lt;=45,"36-45",B2345&lt;=60,"46-60",TRUE,"60+")</f>
        <v>46-60</v>
      </c>
      <c r="N2345" t="str">
        <f t="shared" si="109"/>
        <v>Discounted</v>
      </c>
      <c r="O2345" t="str">
        <f t="shared" si="110"/>
        <v>Returning</v>
      </c>
    </row>
    <row r="2346" spans="1:15" x14ac:dyDescent="0.25">
      <c r="A2346">
        <v>2345</v>
      </c>
      <c r="B2346">
        <v>66</v>
      </c>
      <c r="C2346" t="s">
        <v>16</v>
      </c>
      <c r="D2346" t="s">
        <v>17</v>
      </c>
      <c r="E2346" t="s">
        <v>35</v>
      </c>
      <c r="F2346" s="1">
        <v>95.73</v>
      </c>
      <c r="G2346" t="s">
        <v>24</v>
      </c>
      <c r="H2346" t="s">
        <v>37</v>
      </c>
      <c r="I2346" s="2">
        <v>2.7</v>
      </c>
      <c r="J2346" s="4">
        <v>19</v>
      </c>
      <c r="K2346" s="3">
        <v>7</v>
      </c>
      <c r="L2346" s="1">
        <f t="shared" si="108"/>
        <v>77.541300000000007</v>
      </c>
      <c r="M2346" t="str" cm="1">
        <f t="array" ref="M2346">_xlfn.IFS(B2346&lt;18,"Under 18",B2346 &lt;=25,"18-25",B2346&lt;=35,"26-35",B2346&lt;=45,"36-45",B2346&lt;=60,"46-60",TRUE,"60+")</f>
        <v>60+</v>
      </c>
      <c r="N2346" t="str">
        <f t="shared" si="109"/>
        <v>Discounted</v>
      </c>
      <c r="O2346" t="str">
        <f t="shared" si="110"/>
        <v>Returning</v>
      </c>
    </row>
    <row r="2347" spans="1:15" x14ac:dyDescent="0.25">
      <c r="A2347">
        <v>2346</v>
      </c>
      <c r="B2347">
        <v>55</v>
      </c>
      <c r="C2347" t="s">
        <v>16</v>
      </c>
      <c r="D2347" t="s">
        <v>33</v>
      </c>
      <c r="E2347" t="s">
        <v>38</v>
      </c>
      <c r="F2347" s="1">
        <v>97.58</v>
      </c>
      <c r="G2347" t="s">
        <v>19</v>
      </c>
      <c r="H2347" t="s">
        <v>15</v>
      </c>
      <c r="I2347" s="2">
        <v>3.5</v>
      </c>
      <c r="J2347" s="4">
        <v>16</v>
      </c>
      <c r="K2347" s="3">
        <v>3</v>
      </c>
      <c r="L2347" s="1">
        <f t="shared" si="108"/>
        <v>81.967199999999991</v>
      </c>
      <c r="M2347" t="str" cm="1">
        <f t="array" ref="M2347">_xlfn.IFS(B2347&lt;18,"Under 18",B2347 &lt;=25,"18-25",B2347&lt;=35,"26-35",B2347&lt;=45,"36-45",B2347&lt;=60,"46-60",TRUE,"60+")</f>
        <v>46-60</v>
      </c>
      <c r="N2347" t="str">
        <f t="shared" si="109"/>
        <v>Discounted</v>
      </c>
      <c r="O2347" t="str">
        <f t="shared" si="110"/>
        <v>Returning</v>
      </c>
    </row>
    <row r="2348" spans="1:15" x14ac:dyDescent="0.25">
      <c r="A2348">
        <v>2347</v>
      </c>
      <c r="B2348">
        <v>34</v>
      </c>
      <c r="C2348" t="s">
        <v>11</v>
      </c>
      <c r="D2348" t="s">
        <v>33</v>
      </c>
      <c r="E2348" t="s">
        <v>38</v>
      </c>
      <c r="F2348" s="1">
        <v>46.66</v>
      </c>
      <c r="G2348" t="s">
        <v>14</v>
      </c>
      <c r="H2348" t="s">
        <v>15</v>
      </c>
      <c r="I2348" s="2">
        <v>4.0999999999999996</v>
      </c>
      <c r="J2348" s="4">
        <v>15</v>
      </c>
      <c r="K2348" s="3">
        <v>5</v>
      </c>
      <c r="L2348" s="1">
        <f t="shared" si="108"/>
        <v>39.660999999999994</v>
      </c>
      <c r="M2348" t="str" cm="1">
        <f t="array" ref="M2348">_xlfn.IFS(B2348&lt;18,"Under 18",B2348 &lt;=25,"18-25",B2348&lt;=35,"26-35",B2348&lt;=45,"36-45",B2348&lt;=60,"46-60",TRUE,"60+")</f>
        <v>26-35</v>
      </c>
      <c r="N2348" t="str">
        <f t="shared" si="109"/>
        <v>Discounted</v>
      </c>
      <c r="O2348" t="str">
        <f t="shared" si="110"/>
        <v>Returning</v>
      </c>
    </row>
    <row r="2349" spans="1:15" x14ac:dyDescent="0.25">
      <c r="A2349">
        <v>2348</v>
      </c>
      <c r="B2349">
        <v>57</v>
      </c>
      <c r="C2349" t="s">
        <v>11</v>
      </c>
      <c r="D2349" t="s">
        <v>41</v>
      </c>
      <c r="E2349" t="s">
        <v>44</v>
      </c>
      <c r="F2349" s="1">
        <v>120.4</v>
      </c>
      <c r="G2349" t="s">
        <v>19</v>
      </c>
      <c r="H2349" t="s">
        <v>15</v>
      </c>
      <c r="I2349" s="2">
        <v>3.5</v>
      </c>
      <c r="J2349" s="4">
        <v>18</v>
      </c>
      <c r="K2349" s="3">
        <v>4</v>
      </c>
      <c r="L2349" s="1">
        <f t="shared" si="108"/>
        <v>98.728000000000009</v>
      </c>
      <c r="M2349" t="str" cm="1">
        <f t="array" ref="M2349">_xlfn.IFS(B2349&lt;18,"Under 18",B2349 &lt;=25,"18-25",B2349&lt;=35,"26-35",B2349&lt;=45,"36-45",B2349&lt;=60,"46-60",TRUE,"60+")</f>
        <v>46-60</v>
      </c>
      <c r="N2349" t="str">
        <f t="shared" si="109"/>
        <v>Discounted</v>
      </c>
      <c r="O2349" t="str">
        <f t="shared" si="110"/>
        <v>Returning</v>
      </c>
    </row>
    <row r="2350" spans="1:15" x14ac:dyDescent="0.25">
      <c r="A2350">
        <v>2349</v>
      </c>
      <c r="B2350">
        <v>25</v>
      </c>
      <c r="C2350" t="s">
        <v>11</v>
      </c>
      <c r="D2350" t="s">
        <v>25</v>
      </c>
      <c r="E2350" t="s">
        <v>57</v>
      </c>
      <c r="F2350" s="1">
        <v>32.25</v>
      </c>
      <c r="G2350" t="s">
        <v>24</v>
      </c>
      <c r="H2350" t="s">
        <v>37</v>
      </c>
      <c r="I2350" s="2">
        <v>3.5</v>
      </c>
      <c r="J2350" s="4">
        <v>15</v>
      </c>
      <c r="K2350" s="3">
        <v>5</v>
      </c>
      <c r="L2350" s="1">
        <f t="shared" si="108"/>
        <v>27.412499999999998</v>
      </c>
      <c r="M2350" t="str" cm="1">
        <f t="array" ref="M2350">_xlfn.IFS(B2350&lt;18,"Under 18",B2350 &lt;=25,"18-25",B2350&lt;=35,"26-35",B2350&lt;=45,"36-45",B2350&lt;=60,"46-60",TRUE,"60+")</f>
        <v>18-25</v>
      </c>
      <c r="N2350" t="str">
        <f t="shared" si="109"/>
        <v>Discounted</v>
      </c>
      <c r="O2350" t="str">
        <f t="shared" si="110"/>
        <v>Returning</v>
      </c>
    </row>
    <row r="2351" spans="1:15" x14ac:dyDescent="0.25">
      <c r="A2351">
        <v>2350</v>
      </c>
      <c r="B2351">
        <v>56</v>
      </c>
      <c r="C2351" t="s">
        <v>11</v>
      </c>
      <c r="D2351" t="s">
        <v>29</v>
      </c>
      <c r="E2351" t="s">
        <v>51</v>
      </c>
      <c r="F2351" s="1">
        <v>140.52000000000001</v>
      </c>
      <c r="G2351" t="s">
        <v>14</v>
      </c>
      <c r="H2351" t="s">
        <v>15</v>
      </c>
      <c r="I2351" s="2">
        <v>3.7</v>
      </c>
      <c r="J2351" s="4">
        <v>6</v>
      </c>
      <c r="K2351" s="3">
        <v>3</v>
      </c>
      <c r="L2351" s="1">
        <f t="shared" si="108"/>
        <v>132.08879999999999</v>
      </c>
      <c r="M2351" t="str" cm="1">
        <f t="array" ref="M2351">_xlfn.IFS(B2351&lt;18,"Under 18",B2351 &lt;=25,"18-25",B2351&lt;=35,"26-35",B2351&lt;=45,"36-45",B2351&lt;=60,"46-60",TRUE,"60+")</f>
        <v>46-60</v>
      </c>
      <c r="N2351" t="str">
        <f t="shared" si="109"/>
        <v>Discounted</v>
      </c>
      <c r="O2351" t="str">
        <f t="shared" si="110"/>
        <v>Returning</v>
      </c>
    </row>
    <row r="2352" spans="1:15" x14ac:dyDescent="0.25">
      <c r="A2352">
        <v>2351</v>
      </c>
      <c r="B2352">
        <v>63</v>
      </c>
      <c r="C2352" t="s">
        <v>16</v>
      </c>
      <c r="D2352" t="s">
        <v>17</v>
      </c>
      <c r="E2352" t="s">
        <v>35</v>
      </c>
      <c r="F2352" s="1">
        <v>56.51</v>
      </c>
      <c r="G2352" t="s">
        <v>19</v>
      </c>
      <c r="H2352" t="s">
        <v>15</v>
      </c>
      <c r="I2352" s="2">
        <v>3.4</v>
      </c>
      <c r="J2352" s="4">
        <v>13</v>
      </c>
      <c r="K2352" s="3">
        <v>4</v>
      </c>
      <c r="L2352" s="1">
        <f t="shared" si="108"/>
        <v>49.163699999999999</v>
      </c>
      <c r="M2352" t="str" cm="1">
        <f t="array" ref="M2352">_xlfn.IFS(B2352&lt;18,"Under 18",B2352 &lt;=25,"18-25",B2352&lt;=35,"26-35",B2352&lt;=45,"36-45",B2352&lt;=60,"46-60",TRUE,"60+")</f>
        <v>60+</v>
      </c>
      <c r="N2352" t="str">
        <f t="shared" si="109"/>
        <v>Discounted</v>
      </c>
      <c r="O2352" t="str">
        <f t="shared" si="110"/>
        <v>Returning</v>
      </c>
    </row>
    <row r="2353" spans="1:15" x14ac:dyDescent="0.25">
      <c r="A2353">
        <v>2352</v>
      </c>
      <c r="B2353">
        <v>41</v>
      </c>
      <c r="C2353" t="s">
        <v>16</v>
      </c>
      <c r="D2353" t="s">
        <v>27</v>
      </c>
      <c r="E2353" t="s">
        <v>32</v>
      </c>
      <c r="F2353" s="1">
        <v>1053.68</v>
      </c>
      <c r="G2353" t="s">
        <v>31</v>
      </c>
      <c r="H2353" t="s">
        <v>15</v>
      </c>
      <c r="I2353" s="2">
        <v>3.5</v>
      </c>
      <c r="J2353" s="4">
        <v>6</v>
      </c>
      <c r="K2353" s="3">
        <v>3</v>
      </c>
      <c r="L2353" s="1">
        <f t="shared" si="108"/>
        <v>990.45920000000001</v>
      </c>
      <c r="M2353" t="str" cm="1">
        <f t="array" ref="M2353">_xlfn.IFS(B2353&lt;18,"Under 18",B2353 &lt;=25,"18-25",B2353&lt;=35,"26-35",B2353&lt;=45,"36-45",B2353&lt;=60,"46-60",TRUE,"60+")</f>
        <v>36-45</v>
      </c>
      <c r="N2353" t="str">
        <f t="shared" si="109"/>
        <v>Discounted</v>
      </c>
      <c r="O2353" t="str">
        <f t="shared" si="110"/>
        <v>Returning</v>
      </c>
    </row>
    <row r="2354" spans="1:15" x14ac:dyDescent="0.25">
      <c r="A2354">
        <v>2353</v>
      </c>
      <c r="B2354">
        <v>57</v>
      </c>
      <c r="C2354" t="s">
        <v>16</v>
      </c>
      <c r="D2354" t="s">
        <v>17</v>
      </c>
      <c r="E2354" t="s">
        <v>18</v>
      </c>
      <c r="F2354" s="1">
        <v>147.72999999999999</v>
      </c>
      <c r="G2354" t="s">
        <v>24</v>
      </c>
      <c r="H2354" t="s">
        <v>15</v>
      </c>
      <c r="I2354" s="2">
        <v>3.6</v>
      </c>
      <c r="J2354" s="4">
        <v>15</v>
      </c>
      <c r="K2354" s="3">
        <v>5</v>
      </c>
      <c r="L2354" s="1">
        <f t="shared" si="108"/>
        <v>125.57049999999998</v>
      </c>
      <c r="M2354" t="str" cm="1">
        <f t="array" ref="M2354">_xlfn.IFS(B2354&lt;18,"Under 18",B2354 &lt;=25,"18-25",B2354&lt;=35,"26-35",B2354&lt;=45,"36-45",B2354&lt;=60,"46-60",TRUE,"60+")</f>
        <v>46-60</v>
      </c>
      <c r="N2354" t="str">
        <f t="shared" si="109"/>
        <v>Discounted</v>
      </c>
      <c r="O2354" t="str">
        <f t="shared" si="110"/>
        <v>Returning</v>
      </c>
    </row>
    <row r="2355" spans="1:15" x14ac:dyDescent="0.25">
      <c r="A2355">
        <v>2354</v>
      </c>
      <c r="B2355">
        <v>29</v>
      </c>
      <c r="C2355" t="s">
        <v>11</v>
      </c>
      <c r="D2355" t="s">
        <v>22</v>
      </c>
      <c r="E2355" t="s">
        <v>23</v>
      </c>
      <c r="F2355" s="1">
        <v>58.79</v>
      </c>
      <c r="G2355" t="s">
        <v>14</v>
      </c>
      <c r="H2355" t="s">
        <v>37</v>
      </c>
      <c r="I2355" s="2">
        <v>2.4</v>
      </c>
      <c r="J2355" s="4">
        <v>18</v>
      </c>
      <c r="K2355" s="3">
        <v>9</v>
      </c>
      <c r="L2355" s="1">
        <f t="shared" si="108"/>
        <v>48.207800000000006</v>
      </c>
      <c r="M2355" t="str" cm="1">
        <f t="array" ref="M2355">_xlfn.IFS(B2355&lt;18,"Under 18",B2355 &lt;=25,"18-25",B2355&lt;=35,"26-35",B2355&lt;=45,"36-45",B2355&lt;=60,"46-60",TRUE,"60+")</f>
        <v>26-35</v>
      </c>
      <c r="N2355" t="str">
        <f t="shared" si="109"/>
        <v>Discounted</v>
      </c>
      <c r="O2355" t="str">
        <f t="shared" si="110"/>
        <v>Returning</v>
      </c>
    </row>
    <row r="2356" spans="1:15" x14ac:dyDescent="0.25">
      <c r="A2356">
        <v>2355</v>
      </c>
      <c r="B2356">
        <v>52</v>
      </c>
      <c r="C2356" t="s">
        <v>11</v>
      </c>
      <c r="D2356" t="s">
        <v>25</v>
      </c>
      <c r="E2356" t="s">
        <v>47</v>
      </c>
      <c r="F2356" s="1">
        <v>17.37</v>
      </c>
      <c r="G2356" t="s">
        <v>24</v>
      </c>
      <c r="H2356" t="s">
        <v>37</v>
      </c>
      <c r="I2356" s="2">
        <v>4.3</v>
      </c>
      <c r="J2356" s="4">
        <v>17</v>
      </c>
      <c r="K2356" s="3">
        <v>6</v>
      </c>
      <c r="L2356" s="1">
        <f t="shared" si="108"/>
        <v>14.4171</v>
      </c>
      <c r="M2356" t="str" cm="1">
        <f t="array" ref="M2356">_xlfn.IFS(B2356&lt;18,"Under 18",B2356 &lt;=25,"18-25",B2356&lt;=35,"26-35",B2356&lt;=45,"36-45",B2356&lt;=60,"46-60",TRUE,"60+")</f>
        <v>46-60</v>
      </c>
      <c r="N2356" t="str">
        <f t="shared" si="109"/>
        <v>Discounted</v>
      </c>
      <c r="O2356" t="str">
        <f t="shared" si="110"/>
        <v>Returning</v>
      </c>
    </row>
    <row r="2357" spans="1:15" x14ac:dyDescent="0.25">
      <c r="A2357">
        <v>2356</v>
      </c>
      <c r="B2357">
        <v>59</v>
      </c>
      <c r="C2357" t="s">
        <v>11</v>
      </c>
      <c r="D2357" t="s">
        <v>12</v>
      </c>
      <c r="E2357" t="s">
        <v>56</v>
      </c>
      <c r="F2357" s="1">
        <v>153.74</v>
      </c>
      <c r="G2357" t="s">
        <v>24</v>
      </c>
      <c r="H2357" t="s">
        <v>15</v>
      </c>
      <c r="I2357" s="2">
        <v>4</v>
      </c>
      <c r="J2357" s="4">
        <v>15</v>
      </c>
      <c r="K2357" s="3">
        <v>5</v>
      </c>
      <c r="L2357" s="1">
        <f t="shared" si="108"/>
        <v>130.679</v>
      </c>
      <c r="M2357" t="str" cm="1">
        <f t="array" ref="M2357">_xlfn.IFS(B2357&lt;18,"Under 18",B2357 &lt;=25,"18-25",B2357&lt;=35,"26-35",B2357&lt;=45,"36-45",B2357&lt;=60,"46-60",TRUE,"60+")</f>
        <v>46-60</v>
      </c>
      <c r="N2357" t="str">
        <f t="shared" si="109"/>
        <v>Discounted</v>
      </c>
      <c r="O2357" t="str">
        <f t="shared" si="110"/>
        <v>Returning</v>
      </c>
    </row>
    <row r="2358" spans="1:15" x14ac:dyDescent="0.25">
      <c r="A2358">
        <v>2357</v>
      </c>
      <c r="B2358">
        <v>70</v>
      </c>
      <c r="C2358" t="s">
        <v>16</v>
      </c>
      <c r="D2358" t="s">
        <v>25</v>
      </c>
      <c r="E2358" t="s">
        <v>54</v>
      </c>
      <c r="F2358" s="1">
        <v>22.29</v>
      </c>
      <c r="G2358" t="s">
        <v>24</v>
      </c>
      <c r="H2358" t="s">
        <v>37</v>
      </c>
      <c r="I2358" s="2">
        <v>4.2</v>
      </c>
      <c r="J2358" s="4">
        <v>12</v>
      </c>
      <c r="K2358" s="3">
        <v>6</v>
      </c>
      <c r="L2358" s="1">
        <f t="shared" si="108"/>
        <v>19.615199999999998</v>
      </c>
      <c r="M2358" t="str" cm="1">
        <f t="array" ref="M2358">_xlfn.IFS(B2358&lt;18,"Under 18",B2358 &lt;=25,"18-25",B2358&lt;=35,"26-35",B2358&lt;=45,"36-45",B2358&lt;=60,"46-60",TRUE,"60+")</f>
        <v>60+</v>
      </c>
      <c r="N2358" t="str">
        <f t="shared" si="109"/>
        <v>Discounted</v>
      </c>
      <c r="O2358" t="str">
        <f t="shared" si="110"/>
        <v>Returning</v>
      </c>
    </row>
    <row r="2359" spans="1:15" x14ac:dyDescent="0.25">
      <c r="A2359">
        <v>2358</v>
      </c>
      <c r="B2359">
        <v>50</v>
      </c>
      <c r="C2359" t="s">
        <v>11</v>
      </c>
      <c r="D2359" t="s">
        <v>29</v>
      </c>
      <c r="E2359" t="s">
        <v>51</v>
      </c>
      <c r="F2359" s="1">
        <v>29.51</v>
      </c>
      <c r="G2359" t="s">
        <v>19</v>
      </c>
      <c r="H2359" t="s">
        <v>37</v>
      </c>
      <c r="I2359" s="2">
        <v>4.2</v>
      </c>
      <c r="J2359" s="4">
        <v>34</v>
      </c>
      <c r="K2359" s="3">
        <v>12</v>
      </c>
      <c r="L2359" s="1">
        <f t="shared" si="108"/>
        <v>19.476599999999998</v>
      </c>
      <c r="M2359" t="str" cm="1">
        <f t="array" ref="M2359">_xlfn.IFS(B2359&lt;18,"Under 18",B2359 &lt;=25,"18-25",B2359&lt;=35,"26-35",B2359&lt;=45,"36-45",B2359&lt;=60,"46-60",TRUE,"60+")</f>
        <v>46-60</v>
      </c>
      <c r="N2359" t="str">
        <f t="shared" si="109"/>
        <v>Discounted</v>
      </c>
      <c r="O2359" t="str">
        <f t="shared" si="110"/>
        <v>Returning</v>
      </c>
    </row>
    <row r="2360" spans="1:15" x14ac:dyDescent="0.25">
      <c r="A2360">
        <v>2359</v>
      </c>
      <c r="B2360">
        <v>24</v>
      </c>
      <c r="C2360" t="s">
        <v>16</v>
      </c>
      <c r="D2360" t="s">
        <v>20</v>
      </c>
      <c r="E2360" t="s">
        <v>36</v>
      </c>
      <c r="F2360" s="1">
        <v>232.38</v>
      </c>
      <c r="G2360" t="s">
        <v>19</v>
      </c>
      <c r="H2360" t="s">
        <v>15</v>
      </c>
      <c r="I2360" s="2">
        <v>4.7</v>
      </c>
      <c r="J2360" s="4">
        <v>22</v>
      </c>
      <c r="K2360" s="3">
        <v>6</v>
      </c>
      <c r="L2360" s="1">
        <f t="shared" si="108"/>
        <v>181.25640000000001</v>
      </c>
      <c r="M2360" t="str" cm="1">
        <f t="array" ref="M2360">_xlfn.IFS(B2360&lt;18,"Under 18",B2360 &lt;=25,"18-25",B2360&lt;=35,"26-35",B2360&lt;=45,"36-45",B2360&lt;=60,"46-60",TRUE,"60+")</f>
        <v>18-25</v>
      </c>
      <c r="N2360" t="str">
        <f t="shared" si="109"/>
        <v>Discounted</v>
      </c>
      <c r="O2360" t="str">
        <f t="shared" si="110"/>
        <v>Returning</v>
      </c>
    </row>
    <row r="2361" spans="1:15" x14ac:dyDescent="0.25">
      <c r="A2361">
        <v>2360</v>
      </c>
      <c r="B2361">
        <v>45</v>
      </c>
      <c r="C2361" t="s">
        <v>11</v>
      </c>
      <c r="D2361" t="s">
        <v>20</v>
      </c>
      <c r="E2361" t="s">
        <v>36</v>
      </c>
      <c r="F2361" s="1">
        <v>107.39</v>
      </c>
      <c r="G2361" t="s">
        <v>19</v>
      </c>
      <c r="H2361" t="s">
        <v>15</v>
      </c>
      <c r="I2361" s="2">
        <v>4.0999999999999996</v>
      </c>
      <c r="J2361" s="4">
        <v>12</v>
      </c>
      <c r="K2361" s="3">
        <v>6</v>
      </c>
      <c r="L2361" s="1">
        <f t="shared" si="108"/>
        <v>94.503200000000007</v>
      </c>
      <c r="M2361" t="str" cm="1">
        <f t="array" ref="M2361">_xlfn.IFS(B2361&lt;18,"Under 18",B2361 &lt;=25,"18-25",B2361&lt;=35,"26-35",B2361&lt;=45,"36-45",B2361&lt;=60,"46-60",TRUE,"60+")</f>
        <v>36-45</v>
      </c>
      <c r="N2361" t="str">
        <f t="shared" si="109"/>
        <v>Discounted</v>
      </c>
      <c r="O2361" t="str">
        <f t="shared" si="110"/>
        <v>Returning</v>
      </c>
    </row>
    <row r="2362" spans="1:15" x14ac:dyDescent="0.25">
      <c r="A2362">
        <v>2361</v>
      </c>
      <c r="B2362">
        <v>59</v>
      </c>
      <c r="C2362" t="s">
        <v>11</v>
      </c>
      <c r="D2362" t="s">
        <v>12</v>
      </c>
      <c r="E2362" t="s">
        <v>13</v>
      </c>
      <c r="F2362" s="1">
        <v>97.16</v>
      </c>
      <c r="G2362" t="s">
        <v>24</v>
      </c>
      <c r="H2362" t="s">
        <v>37</v>
      </c>
      <c r="I2362" s="2">
        <v>2.9</v>
      </c>
      <c r="J2362" s="4">
        <v>17</v>
      </c>
      <c r="K2362" s="3">
        <v>6</v>
      </c>
      <c r="L2362" s="1">
        <f t="shared" si="108"/>
        <v>80.642799999999994</v>
      </c>
      <c r="M2362" t="str" cm="1">
        <f t="array" ref="M2362">_xlfn.IFS(B2362&lt;18,"Under 18",B2362 &lt;=25,"18-25",B2362&lt;=35,"26-35",B2362&lt;=45,"36-45",B2362&lt;=60,"46-60",TRUE,"60+")</f>
        <v>46-60</v>
      </c>
      <c r="N2362" t="str">
        <f t="shared" si="109"/>
        <v>Discounted</v>
      </c>
      <c r="O2362" t="str">
        <f t="shared" si="110"/>
        <v>Returning</v>
      </c>
    </row>
    <row r="2363" spans="1:15" x14ac:dyDescent="0.25">
      <c r="A2363">
        <v>2362</v>
      </c>
      <c r="B2363">
        <v>46</v>
      </c>
      <c r="C2363" t="s">
        <v>16</v>
      </c>
      <c r="D2363" t="s">
        <v>20</v>
      </c>
      <c r="E2363" t="s">
        <v>39</v>
      </c>
      <c r="F2363" s="1">
        <v>173.47</v>
      </c>
      <c r="G2363" t="s">
        <v>19</v>
      </c>
      <c r="H2363" t="s">
        <v>15</v>
      </c>
      <c r="I2363" s="2">
        <v>4</v>
      </c>
      <c r="J2363" s="4">
        <v>24</v>
      </c>
      <c r="K2363" s="3">
        <v>7</v>
      </c>
      <c r="L2363" s="1">
        <f t="shared" si="108"/>
        <v>131.8372</v>
      </c>
      <c r="M2363" t="str" cm="1">
        <f t="array" ref="M2363">_xlfn.IFS(B2363&lt;18,"Under 18",B2363 &lt;=25,"18-25",B2363&lt;=35,"26-35",B2363&lt;=45,"36-45",B2363&lt;=60,"46-60",TRUE,"60+")</f>
        <v>46-60</v>
      </c>
      <c r="N2363" t="str">
        <f t="shared" si="109"/>
        <v>Discounted</v>
      </c>
      <c r="O2363" t="str">
        <f t="shared" si="110"/>
        <v>Returning</v>
      </c>
    </row>
    <row r="2364" spans="1:15" x14ac:dyDescent="0.25">
      <c r="A2364">
        <v>2363</v>
      </c>
      <c r="B2364">
        <v>42</v>
      </c>
      <c r="C2364" t="s">
        <v>11</v>
      </c>
      <c r="D2364" t="s">
        <v>33</v>
      </c>
      <c r="E2364" t="s">
        <v>34</v>
      </c>
      <c r="F2364" s="1">
        <v>119.21</v>
      </c>
      <c r="G2364" t="s">
        <v>31</v>
      </c>
      <c r="H2364" t="s">
        <v>15</v>
      </c>
      <c r="I2364" s="2">
        <v>2.7</v>
      </c>
      <c r="J2364" s="4">
        <v>6</v>
      </c>
      <c r="K2364" s="3">
        <v>3</v>
      </c>
      <c r="L2364" s="1">
        <f t="shared" si="108"/>
        <v>112.05739999999999</v>
      </c>
      <c r="M2364" t="str" cm="1">
        <f t="array" ref="M2364">_xlfn.IFS(B2364&lt;18,"Under 18",B2364 &lt;=25,"18-25",B2364&lt;=35,"26-35",B2364&lt;=45,"36-45",B2364&lt;=60,"46-60",TRUE,"60+")</f>
        <v>36-45</v>
      </c>
      <c r="N2364" t="str">
        <f t="shared" si="109"/>
        <v>Discounted</v>
      </c>
      <c r="O2364" t="str">
        <f t="shared" si="110"/>
        <v>Returning</v>
      </c>
    </row>
    <row r="2365" spans="1:15" x14ac:dyDescent="0.25">
      <c r="A2365">
        <v>2364</v>
      </c>
      <c r="B2365">
        <v>56</v>
      </c>
      <c r="C2365" t="s">
        <v>16</v>
      </c>
      <c r="D2365" t="s">
        <v>20</v>
      </c>
      <c r="E2365" t="s">
        <v>36</v>
      </c>
      <c r="F2365" s="1">
        <v>39.86</v>
      </c>
      <c r="G2365" t="s">
        <v>24</v>
      </c>
      <c r="H2365" t="s">
        <v>15</v>
      </c>
      <c r="I2365" s="2">
        <v>2.9</v>
      </c>
      <c r="J2365" s="4">
        <v>4</v>
      </c>
      <c r="K2365" s="3">
        <v>2</v>
      </c>
      <c r="L2365" s="1">
        <f t="shared" si="108"/>
        <v>38.265599999999999</v>
      </c>
      <c r="M2365" t="str" cm="1">
        <f t="array" ref="M2365">_xlfn.IFS(B2365&lt;18,"Under 18",B2365 &lt;=25,"18-25",B2365&lt;=35,"26-35",B2365&lt;=45,"36-45",B2365&lt;=60,"46-60",TRUE,"60+")</f>
        <v>46-60</v>
      </c>
      <c r="N2365" t="str">
        <f t="shared" si="109"/>
        <v>Discounted</v>
      </c>
      <c r="O2365" t="str">
        <f t="shared" si="110"/>
        <v>Returning</v>
      </c>
    </row>
    <row r="2366" spans="1:15" x14ac:dyDescent="0.25">
      <c r="A2366">
        <v>2365</v>
      </c>
      <c r="B2366">
        <v>22</v>
      </c>
      <c r="C2366" t="s">
        <v>16</v>
      </c>
      <c r="D2366" t="s">
        <v>27</v>
      </c>
      <c r="E2366" t="s">
        <v>32</v>
      </c>
      <c r="F2366" s="1">
        <v>504.91</v>
      </c>
      <c r="G2366" t="s">
        <v>31</v>
      </c>
      <c r="H2366" t="s">
        <v>15</v>
      </c>
      <c r="I2366" s="2">
        <v>3.8</v>
      </c>
      <c r="J2366" s="4">
        <v>15</v>
      </c>
      <c r="K2366" s="3">
        <v>5</v>
      </c>
      <c r="L2366" s="1">
        <f t="shared" si="108"/>
        <v>429.17349999999999</v>
      </c>
      <c r="M2366" t="str" cm="1">
        <f t="array" ref="M2366">_xlfn.IFS(B2366&lt;18,"Under 18",B2366 &lt;=25,"18-25",B2366&lt;=35,"26-35",B2366&lt;=45,"36-45",B2366&lt;=60,"46-60",TRUE,"60+")</f>
        <v>18-25</v>
      </c>
      <c r="N2366" t="str">
        <f t="shared" si="109"/>
        <v>Discounted</v>
      </c>
      <c r="O2366" t="str">
        <f t="shared" si="110"/>
        <v>Returning</v>
      </c>
    </row>
    <row r="2367" spans="1:15" x14ac:dyDescent="0.25">
      <c r="A2367">
        <v>2366</v>
      </c>
      <c r="B2367">
        <v>45</v>
      </c>
      <c r="C2367" t="s">
        <v>16</v>
      </c>
      <c r="D2367" t="s">
        <v>33</v>
      </c>
      <c r="E2367" t="s">
        <v>40</v>
      </c>
      <c r="F2367" s="1">
        <v>96.52</v>
      </c>
      <c r="G2367" t="s">
        <v>19</v>
      </c>
      <c r="H2367" t="s">
        <v>37</v>
      </c>
      <c r="I2367" s="2">
        <v>3.3</v>
      </c>
      <c r="J2367" s="4">
        <v>11</v>
      </c>
      <c r="K2367" s="3">
        <v>3</v>
      </c>
      <c r="L2367" s="1">
        <f t="shared" si="108"/>
        <v>85.902799999999999</v>
      </c>
      <c r="M2367" t="str" cm="1">
        <f t="array" ref="M2367">_xlfn.IFS(B2367&lt;18,"Under 18",B2367 &lt;=25,"18-25",B2367&lt;=35,"26-35",B2367&lt;=45,"36-45",B2367&lt;=60,"46-60",TRUE,"60+")</f>
        <v>36-45</v>
      </c>
      <c r="N2367" t="str">
        <f t="shared" si="109"/>
        <v>Discounted</v>
      </c>
      <c r="O2367" t="str">
        <f t="shared" si="110"/>
        <v>Returning</v>
      </c>
    </row>
    <row r="2368" spans="1:15" x14ac:dyDescent="0.25">
      <c r="A2368">
        <v>2367</v>
      </c>
      <c r="B2368">
        <v>34</v>
      </c>
      <c r="C2368" t="s">
        <v>16</v>
      </c>
      <c r="D2368" t="s">
        <v>33</v>
      </c>
      <c r="E2368" t="s">
        <v>34</v>
      </c>
      <c r="F2368" s="1">
        <v>109.16</v>
      </c>
      <c r="G2368" t="s">
        <v>19</v>
      </c>
      <c r="H2368" t="s">
        <v>15</v>
      </c>
      <c r="I2368" s="2">
        <v>3.7</v>
      </c>
      <c r="J2368" s="4">
        <v>13</v>
      </c>
      <c r="K2368" s="3">
        <v>4</v>
      </c>
      <c r="L2368" s="1">
        <f t="shared" si="108"/>
        <v>94.969200000000001</v>
      </c>
      <c r="M2368" t="str" cm="1">
        <f t="array" ref="M2368">_xlfn.IFS(B2368&lt;18,"Under 18",B2368 &lt;=25,"18-25",B2368&lt;=35,"26-35",B2368&lt;=45,"36-45",B2368&lt;=60,"46-60",TRUE,"60+")</f>
        <v>26-35</v>
      </c>
      <c r="N2368" t="str">
        <f t="shared" si="109"/>
        <v>Discounted</v>
      </c>
      <c r="O2368" t="str">
        <f t="shared" si="110"/>
        <v>Returning</v>
      </c>
    </row>
    <row r="2369" spans="1:15" x14ac:dyDescent="0.25">
      <c r="A2369">
        <v>2368</v>
      </c>
      <c r="B2369">
        <v>69</v>
      </c>
      <c r="C2369" t="s">
        <v>11</v>
      </c>
      <c r="D2369" t="s">
        <v>12</v>
      </c>
      <c r="E2369" t="s">
        <v>56</v>
      </c>
      <c r="F2369" s="1">
        <v>145.25</v>
      </c>
      <c r="G2369" t="s">
        <v>24</v>
      </c>
      <c r="H2369" t="s">
        <v>15</v>
      </c>
      <c r="I2369" s="2">
        <v>4.7</v>
      </c>
      <c r="J2369" s="4">
        <v>11</v>
      </c>
      <c r="K2369" s="3">
        <v>3</v>
      </c>
      <c r="L2369" s="1">
        <f t="shared" si="108"/>
        <v>129.27250000000001</v>
      </c>
      <c r="M2369" t="str" cm="1">
        <f t="array" ref="M2369">_xlfn.IFS(B2369&lt;18,"Under 18",B2369 &lt;=25,"18-25",B2369&lt;=35,"26-35",B2369&lt;=45,"36-45",B2369&lt;=60,"46-60",TRUE,"60+")</f>
        <v>60+</v>
      </c>
      <c r="N2369" t="str">
        <f t="shared" si="109"/>
        <v>Discounted</v>
      </c>
      <c r="O2369" t="str">
        <f t="shared" si="110"/>
        <v>Returning</v>
      </c>
    </row>
    <row r="2370" spans="1:15" x14ac:dyDescent="0.25">
      <c r="A2370">
        <v>2369</v>
      </c>
      <c r="B2370">
        <v>57</v>
      </c>
      <c r="C2370" t="s">
        <v>11</v>
      </c>
      <c r="D2370" t="s">
        <v>41</v>
      </c>
      <c r="E2370" t="s">
        <v>45</v>
      </c>
      <c r="F2370" s="1">
        <v>193.36</v>
      </c>
      <c r="G2370" t="s">
        <v>31</v>
      </c>
      <c r="H2370" t="s">
        <v>15</v>
      </c>
      <c r="I2370" s="2">
        <v>3.8</v>
      </c>
      <c r="J2370" s="4">
        <v>20</v>
      </c>
      <c r="K2370" s="3">
        <v>5</v>
      </c>
      <c r="L2370" s="1">
        <f t="shared" si="108"/>
        <v>154.68800000000002</v>
      </c>
      <c r="M2370" t="str" cm="1">
        <f t="array" ref="M2370">_xlfn.IFS(B2370&lt;18,"Under 18",B2370 &lt;=25,"18-25",B2370&lt;=35,"26-35",B2370&lt;=45,"36-45",B2370&lt;=60,"46-60",TRUE,"60+")</f>
        <v>46-60</v>
      </c>
      <c r="N2370" t="str">
        <f t="shared" si="109"/>
        <v>Discounted</v>
      </c>
      <c r="O2370" t="str">
        <f t="shared" si="110"/>
        <v>Returning</v>
      </c>
    </row>
    <row r="2371" spans="1:15" x14ac:dyDescent="0.25">
      <c r="A2371">
        <v>2370</v>
      </c>
      <c r="B2371">
        <v>36</v>
      </c>
      <c r="C2371" t="s">
        <v>16</v>
      </c>
      <c r="D2371" t="s">
        <v>33</v>
      </c>
      <c r="E2371" t="s">
        <v>38</v>
      </c>
      <c r="F2371" s="1">
        <v>116.93</v>
      </c>
      <c r="G2371" t="s">
        <v>14</v>
      </c>
      <c r="H2371" t="s">
        <v>15</v>
      </c>
      <c r="I2371" s="2">
        <v>4.8</v>
      </c>
      <c r="J2371" s="4">
        <v>32</v>
      </c>
      <c r="K2371" s="3">
        <v>11</v>
      </c>
      <c r="L2371" s="1">
        <f t="shared" ref="L2371:L2434" si="111">F2371 * (1 - J2371 / 100)</f>
        <v>79.5124</v>
      </c>
      <c r="M2371" t="str" cm="1">
        <f t="array" ref="M2371">_xlfn.IFS(B2371&lt;18,"Under 18",B2371 &lt;=25,"18-25",B2371&lt;=35,"26-35",B2371&lt;=45,"36-45",B2371&lt;=60,"46-60",TRUE,"60+")</f>
        <v>36-45</v>
      </c>
      <c r="N2371" t="str">
        <f t="shared" ref="N2371:N2434" si="112">IF(J2371&gt;0,"Discounted","No Discount")</f>
        <v>Discounted</v>
      </c>
      <c r="O2371" t="str">
        <f t="shared" ref="O2371:O2434" si="113">IF(K2371&gt;0,"Returning","New")</f>
        <v>Returning</v>
      </c>
    </row>
    <row r="2372" spans="1:15" x14ac:dyDescent="0.25">
      <c r="A2372">
        <v>2371</v>
      </c>
      <c r="B2372">
        <v>53</v>
      </c>
      <c r="C2372" t="s">
        <v>11</v>
      </c>
      <c r="D2372" t="s">
        <v>12</v>
      </c>
      <c r="E2372" t="s">
        <v>50</v>
      </c>
      <c r="F2372" s="1">
        <v>152.31</v>
      </c>
      <c r="G2372" t="s">
        <v>24</v>
      </c>
      <c r="H2372" t="s">
        <v>15</v>
      </c>
      <c r="I2372" s="2">
        <v>4.7</v>
      </c>
      <c r="J2372" s="4">
        <v>18</v>
      </c>
      <c r="K2372" s="3">
        <v>4</v>
      </c>
      <c r="L2372" s="1">
        <f t="shared" si="111"/>
        <v>124.89420000000001</v>
      </c>
      <c r="M2372" t="str" cm="1">
        <f t="array" ref="M2372">_xlfn.IFS(B2372&lt;18,"Under 18",B2372 &lt;=25,"18-25",B2372&lt;=35,"26-35",B2372&lt;=45,"36-45",B2372&lt;=60,"46-60",TRUE,"60+")</f>
        <v>46-60</v>
      </c>
      <c r="N2372" t="str">
        <f t="shared" si="112"/>
        <v>Discounted</v>
      </c>
      <c r="O2372" t="str">
        <f t="shared" si="113"/>
        <v>Returning</v>
      </c>
    </row>
    <row r="2373" spans="1:15" x14ac:dyDescent="0.25">
      <c r="A2373">
        <v>2372</v>
      </c>
      <c r="B2373">
        <v>27</v>
      </c>
      <c r="C2373" t="s">
        <v>16</v>
      </c>
      <c r="D2373" t="s">
        <v>20</v>
      </c>
      <c r="E2373" t="s">
        <v>36</v>
      </c>
      <c r="F2373" s="1">
        <v>52.75</v>
      </c>
      <c r="G2373" t="s">
        <v>19</v>
      </c>
      <c r="H2373" t="s">
        <v>15</v>
      </c>
      <c r="I2373" s="2">
        <v>3.8</v>
      </c>
      <c r="J2373" s="4">
        <v>19</v>
      </c>
      <c r="K2373" s="3">
        <v>7</v>
      </c>
      <c r="L2373" s="1">
        <f t="shared" si="111"/>
        <v>42.727500000000006</v>
      </c>
      <c r="M2373" t="str" cm="1">
        <f t="array" ref="M2373">_xlfn.IFS(B2373&lt;18,"Under 18",B2373 &lt;=25,"18-25",B2373&lt;=35,"26-35",B2373&lt;=45,"36-45",B2373&lt;=60,"46-60",TRUE,"60+")</f>
        <v>26-35</v>
      </c>
      <c r="N2373" t="str">
        <f t="shared" si="112"/>
        <v>Discounted</v>
      </c>
      <c r="O2373" t="str">
        <f t="shared" si="113"/>
        <v>Returning</v>
      </c>
    </row>
    <row r="2374" spans="1:15" x14ac:dyDescent="0.25">
      <c r="A2374">
        <v>2373</v>
      </c>
      <c r="B2374">
        <v>49</v>
      </c>
      <c r="C2374" t="s">
        <v>11</v>
      </c>
      <c r="D2374" t="s">
        <v>29</v>
      </c>
      <c r="E2374" t="s">
        <v>55</v>
      </c>
      <c r="F2374" s="1">
        <v>141.08000000000001</v>
      </c>
      <c r="G2374" t="s">
        <v>31</v>
      </c>
      <c r="H2374" t="s">
        <v>15</v>
      </c>
      <c r="I2374" s="2">
        <v>4.5</v>
      </c>
      <c r="J2374" s="4">
        <v>23</v>
      </c>
      <c r="K2374" s="3">
        <v>9</v>
      </c>
      <c r="L2374" s="1">
        <f t="shared" si="111"/>
        <v>108.63160000000001</v>
      </c>
      <c r="M2374" t="str" cm="1">
        <f t="array" ref="M2374">_xlfn.IFS(B2374&lt;18,"Under 18",B2374 &lt;=25,"18-25",B2374&lt;=35,"26-35",B2374&lt;=45,"36-45",B2374&lt;=60,"46-60",TRUE,"60+")</f>
        <v>46-60</v>
      </c>
      <c r="N2374" t="str">
        <f t="shared" si="112"/>
        <v>Discounted</v>
      </c>
      <c r="O2374" t="str">
        <f t="shared" si="113"/>
        <v>Returning</v>
      </c>
    </row>
    <row r="2375" spans="1:15" x14ac:dyDescent="0.25">
      <c r="A2375">
        <v>2374</v>
      </c>
      <c r="B2375">
        <v>45</v>
      </c>
      <c r="C2375" t="s">
        <v>11</v>
      </c>
      <c r="D2375" t="s">
        <v>25</v>
      </c>
      <c r="E2375" t="s">
        <v>26</v>
      </c>
      <c r="F2375" s="1">
        <v>79</v>
      </c>
      <c r="G2375" t="s">
        <v>19</v>
      </c>
      <c r="H2375" t="s">
        <v>37</v>
      </c>
      <c r="I2375" s="2">
        <v>3.1</v>
      </c>
      <c r="J2375" s="4">
        <v>11</v>
      </c>
      <c r="K2375" s="3">
        <v>3</v>
      </c>
      <c r="L2375" s="1">
        <f t="shared" si="111"/>
        <v>70.31</v>
      </c>
      <c r="M2375" t="str" cm="1">
        <f t="array" ref="M2375">_xlfn.IFS(B2375&lt;18,"Under 18",B2375 &lt;=25,"18-25",B2375&lt;=35,"26-35",B2375&lt;=45,"36-45",B2375&lt;=60,"46-60",TRUE,"60+")</f>
        <v>36-45</v>
      </c>
      <c r="N2375" t="str">
        <f t="shared" si="112"/>
        <v>Discounted</v>
      </c>
      <c r="O2375" t="str">
        <f t="shared" si="113"/>
        <v>Returning</v>
      </c>
    </row>
    <row r="2376" spans="1:15" x14ac:dyDescent="0.25">
      <c r="A2376">
        <v>2375</v>
      </c>
      <c r="B2376">
        <v>58</v>
      </c>
      <c r="C2376" t="s">
        <v>11</v>
      </c>
      <c r="D2376" t="s">
        <v>22</v>
      </c>
      <c r="E2376" t="s">
        <v>23</v>
      </c>
      <c r="F2376" s="1">
        <v>53.86</v>
      </c>
      <c r="G2376" t="s">
        <v>19</v>
      </c>
      <c r="H2376" t="s">
        <v>15</v>
      </c>
      <c r="I2376" s="2">
        <v>4</v>
      </c>
      <c r="J2376" s="4">
        <v>8</v>
      </c>
      <c r="K2376" s="3">
        <v>4</v>
      </c>
      <c r="L2376" s="1">
        <f t="shared" si="111"/>
        <v>49.551200000000001</v>
      </c>
      <c r="M2376" t="str" cm="1">
        <f t="array" ref="M2376">_xlfn.IFS(B2376&lt;18,"Under 18",B2376 &lt;=25,"18-25",B2376&lt;=35,"26-35",B2376&lt;=45,"36-45",B2376&lt;=60,"46-60",TRUE,"60+")</f>
        <v>46-60</v>
      </c>
      <c r="N2376" t="str">
        <f t="shared" si="112"/>
        <v>Discounted</v>
      </c>
      <c r="O2376" t="str">
        <f t="shared" si="113"/>
        <v>Returning</v>
      </c>
    </row>
    <row r="2377" spans="1:15" x14ac:dyDescent="0.25">
      <c r="A2377">
        <v>2376</v>
      </c>
      <c r="B2377">
        <v>57</v>
      </c>
      <c r="C2377" t="s">
        <v>16</v>
      </c>
      <c r="D2377" t="s">
        <v>20</v>
      </c>
      <c r="E2377" t="s">
        <v>39</v>
      </c>
      <c r="F2377" s="1">
        <v>143.78</v>
      </c>
      <c r="G2377" t="s">
        <v>31</v>
      </c>
      <c r="H2377" t="s">
        <v>15</v>
      </c>
      <c r="I2377" s="2">
        <v>3.1</v>
      </c>
      <c r="J2377" s="4">
        <v>8</v>
      </c>
      <c r="K2377" s="3">
        <v>4</v>
      </c>
      <c r="L2377" s="1">
        <f t="shared" si="111"/>
        <v>132.27760000000001</v>
      </c>
      <c r="M2377" t="str" cm="1">
        <f t="array" ref="M2377">_xlfn.IFS(B2377&lt;18,"Under 18",B2377 &lt;=25,"18-25",B2377&lt;=35,"26-35",B2377&lt;=45,"36-45",B2377&lt;=60,"46-60",TRUE,"60+")</f>
        <v>46-60</v>
      </c>
      <c r="N2377" t="str">
        <f t="shared" si="112"/>
        <v>Discounted</v>
      </c>
      <c r="O2377" t="str">
        <f t="shared" si="113"/>
        <v>Returning</v>
      </c>
    </row>
    <row r="2378" spans="1:15" x14ac:dyDescent="0.25">
      <c r="A2378">
        <v>2377</v>
      </c>
      <c r="B2378">
        <v>50</v>
      </c>
      <c r="C2378" t="s">
        <v>11</v>
      </c>
      <c r="D2378" t="s">
        <v>33</v>
      </c>
      <c r="E2378" t="s">
        <v>38</v>
      </c>
      <c r="F2378" s="1">
        <v>225.05</v>
      </c>
      <c r="G2378" t="s">
        <v>31</v>
      </c>
      <c r="H2378" t="s">
        <v>15</v>
      </c>
      <c r="I2378" s="2">
        <v>3.8</v>
      </c>
      <c r="J2378" s="4">
        <v>11</v>
      </c>
      <c r="K2378" s="3">
        <v>3</v>
      </c>
      <c r="L2378" s="1">
        <f t="shared" si="111"/>
        <v>200.2945</v>
      </c>
      <c r="M2378" t="str" cm="1">
        <f t="array" ref="M2378">_xlfn.IFS(B2378&lt;18,"Under 18",B2378 &lt;=25,"18-25",B2378&lt;=35,"26-35",B2378&lt;=45,"36-45",B2378&lt;=60,"46-60",TRUE,"60+")</f>
        <v>46-60</v>
      </c>
      <c r="N2378" t="str">
        <f t="shared" si="112"/>
        <v>Discounted</v>
      </c>
      <c r="O2378" t="str">
        <f t="shared" si="113"/>
        <v>Returning</v>
      </c>
    </row>
    <row r="2379" spans="1:15" x14ac:dyDescent="0.25">
      <c r="A2379">
        <v>2378</v>
      </c>
      <c r="B2379">
        <v>26</v>
      </c>
      <c r="C2379" t="s">
        <v>16</v>
      </c>
      <c r="D2379" t="s">
        <v>20</v>
      </c>
      <c r="E2379" t="s">
        <v>39</v>
      </c>
      <c r="F2379" s="1">
        <v>180.74</v>
      </c>
      <c r="G2379" t="s">
        <v>19</v>
      </c>
      <c r="H2379" t="s">
        <v>15</v>
      </c>
      <c r="I2379" s="2">
        <v>4.2</v>
      </c>
      <c r="J2379" s="4">
        <v>32</v>
      </c>
      <c r="K2379" s="3">
        <v>11</v>
      </c>
      <c r="L2379" s="1">
        <f t="shared" si="111"/>
        <v>122.9032</v>
      </c>
      <c r="M2379" t="str" cm="1">
        <f t="array" ref="M2379">_xlfn.IFS(B2379&lt;18,"Under 18",B2379 &lt;=25,"18-25",B2379&lt;=35,"26-35",B2379&lt;=45,"36-45",B2379&lt;=60,"46-60",TRUE,"60+")</f>
        <v>26-35</v>
      </c>
      <c r="N2379" t="str">
        <f t="shared" si="112"/>
        <v>Discounted</v>
      </c>
      <c r="O2379" t="str">
        <f t="shared" si="113"/>
        <v>Returning</v>
      </c>
    </row>
    <row r="2380" spans="1:15" x14ac:dyDescent="0.25">
      <c r="A2380">
        <v>2379</v>
      </c>
      <c r="B2380">
        <v>31</v>
      </c>
      <c r="C2380" t="s">
        <v>16</v>
      </c>
      <c r="D2380" t="s">
        <v>20</v>
      </c>
      <c r="E2380" t="s">
        <v>21</v>
      </c>
      <c r="F2380" s="1">
        <v>197.61</v>
      </c>
      <c r="G2380" t="s">
        <v>14</v>
      </c>
      <c r="H2380" t="s">
        <v>15</v>
      </c>
      <c r="I2380" s="2">
        <v>3.5</v>
      </c>
      <c r="J2380" s="4">
        <v>12</v>
      </c>
      <c r="K2380" s="3">
        <v>6</v>
      </c>
      <c r="L2380" s="1">
        <f t="shared" si="111"/>
        <v>173.89680000000001</v>
      </c>
      <c r="M2380" t="str" cm="1">
        <f t="array" ref="M2380">_xlfn.IFS(B2380&lt;18,"Under 18",B2380 &lt;=25,"18-25",B2380&lt;=35,"26-35",B2380&lt;=45,"36-45",B2380&lt;=60,"46-60",TRUE,"60+")</f>
        <v>26-35</v>
      </c>
      <c r="N2380" t="str">
        <f t="shared" si="112"/>
        <v>Discounted</v>
      </c>
      <c r="O2380" t="str">
        <f t="shared" si="113"/>
        <v>Returning</v>
      </c>
    </row>
    <row r="2381" spans="1:15" x14ac:dyDescent="0.25">
      <c r="A2381">
        <v>2380</v>
      </c>
      <c r="B2381">
        <v>59</v>
      </c>
      <c r="C2381" t="s">
        <v>11</v>
      </c>
      <c r="D2381" t="s">
        <v>41</v>
      </c>
      <c r="E2381" t="s">
        <v>45</v>
      </c>
      <c r="F2381" s="1">
        <v>192.86</v>
      </c>
      <c r="G2381" t="s">
        <v>19</v>
      </c>
      <c r="H2381" t="s">
        <v>15</v>
      </c>
      <c r="I2381" s="2">
        <v>4.2</v>
      </c>
      <c r="J2381" s="4">
        <v>18</v>
      </c>
      <c r="K2381" s="3">
        <v>4</v>
      </c>
      <c r="L2381" s="1">
        <f t="shared" si="111"/>
        <v>158.14520000000002</v>
      </c>
      <c r="M2381" t="str" cm="1">
        <f t="array" ref="M2381">_xlfn.IFS(B2381&lt;18,"Under 18",B2381 &lt;=25,"18-25",B2381&lt;=35,"26-35",B2381&lt;=45,"36-45",B2381&lt;=60,"46-60",TRUE,"60+")</f>
        <v>46-60</v>
      </c>
      <c r="N2381" t="str">
        <f t="shared" si="112"/>
        <v>Discounted</v>
      </c>
      <c r="O2381" t="str">
        <f t="shared" si="113"/>
        <v>Returning</v>
      </c>
    </row>
    <row r="2382" spans="1:15" x14ac:dyDescent="0.25">
      <c r="A2382">
        <v>2381</v>
      </c>
      <c r="B2382">
        <v>36</v>
      </c>
      <c r="C2382" t="s">
        <v>11</v>
      </c>
      <c r="D2382" t="s">
        <v>41</v>
      </c>
      <c r="E2382" t="s">
        <v>46</v>
      </c>
      <c r="F2382" s="1">
        <v>71.03</v>
      </c>
      <c r="G2382" t="s">
        <v>31</v>
      </c>
      <c r="H2382" t="s">
        <v>15</v>
      </c>
      <c r="I2382" s="2">
        <v>4.8</v>
      </c>
      <c r="J2382" s="4">
        <v>22</v>
      </c>
      <c r="K2382" s="3">
        <v>6</v>
      </c>
      <c r="L2382" s="1">
        <f t="shared" si="111"/>
        <v>55.403400000000005</v>
      </c>
      <c r="M2382" t="str" cm="1">
        <f t="array" ref="M2382">_xlfn.IFS(B2382&lt;18,"Under 18",B2382 &lt;=25,"18-25",B2382&lt;=35,"26-35",B2382&lt;=45,"36-45",B2382&lt;=60,"46-60",TRUE,"60+")</f>
        <v>36-45</v>
      </c>
      <c r="N2382" t="str">
        <f t="shared" si="112"/>
        <v>Discounted</v>
      </c>
      <c r="O2382" t="str">
        <f t="shared" si="113"/>
        <v>Returning</v>
      </c>
    </row>
    <row r="2383" spans="1:15" x14ac:dyDescent="0.25">
      <c r="A2383">
        <v>2382</v>
      </c>
      <c r="B2383">
        <v>37</v>
      </c>
      <c r="C2383" t="s">
        <v>11</v>
      </c>
      <c r="D2383" t="s">
        <v>29</v>
      </c>
      <c r="E2383" t="s">
        <v>30</v>
      </c>
      <c r="F2383" s="1">
        <v>90.69</v>
      </c>
      <c r="G2383" t="s">
        <v>14</v>
      </c>
      <c r="H2383" t="s">
        <v>15</v>
      </c>
      <c r="I2383" s="2">
        <v>4.3</v>
      </c>
      <c r="J2383" s="4">
        <v>10</v>
      </c>
      <c r="K2383" s="3">
        <v>0</v>
      </c>
      <c r="L2383" s="1">
        <f t="shared" si="111"/>
        <v>81.620999999999995</v>
      </c>
      <c r="M2383" t="str" cm="1">
        <f t="array" ref="M2383">_xlfn.IFS(B2383&lt;18,"Under 18",B2383 &lt;=25,"18-25",B2383&lt;=35,"26-35",B2383&lt;=45,"36-45",B2383&lt;=60,"46-60",TRUE,"60+")</f>
        <v>36-45</v>
      </c>
      <c r="N2383" t="str">
        <f t="shared" si="112"/>
        <v>Discounted</v>
      </c>
      <c r="O2383" t="str">
        <f t="shared" si="113"/>
        <v>New</v>
      </c>
    </row>
    <row r="2384" spans="1:15" x14ac:dyDescent="0.25">
      <c r="A2384">
        <v>2383</v>
      </c>
      <c r="B2384">
        <v>60</v>
      </c>
      <c r="C2384" t="s">
        <v>11</v>
      </c>
      <c r="D2384" t="s">
        <v>29</v>
      </c>
      <c r="E2384" t="s">
        <v>55</v>
      </c>
      <c r="F2384" s="1">
        <v>75.290000000000006</v>
      </c>
      <c r="G2384" t="s">
        <v>19</v>
      </c>
      <c r="H2384" t="s">
        <v>15</v>
      </c>
      <c r="I2384" s="2">
        <v>5</v>
      </c>
      <c r="J2384" s="4">
        <v>20</v>
      </c>
      <c r="K2384" s="3">
        <v>5</v>
      </c>
      <c r="L2384" s="1">
        <f t="shared" si="111"/>
        <v>60.232000000000006</v>
      </c>
      <c r="M2384" t="str" cm="1">
        <f t="array" ref="M2384">_xlfn.IFS(B2384&lt;18,"Under 18",B2384 &lt;=25,"18-25",B2384&lt;=35,"26-35",B2384&lt;=45,"36-45",B2384&lt;=60,"46-60",TRUE,"60+")</f>
        <v>46-60</v>
      </c>
      <c r="N2384" t="str">
        <f t="shared" si="112"/>
        <v>Discounted</v>
      </c>
      <c r="O2384" t="str">
        <f t="shared" si="113"/>
        <v>Returning</v>
      </c>
    </row>
    <row r="2385" spans="1:15" x14ac:dyDescent="0.25">
      <c r="A2385">
        <v>2384</v>
      </c>
      <c r="B2385">
        <v>27</v>
      </c>
      <c r="C2385" t="s">
        <v>16</v>
      </c>
      <c r="D2385" t="s">
        <v>17</v>
      </c>
      <c r="E2385" t="s">
        <v>48</v>
      </c>
      <c r="F2385" s="1">
        <v>62.41</v>
      </c>
      <c r="G2385" t="s">
        <v>19</v>
      </c>
      <c r="H2385" t="s">
        <v>37</v>
      </c>
      <c r="I2385" s="2">
        <v>2.9</v>
      </c>
      <c r="J2385" s="4">
        <v>13</v>
      </c>
      <c r="K2385" s="3">
        <v>4</v>
      </c>
      <c r="L2385" s="1">
        <f t="shared" si="111"/>
        <v>54.296699999999994</v>
      </c>
      <c r="M2385" t="str" cm="1">
        <f t="array" ref="M2385">_xlfn.IFS(B2385&lt;18,"Under 18",B2385 &lt;=25,"18-25",B2385&lt;=35,"26-35",B2385&lt;=45,"36-45",B2385&lt;=60,"46-60",TRUE,"60+")</f>
        <v>26-35</v>
      </c>
      <c r="N2385" t="str">
        <f t="shared" si="112"/>
        <v>Discounted</v>
      </c>
      <c r="O2385" t="str">
        <f t="shared" si="113"/>
        <v>Returning</v>
      </c>
    </row>
    <row r="2386" spans="1:15" x14ac:dyDescent="0.25">
      <c r="A2386">
        <v>2385</v>
      </c>
      <c r="B2386">
        <v>65</v>
      </c>
      <c r="C2386" t="s">
        <v>16</v>
      </c>
      <c r="D2386" t="s">
        <v>17</v>
      </c>
      <c r="E2386" t="s">
        <v>48</v>
      </c>
      <c r="F2386" s="1">
        <v>169.17</v>
      </c>
      <c r="G2386" t="s">
        <v>14</v>
      </c>
      <c r="H2386" t="s">
        <v>15</v>
      </c>
      <c r="I2386" s="2">
        <v>3.8</v>
      </c>
      <c r="J2386" s="4">
        <v>10</v>
      </c>
      <c r="K2386" s="3">
        <v>5</v>
      </c>
      <c r="L2386" s="1">
        <f t="shared" si="111"/>
        <v>152.25299999999999</v>
      </c>
      <c r="M2386" t="str" cm="1">
        <f t="array" ref="M2386">_xlfn.IFS(B2386&lt;18,"Under 18",B2386 &lt;=25,"18-25",B2386&lt;=35,"26-35",B2386&lt;=45,"36-45",B2386&lt;=60,"46-60",TRUE,"60+")</f>
        <v>60+</v>
      </c>
      <c r="N2386" t="str">
        <f t="shared" si="112"/>
        <v>Discounted</v>
      </c>
      <c r="O2386" t="str">
        <f t="shared" si="113"/>
        <v>Returning</v>
      </c>
    </row>
    <row r="2387" spans="1:15" x14ac:dyDescent="0.25">
      <c r="A2387">
        <v>2386</v>
      </c>
      <c r="B2387">
        <v>39</v>
      </c>
      <c r="C2387" t="s">
        <v>16</v>
      </c>
      <c r="D2387" t="s">
        <v>27</v>
      </c>
      <c r="E2387" t="s">
        <v>28</v>
      </c>
      <c r="F2387" s="1">
        <v>2886.67</v>
      </c>
      <c r="G2387" t="s">
        <v>31</v>
      </c>
      <c r="H2387" t="s">
        <v>15</v>
      </c>
      <c r="I2387" s="2">
        <v>3.6</v>
      </c>
      <c r="J2387" s="4">
        <v>19</v>
      </c>
      <c r="K2387" s="3">
        <v>7</v>
      </c>
      <c r="L2387" s="1">
        <f t="shared" si="111"/>
        <v>2338.2027000000003</v>
      </c>
      <c r="M2387" t="str" cm="1">
        <f t="array" ref="M2387">_xlfn.IFS(B2387&lt;18,"Under 18",B2387 &lt;=25,"18-25",B2387&lt;=35,"26-35",B2387&lt;=45,"36-45",B2387&lt;=60,"46-60",TRUE,"60+")</f>
        <v>36-45</v>
      </c>
      <c r="N2387" t="str">
        <f t="shared" si="112"/>
        <v>Discounted</v>
      </c>
      <c r="O2387" t="str">
        <f t="shared" si="113"/>
        <v>Returning</v>
      </c>
    </row>
    <row r="2388" spans="1:15" x14ac:dyDescent="0.25">
      <c r="A2388">
        <v>2387</v>
      </c>
      <c r="B2388">
        <v>60</v>
      </c>
      <c r="C2388" t="s">
        <v>16</v>
      </c>
      <c r="D2388" t="s">
        <v>33</v>
      </c>
      <c r="E2388" t="s">
        <v>40</v>
      </c>
      <c r="F2388" s="1">
        <v>144.37</v>
      </c>
      <c r="G2388" t="s">
        <v>24</v>
      </c>
      <c r="H2388" t="s">
        <v>15</v>
      </c>
      <c r="I2388" s="2">
        <v>4.4000000000000004</v>
      </c>
      <c r="J2388" s="4">
        <v>18</v>
      </c>
      <c r="K2388" s="3">
        <v>4</v>
      </c>
      <c r="L2388" s="1">
        <f t="shared" si="111"/>
        <v>118.38340000000001</v>
      </c>
      <c r="M2388" t="str" cm="1">
        <f t="array" ref="M2388">_xlfn.IFS(B2388&lt;18,"Under 18",B2388 &lt;=25,"18-25",B2388&lt;=35,"26-35",B2388&lt;=45,"36-45",B2388&lt;=60,"46-60",TRUE,"60+")</f>
        <v>46-60</v>
      </c>
      <c r="N2388" t="str">
        <f t="shared" si="112"/>
        <v>Discounted</v>
      </c>
      <c r="O2388" t="str">
        <f t="shared" si="113"/>
        <v>Returning</v>
      </c>
    </row>
    <row r="2389" spans="1:15" x14ac:dyDescent="0.25">
      <c r="A2389">
        <v>2388</v>
      </c>
      <c r="B2389">
        <v>56</v>
      </c>
      <c r="C2389" t="s">
        <v>16</v>
      </c>
      <c r="D2389" t="s">
        <v>25</v>
      </c>
      <c r="E2389" t="s">
        <v>54</v>
      </c>
      <c r="F2389" s="1">
        <v>23.35</v>
      </c>
      <c r="G2389" t="s">
        <v>24</v>
      </c>
      <c r="H2389" t="s">
        <v>15</v>
      </c>
      <c r="I2389" s="2">
        <v>4.9000000000000004</v>
      </c>
      <c r="J2389" s="4">
        <v>17</v>
      </c>
      <c r="K2389" s="3">
        <v>6</v>
      </c>
      <c r="L2389" s="1">
        <f t="shared" si="111"/>
        <v>19.380500000000001</v>
      </c>
      <c r="M2389" t="str" cm="1">
        <f t="array" ref="M2389">_xlfn.IFS(B2389&lt;18,"Under 18",B2389 &lt;=25,"18-25",B2389&lt;=35,"26-35",B2389&lt;=45,"36-45",B2389&lt;=60,"46-60",TRUE,"60+")</f>
        <v>46-60</v>
      </c>
      <c r="N2389" t="str">
        <f t="shared" si="112"/>
        <v>Discounted</v>
      </c>
      <c r="O2389" t="str">
        <f t="shared" si="113"/>
        <v>Returning</v>
      </c>
    </row>
    <row r="2390" spans="1:15" x14ac:dyDescent="0.25">
      <c r="A2390">
        <v>2389</v>
      </c>
      <c r="B2390">
        <v>32</v>
      </c>
      <c r="C2390" t="s">
        <v>16</v>
      </c>
      <c r="D2390" t="s">
        <v>17</v>
      </c>
      <c r="E2390" t="s">
        <v>42</v>
      </c>
      <c r="F2390" s="1">
        <v>191.09</v>
      </c>
      <c r="G2390" t="s">
        <v>31</v>
      </c>
      <c r="H2390" t="s">
        <v>15</v>
      </c>
      <c r="I2390" s="2">
        <v>4.2</v>
      </c>
      <c r="J2390" s="4">
        <v>14</v>
      </c>
      <c r="K2390" s="3">
        <v>7</v>
      </c>
      <c r="L2390" s="1">
        <f t="shared" si="111"/>
        <v>164.3374</v>
      </c>
      <c r="M2390" t="str" cm="1">
        <f t="array" ref="M2390">_xlfn.IFS(B2390&lt;18,"Under 18",B2390 &lt;=25,"18-25",B2390&lt;=35,"26-35",B2390&lt;=45,"36-45",B2390&lt;=60,"46-60",TRUE,"60+")</f>
        <v>26-35</v>
      </c>
      <c r="N2390" t="str">
        <f t="shared" si="112"/>
        <v>Discounted</v>
      </c>
      <c r="O2390" t="str">
        <f t="shared" si="113"/>
        <v>Returning</v>
      </c>
    </row>
    <row r="2391" spans="1:15" x14ac:dyDescent="0.25">
      <c r="A2391">
        <v>2390</v>
      </c>
      <c r="B2391">
        <v>47</v>
      </c>
      <c r="C2391" t="s">
        <v>11</v>
      </c>
      <c r="D2391" t="s">
        <v>33</v>
      </c>
      <c r="E2391" t="s">
        <v>34</v>
      </c>
      <c r="F2391" s="1">
        <v>69.52</v>
      </c>
      <c r="G2391" t="s">
        <v>31</v>
      </c>
      <c r="H2391" t="s">
        <v>37</v>
      </c>
      <c r="I2391" s="2">
        <v>3.2</v>
      </c>
      <c r="J2391" s="4">
        <v>20</v>
      </c>
      <c r="K2391" s="3">
        <v>5</v>
      </c>
      <c r="L2391" s="1">
        <f t="shared" si="111"/>
        <v>55.616</v>
      </c>
      <c r="M2391" t="str" cm="1">
        <f t="array" ref="M2391">_xlfn.IFS(B2391&lt;18,"Under 18",B2391 &lt;=25,"18-25",B2391&lt;=35,"26-35",B2391&lt;=45,"36-45",B2391&lt;=60,"46-60",TRUE,"60+")</f>
        <v>46-60</v>
      </c>
      <c r="N2391" t="str">
        <f t="shared" si="112"/>
        <v>Discounted</v>
      </c>
      <c r="O2391" t="str">
        <f t="shared" si="113"/>
        <v>Returning</v>
      </c>
    </row>
    <row r="2392" spans="1:15" x14ac:dyDescent="0.25">
      <c r="A2392">
        <v>2391</v>
      </c>
      <c r="B2392">
        <v>55</v>
      </c>
      <c r="C2392" t="s">
        <v>16</v>
      </c>
      <c r="D2392" t="s">
        <v>17</v>
      </c>
      <c r="E2392" t="s">
        <v>42</v>
      </c>
      <c r="F2392" s="1">
        <v>119.06</v>
      </c>
      <c r="G2392" t="s">
        <v>14</v>
      </c>
      <c r="H2392" t="s">
        <v>15</v>
      </c>
      <c r="I2392" s="2">
        <v>3.6</v>
      </c>
      <c r="J2392" s="4">
        <v>8</v>
      </c>
      <c r="K2392" s="3">
        <v>4</v>
      </c>
      <c r="L2392" s="1">
        <f t="shared" si="111"/>
        <v>109.5352</v>
      </c>
      <c r="M2392" t="str" cm="1">
        <f t="array" ref="M2392">_xlfn.IFS(B2392&lt;18,"Under 18",B2392 &lt;=25,"18-25",B2392&lt;=35,"26-35",B2392&lt;=45,"36-45",B2392&lt;=60,"46-60",TRUE,"60+")</f>
        <v>46-60</v>
      </c>
      <c r="N2392" t="str">
        <f t="shared" si="112"/>
        <v>Discounted</v>
      </c>
      <c r="O2392" t="str">
        <f t="shared" si="113"/>
        <v>Returning</v>
      </c>
    </row>
    <row r="2393" spans="1:15" x14ac:dyDescent="0.25">
      <c r="A2393">
        <v>2392</v>
      </c>
      <c r="B2393">
        <v>52</v>
      </c>
      <c r="C2393" t="s">
        <v>11</v>
      </c>
      <c r="D2393" t="s">
        <v>29</v>
      </c>
      <c r="E2393" t="s">
        <v>51</v>
      </c>
      <c r="F2393" s="1">
        <v>64.56</v>
      </c>
      <c r="G2393" t="s">
        <v>24</v>
      </c>
      <c r="H2393" t="s">
        <v>15</v>
      </c>
      <c r="I2393" s="2">
        <v>3.2</v>
      </c>
      <c r="J2393" s="4">
        <v>12</v>
      </c>
      <c r="K2393" s="3">
        <v>6</v>
      </c>
      <c r="L2393" s="1">
        <f t="shared" si="111"/>
        <v>56.812800000000003</v>
      </c>
      <c r="M2393" t="str" cm="1">
        <f t="array" ref="M2393">_xlfn.IFS(B2393&lt;18,"Under 18",B2393 &lt;=25,"18-25",B2393&lt;=35,"26-35",B2393&lt;=45,"36-45",B2393&lt;=60,"46-60",TRUE,"60+")</f>
        <v>46-60</v>
      </c>
      <c r="N2393" t="str">
        <f t="shared" si="112"/>
        <v>Discounted</v>
      </c>
      <c r="O2393" t="str">
        <f t="shared" si="113"/>
        <v>Returning</v>
      </c>
    </row>
    <row r="2394" spans="1:15" x14ac:dyDescent="0.25">
      <c r="A2394">
        <v>2393</v>
      </c>
      <c r="B2394">
        <v>59</v>
      </c>
      <c r="C2394" t="s">
        <v>11</v>
      </c>
      <c r="D2394" t="s">
        <v>33</v>
      </c>
      <c r="E2394" t="s">
        <v>40</v>
      </c>
      <c r="F2394" s="1">
        <v>90.14</v>
      </c>
      <c r="G2394" t="s">
        <v>19</v>
      </c>
      <c r="H2394" t="s">
        <v>37</v>
      </c>
      <c r="I2394" s="2">
        <v>3.9</v>
      </c>
      <c r="J2394" s="4">
        <v>11</v>
      </c>
      <c r="K2394" s="3">
        <v>3</v>
      </c>
      <c r="L2394" s="1">
        <f t="shared" si="111"/>
        <v>80.224599999999995</v>
      </c>
      <c r="M2394" t="str" cm="1">
        <f t="array" ref="M2394">_xlfn.IFS(B2394&lt;18,"Under 18",B2394 &lt;=25,"18-25",B2394&lt;=35,"26-35",B2394&lt;=45,"36-45",B2394&lt;=60,"46-60",TRUE,"60+")</f>
        <v>46-60</v>
      </c>
      <c r="N2394" t="str">
        <f t="shared" si="112"/>
        <v>Discounted</v>
      </c>
      <c r="O2394" t="str">
        <f t="shared" si="113"/>
        <v>Returning</v>
      </c>
    </row>
    <row r="2395" spans="1:15" x14ac:dyDescent="0.25">
      <c r="A2395">
        <v>2394</v>
      </c>
      <c r="B2395">
        <v>32</v>
      </c>
      <c r="C2395" t="s">
        <v>16</v>
      </c>
      <c r="D2395" t="s">
        <v>27</v>
      </c>
      <c r="E2395" t="s">
        <v>53</v>
      </c>
      <c r="F2395" s="1">
        <v>1690.64</v>
      </c>
      <c r="G2395" t="s">
        <v>19</v>
      </c>
      <c r="H2395" t="s">
        <v>15</v>
      </c>
      <c r="I2395" s="2">
        <v>4.5999999999999996</v>
      </c>
      <c r="J2395" s="4">
        <v>18</v>
      </c>
      <c r="K2395" s="3">
        <v>4</v>
      </c>
      <c r="L2395" s="1">
        <f t="shared" si="111"/>
        <v>1386.3248000000001</v>
      </c>
      <c r="M2395" t="str" cm="1">
        <f t="array" ref="M2395">_xlfn.IFS(B2395&lt;18,"Under 18",B2395 &lt;=25,"18-25",B2395&lt;=35,"26-35",B2395&lt;=45,"36-45",B2395&lt;=60,"46-60",TRUE,"60+")</f>
        <v>26-35</v>
      </c>
      <c r="N2395" t="str">
        <f t="shared" si="112"/>
        <v>Discounted</v>
      </c>
      <c r="O2395" t="str">
        <f t="shared" si="113"/>
        <v>Returning</v>
      </c>
    </row>
    <row r="2396" spans="1:15" x14ac:dyDescent="0.25">
      <c r="A2396">
        <v>2395</v>
      </c>
      <c r="B2396">
        <v>60</v>
      </c>
      <c r="C2396" t="s">
        <v>11</v>
      </c>
      <c r="D2396" t="s">
        <v>33</v>
      </c>
      <c r="E2396" t="s">
        <v>38</v>
      </c>
      <c r="F2396" s="1">
        <v>136.97</v>
      </c>
      <c r="G2396" t="s">
        <v>31</v>
      </c>
      <c r="H2396" t="s">
        <v>15</v>
      </c>
      <c r="I2396" s="2">
        <v>4.5</v>
      </c>
      <c r="J2396" s="4">
        <v>11</v>
      </c>
      <c r="K2396" s="3">
        <v>3</v>
      </c>
      <c r="L2396" s="1">
        <f t="shared" si="111"/>
        <v>121.9033</v>
      </c>
      <c r="M2396" t="str" cm="1">
        <f t="array" ref="M2396">_xlfn.IFS(B2396&lt;18,"Under 18",B2396 &lt;=25,"18-25",B2396&lt;=35,"26-35",B2396&lt;=45,"36-45",B2396&lt;=60,"46-60",TRUE,"60+")</f>
        <v>46-60</v>
      </c>
      <c r="N2396" t="str">
        <f t="shared" si="112"/>
        <v>Discounted</v>
      </c>
      <c r="O2396" t="str">
        <f t="shared" si="113"/>
        <v>Returning</v>
      </c>
    </row>
    <row r="2397" spans="1:15" x14ac:dyDescent="0.25">
      <c r="A2397">
        <v>2396</v>
      </c>
      <c r="B2397">
        <v>66</v>
      </c>
      <c r="C2397" t="s">
        <v>16</v>
      </c>
      <c r="D2397" t="s">
        <v>22</v>
      </c>
      <c r="E2397" t="s">
        <v>43</v>
      </c>
      <c r="F2397" s="1">
        <v>116.48</v>
      </c>
      <c r="G2397" t="s">
        <v>19</v>
      </c>
      <c r="H2397" t="s">
        <v>15</v>
      </c>
      <c r="I2397" s="2">
        <v>5</v>
      </c>
      <c r="J2397" s="4">
        <v>24</v>
      </c>
      <c r="K2397" s="3">
        <v>12</v>
      </c>
      <c r="L2397" s="1">
        <f t="shared" si="111"/>
        <v>88.524799999999999</v>
      </c>
      <c r="M2397" t="str" cm="1">
        <f t="array" ref="M2397">_xlfn.IFS(B2397&lt;18,"Under 18",B2397 &lt;=25,"18-25",B2397&lt;=35,"26-35",B2397&lt;=45,"36-45",B2397&lt;=60,"46-60",TRUE,"60+")</f>
        <v>60+</v>
      </c>
      <c r="N2397" t="str">
        <f t="shared" si="112"/>
        <v>Discounted</v>
      </c>
      <c r="O2397" t="str">
        <f t="shared" si="113"/>
        <v>Returning</v>
      </c>
    </row>
    <row r="2398" spans="1:15" x14ac:dyDescent="0.25">
      <c r="A2398">
        <v>2397</v>
      </c>
      <c r="B2398">
        <v>22</v>
      </c>
      <c r="C2398" t="s">
        <v>16</v>
      </c>
      <c r="D2398" t="s">
        <v>27</v>
      </c>
      <c r="E2398" t="s">
        <v>28</v>
      </c>
      <c r="F2398" s="1">
        <v>503.66</v>
      </c>
      <c r="G2398" t="s">
        <v>24</v>
      </c>
      <c r="H2398" t="s">
        <v>15</v>
      </c>
      <c r="I2398" s="2">
        <v>2.8</v>
      </c>
      <c r="J2398" s="4">
        <v>14</v>
      </c>
      <c r="K2398" s="3">
        <v>7</v>
      </c>
      <c r="L2398" s="1">
        <f t="shared" si="111"/>
        <v>433.14760000000001</v>
      </c>
      <c r="M2398" t="str" cm="1">
        <f t="array" ref="M2398">_xlfn.IFS(B2398&lt;18,"Under 18",B2398 &lt;=25,"18-25",B2398&lt;=35,"26-35",B2398&lt;=45,"36-45",B2398&lt;=60,"46-60",TRUE,"60+")</f>
        <v>18-25</v>
      </c>
      <c r="N2398" t="str">
        <f t="shared" si="112"/>
        <v>Discounted</v>
      </c>
      <c r="O2398" t="str">
        <f t="shared" si="113"/>
        <v>Returning</v>
      </c>
    </row>
    <row r="2399" spans="1:15" x14ac:dyDescent="0.25">
      <c r="A2399">
        <v>2398</v>
      </c>
      <c r="B2399">
        <v>21</v>
      </c>
      <c r="C2399" t="s">
        <v>11</v>
      </c>
      <c r="D2399" t="s">
        <v>33</v>
      </c>
      <c r="E2399" t="s">
        <v>40</v>
      </c>
      <c r="F2399" s="1">
        <v>176.14</v>
      </c>
      <c r="G2399" t="s">
        <v>14</v>
      </c>
      <c r="H2399" t="s">
        <v>15</v>
      </c>
      <c r="I2399" s="2">
        <v>3.6</v>
      </c>
      <c r="J2399" s="4">
        <v>26</v>
      </c>
      <c r="K2399" s="3">
        <v>8</v>
      </c>
      <c r="L2399" s="1">
        <f t="shared" si="111"/>
        <v>130.34359999999998</v>
      </c>
      <c r="M2399" t="str" cm="1">
        <f t="array" ref="M2399">_xlfn.IFS(B2399&lt;18,"Under 18",B2399 &lt;=25,"18-25",B2399&lt;=35,"26-35",B2399&lt;=45,"36-45",B2399&lt;=60,"46-60",TRUE,"60+")</f>
        <v>18-25</v>
      </c>
      <c r="N2399" t="str">
        <f t="shared" si="112"/>
        <v>Discounted</v>
      </c>
      <c r="O2399" t="str">
        <f t="shared" si="113"/>
        <v>Returning</v>
      </c>
    </row>
    <row r="2400" spans="1:15" x14ac:dyDescent="0.25">
      <c r="A2400">
        <v>2399</v>
      </c>
      <c r="B2400">
        <v>61</v>
      </c>
      <c r="C2400" t="s">
        <v>11</v>
      </c>
      <c r="D2400" t="s">
        <v>33</v>
      </c>
      <c r="E2400" t="s">
        <v>34</v>
      </c>
      <c r="F2400" s="1">
        <v>202.84</v>
      </c>
      <c r="G2400" t="s">
        <v>19</v>
      </c>
      <c r="H2400" t="s">
        <v>15</v>
      </c>
      <c r="I2400" s="2">
        <v>3.2</v>
      </c>
      <c r="J2400" s="4">
        <v>10</v>
      </c>
      <c r="K2400" s="3">
        <v>5</v>
      </c>
      <c r="L2400" s="1">
        <f t="shared" si="111"/>
        <v>182.55600000000001</v>
      </c>
      <c r="M2400" t="str" cm="1">
        <f t="array" ref="M2400">_xlfn.IFS(B2400&lt;18,"Under 18",B2400 &lt;=25,"18-25",B2400&lt;=35,"26-35",B2400&lt;=45,"36-45",B2400&lt;=60,"46-60",TRUE,"60+")</f>
        <v>60+</v>
      </c>
      <c r="N2400" t="str">
        <f t="shared" si="112"/>
        <v>Discounted</v>
      </c>
      <c r="O2400" t="str">
        <f t="shared" si="113"/>
        <v>Returning</v>
      </c>
    </row>
    <row r="2401" spans="1:15" x14ac:dyDescent="0.25">
      <c r="A2401">
        <v>2400</v>
      </c>
      <c r="B2401">
        <v>45</v>
      </c>
      <c r="C2401" t="s">
        <v>16</v>
      </c>
      <c r="D2401" t="s">
        <v>33</v>
      </c>
      <c r="E2401" t="s">
        <v>38</v>
      </c>
      <c r="F2401" s="1">
        <v>95.24</v>
      </c>
      <c r="G2401" t="s">
        <v>24</v>
      </c>
      <c r="H2401" t="s">
        <v>37</v>
      </c>
      <c r="I2401" s="2">
        <v>4.5999999999999996</v>
      </c>
      <c r="J2401" s="4">
        <v>11</v>
      </c>
      <c r="K2401" s="3">
        <v>3</v>
      </c>
      <c r="L2401" s="1">
        <f t="shared" si="111"/>
        <v>84.763599999999997</v>
      </c>
      <c r="M2401" t="str" cm="1">
        <f t="array" ref="M2401">_xlfn.IFS(B2401&lt;18,"Under 18",B2401 &lt;=25,"18-25",B2401&lt;=35,"26-35",B2401&lt;=45,"36-45",B2401&lt;=60,"46-60",TRUE,"60+")</f>
        <v>36-45</v>
      </c>
      <c r="N2401" t="str">
        <f t="shared" si="112"/>
        <v>Discounted</v>
      </c>
      <c r="O2401" t="str">
        <f t="shared" si="113"/>
        <v>Returning</v>
      </c>
    </row>
    <row r="2402" spans="1:15" x14ac:dyDescent="0.25">
      <c r="A2402">
        <v>2401</v>
      </c>
      <c r="B2402">
        <v>59</v>
      </c>
      <c r="C2402" t="s">
        <v>11</v>
      </c>
      <c r="D2402" t="s">
        <v>41</v>
      </c>
      <c r="E2402" t="s">
        <v>45</v>
      </c>
      <c r="F2402" s="1">
        <v>188.01</v>
      </c>
      <c r="G2402" t="s">
        <v>24</v>
      </c>
      <c r="H2402" t="s">
        <v>15</v>
      </c>
      <c r="I2402" s="2">
        <v>2.8</v>
      </c>
      <c r="J2402" s="4">
        <v>12</v>
      </c>
      <c r="K2402" s="3">
        <v>6</v>
      </c>
      <c r="L2402" s="1">
        <f t="shared" si="111"/>
        <v>165.44880000000001</v>
      </c>
      <c r="M2402" t="str" cm="1">
        <f t="array" ref="M2402">_xlfn.IFS(B2402&lt;18,"Under 18",B2402 &lt;=25,"18-25",B2402&lt;=35,"26-35",B2402&lt;=45,"36-45",B2402&lt;=60,"46-60",TRUE,"60+")</f>
        <v>46-60</v>
      </c>
      <c r="N2402" t="str">
        <f t="shared" si="112"/>
        <v>Discounted</v>
      </c>
      <c r="O2402" t="str">
        <f t="shared" si="113"/>
        <v>Returning</v>
      </c>
    </row>
    <row r="2403" spans="1:15" x14ac:dyDescent="0.25">
      <c r="A2403">
        <v>2402</v>
      </c>
      <c r="B2403">
        <v>50</v>
      </c>
      <c r="C2403" t="s">
        <v>16</v>
      </c>
      <c r="D2403" t="s">
        <v>25</v>
      </c>
      <c r="E2403" t="s">
        <v>57</v>
      </c>
      <c r="F2403" s="1">
        <v>11.64</v>
      </c>
      <c r="G2403" t="s">
        <v>31</v>
      </c>
      <c r="H2403" t="s">
        <v>37</v>
      </c>
      <c r="I2403" s="2">
        <v>2.8</v>
      </c>
      <c r="J2403" s="4">
        <v>2</v>
      </c>
      <c r="K2403" s="3">
        <v>1</v>
      </c>
      <c r="L2403" s="1">
        <f t="shared" si="111"/>
        <v>11.4072</v>
      </c>
      <c r="M2403" t="str" cm="1">
        <f t="array" ref="M2403">_xlfn.IFS(B2403&lt;18,"Under 18",B2403 &lt;=25,"18-25",B2403&lt;=35,"26-35",B2403&lt;=45,"36-45",B2403&lt;=60,"46-60",TRUE,"60+")</f>
        <v>46-60</v>
      </c>
      <c r="N2403" t="str">
        <f t="shared" si="112"/>
        <v>Discounted</v>
      </c>
      <c r="O2403" t="str">
        <f t="shared" si="113"/>
        <v>Returning</v>
      </c>
    </row>
    <row r="2404" spans="1:15" x14ac:dyDescent="0.25">
      <c r="A2404">
        <v>2403</v>
      </c>
      <c r="B2404">
        <v>61</v>
      </c>
      <c r="C2404" t="s">
        <v>16</v>
      </c>
      <c r="D2404" t="s">
        <v>25</v>
      </c>
      <c r="E2404" t="s">
        <v>57</v>
      </c>
      <c r="F2404" s="1">
        <v>49.05</v>
      </c>
      <c r="G2404" t="s">
        <v>31</v>
      </c>
      <c r="H2404" t="s">
        <v>15</v>
      </c>
      <c r="I2404" s="2">
        <v>2.7</v>
      </c>
      <c r="J2404" s="4">
        <v>22</v>
      </c>
      <c r="K2404" s="3">
        <v>6</v>
      </c>
      <c r="L2404" s="1">
        <f t="shared" si="111"/>
        <v>38.259</v>
      </c>
      <c r="M2404" t="str" cm="1">
        <f t="array" ref="M2404">_xlfn.IFS(B2404&lt;18,"Under 18",B2404 &lt;=25,"18-25",B2404&lt;=35,"26-35",B2404&lt;=45,"36-45",B2404&lt;=60,"46-60",TRUE,"60+")</f>
        <v>60+</v>
      </c>
      <c r="N2404" t="str">
        <f t="shared" si="112"/>
        <v>Discounted</v>
      </c>
      <c r="O2404" t="str">
        <f t="shared" si="113"/>
        <v>Returning</v>
      </c>
    </row>
    <row r="2405" spans="1:15" x14ac:dyDescent="0.25">
      <c r="A2405">
        <v>2404</v>
      </c>
      <c r="B2405">
        <v>36</v>
      </c>
      <c r="C2405" t="s">
        <v>11</v>
      </c>
      <c r="D2405" t="s">
        <v>20</v>
      </c>
      <c r="E2405" t="s">
        <v>36</v>
      </c>
      <c r="F2405" s="1">
        <v>51.28</v>
      </c>
      <c r="G2405" t="s">
        <v>19</v>
      </c>
      <c r="H2405" t="s">
        <v>15</v>
      </c>
      <c r="I2405" s="2">
        <v>4.5</v>
      </c>
      <c r="J2405" s="4">
        <v>22</v>
      </c>
      <c r="K2405" s="3">
        <v>6</v>
      </c>
      <c r="L2405" s="1">
        <f t="shared" si="111"/>
        <v>39.998400000000004</v>
      </c>
      <c r="M2405" t="str" cm="1">
        <f t="array" ref="M2405">_xlfn.IFS(B2405&lt;18,"Under 18",B2405 &lt;=25,"18-25",B2405&lt;=35,"26-35",B2405&lt;=45,"36-45",B2405&lt;=60,"46-60",TRUE,"60+")</f>
        <v>36-45</v>
      </c>
      <c r="N2405" t="str">
        <f t="shared" si="112"/>
        <v>Discounted</v>
      </c>
      <c r="O2405" t="str">
        <f t="shared" si="113"/>
        <v>Returning</v>
      </c>
    </row>
    <row r="2406" spans="1:15" x14ac:dyDescent="0.25">
      <c r="A2406">
        <v>2405</v>
      </c>
      <c r="B2406">
        <v>45</v>
      </c>
      <c r="C2406" t="s">
        <v>16</v>
      </c>
      <c r="D2406" t="s">
        <v>33</v>
      </c>
      <c r="E2406" t="s">
        <v>40</v>
      </c>
      <c r="F2406" s="1">
        <v>53.31</v>
      </c>
      <c r="G2406" t="s">
        <v>31</v>
      </c>
      <c r="H2406" t="s">
        <v>37</v>
      </c>
      <c r="I2406" s="2">
        <v>3.8</v>
      </c>
      <c r="J2406" s="4">
        <v>20</v>
      </c>
      <c r="K2406" s="3">
        <v>5</v>
      </c>
      <c r="L2406" s="1">
        <f t="shared" si="111"/>
        <v>42.648000000000003</v>
      </c>
      <c r="M2406" t="str" cm="1">
        <f t="array" ref="M2406">_xlfn.IFS(B2406&lt;18,"Under 18",B2406 &lt;=25,"18-25",B2406&lt;=35,"26-35",B2406&lt;=45,"36-45",B2406&lt;=60,"46-60",TRUE,"60+")</f>
        <v>36-45</v>
      </c>
      <c r="N2406" t="str">
        <f t="shared" si="112"/>
        <v>Discounted</v>
      </c>
      <c r="O2406" t="str">
        <f t="shared" si="113"/>
        <v>Returning</v>
      </c>
    </row>
    <row r="2407" spans="1:15" x14ac:dyDescent="0.25">
      <c r="A2407">
        <v>2406</v>
      </c>
      <c r="B2407">
        <v>23</v>
      </c>
      <c r="C2407" t="s">
        <v>16</v>
      </c>
      <c r="D2407" t="s">
        <v>33</v>
      </c>
      <c r="E2407" t="s">
        <v>38</v>
      </c>
      <c r="F2407" s="1">
        <v>70.92</v>
      </c>
      <c r="G2407" t="s">
        <v>31</v>
      </c>
      <c r="H2407" t="s">
        <v>15</v>
      </c>
      <c r="I2407" s="2">
        <v>2.8</v>
      </c>
      <c r="J2407" s="4">
        <v>24</v>
      </c>
      <c r="K2407" s="3">
        <v>7</v>
      </c>
      <c r="L2407" s="1">
        <f t="shared" si="111"/>
        <v>53.8992</v>
      </c>
      <c r="M2407" t="str" cm="1">
        <f t="array" ref="M2407">_xlfn.IFS(B2407&lt;18,"Under 18",B2407 &lt;=25,"18-25",B2407&lt;=35,"26-35",B2407&lt;=45,"36-45",B2407&lt;=60,"46-60",TRUE,"60+")</f>
        <v>18-25</v>
      </c>
      <c r="N2407" t="str">
        <f t="shared" si="112"/>
        <v>Discounted</v>
      </c>
      <c r="O2407" t="str">
        <f t="shared" si="113"/>
        <v>Returning</v>
      </c>
    </row>
    <row r="2408" spans="1:15" x14ac:dyDescent="0.25">
      <c r="A2408">
        <v>2407</v>
      </c>
      <c r="B2408">
        <v>66</v>
      </c>
      <c r="C2408" t="s">
        <v>11</v>
      </c>
      <c r="D2408" t="s">
        <v>22</v>
      </c>
      <c r="E2408" t="s">
        <v>43</v>
      </c>
      <c r="F2408" s="1">
        <v>245.8</v>
      </c>
      <c r="G2408" t="s">
        <v>24</v>
      </c>
      <c r="H2408" t="s">
        <v>15</v>
      </c>
      <c r="I2408" s="2">
        <v>3.1</v>
      </c>
      <c r="J2408" s="4">
        <v>14</v>
      </c>
      <c r="K2408" s="3">
        <v>7</v>
      </c>
      <c r="L2408" s="1">
        <f t="shared" si="111"/>
        <v>211.38800000000001</v>
      </c>
      <c r="M2408" t="str" cm="1">
        <f t="array" ref="M2408">_xlfn.IFS(B2408&lt;18,"Under 18",B2408 &lt;=25,"18-25",B2408&lt;=35,"26-35",B2408&lt;=45,"36-45",B2408&lt;=60,"46-60",TRUE,"60+")</f>
        <v>60+</v>
      </c>
      <c r="N2408" t="str">
        <f t="shared" si="112"/>
        <v>Discounted</v>
      </c>
      <c r="O2408" t="str">
        <f t="shared" si="113"/>
        <v>Returning</v>
      </c>
    </row>
    <row r="2409" spans="1:15" x14ac:dyDescent="0.25">
      <c r="A2409">
        <v>2408</v>
      </c>
      <c r="B2409">
        <v>62</v>
      </c>
      <c r="C2409" t="s">
        <v>16</v>
      </c>
      <c r="D2409" t="s">
        <v>33</v>
      </c>
      <c r="E2409" t="s">
        <v>38</v>
      </c>
      <c r="F2409" s="1">
        <v>111.93</v>
      </c>
      <c r="G2409" t="s">
        <v>31</v>
      </c>
      <c r="H2409" t="s">
        <v>15</v>
      </c>
      <c r="I2409" s="2">
        <v>2.2999999999999998</v>
      </c>
      <c r="J2409" s="4">
        <v>10</v>
      </c>
      <c r="K2409" s="3">
        <v>5</v>
      </c>
      <c r="L2409" s="1">
        <f t="shared" si="111"/>
        <v>100.73700000000001</v>
      </c>
      <c r="M2409" t="str" cm="1">
        <f t="array" ref="M2409">_xlfn.IFS(B2409&lt;18,"Under 18",B2409 &lt;=25,"18-25",B2409&lt;=35,"26-35",B2409&lt;=45,"36-45",B2409&lt;=60,"46-60",TRUE,"60+")</f>
        <v>60+</v>
      </c>
      <c r="N2409" t="str">
        <f t="shared" si="112"/>
        <v>Discounted</v>
      </c>
      <c r="O2409" t="str">
        <f t="shared" si="113"/>
        <v>Returning</v>
      </c>
    </row>
    <row r="2410" spans="1:15" x14ac:dyDescent="0.25">
      <c r="A2410">
        <v>2409</v>
      </c>
      <c r="B2410">
        <v>33</v>
      </c>
      <c r="C2410" t="s">
        <v>16</v>
      </c>
      <c r="D2410" t="s">
        <v>17</v>
      </c>
      <c r="E2410" t="s">
        <v>35</v>
      </c>
      <c r="F2410" s="1">
        <v>81.37</v>
      </c>
      <c r="G2410" t="s">
        <v>31</v>
      </c>
      <c r="H2410" t="s">
        <v>37</v>
      </c>
      <c r="I2410" s="2">
        <v>4.2</v>
      </c>
      <c r="J2410" s="4">
        <v>18</v>
      </c>
      <c r="K2410" s="3">
        <v>4</v>
      </c>
      <c r="L2410" s="1">
        <f t="shared" si="111"/>
        <v>66.723400000000012</v>
      </c>
      <c r="M2410" t="str" cm="1">
        <f t="array" ref="M2410">_xlfn.IFS(B2410&lt;18,"Under 18",B2410 &lt;=25,"18-25",B2410&lt;=35,"26-35",B2410&lt;=45,"36-45",B2410&lt;=60,"46-60",TRUE,"60+")</f>
        <v>26-35</v>
      </c>
      <c r="N2410" t="str">
        <f t="shared" si="112"/>
        <v>Discounted</v>
      </c>
      <c r="O2410" t="str">
        <f t="shared" si="113"/>
        <v>Returning</v>
      </c>
    </row>
    <row r="2411" spans="1:15" x14ac:dyDescent="0.25">
      <c r="A2411">
        <v>2410</v>
      </c>
      <c r="B2411">
        <v>64</v>
      </c>
      <c r="C2411" t="s">
        <v>11</v>
      </c>
      <c r="D2411" t="s">
        <v>29</v>
      </c>
      <c r="E2411" t="s">
        <v>51</v>
      </c>
      <c r="F2411" s="1">
        <v>49.12</v>
      </c>
      <c r="G2411" t="s">
        <v>14</v>
      </c>
      <c r="H2411" t="s">
        <v>37</v>
      </c>
      <c r="I2411" s="2">
        <v>3.6</v>
      </c>
      <c r="J2411" s="4">
        <v>19</v>
      </c>
      <c r="K2411" s="3">
        <v>7</v>
      </c>
      <c r="L2411" s="1">
        <f t="shared" si="111"/>
        <v>39.787199999999999</v>
      </c>
      <c r="M2411" t="str" cm="1">
        <f t="array" ref="M2411">_xlfn.IFS(B2411&lt;18,"Under 18",B2411 &lt;=25,"18-25",B2411&lt;=35,"26-35",B2411&lt;=45,"36-45",B2411&lt;=60,"46-60",TRUE,"60+")</f>
        <v>60+</v>
      </c>
      <c r="N2411" t="str">
        <f t="shared" si="112"/>
        <v>Discounted</v>
      </c>
      <c r="O2411" t="str">
        <f t="shared" si="113"/>
        <v>Returning</v>
      </c>
    </row>
    <row r="2412" spans="1:15" x14ac:dyDescent="0.25">
      <c r="A2412">
        <v>2411</v>
      </c>
      <c r="B2412">
        <v>34</v>
      </c>
      <c r="C2412" t="s">
        <v>11</v>
      </c>
      <c r="D2412" t="s">
        <v>12</v>
      </c>
      <c r="E2412" t="s">
        <v>13</v>
      </c>
      <c r="F2412" s="1">
        <v>23.82</v>
      </c>
      <c r="G2412" t="s">
        <v>24</v>
      </c>
      <c r="H2412" t="s">
        <v>15</v>
      </c>
      <c r="I2412" s="2">
        <v>4.5999999999999996</v>
      </c>
      <c r="J2412" s="4">
        <v>24</v>
      </c>
      <c r="K2412" s="3">
        <v>7</v>
      </c>
      <c r="L2412" s="1">
        <f t="shared" si="111"/>
        <v>18.103200000000001</v>
      </c>
      <c r="M2412" t="str" cm="1">
        <f t="array" ref="M2412">_xlfn.IFS(B2412&lt;18,"Under 18",B2412 &lt;=25,"18-25",B2412&lt;=35,"26-35",B2412&lt;=45,"36-45",B2412&lt;=60,"46-60",TRUE,"60+")</f>
        <v>26-35</v>
      </c>
      <c r="N2412" t="str">
        <f t="shared" si="112"/>
        <v>Discounted</v>
      </c>
      <c r="O2412" t="str">
        <f t="shared" si="113"/>
        <v>Returning</v>
      </c>
    </row>
    <row r="2413" spans="1:15" x14ac:dyDescent="0.25">
      <c r="A2413">
        <v>2412</v>
      </c>
      <c r="B2413">
        <v>41</v>
      </c>
      <c r="C2413" t="s">
        <v>16</v>
      </c>
      <c r="D2413" t="s">
        <v>22</v>
      </c>
      <c r="E2413" t="s">
        <v>23</v>
      </c>
      <c r="F2413" s="1">
        <v>295.39</v>
      </c>
      <c r="G2413" t="s">
        <v>14</v>
      </c>
      <c r="H2413" t="s">
        <v>15</v>
      </c>
      <c r="I2413" s="2">
        <v>3.8</v>
      </c>
      <c r="J2413" s="4">
        <v>6</v>
      </c>
      <c r="K2413" s="3">
        <v>3</v>
      </c>
      <c r="L2413" s="1">
        <f t="shared" si="111"/>
        <v>277.66659999999996</v>
      </c>
      <c r="M2413" t="str" cm="1">
        <f t="array" ref="M2413">_xlfn.IFS(B2413&lt;18,"Under 18",B2413 &lt;=25,"18-25",B2413&lt;=35,"26-35",B2413&lt;=45,"36-45",B2413&lt;=60,"46-60",TRUE,"60+")</f>
        <v>36-45</v>
      </c>
      <c r="N2413" t="str">
        <f t="shared" si="112"/>
        <v>Discounted</v>
      </c>
      <c r="O2413" t="str">
        <f t="shared" si="113"/>
        <v>Returning</v>
      </c>
    </row>
    <row r="2414" spans="1:15" x14ac:dyDescent="0.25">
      <c r="A2414">
        <v>2413</v>
      </c>
      <c r="B2414">
        <v>62</v>
      </c>
      <c r="C2414" t="s">
        <v>11</v>
      </c>
      <c r="D2414" t="s">
        <v>41</v>
      </c>
      <c r="E2414" t="s">
        <v>46</v>
      </c>
      <c r="F2414" s="1">
        <v>191.31</v>
      </c>
      <c r="G2414" t="s">
        <v>24</v>
      </c>
      <c r="H2414" t="s">
        <v>15</v>
      </c>
      <c r="I2414" s="2">
        <v>3.6</v>
      </c>
      <c r="J2414" s="4">
        <v>12</v>
      </c>
      <c r="K2414" s="3">
        <v>6</v>
      </c>
      <c r="L2414" s="1">
        <f t="shared" si="111"/>
        <v>168.3528</v>
      </c>
      <c r="M2414" t="str" cm="1">
        <f t="array" ref="M2414">_xlfn.IFS(B2414&lt;18,"Under 18",B2414 &lt;=25,"18-25",B2414&lt;=35,"26-35",B2414&lt;=45,"36-45",B2414&lt;=60,"46-60",TRUE,"60+")</f>
        <v>60+</v>
      </c>
      <c r="N2414" t="str">
        <f t="shared" si="112"/>
        <v>Discounted</v>
      </c>
      <c r="O2414" t="str">
        <f t="shared" si="113"/>
        <v>Returning</v>
      </c>
    </row>
    <row r="2415" spans="1:15" x14ac:dyDescent="0.25">
      <c r="A2415">
        <v>2414</v>
      </c>
      <c r="B2415">
        <v>63</v>
      </c>
      <c r="C2415" t="s">
        <v>11</v>
      </c>
      <c r="D2415" t="s">
        <v>33</v>
      </c>
      <c r="E2415" t="s">
        <v>38</v>
      </c>
      <c r="F2415" s="1">
        <v>75.31</v>
      </c>
      <c r="G2415" t="s">
        <v>14</v>
      </c>
      <c r="H2415" t="s">
        <v>37</v>
      </c>
      <c r="I2415" s="2">
        <v>4</v>
      </c>
      <c r="J2415" s="4">
        <v>22</v>
      </c>
      <c r="K2415" s="3">
        <v>11</v>
      </c>
      <c r="L2415" s="1">
        <f t="shared" si="111"/>
        <v>58.741800000000005</v>
      </c>
      <c r="M2415" t="str" cm="1">
        <f t="array" ref="M2415">_xlfn.IFS(B2415&lt;18,"Under 18",B2415 &lt;=25,"18-25",B2415&lt;=35,"26-35",B2415&lt;=45,"36-45",B2415&lt;=60,"46-60",TRUE,"60+")</f>
        <v>60+</v>
      </c>
      <c r="N2415" t="str">
        <f t="shared" si="112"/>
        <v>Discounted</v>
      </c>
      <c r="O2415" t="str">
        <f t="shared" si="113"/>
        <v>Returning</v>
      </c>
    </row>
    <row r="2416" spans="1:15" x14ac:dyDescent="0.25">
      <c r="A2416">
        <v>2415</v>
      </c>
      <c r="B2416">
        <v>65</v>
      </c>
      <c r="C2416" t="s">
        <v>16</v>
      </c>
      <c r="D2416" t="s">
        <v>17</v>
      </c>
      <c r="E2416" t="s">
        <v>35</v>
      </c>
      <c r="F2416" s="1">
        <v>191.04</v>
      </c>
      <c r="G2416" t="s">
        <v>14</v>
      </c>
      <c r="H2416" t="s">
        <v>15</v>
      </c>
      <c r="I2416" s="2">
        <v>4.2</v>
      </c>
      <c r="J2416" s="4">
        <v>16</v>
      </c>
      <c r="K2416" s="3">
        <v>3</v>
      </c>
      <c r="L2416" s="1">
        <f t="shared" si="111"/>
        <v>160.47359999999998</v>
      </c>
      <c r="M2416" t="str" cm="1">
        <f t="array" ref="M2416">_xlfn.IFS(B2416&lt;18,"Under 18",B2416 &lt;=25,"18-25",B2416&lt;=35,"26-35",B2416&lt;=45,"36-45",B2416&lt;=60,"46-60",TRUE,"60+")</f>
        <v>60+</v>
      </c>
      <c r="N2416" t="str">
        <f t="shared" si="112"/>
        <v>Discounted</v>
      </c>
      <c r="O2416" t="str">
        <f t="shared" si="113"/>
        <v>Returning</v>
      </c>
    </row>
    <row r="2417" spans="1:15" x14ac:dyDescent="0.25">
      <c r="A2417">
        <v>2416</v>
      </c>
      <c r="B2417">
        <v>44</v>
      </c>
      <c r="C2417" t="s">
        <v>11</v>
      </c>
      <c r="D2417" t="s">
        <v>29</v>
      </c>
      <c r="E2417" t="s">
        <v>51</v>
      </c>
      <c r="F2417" s="1">
        <v>68.39</v>
      </c>
      <c r="G2417" t="s">
        <v>31</v>
      </c>
      <c r="H2417" t="s">
        <v>37</v>
      </c>
      <c r="I2417" s="2">
        <v>3.2</v>
      </c>
      <c r="J2417" s="4">
        <v>15</v>
      </c>
      <c r="K2417" s="3">
        <v>5</v>
      </c>
      <c r="L2417" s="1">
        <f t="shared" si="111"/>
        <v>58.131499999999996</v>
      </c>
      <c r="M2417" t="str" cm="1">
        <f t="array" ref="M2417">_xlfn.IFS(B2417&lt;18,"Under 18",B2417 &lt;=25,"18-25",B2417&lt;=35,"26-35",B2417&lt;=45,"36-45",B2417&lt;=60,"46-60",TRUE,"60+")</f>
        <v>36-45</v>
      </c>
      <c r="N2417" t="str">
        <f t="shared" si="112"/>
        <v>Discounted</v>
      </c>
      <c r="O2417" t="str">
        <f t="shared" si="113"/>
        <v>Returning</v>
      </c>
    </row>
    <row r="2418" spans="1:15" x14ac:dyDescent="0.25">
      <c r="A2418">
        <v>2417</v>
      </c>
      <c r="B2418">
        <v>53</v>
      </c>
      <c r="C2418" t="s">
        <v>16</v>
      </c>
      <c r="D2418" t="s">
        <v>33</v>
      </c>
      <c r="E2418" t="s">
        <v>40</v>
      </c>
      <c r="F2418" s="1">
        <v>192.28</v>
      </c>
      <c r="G2418" t="s">
        <v>19</v>
      </c>
      <c r="H2418" t="s">
        <v>15</v>
      </c>
      <c r="I2418" s="2">
        <v>3.7</v>
      </c>
      <c r="J2418" s="4">
        <v>14</v>
      </c>
      <c r="K2418" s="3">
        <v>7</v>
      </c>
      <c r="L2418" s="1">
        <f t="shared" si="111"/>
        <v>165.36080000000001</v>
      </c>
      <c r="M2418" t="str" cm="1">
        <f t="array" ref="M2418">_xlfn.IFS(B2418&lt;18,"Under 18",B2418 &lt;=25,"18-25",B2418&lt;=35,"26-35",B2418&lt;=45,"36-45",B2418&lt;=60,"46-60",TRUE,"60+")</f>
        <v>46-60</v>
      </c>
      <c r="N2418" t="str">
        <f t="shared" si="112"/>
        <v>Discounted</v>
      </c>
      <c r="O2418" t="str">
        <f t="shared" si="113"/>
        <v>Returning</v>
      </c>
    </row>
    <row r="2419" spans="1:15" x14ac:dyDescent="0.25">
      <c r="A2419">
        <v>2418</v>
      </c>
      <c r="B2419">
        <v>40</v>
      </c>
      <c r="C2419" t="s">
        <v>16</v>
      </c>
      <c r="D2419" t="s">
        <v>33</v>
      </c>
      <c r="E2419" t="s">
        <v>34</v>
      </c>
      <c r="F2419" s="1">
        <v>236.78</v>
      </c>
      <c r="G2419" t="s">
        <v>19</v>
      </c>
      <c r="H2419" t="s">
        <v>15</v>
      </c>
      <c r="I2419" s="2">
        <v>4.0999999999999996</v>
      </c>
      <c r="J2419" s="4">
        <v>22</v>
      </c>
      <c r="K2419" s="3">
        <v>6</v>
      </c>
      <c r="L2419" s="1">
        <f t="shared" si="111"/>
        <v>184.6884</v>
      </c>
      <c r="M2419" t="str" cm="1">
        <f t="array" ref="M2419">_xlfn.IFS(B2419&lt;18,"Under 18",B2419 &lt;=25,"18-25",B2419&lt;=35,"26-35",B2419&lt;=45,"36-45",B2419&lt;=60,"46-60",TRUE,"60+")</f>
        <v>36-45</v>
      </c>
      <c r="N2419" t="str">
        <f t="shared" si="112"/>
        <v>Discounted</v>
      </c>
      <c r="O2419" t="str">
        <f t="shared" si="113"/>
        <v>Returning</v>
      </c>
    </row>
    <row r="2420" spans="1:15" x14ac:dyDescent="0.25">
      <c r="A2420">
        <v>2419</v>
      </c>
      <c r="B2420">
        <v>31</v>
      </c>
      <c r="C2420" t="s">
        <v>11</v>
      </c>
      <c r="D2420" t="s">
        <v>25</v>
      </c>
      <c r="E2420" t="s">
        <v>57</v>
      </c>
      <c r="F2420" s="1">
        <v>52.19</v>
      </c>
      <c r="G2420" t="s">
        <v>24</v>
      </c>
      <c r="H2420" t="s">
        <v>37</v>
      </c>
      <c r="I2420" s="2">
        <v>5</v>
      </c>
      <c r="J2420" s="4">
        <v>2</v>
      </c>
      <c r="K2420" s="3">
        <v>1</v>
      </c>
      <c r="L2420" s="1">
        <f t="shared" si="111"/>
        <v>51.1462</v>
      </c>
      <c r="M2420" t="str" cm="1">
        <f t="array" ref="M2420">_xlfn.IFS(B2420&lt;18,"Under 18",B2420 &lt;=25,"18-25",B2420&lt;=35,"26-35",B2420&lt;=45,"36-45",B2420&lt;=60,"46-60",TRUE,"60+")</f>
        <v>26-35</v>
      </c>
      <c r="N2420" t="str">
        <f t="shared" si="112"/>
        <v>Discounted</v>
      </c>
      <c r="O2420" t="str">
        <f t="shared" si="113"/>
        <v>Returning</v>
      </c>
    </row>
    <row r="2421" spans="1:15" x14ac:dyDescent="0.25">
      <c r="A2421">
        <v>2420</v>
      </c>
      <c r="B2421">
        <v>46</v>
      </c>
      <c r="C2421" t="s">
        <v>11</v>
      </c>
      <c r="D2421" t="s">
        <v>29</v>
      </c>
      <c r="E2421" t="s">
        <v>55</v>
      </c>
      <c r="F2421" s="1">
        <v>63.26</v>
      </c>
      <c r="G2421" t="s">
        <v>14</v>
      </c>
      <c r="H2421" t="s">
        <v>37</v>
      </c>
      <c r="I2421" s="2">
        <v>4.2</v>
      </c>
      <c r="J2421" s="4">
        <v>22</v>
      </c>
      <c r="K2421" s="3">
        <v>6</v>
      </c>
      <c r="L2421" s="1">
        <f t="shared" si="111"/>
        <v>49.342799999999997</v>
      </c>
      <c r="M2421" t="str" cm="1">
        <f t="array" ref="M2421">_xlfn.IFS(B2421&lt;18,"Under 18",B2421 &lt;=25,"18-25",B2421&lt;=35,"26-35",B2421&lt;=45,"36-45",B2421&lt;=60,"46-60",TRUE,"60+")</f>
        <v>46-60</v>
      </c>
      <c r="N2421" t="str">
        <f t="shared" si="112"/>
        <v>Discounted</v>
      </c>
      <c r="O2421" t="str">
        <f t="shared" si="113"/>
        <v>Returning</v>
      </c>
    </row>
    <row r="2422" spans="1:15" x14ac:dyDescent="0.25">
      <c r="A2422">
        <v>2421</v>
      </c>
      <c r="B2422">
        <v>43</v>
      </c>
      <c r="C2422" t="s">
        <v>11</v>
      </c>
      <c r="D2422" t="s">
        <v>29</v>
      </c>
      <c r="E2422" t="s">
        <v>30</v>
      </c>
      <c r="F2422" s="1">
        <v>57.97</v>
      </c>
      <c r="G2422" t="s">
        <v>31</v>
      </c>
      <c r="H2422" t="s">
        <v>37</v>
      </c>
      <c r="I2422" s="2">
        <v>4.8</v>
      </c>
      <c r="J2422" s="4">
        <v>20</v>
      </c>
      <c r="K2422" s="3">
        <v>5</v>
      </c>
      <c r="L2422" s="1">
        <f t="shared" si="111"/>
        <v>46.376000000000005</v>
      </c>
      <c r="M2422" t="str" cm="1">
        <f t="array" ref="M2422">_xlfn.IFS(B2422&lt;18,"Under 18",B2422 &lt;=25,"18-25",B2422&lt;=35,"26-35",B2422&lt;=45,"36-45",B2422&lt;=60,"46-60",TRUE,"60+")</f>
        <v>36-45</v>
      </c>
      <c r="N2422" t="str">
        <f t="shared" si="112"/>
        <v>Discounted</v>
      </c>
      <c r="O2422" t="str">
        <f t="shared" si="113"/>
        <v>Returning</v>
      </c>
    </row>
    <row r="2423" spans="1:15" x14ac:dyDescent="0.25">
      <c r="A2423">
        <v>2422</v>
      </c>
      <c r="B2423">
        <v>58</v>
      </c>
      <c r="C2423" t="s">
        <v>16</v>
      </c>
      <c r="D2423" t="s">
        <v>27</v>
      </c>
      <c r="E2423" t="s">
        <v>28</v>
      </c>
      <c r="F2423" s="1">
        <v>2430.6</v>
      </c>
      <c r="G2423" t="s">
        <v>14</v>
      </c>
      <c r="H2423" t="s">
        <v>15</v>
      </c>
      <c r="I2423" s="2">
        <v>3.1</v>
      </c>
      <c r="J2423" s="4">
        <v>6</v>
      </c>
      <c r="K2423" s="3">
        <v>3</v>
      </c>
      <c r="L2423" s="1">
        <f t="shared" si="111"/>
        <v>2284.7639999999997</v>
      </c>
      <c r="M2423" t="str" cm="1">
        <f t="array" ref="M2423">_xlfn.IFS(B2423&lt;18,"Under 18",B2423 &lt;=25,"18-25",B2423&lt;=35,"26-35",B2423&lt;=45,"36-45",B2423&lt;=60,"46-60",TRUE,"60+")</f>
        <v>46-60</v>
      </c>
      <c r="N2423" t="str">
        <f t="shared" si="112"/>
        <v>Discounted</v>
      </c>
      <c r="O2423" t="str">
        <f t="shared" si="113"/>
        <v>Returning</v>
      </c>
    </row>
    <row r="2424" spans="1:15" x14ac:dyDescent="0.25">
      <c r="A2424">
        <v>2423</v>
      </c>
      <c r="B2424">
        <v>63</v>
      </c>
      <c r="C2424" t="s">
        <v>16</v>
      </c>
      <c r="D2424" t="s">
        <v>22</v>
      </c>
      <c r="E2424" t="s">
        <v>52</v>
      </c>
      <c r="F2424" s="1">
        <v>50.59</v>
      </c>
      <c r="G2424" t="s">
        <v>19</v>
      </c>
      <c r="H2424" t="s">
        <v>37</v>
      </c>
      <c r="I2424" s="2">
        <v>3.2</v>
      </c>
      <c r="J2424" s="4">
        <v>6</v>
      </c>
      <c r="K2424" s="3">
        <v>3</v>
      </c>
      <c r="L2424" s="1">
        <f t="shared" si="111"/>
        <v>47.554600000000001</v>
      </c>
      <c r="M2424" t="str" cm="1">
        <f t="array" ref="M2424">_xlfn.IFS(B2424&lt;18,"Under 18",B2424 &lt;=25,"18-25",B2424&lt;=35,"26-35",B2424&lt;=45,"36-45",B2424&lt;=60,"46-60",TRUE,"60+")</f>
        <v>60+</v>
      </c>
      <c r="N2424" t="str">
        <f t="shared" si="112"/>
        <v>Discounted</v>
      </c>
      <c r="O2424" t="str">
        <f t="shared" si="113"/>
        <v>Returning</v>
      </c>
    </row>
    <row r="2425" spans="1:15" x14ac:dyDescent="0.25">
      <c r="A2425">
        <v>2424</v>
      </c>
      <c r="B2425">
        <v>31</v>
      </c>
      <c r="C2425" t="s">
        <v>16</v>
      </c>
      <c r="D2425" t="s">
        <v>27</v>
      </c>
      <c r="E2425" t="s">
        <v>28</v>
      </c>
      <c r="F2425" s="1">
        <v>2025.94</v>
      </c>
      <c r="G2425" t="s">
        <v>31</v>
      </c>
      <c r="H2425" t="s">
        <v>15</v>
      </c>
      <c r="I2425" s="2">
        <v>3.8</v>
      </c>
      <c r="J2425" s="4">
        <v>18</v>
      </c>
      <c r="K2425" s="3">
        <v>9</v>
      </c>
      <c r="L2425" s="1">
        <f t="shared" si="111"/>
        <v>1661.2708000000002</v>
      </c>
      <c r="M2425" t="str" cm="1">
        <f t="array" ref="M2425">_xlfn.IFS(B2425&lt;18,"Under 18",B2425 &lt;=25,"18-25",B2425&lt;=35,"26-35",B2425&lt;=45,"36-45",B2425&lt;=60,"46-60",TRUE,"60+")</f>
        <v>26-35</v>
      </c>
      <c r="N2425" t="str">
        <f t="shared" si="112"/>
        <v>Discounted</v>
      </c>
      <c r="O2425" t="str">
        <f t="shared" si="113"/>
        <v>Returning</v>
      </c>
    </row>
    <row r="2426" spans="1:15" x14ac:dyDescent="0.25">
      <c r="A2426">
        <v>2425</v>
      </c>
      <c r="B2426">
        <v>29</v>
      </c>
      <c r="C2426" t="s">
        <v>16</v>
      </c>
      <c r="D2426" t="s">
        <v>20</v>
      </c>
      <c r="E2426" t="s">
        <v>36</v>
      </c>
      <c r="F2426" s="1">
        <v>217.27</v>
      </c>
      <c r="G2426" t="s">
        <v>19</v>
      </c>
      <c r="H2426" t="s">
        <v>15</v>
      </c>
      <c r="I2426" s="2">
        <v>4.5</v>
      </c>
      <c r="J2426" s="4">
        <v>18</v>
      </c>
      <c r="K2426" s="3">
        <v>4</v>
      </c>
      <c r="L2426" s="1">
        <f t="shared" si="111"/>
        <v>178.16140000000001</v>
      </c>
      <c r="M2426" t="str" cm="1">
        <f t="array" ref="M2426">_xlfn.IFS(B2426&lt;18,"Under 18",B2426 &lt;=25,"18-25",B2426&lt;=35,"26-35",B2426&lt;=45,"36-45",B2426&lt;=60,"46-60",TRUE,"60+")</f>
        <v>26-35</v>
      </c>
      <c r="N2426" t="str">
        <f t="shared" si="112"/>
        <v>Discounted</v>
      </c>
      <c r="O2426" t="str">
        <f t="shared" si="113"/>
        <v>Returning</v>
      </c>
    </row>
    <row r="2427" spans="1:15" x14ac:dyDescent="0.25">
      <c r="A2427">
        <v>2426</v>
      </c>
      <c r="B2427">
        <v>61</v>
      </c>
      <c r="C2427" t="s">
        <v>11</v>
      </c>
      <c r="D2427" t="s">
        <v>29</v>
      </c>
      <c r="E2427" t="s">
        <v>55</v>
      </c>
      <c r="F2427" s="1">
        <v>81.17</v>
      </c>
      <c r="G2427" t="s">
        <v>19</v>
      </c>
      <c r="H2427" t="s">
        <v>37</v>
      </c>
      <c r="I2427" s="2">
        <v>3.7</v>
      </c>
      <c r="J2427" s="4">
        <v>18</v>
      </c>
      <c r="K2427" s="3">
        <v>4</v>
      </c>
      <c r="L2427" s="1">
        <f t="shared" si="111"/>
        <v>66.559400000000011</v>
      </c>
      <c r="M2427" t="str" cm="1">
        <f t="array" ref="M2427">_xlfn.IFS(B2427&lt;18,"Under 18",B2427 &lt;=25,"18-25",B2427&lt;=35,"26-35",B2427&lt;=45,"36-45",B2427&lt;=60,"46-60",TRUE,"60+")</f>
        <v>60+</v>
      </c>
      <c r="N2427" t="str">
        <f t="shared" si="112"/>
        <v>Discounted</v>
      </c>
      <c r="O2427" t="str">
        <f t="shared" si="113"/>
        <v>Returning</v>
      </c>
    </row>
    <row r="2428" spans="1:15" x14ac:dyDescent="0.25">
      <c r="A2428">
        <v>2427</v>
      </c>
      <c r="B2428">
        <v>22</v>
      </c>
      <c r="C2428" t="s">
        <v>11</v>
      </c>
      <c r="D2428" t="s">
        <v>20</v>
      </c>
      <c r="E2428" t="s">
        <v>36</v>
      </c>
      <c r="F2428" s="1">
        <v>88.1</v>
      </c>
      <c r="G2428" t="s">
        <v>19</v>
      </c>
      <c r="H2428" t="s">
        <v>37</v>
      </c>
      <c r="I2428" s="2">
        <v>3.3</v>
      </c>
      <c r="J2428" s="4">
        <v>25</v>
      </c>
      <c r="K2428" s="3">
        <v>10</v>
      </c>
      <c r="L2428" s="1">
        <f t="shared" si="111"/>
        <v>66.074999999999989</v>
      </c>
      <c r="M2428" t="str" cm="1">
        <f t="array" ref="M2428">_xlfn.IFS(B2428&lt;18,"Under 18",B2428 &lt;=25,"18-25",B2428&lt;=35,"26-35",B2428&lt;=45,"36-45",B2428&lt;=60,"46-60",TRUE,"60+")</f>
        <v>18-25</v>
      </c>
      <c r="N2428" t="str">
        <f t="shared" si="112"/>
        <v>Discounted</v>
      </c>
      <c r="O2428" t="str">
        <f t="shared" si="113"/>
        <v>Returning</v>
      </c>
    </row>
    <row r="2429" spans="1:15" x14ac:dyDescent="0.25">
      <c r="A2429">
        <v>2428</v>
      </c>
      <c r="B2429">
        <v>45</v>
      </c>
      <c r="C2429" t="s">
        <v>11</v>
      </c>
      <c r="D2429" t="s">
        <v>41</v>
      </c>
      <c r="E2429" t="s">
        <v>42</v>
      </c>
      <c r="F2429" s="1">
        <v>174.75</v>
      </c>
      <c r="G2429" t="s">
        <v>14</v>
      </c>
      <c r="H2429" t="s">
        <v>15</v>
      </c>
      <c r="I2429" s="2">
        <v>3.5</v>
      </c>
      <c r="J2429" s="4">
        <v>14</v>
      </c>
      <c r="K2429" s="3">
        <v>2</v>
      </c>
      <c r="L2429" s="1">
        <f t="shared" si="111"/>
        <v>150.285</v>
      </c>
      <c r="M2429" t="str" cm="1">
        <f t="array" ref="M2429">_xlfn.IFS(B2429&lt;18,"Under 18",B2429 &lt;=25,"18-25",B2429&lt;=35,"26-35",B2429&lt;=45,"36-45",B2429&lt;=60,"46-60",TRUE,"60+")</f>
        <v>36-45</v>
      </c>
      <c r="N2429" t="str">
        <f t="shared" si="112"/>
        <v>Discounted</v>
      </c>
      <c r="O2429" t="str">
        <f t="shared" si="113"/>
        <v>Returning</v>
      </c>
    </row>
    <row r="2430" spans="1:15" x14ac:dyDescent="0.25">
      <c r="A2430">
        <v>2429</v>
      </c>
      <c r="B2430">
        <v>39</v>
      </c>
      <c r="C2430" t="s">
        <v>16</v>
      </c>
      <c r="D2430" t="s">
        <v>25</v>
      </c>
      <c r="E2430" t="s">
        <v>47</v>
      </c>
      <c r="F2430" s="1">
        <v>56.99</v>
      </c>
      <c r="G2430" t="s">
        <v>14</v>
      </c>
      <c r="H2430" t="s">
        <v>37</v>
      </c>
      <c r="I2430" s="2">
        <v>3.3</v>
      </c>
      <c r="J2430" s="4">
        <v>25</v>
      </c>
      <c r="K2430" s="3">
        <v>10</v>
      </c>
      <c r="L2430" s="1">
        <f t="shared" si="111"/>
        <v>42.7425</v>
      </c>
      <c r="M2430" t="str" cm="1">
        <f t="array" ref="M2430">_xlfn.IFS(B2430&lt;18,"Under 18",B2430 &lt;=25,"18-25",B2430&lt;=35,"26-35",B2430&lt;=45,"36-45",B2430&lt;=60,"46-60",TRUE,"60+")</f>
        <v>36-45</v>
      </c>
      <c r="N2430" t="str">
        <f t="shared" si="112"/>
        <v>Discounted</v>
      </c>
      <c r="O2430" t="str">
        <f t="shared" si="113"/>
        <v>Returning</v>
      </c>
    </row>
    <row r="2431" spans="1:15" x14ac:dyDescent="0.25">
      <c r="A2431">
        <v>2430</v>
      </c>
      <c r="B2431">
        <v>20</v>
      </c>
      <c r="C2431" t="s">
        <v>11</v>
      </c>
      <c r="D2431" t="s">
        <v>41</v>
      </c>
      <c r="E2431" t="s">
        <v>45</v>
      </c>
      <c r="F2431" s="1">
        <v>95.46</v>
      </c>
      <c r="G2431" t="s">
        <v>14</v>
      </c>
      <c r="H2431" t="s">
        <v>37</v>
      </c>
      <c r="I2431" s="2">
        <v>4.5</v>
      </c>
      <c r="J2431" s="4">
        <v>23</v>
      </c>
      <c r="K2431" s="3">
        <v>9</v>
      </c>
      <c r="L2431" s="1">
        <f t="shared" si="111"/>
        <v>73.504199999999997</v>
      </c>
      <c r="M2431" t="str" cm="1">
        <f t="array" ref="M2431">_xlfn.IFS(B2431&lt;18,"Under 18",B2431 &lt;=25,"18-25",B2431&lt;=35,"26-35",B2431&lt;=45,"36-45",B2431&lt;=60,"46-60",TRUE,"60+")</f>
        <v>18-25</v>
      </c>
      <c r="N2431" t="str">
        <f t="shared" si="112"/>
        <v>Discounted</v>
      </c>
      <c r="O2431" t="str">
        <f t="shared" si="113"/>
        <v>Returning</v>
      </c>
    </row>
    <row r="2432" spans="1:15" x14ac:dyDescent="0.25">
      <c r="A2432">
        <v>2431</v>
      </c>
      <c r="B2432">
        <v>22</v>
      </c>
      <c r="C2432" t="s">
        <v>16</v>
      </c>
      <c r="D2432" t="s">
        <v>20</v>
      </c>
      <c r="E2432" t="s">
        <v>39</v>
      </c>
      <c r="F2432" s="1">
        <v>108.86</v>
      </c>
      <c r="G2432" t="s">
        <v>19</v>
      </c>
      <c r="H2432" t="s">
        <v>15</v>
      </c>
      <c r="I2432" s="2">
        <v>3.6</v>
      </c>
      <c r="J2432" s="4">
        <v>15</v>
      </c>
      <c r="K2432" s="3">
        <v>5</v>
      </c>
      <c r="L2432" s="1">
        <f t="shared" si="111"/>
        <v>92.530999999999992</v>
      </c>
      <c r="M2432" t="str" cm="1">
        <f t="array" ref="M2432">_xlfn.IFS(B2432&lt;18,"Under 18",B2432 &lt;=25,"18-25",B2432&lt;=35,"26-35",B2432&lt;=45,"36-45",B2432&lt;=60,"46-60",TRUE,"60+")</f>
        <v>18-25</v>
      </c>
      <c r="N2432" t="str">
        <f t="shared" si="112"/>
        <v>Discounted</v>
      </c>
      <c r="O2432" t="str">
        <f t="shared" si="113"/>
        <v>Returning</v>
      </c>
    </row>
    <row r="2433" spans="1:15" x14ac:dyDescent="0.25">
      <c r="A2433">
        <v>2432</v>
      </c>
      <c r="B2433">
        <v>54</v>
      </c>
      <c r="C2433" t="s">
        <v>11</v>
      </c>
      <c r="D2433" t="s">
        <v>41</v>
      </c>
      <c r="E2433" t="s">
        <v>44</v>
      </c>
      <c r="F2433" s="1">
        <v>166.88</v>
      </c>
      <c r="G2433" t="s">
        <v>19</v>
      </c>
      <c r="H2433" t="s">
        <v>15</v>
      </c>
      <c r="I2433" s="2">
        <v>3.5</v>
      </c>
      <c r="J2433" s="4">
        <v>18</v>
      </c>
      <c r="K2433" s="3">
        <v>4</v>
      </c>
      <c r="L2433" s="1">
        <f t="shared" si="111"/>
        <v>136.8416</v>
      </c>
      <c r="M2433" t="str" cm="1">
        <f t="array" ref="M2433">_xlfn.IFS(B2433&lt;18,"Under 18",B2433 &lt;=25,"18-25",B2433&lt;=35,"26-35",B2433&lt;=45,"36-45",B2433&lt;=60,"46-60",TRUE,"60+")</f>
        <v>46-60</v>
      </c>
      <c r="N2433" t="str">
        <f t="shared" si="112"/>
        <v>Discounted</v>
      </c>
      <c r="O2433" t="str">
        <f t="shared" si="113"/>
        <v>Returning</v>
      </c>
    </row>
    <row r="2434" spans="1:15" x14ac:dyDescent="0.25">
      <c r="A2434">
        <v>2433</v>
      </c>
      <c r="B2434">
        <v>52</v>
      </c>
      <c r="C2434" t="s">
        <v>16</v>
      </c>
      <c r="D2434" t="s">
        <v>27</v>
      </c>
      <c r="E2434" t="s">
        <v>28</v>
      </c>
      <c r="F2434" s="1">
        <v>523.38</v>
      </c>
      <c r="G2434" t="s">
        <v>31</v>
      </c>
      <c r="H2434" t="s">
        <v>15</v>
      </c>
      <c r="I2434" s="2">
        <v>3.9</v>
      </c>
      <c r="J2434" s="4">
        <v>18</v>
      </c>
      <c r="K2434" s="3">
        <v>4</v>
      </c>
      <c r="L2434" s="1">
        <f t="shared" si="111"/>
        <v>429.17160000000001</v>
      </c>
      <c r="M2434" t="str" cm="1">
        <f t="array" ref="M2434">_xlfn.IFS(B2434&lt;18,"Under 18",B2434 &lt;=25,"18-25",B2434&lt;=35,"26-35",B2434&lt;=45,"36-45",B2434&lt;=60,"46-60",TRUE,"60+")</f>
        <v>46-60</v>
      </c>
      <c r="N2434" t="str">
        <f t="shared" si="112"/>
        <v>Discounted</v>
      </c>
      <c r="O2434" t="str">
        <f t="shared" si="113"/>
        <v>Returning</v>
      </c>
    </row>
    <row r="2435" spans="1:15" x14ac:dyDescent="0.25">
      <c r="A2435">
        <v>2434</v>
      </c>
      <c r="B2435">
        <v>25</v>
      </c>
      <c r="C2435" t="s">
        <v>16</v>
      </c>
      <c r="D2435" t="s">
        <v>17</v>
      </c>
      <c r="E2435" t="s">
        <v>35</v>
      </c>
      <c r="F2435" s="1">
        <v>109.68</v>
      </c>
      <c r="G2435" t="s">
        <v>24</v>
      </c>
      <c r="H2435" t="s">
        <v>15</v>
      </c>
      <c r="I2435" s="2">
        <v>2.8</v>
      </c>
      <c r="J2435" s="4">
        <v>13</v>
      </c>
      <c r="K2435" s="3">
        <v>4</v>
      </c>
      <c r="L2435" s="1">
        <f t="shared" ref="L2435:L2498" si="114">F2435 * (1 - J2435 / 100)</f>
        <v>95.421600000000012</v>
      </c>
      <c r="M2435" t="str" cm="1">
        <f t="array" ref="M2435">_xlfn.IFS(B2435&lt;18,"Under 18",B2435 &lt;=25,"18-25",B2435&lt;=35,"26-35",B2435&lt;=45,"36-45",B2435&lt;=60,"46-60",TRUE,"60+")</f>
        <v>18-25</v>
      </c>
      <c r="N2435" t="str">
        <f t="shared" ref="N2435:N2498" si="115">IF(J2435&gt;0,"Discounted","No Discount")</f>
        <v>Discounted</v>
      </c>
      <c r="O2435" t="str">
        <f t="shared" ref="O2435:O2498" si="116">IF(K2435&gt;0,"Returning","New")</f>
        <v>Returning</v>
      </c>
    </row>
    <row r="2436" spans="1:15" x14ac:dyDescent="0.25">
      <c r="A2436">
        <v>2435</v>
      </c>
      <c r="B2436">
        <v>67</v>
      </c>
      <c r="C2436" t="s">
        <v>16</v>
      </c>
      <c r="D2436" t="s">
        <v>22</v>
      </c>
      <c r="E2436" t="s">
        <v>43</v>
      </c>
      <c r="F2436" s="1">
        <v>222.65</v>
      </c>
      <c r="G2436" t="s">
        <v>14</v>
      </c>
      <c r="H2436" t="s">
        <v>15</v>
      </c>
      <c r="I2436" s="2">
        <v>3</v>
      </c>
      <c r="J2436" s="4">
        <v>9</v>
      </c>
      <c r="K2436" s="3">
        <v>2</v>
      </c>
      <c r="L2436" s="1">
        <f t="shared" si="114"/>
        <v>202.61150000000001</v>
      </c>
      <c r="M2436" t="str" cm="1">
        <f t="array" ref="M2436">_xlfn.IFS(B2436&lt;18,"Under 18",B2436 &lt;=25,"18-25",B2436&lt;=35,"26-35",B2436&lt;=45,"36-45",B2436&lt;=60,"46-60",TRUE,"60+")</f>
        <v>60+</v>
      </c>
      <c r="N2436" t="str">
        <f t="shared" si="115"/>
        <v>Discounted</v>
      </c>
      <c r="O2436" t="str">
        <f t="shared" si="116"/>
        <v>Returning</v>
      </c>
    </row>
    <row r="2437" spans="1:15" x14ac:dyDescent="0.25">
      <c r="A2437">
        <v>2436</v>
      </c>
      <c r="B2437">
        <v>59</v>
      </c>
      <c r="C2437" t="s">
        <v>16</v>
      </c>
      <c r="D2437" t="s">
        <v>33</v>
      </c>
      <c r="E2437" t="s">
        <v>38</v>
      </c>
      <c r="F2437" s="1">
        <v>141.41</v>
      </c>
      <c r="G2437" t="s">
        <v>19</v>
      </c>
      <c r="H2437" t="s">
        <v>15</v>
      </c>
      <c r="I2437" s="2">
        <v>3.3</v>
      </c>
      <c r="J2437" s="4">
        <v>12</v>
      </c>
      <c r="K2437" s="3">
        <v>6</v>
      </c>
      <c r="L2437" s="1">
        <f t="shared" si="114"/>
        <v>124.4408</v>
      </c>
      <c r="M2437" t="str" cm="1">
        <f t="array" ref="M2437">_xlfn.IFS(B2437&lt;18,"Under 18",B2437 &lt;=25,"18-25",B2437&lt;=35,"26-35",B2437&lt;=45,"36-45",B2437&lt;=60,"46-60",TRUE,"60+")</f>
        <v>46-60</v>
      </c>
      <c r="N2437" t="str">
        <f t="shared" si="115"/>
        <v>Discounted</v>
      </c>
      <c r="O2437" t="str">
        <f t="shared" si="116"/>
        <v>Returning</v>
      </c>
    </row>
    <row r="2438" spans="1:15" x14ac:dyDescent="0.25">
      <c r="A2438">
        <v>2437</v>
      </c>
      <c r="B2438">
        <v>59</v>
      </c>
      <c r="C2438" t="s">
        <v>16</v>
      </c>
      <c r="D2438" t="s">
        <v>20</v>
      </c>
      <c r="E2438" t="s">
        <v>36</v>
      </c>
      <c r="F2438" s="1">
        <v>165.82</v>
      </c>
      <c r="G2438" t="s">
        <v>24</v>
      </c>
      <c r="H2438" t="s">
        <v>15</v>
      </c>
      <c r="I2438" s="2">
        <v>3.8</v>
      </c>
      <c r="J2438" s="4">
        <v>17</v>
      </c>
      <c r="K2438" s="3">
        <v>6</v>
      </c>
      <c r="L2438" s="1">
        <f t="shared" si="114"/>
        <v>137.63059999999999</v>
      </c>
      <c r="M2438" t="str" cm="1">
        <f t="array" ref="M2438">_xlfn.IFS(B2438&lt;18,"Under 18",B2438 &lt;=25,"18-25",B2438&lt;=35,"26-35",B2438&lt;=45,"36-45",B2438&lt;=60,"46-60",TRUE,"60+")</f>
        <v>46-60</v>
      </c>
      <c r="N2438" t="str">
        <f t="shared" si="115"/>
        <v>Discounted</v>
      </c>
      <c r="O2438" t="str">
        <f t="shared" si="116"/>
        <v>Returning</v>
      </c>
    </row>
    <row r="2439" spans="1:15" x14ac:dyDescent="0.25">
      <c r="A2439">
        <v>2438</v>
      </c>
      <c r="B2439">
        <v>66</v>
      </c>
      <c r="C2439" t="s">
        <v>11</v>
      </c>
      <c r="D2439" t="s">
        <v>41</v>
      </c>
      <c r="E2439" t="s">
        <v>44</v>
      </c>
      <c r="F2439" s="1">
        <v>52.02</v>
      </c>
      <c r="G2439" t="s">
        <v>14</v>
      </c>
      <c r="H2439" t="s">
        <v>37</v>
      </c>
      <c r="I2439" s="2">
        <v>3.9</v>
      </c>
      <c r="J2439" s="4">
        <v>20</v>
      </c>
      <c r="K2439" s="3">
        <v>5</v>
      </c>
      <c r="L2439" s="1">
        <f t="shared" si="114"/>
        <v>41.616000000000007</v>
      </c>
      <c r="M2439" t="str" cm="1">
        <f t="array" ref="M2439">_xlfn.IFS(B2439&lt;18,"Under 18",B2439 &lt;=25,"18-25",B2439&lt;=35,"26-35",B2439&lt;=45,"36-45",B2439&lt;=60,"46-60",TRUE,"60+")</f>
        <v>60+</v>
      </c>
      <c r="N2439" t="str">
        <f t="shared" si="115"/>
        <v>Discounted</v>
      </c>
      <c r="O2439" t="str">
        <f t="shared" si="116"/>
        <v>Returning</v>
      </c>
    </row>
    <row r="2440" spans="1:15" x14ac:dyDescent="0.25">
      <c r="A2440">
        <v>2439</v>
      </c>
      <c r="B2440">
        <v>45</v>
      </c>
      <c r="C2440" t="s">
        <v>11</v>
      </c>
      <c r="D2440" t="s">
        <v>29</v>
      </c>
      <c r="E2440" t="s">
        <v>30</v>
      </c>
      <c r="F2440" s="1">
        <v>130.55000000000001</v>
      </c>
      <c r="G2440" t="s">
        <v>14</v>
      </c>
      <c r="H2440" t="s">
        <v>15</v>
      </c>
      <c r="I2440" s="2">
        <v>4.8</v>
      </c>
      <c r="J2440" s="4">
        <v>8</v>
      </c>
      <c r="K2440" s="3">
        <v>4</v>
      </c>
      <c r="L2440" s="1">
        <f t="shared" si="114"/>
        <v>120.10600000000001</v>
      </c>
      <c r="M2440" t="str" cm="1">
        <f t="array" ref="M2440">_xlfn.IFS(B2440&lt;18,"Under 18",B2440 &lt;=25,"18-25",B2440&lt;=35,"26-35",B2440&lt;=45,"36-45",B2440&lt;=60,"46-60",TRUE,"60+")</f>
        <v>36-45</v>
      </c>
      <c r="N2440" t="str">
        <f t="shared" si="115"/>
        <v>Discounted</v>
      </c>
      <c r="O2440" t="str">
        <f t="shared" si="116"/>
        <v>Returning</v>
      </c>
    </row>
    <row r="2441" spans="1:15" x14ac:dyDescent="0.25">
      <c r="A2441">
        <v>2440</v>
      </c>
      <c r="B2441">
        <v>36</v>
      </c>
      <c r="C2441" t="s">
        <v>16</v>
      </c>
      <c r="D2441" t="s">
        <v>17</v>
      </c>
      <c r="E2441" t="s">
        <v>48</v>
      </c>
      <c r="F2441" s="1">
        <v>108.9</v>
      </c>
      <c r="G2441" t="s">
        <v>31</v>
      </c>
      <c r="H2441" t="s">
        <v>15</v>
      </c>
      <c r="I2441" s="2">
        <v>3</v>
      </c>
      <c r="J2441" s="4">
        <v>16</v>
      </c>
      <c r="K2441" s="3">
        <v>8</v>
      </c>
      <c r="L2441" s="1">
        <f t="shared" si="114"/>
        <v>91.475999999999999</v>
      </c>
      <c r="M2441" t="str" cm="1">
        <f t="array" ref="M2441">_xlfn.IFS(B2441&lt;18,"Under 18",B2441 &lt;=25,"18-25",B2441&lt;=35,"26-35",B2441&lt;=45,"36-45",B2441&lt;=60,"46-60",TRUE,"60+")</f>
        <v>36-45</v>
      </c>
      <c r="N2441" t="str">
        <f t="shared" si="115"/>
        <v>Discounted</v>
      </c>
      <c r="O2441" t="str">
        <f t="shared" si="116"/>
        <v>Returning</v>
      </c>
    </row>
    <row r="2442" spans="1:15" x14ac:dyDescent="0.25">
      <c r="A2442">
        <v>2441</v>
      </c>
      <c r="B2442">
        <v>48</v>
      </c>
      <c r="C2442" t="s">
        <v>11</v>
      </c>
      <c r="D2442" t="s">
        <v>29</v>
      </c>
      <c r="E2442" t="s">
        <v>55</v>
      </c>
      <c r="F2442" s="1">
        <v>88.67</v>
      </c>
      <c r="G2442" t="s">
        <v>24</v>
      </c>
      <c r="H2442" t="s">
        <v>15</v>
      </c>
      <c r="I2442" s="2">
        <v>4.2</v>
      </c>
      <c r="J2442" s="4">
        <v>20</v>
      </c>
      <c r="K2442" s="3">
        <v>5</v>
      </c>
      <c r="L2442" s="1">
        <f t="shared" si="114"/>
        <v>70.936000000000007</v>
      </c>
      <c r="M2442" t="str" cm="1">
        <f t="array" ref="M2442">_xlfn.IFS(B2442&lt;18,"Under 18",B2442 &lt;=25,"18-25",B2442&lt;=35,"26-35",B2442&lt;=45,"36-45",B2442&lt;=60,"46-60",TRUE,"60+")</f>
        <v>46-60</v>
      </c>
      <c r="N2442" t="str">
        <f t="shared" si="115"/>
        <v>Discounted</v>
      </c>
      <c r="O2442" t="str">
        <f t="shared" si="116"/>
        <v>Returning</v>
      </c>
    </row>
    <row r="2443" spans="1:15" x14ac:dyDescent="0.25">
      <c r="A2443">
        <v>2442</v>
      </c>
      <c r="B2443">
        <v>26</v>
      </c>
      <c r="C2443" t="s">
        <v>16</v>
      </c>
      <c r="D2443" t="s">
        <v>20</v>
      </c>
      <c r="E2443" t="s">
        <v>39</v>
      </c>
      <c r="F2443" s="1">
        <v>231.99</v>
      </c>
      <c r="G2443" t="s">
        <v>24</v>
      </c>
      <c r="H2443" t="s">
        <v>15</v>
      </c>
      <c r="I2443" s="2">
        <v>3</v>
      </c>
      <c r="J2443" s="4">
        <v>20</v>
      </c>
      <c r="K2443" s="3">
        <v>5</v>
      </c>
      <c r="L2443" s="1">
        <f t="shared" si="114"/>
        <v>185.59200000000001</v>
      </c>
      <c r="M2443" t="str" cm="1">
        <f t="array" ref="M2443">_xlfn.IFS(B2443&lt;18,"Under 18",B2443 &lt;=25,"18-25",B2443&lt;=35,"26-35",B2443&lt;=45,"36-45",B2443&lt;=60,"46-60",TRUE,"60+")</f>
        <v>26-35</v>
      </c>
      <c r="N2443" t="str">
        <f t="shared" si="115"/>
        <v>Discounted</v>
      </c>
      <c r="O2443" t="str">
        <f t="shared" si="116"/>
        <v>Returning</v>
      </c>
    </row>
    <row r="2444" spans="1:15" x14ac:dyDescent="0.25">
      <c r="A2444">
        <v>2443</v>
      </c>
      <c r="B2444">
        <v>34</v>
      </c>
      <c r="C2444" t="s">
        <v>16</v>
      </c>
      <c r="D2444" t="s">
        <v>27</v>
      </c>
      <c r="E2444" t="s">
        <v>53</v>
      </c>
      <c r="F2444" s="1">
        <v>585.57000000000005</v>
      </c>
      <c r="G2444" t="s">
        <v>31</v>
      </c>
      <c r="H2444" t="s">
        <v>15</v>
      </c>
      <c r="I2444" s="2">
        <v>4.5999999999999996</v>
      </c>
      <c r="J2444" s="4">
        <v>26</v>
      </c>
      <c r="K2444" s="3">
        <v>8</v>
      </c>
      <c r="L2444" s="1">
        <f t="shared" si="114"/>
        <v>433.32180000000005</v>
      </c>
      <c r="M2444" t="str" cm="1">
        <f t="array" ref="M2444">_xlfn.IFS(B2444&lt;18,"Under 18",B2444 &lt;=25,"18-25",B2444&lt;=35,"26-35",B2444&lt;=45,"36-45",B2444&lt;=60,"46-60",TRUE,"60+")</f>
        <v>26-35</v>
      </c>
      <c r="N2444" t="str">
        <f t="shared" si="115"/>
        <v>Discounted</v>
      </c>
      <c r="O2444" t="str">
        <f t="shared" si="116"/>
        <v>Returning</v>
      </c>
    </row>
    <row r="2445" spans="1:15" x14ac:dyDescent="0.25">
      <c r="A2445">
        <v>2444</v>
      </c>
      <c r="B2445">
        <v>63</v>
      </c>
      <c r="C2445" t="s">
        <v>11</v>
      </c>
      <c r="D2445" t="s">
        <v>29</v>
      </c>
      <c r="E2445" t="s">
        <v>30</v>
      </c>
      <c r="F2445" s="1">
        <v>33.49</v>
      </c>
      <c r="G2445" t="s">
        <v>31</v>
      </c>
      <c r="H2445" t="s">
        <v>37</v>
      </c>
      <c r="I2445" s="2">
        <v>3.6</v>
      </c>
      <c r="J2445" s="4">
        <v>21</v>
      </c>
      <c r="K2445" s="3">
        <v>8</v>
      </c>
      <c r="L2445" s="1">
        <f t="shared" si="114"/>
        <v>26.457100000000004</v>
      </c>
      <c r="M2445" t="str" cm="1">
        <f t="array" ref="M2445">_xlfn.IFS(B2445&lt;18,"Under 18",B2445 &lt;=25,"18-25",B2445&lt;=35,"26-35",B2445&lt;=45,"36-45",B2445&lt;=60,"46-60",TRUE,"60+")</f>
        <v>60+</v>
      </c>
      <c r="N2445" t="str">
        <f t="shared" si="115"/>
        <v>Discounted</v>
      </c>
      <c r="O2445" t="str">
        <f t="shared" si="116"/>
        <v>Returning</v>
      </c>
    </row>
    <row r="2446" spans="1:15" x14ac:dyDescent="0.25">
      <c r="A2446">
        <v>2445</v>
      </c>
      <c r="B2446">
        <v>68</v>
      </c>
      <c r="C2446" t="s">
        <v>16</v>
      </c>
      <c r="D2446" t="s">
        <v>33</v>
      </c>
      <c r="E2446" t="s">
        <v>38</v>
      </c>
      <c r="F2446" s="1">
        <v>145.49</v>
      </c>
      <c r="G2446" t="s">
        <v>31</v>
      </c>
      <c r="H2446" t="s">
        <v>15</v>
      </c>
      <c r="I2446" s="2">
        <v>3.9</v>
      </c>
      <c r="J2446" s="4">
        <v>10</v>
      </c>
      <c r="K2446" s="3">
        <v>5</v>
      </c>
      <c r="L2446" s="1">
        <f t="shared" si="114"/>
        <v>130.941</v>
      </c>
      <c r="M2446" t="str" cm="1">
        <f t="array" ref="M2446">_xlfn.IFS(B2446&lt;18,"Under 18",B2446 &lt;=25,"18-25",B2446&lt;=35,"26-35",B2446&lt;=45,"36-45",B2446&lt;=60,"46-60",TRUE,"60+")</f>
        <v>60+</v>
      </c>
      <c r="N2446" t="str">
        <f t="shared" si="115"/>
        <v>Discounted</v>
      </c>
      <c r="O2446" t="str">
        <f t="shared" si="116"/>
        <v>Returning</v>
      </c>
    </row>
    <row r="2447" spans="1:15" x14ac:dyDescent="0.25">
      <c r="A2447">
        <v>2446</v>
      </c>
      <c r="B2447">
        <v>65</v>
      </c>
      <c r="C2447" t="s">
        <v>11</v>
      </c>
      <c r="D2447" t="s">
        <v>22</v>
      </c>
      <c r="E2447" t="s">
        <v>23</v>
      </c>
      <c r="F2447" s="1">
        <v>39.99</v>
      </c>
      <c r="G2447" t="s">
        <v>14</v>
      </c>
      <c r="H2447" t="s">
        <v>37</v>
      </c>
      <c r="I2447" s="2">
        <v>2.8</v>
      </c>
      <c r="J2447" s="4">
        <v>17</v>
      </c>
      <c r="K2447" s="3">
        <v>6</v>
      </c>
      <c r="L2447" s="1">
        <f t="shared" si="114"/>
        <v>33.191699999999997</v>
      </c>
      <c r="M2447" t="str" cm="1">
        <f t="array" ref="M2447">_xlfn.IFS(B2447&lt;18,"Under 18",B2447 &lt;=25,"18-25",B2447&lt;=35,"26-35",B2447&lt;=45,"36-45",B2447&lt;=60,"46-60",TRUE,"60+")</f>
        <v>60+</v>
      </c>
      <c r="N2447" t="str">
        <f t="shared" si="115"/>
        <v>Discounted</v>
      </c>
      <c r="O2447" t="str">
        <f t="shared" si="116"/>
        <v>Returning</v>
      </c>
    </row>
    <row r="2448" spans="1:15" x14ac:dyDescent="0.25">
      <c r="A2448">
        <v>2447</v>
      </c>
      <c r="B2448">
        <v>39</v>
      </c>
      <c r="C2448" t="s">
        <v>16</v>
      </c>
      <c r="D2448" t="s">
        <v>27</v>
      </c>
      <c r="E2448" t="s">
        <v>49</v>
      </c>
      <c r="F2448" s="1">
        <v>1959.09</v>
      </c>
      <c r="G2448" t="s">
        <v>24</v>
      </c>
      <c r="H2448" t="s">
        <v>15</v>
      </c>
      <c r="I2448" s="2">
        <v>4.2</v>
      </c>
      <c r="J2448" s="4">
        <v>12</v>
      </c>
      <c r="K2448" s="3">
        <v>1</v>
      </c>
      <c r="L2448" s="1">
        <f t="shared" si="114"/>
        <v>1723.9992</v>
      </c>
      <c r="M2448" t="str" cm="1">
        <f t="array" ref="M2448">_xlfn.IFS(B2448&lt;18,"Under 18",B2448 &lt;=25,"18-25",B2448&lt;=35,"26-35",B2448&lt;=45,"36-45",B2448&lt;=60,"46-60",TRUE,"60+")</f>
        <v>36-45</v>
      </c>
      <c r="N2448" t="str">
        <f t="shared" si="115"/>
        <v>Discounted</v>
      </c>
      <c r="O2448" t="str">
        <f t="shared" si="116"/>
        <v>Returning</v>
      </c>
    </row>
    <row r="2449" spans="1:15" x14ac:dyDescent="0.25">
      <c r="A2449">
        <v>2448</v>
      </c>
      <c r="B2449">
        <v>66</v>
      </c>
      <c r="C2449" t="s">
        <v>11</v>
      </c>
      <c r="D2449" t="s">
        <v>20</v>
      </c>
      <c r="E2449" t="s">
        <v>21</v>
      </c>
      <c r="F2449" s="1">
        <v>109.15</v>
      </c>
      <c r="G2449" t="s">
        <v>24</v>
      </c>
      <c r="H2449" t="s">
        <v>15</v>
      </c>
      <c r="I2449" s="2">
        <v>2.8</v>
      </c>
      <c r="J2449" s="4">
        <v>18</v>
      </c>
      <c r="K2449" s="3">
        <v>4</v>
      </c>
      <c r="L2449" s="1">
        <f t="shared" si="114"/>
        <v>89.503000000000014</v>
      </c>
      <c r="M2449" t="str" cm="1">
        <f t="array" ref="M2449">_xlfn.IFS(B2449&lt;18,"Under 18",B2449 &lt;=25,"18-25",B2449&lt;=35,"26-35",B2449&lt;=45,"36-45",B2449&lt;=60,"46-60",TRUE,"60+")</f>
        <v>60+</v>
      </c>
      <c r="N2449" t="str">
        <f t="shared" si="115"/>
        <v>Discounted</v>
      </c>
      <c r="O2449" t="str">
        <f t="shared" si="116"/>
        <v>Returning</v>
      </c>
    </row>
    <row r="2450" spans="1:15" x14ac:dyDescent="0.25">
      <c r="A2450">
        <v>2449</v>
      </c>
      <c r="B2450">
        <v>31</v>
      </c>
      <c r="C2450" t="s">
        <v>16</v>
      </c>
      <c r="D2450" t="s">
        <v>20</v>
      </c>
      <c r="E2450" t="s">
        <v>36</v>
      </c>
      <c r="F2450" s="1">
        <v>247.77</v>
      </c>
      <c r="G2450" t="s">
        <v>19</v>
      </c>
      <c r="H2450" t="s">
        <v>15</v>
      </c>
      <c r="I2450" s="2">
        <v>2.8</v>
      </c>
      <c r="J2450" s="4">
        <v>10</v>
      </c>
      <c r="K2450" s="3">
        <v>5</v>
      </c>
      <c r="L2450" s="1">
        <f t="shared" si="114"/>
        <v>222.99300000000002</v>
      </c>
      <c r="M2450" t="str" cm="1">
        <f t="array" ref="M2450">_xlfn.IFS(B2450&lt;18,"Under 18",B2450 &lt;=25,"18-25",B2450&lt;=35,"26-35",B2450&lt;=45,"36-45",B2450&lt;=60,"46-60",TRUE,"60+")</f>
        <v>26-35</v>
      </c>
      <c r="N2450" t="str">
        <f t="shared" si="115"/>
        <v>Discounted</v>
      </c>
      <c r="O2450" t="str">
        <f t="shared" si="116"/>
        <v>Returning</v>
      </c>
    </row>
    <row r="2451" spans="1:15" x14ac:dyDescent="0.25">
      <c r="A2451">
        <v>2450</v>
      </c>
      <c r="B2451">
        <v>29</v>
      </c>
      <c r="C2451" t="s">
        <v>11</v>
      </c>
      <c r="D2451" t="s">
        <v>33</v>
      </c>
      <c r="E2451" t="s">
        <v>34</v>
      </c>
      <c r="F2451" s="1">
        <v>175.99</v>
      </c>
      <c r="G2451" t="s">
        <v>19</v>
      </c>
      <c r="H2451" t="s">
        <v>15</v>
      </c>
      <c r="I2451" s="2">
        <v>5</v>
      </c>
      <c r="J2451" s="4">
        <v>24</v>
      </c>
      <c r="K2451" s="3">
        <v>7</v>
      </c>
      <c r="L2451" s="1">
        <f t="shared" si="114"/>
        <v>133.75239999999999</v>
      </c>
      <c r="M2451" t="str" cm="1">
        <f t="array" ref="M2451">_xlfn.IFS(B2451&lt;18,"Under 18",B2451 &lt;=25,"18-25",B2451&lt;=35,"26-35",B2451&lt;=45,"36-45",B2451&lt;=60,"46-60",TRUE,"60+")</f>
        <v>26-35</v>
      </c>
      <c r="N2451" t="str">
        <f t="shared" si="115"/>
        <v>Discounted</v>
      </c>
      <c r="O2451" t="str">
        <f t="shared" si="116"/>
        <v>Returning</v>
      </c>
    </row>
    <row r="2452" spans="1:15" x14ac:dyDescent="0.25">
      <c r="A2452">
        <v>2451</v>
      </c>
      <c r="B2452">
        <v>33</v>
      </c>
      <c r="C2452" t="s">
        <v>11</v>
      </c>
      <c r="D2452" t="s">
        <v>29</v>
      </c>
      <c r="E2452" t="s">
        <v>51</v>
      </c>
      <c r="F2452" s="1">
        <v>20.03</v>
      </c>
      <c r="G2452" t="s">
        <v>31</v>
      </c>
      <c r="H2452" t="s">
        <v>15</v>
      </c>
      <c r="I2452" s="2">
        <v>3.6</v>
      </c>
      <c r="J2452" s="4">
        <v>20</v>
      </c>
      <c r="K2452" s="3">
        <v>5</v>
      </c>
      <c r="L2452" s="1">
        <f t="shared" si="114"/>
        <v>16.024000000000001</v>
      </c>
      <c r="M2452" t="str" cm="1">
        <f t="array" ref="M2452">_xlfn.IFS(B2452&lt;18,"Under 18",B2452 &lt;=25,"18-25",B2452&lt;=35,"26-35",B2452&lt;=45,"36-45",B2452&lt;=60,"46-60",TRUE,"60+")</f>
        <v>26-35</v>
      </c>
      <c r="N2452" t="str">
        <f t="shared" si="115"/>
        <v>Discounted</v>
      </c>
      <c r="O2452" t="str">
        <f t="shared" si="116"/>
        <v>Returning</v>
      </c>
    </row>
    <row r="2453" spans="1:15" x14ac:dyDescent="0.25">
      <c r="A2453">
        <v>2452</v>
      </c>
      <c r="B2453">
        <v>23</v>
      </c>
      <c r="C2453" t="s">
        <v>11</v>
      </c>
      <c r="D2453" t="s">
        <v>41</v>
      </c>
      <c r="E2453" t="s">
        <v>44</v>
      </c>
      <c r="F2453" s="1">
        <v>194.96</v>
      </c>
      <c r="G2453" t="s">
        <v>19</v>
      </c>
      <c r="H2453" t="s">
        <v>15</v>
      </c>
      <c r="I2453" s="2">
        <v>2.9</v>
      </c>
      <c r="J2453" s="4">
        <v>14</v>
      </c>
      <c r="K2453" s="3">
        <v>7</v>
      </c>
      <c r="L2453" s="1">
        <f t="shared" si="114"/>
        <v>167.66560000000001</v>
      </c>
      <c r="M2453" t="str" cm="1">
        <f t="array" ref="M2453">_xlfn.IFS(B2453&lt;18,"Under 18",B2453 &lt;=25,"18-25",B2453&lt;=35,"26-35",B2453&lt;=45,"36-45",B2453&lt;=60,"46-60",TRUE,"60+")</f>
        <v>18-25</v>
      </c>
      <c r="N2453" t="str">
        <f t="shared" si="115"/>
        <v>Discounted</v>
      </c>
      <c r="O2453" t="str">
        <f t="shared" si="116"/>
        <v>Returning</v>
      </c>
    </row>
    <row r="2454" spans="1:15" x14ac:dyDescent="0.25">
      <c r="A2454">
        <v>2453</v>
      </c>
      <c r="B2454">
        <v>47</v>
      </c>
      <c r="C2454" t="s">
        <v>11</v>
      </c>
      <c r="D2454" t="s">
        <v>29</v>
      </c>
      <c r="E2454" t="s">
        <v>51</v>
      </c>
      <c r="F2454" s="1">
        <v>132.65</v>
      </c>
      <c r="G2454" t="s">
        <v>24</v>
      </c>
      <c r="H2454" t="s">
        <v>15</v>
      </c>
      <c r="I2454" s="2">
        <v>3.9</v>
      </c>
      <c r="J2454" s="4">
        <v>19</v>
      </c>
      <c r="K2454" s="3">
        <v>7</v>
      </c>
      <c r="L2454" s="1">
        <f t="shared" si="114"/>
        <v>107.44650000000001</v>
      </c>
      <c r="M2454" t="str" cm="1">
        <f t="array" ref="M2454">_xlfn.IFS(B2454&lt;18,"Under 18",B2454 &lt;=25,"18-25",B2454&lt;=35,"26-35",B2454&lt;=45,"36-45",B2454&lt;=60,"46-60",TRUE,"60+")</f>
        <v>46-60</v>
      </c>
      <c r="N2454" t="str">
        <f t="shared" si="115"/>
        <v>Discounted</v>
      </c>
      <c r="O2454" t="str">
        <f t="shared" si="116"/>
        <v>Returning</v>
      </c>
    </row>
    <row r="2455" spans="1:15" x14ac:dyDescent="0.25">
      <c r="A2455">
        <v>2454</v>
      </c>
      <c r="B2455">
        <v>32</v>
      </c>
      <c r="C2455" t="s">
        <v>11</v>
      </c>
      <c r="D2455" t="s">
        <v>20</v>
      </c>
      <c r="E2455" t="s">
        <v>36</v>
      </c>
      <c r="F2455" s="1">
        <v>119.74</v>
      </c>
      <c r="G2455" t="s">
        <v>19</v>
      </c>
      <c r="H2455" t="s">
        <v>15</v>
      </c>
      <c r="I2455" s="2">
        <v>3.3</v>
      </c>
      <c r="J2455" s="4">
        <v>22</v>
      </c>
      <c r="K2455" s="3">
        <v>11</v>
      </c>
      <c r="L2455" s="1">
        <f t="shared" si="114"/>
        <v>93.397199999999998</v>
      </c>
      <c r="M2455" t="str" cm="1">
        <f t="array" ref="M2455">_xlfn.IFS(B2455&lt;18,"Under 18",B2455 &lt;=25,"18-25",B2455&lt;=35,"26-35",B2455&lt;=45,"36-45",B2455&lt;=60,"46-60",TRUE,"60+")</f>
        <v>26-35</v>
      </c>
      <c r="N2455" t="str">
        <f t="shared" si="115"/>
        <v>Discounted</v>
      </c>
      <c r="O2455" t="str">
        <f t="shared" si="116"/>
        <v>Returning</v>
      </c>
    </row>
    <row r="2456" spans="1:15" x14ac:dyDescent="0.25">
      <c r="A2456">
        <v>2455</v>
      </c>
      <c r="B2456">
        <v>49</v>
      </c>
      <c r="C2456" t="s">
        <v>11</v>
      </c>
      <c r="D2456" t="s">
        <v>20</v>
      </c>
      <c r="E2456" t="s">
        <v>21</v>
      </c>
      <c r="F2456" s="1">
        <v>105.64</v>
      </c>
      <c r="G2456" t="s">
        <v>19</v>
      </c>
      <c r="H2456" t="s">
        <v>15</v>
      </c>
      <c r="I2456" s="2">
        <v>3.3</v>
      </c>
      <c r="J2456" s="4">
        <v>24</v>
      </c>
      <c r="K2456" s="3">
        <v>7</v>
      </c>
      <c r="L2456" s="1">
        <f t="shared" si="114"/>
        <v>80.2864</v>
      </c>
      <c r="M2456" t="str" cm="1">
        <f t="array" ref="M2456">_xlfn.IFS(B2456&lt;18,"Under 18",B2456 &lt;=25,"18-25",B2456&lt;=35,"26-35",B2456&lt;=45,"36-45",B2456&lt;=60,"46-60",TRUE,"60+")</f>
        <v>46-60</v>
      </c>
      <c r="N2456" t="str">
        <f t="shared" si="115"/>
        <v>Discounted</v>
      </c>
      <c r="O2456" t="str">
        <f t="shared" si="116"/>
        <v>Returning</v>
      </c>
    </row>
    <row r="2457" spans="1:15" x14ac:dyDescent="0.25">
      <c r="A2457">
        <v>2456</v>
      </c>
      <c r="B2457">
        <v>37</v>
      </c>
      <c r="C2457" t="s">
        <v>16</v>
      </c>
      <c r="D2457" t="s">
        <v>33</v>
      </c>
      <c r="E2457" t="s">
        <v>34</v>
      </c>
      <c r="F2457" s="1">
        <v>232.32</v>
      </c>
      <c r="G2457" t="s">
        <v>31</v>
      </c>
      <c r="H2457" t="s">
        <v>15</v>
      </c>
      <c r="I2457" s="2">
        <v>3.8</v>
      </c>
      <c r="J2457" s="4">
        <v>16</v>
      </c>
      <c r="K2457" s="3">
        <v>3</v>
      </c>
      <c r="L2457" s="1">
        <f t="shared" si="114"/>
        <v>195.14879999999999</v>
      </c>
      <c r="M2457" t="str" cm="1">
        <f t="array" ref="M2457">_xlfn.IFS(B2457&lt;18,"Under 18",B2457 &lt;=25,"18-25",B2457&lt;=35,"26-35",B2457&lt;=45,"36-45",B2457&lt;=60,"46-60",TRUE,"60+")</f>
        <v>36-45</v>
      </c>
      <c r="N2457" t="str">
        <f t="shared" si="115"/>
        <v>Discounted</v>
      </c>
      <c r="O2457" t="str">
        <f t="shared" si="116"/>
        <v>Returning</v>
      </c>
    </row>
    <row r="2458" spans="1:15" x14ac:dyDescent="0.25">
      <c r="A2458">
        <v>2457</v>
      </c>
      <c r="B2458">
        <v>41</v>
      </c>
      <c r="C2458" t="s">
        <v>16</v>
      </c>
      <c r="D2458" t="s">
        <v>20</v>
      </c>
      <c r="E2458" t="s">
        <v>21</v>
      </c>
      <c r="F2458" s="1">
        <v>142.71</v>
      </c>
      <c r="G2458" t="s">
        <v>24</v>
      </c>
      <c r="H2458" t="s">
        <v>15</v>
      </c>
      <c r="I2458" s="2">
        <v>4.2</v>
      </c>
      <c r="J2458" s="4">
        <v>20</v>
      </c>
      <c r="K2458" s="3">
        <v>5</v>
      </c>
      <c r="L2458" s="1">
        <f t="shared" si="114"/>
        <v>114.16800000000001</v>
      </c>
      <c r="M2458" t="str" cm="1">
        <f t="array" ref="M2458">_xlfn.IFS(B2458&lt;18,"Under 18",B2458 &lt;=25,"18-25",B2458&lt;=35,"26-35",B2458&lt;=45,"36-45",B2458&lt;=60,"46-60",TRUE,"60+")</f>
        <v>36-45</v>
      </c>
      <c r="N2458" t="str">
        <f t="shared" si="115"/>
        <v>Discounted</v>
      </c>
      <c r="O2458" t="str">
        <f t="shared" si="116"/>
        <v>Returning</v>
      </c>
    </row>
    <row r="2459" spans="1:15" x14ac:dyDescent="0.25">
      <c r="A2459">
        <v>2458</v>
      </c>
      <c r="B2459">
        <v>37</v>
      </c>
      <c r="C2459" t="s">
        <v>16</v>
      </c>
      <c r="D2459" t="s">
        <v>20</v>
      </c>
      <c r="E2459" t="s">
        <v>39</v>
      </c>
      <c r="F2459" s="1">
        <v>163.30000000000001</v>
      </c>
      <c r="G2459" t="s">
        <v>14</v>
      </c>
      <c r="H2459" t="s">
        <v>15</v>
      </c>
      <c r="I2459" s="2">
        <v>3.6</v>
      </c>
      <c r="J2459" s="4">
        <v>12</v>
      </c>
      <c r="K2459" s="3">
        <v>6</v>
      </c>
      <c r="L2459" s="1">
        <f t="shared" si="114"/>
        <v>143.70400000000001</v>
      </c>
      <c r="M2459" t="str" cm="1">
        <f t="array" ref="M2459">_xlfn.IFS(B2459&lt;18,"Under 18",B2459 &lt;=25,"18-25",B2459&lt;=35,"26-35",B2459&lt;=45,"36-45",B2459&lt;=60,"46-60",TRUE,"60+")</f>
        <v>36-45</v>
      </c>
      <c r="N2459" t="str">
        <f t="shared" si="115"/>
        <v>Discounted</v>
      </c>
      <c r="O2459" t="str">
        <f t="shared" si="116"/>
        <v>Returning</v>
      </c>
    </row>
    <row r="2460" spans="1:15" x14ac:dyDescent="0.25">
      <c r="A2460">
        <v>2459</v>
      </c>
      <c r="B2460">
        <v>55</v>
      </c>
      <c r="C2460" t="s">
        <v>16</v>
      </c>
      <c r="D2460" t="s">
        <v>27</v>
      </c>
      <c r="E2460" t="s">
        <v>49</v>
      </c>
      <c r="F2460" s="1">
        <v>2997.94</v>
      </c>
      <c r="G2460" t="s">
        <v>14</v>
      </c>
      <c r="H2460" t="s">
        <v>15</v>
      </c>
      <c r="I2460" s="2">
        <v>4.2</v>
      </c>
      <c r="J2460" s="4">
        <v>14</v>
      </c>
      <c r="K2460" s="3">
        <v>2</v>
      </c>
      <c r="L2460" s="1">
        <f t="shared" si="114"/>
        <v>2578.2284</v>
      </c>
      <c r="M2460" t="str" cm="1">
        <f t="array" ref="M2460">_xlfn.IFS(B2460&lt;18,"Under 18",B2460 &lt;=25,"18-25",B2460&lt;=35,"26-35",B2460&lt;=45,"36-45",B2460&lt;=60,"46-60",TRUE,"60+")</f>
        <v>46-60</v>
      </c>
      <c r="N2460" t="str">
        <f t="shared" si="115"/>
        <v>Discounted</v>
      </c>
      <c r="O2460" t="str">
        <f t="shared" si="116"/>
        <v>Returning</v>
      </c>
    </row>
    <row r="2461" spans="1:15" x14ac:dyDescent="0.25">
      <c r="A2461">
        <v>2460</v>
      </c>
      <c r="B2461">
        <v>42</v>
      </c>
      <c r="C2461" t="s">
        <v>16</v>
      </c>
      <c r="D2461" t="s">
        <v>27</v>
      </c>
      <c r="E2461" t="s">
        <v>32</v>
      </c>
      <c r="F2461" s="1">
        <v>1412.92</v>
      </c>
      <c r="G2461" t="s">
        <v>14</v>
      </c>
      <c r="H2461" t="s">
        <v>15</v>
      </c>
      <c r="I2461" s="2">
        <v>3.9</v>
      </c>
      <c r="J2461" s="4">
        <v>19</v>
      </c>
      <c r="K2461" s="3">
        <v>7</v>
      </c>
      <c r="L2461" s="1">
        <f t="shared" si="114"/>
        <v>1144.4652000000001</v>
      </c>
      <c r="M2461" t="str" cm="1">
        <f t="array" ref="M2461">_xlfn.IFS(B2461&lt;18,"Under 18",B2461 &lt;=25,"18-25",B2461&lt;=35,"26-35",B2461&lt;=45,"36-45",B2461&lt;=60,"46-60",TRUE,"60+")</f>
        <v>36-45</v>
      </c>
      <c r="N2461" t="str">
        <f t="shared" si="115"/>
        <v>Discounted</v>
      </c>
      <c r="O2461" t="str">
        <f t="shared" si="116"/>
        <v>Returning</v>
      </c>
    </row>
    <row r="2462" spans="1:15" x14ac:dyDescent="0.25">
      <c r="A2462">
        <v>2461</v>
      </c>
      <c r="B2462">
        <v>60</v>
      </c>
      <c r="C2462" t="s">
        <v>11</v>
      </c>
      <c r="D2462" t="s">
        <v>33</v>
      </c>
      <c r="E2462" t="s">
        <v>38</v>
      </c>
      <c r="F2462" s="1">
        <v>104.02</v>
      </c>
      <c r="G2462" t="s">
        <v>24</v>
      </c>
      <c r="H2462" t="s">
        <v>15</v>
      </c>
      <c r="I2462" s="2">
        <v>5</v>
      </c>
      <c r="J2462" s="4">
        <v>8</v>
      </c>
      <c r="K2462" s="3">
        <v>4</v>
      </c>
      <c r="L2462" s="1">
        <f t="shared" si="114"/>
        <v>95.698400000000007</v>
      </c>
      <c r="M2462" t="str" cm="1">
        <f t="array" ref="M2462">_xlfn.IFS(B2462&lt;18,"Under 18",B2462 &lt;=25,"18-25",B2462&lt;=35,"26-35",B2462&lt;=45,"36-45",B2462&lt;=60,"46-60",TRUE,"60+")</f>
        <v>46-60</v>
      </c>
      <c r="N2462" t="str">
        <f t="shared" si="115"/>
        <v>Discounted</v>
      </c>
      <c r="O2462" t="str">
        <f t="shared" si="116"/>
        <v>Returning</v>
      </c>
    </row>
    <row r="2463" spans="1:15" x14ac:dyDescent="0.25">
      <c r="A2463">
        <v>2462</v>
      </c>
      <c r="B2463">
        <v>62</v>
      </c>
      <c r="C2463" t="s">
        <v>11</v>
      </c>
      <c r="D2463" t="s">
        <v>29</v>
      </c>
      <c r="E2463" t="s">
        <v>51</v>
      </c>
      <c r="F2463" s="1">
        <v>20.71</v>
      </c>
      <c r="G2463" t="s">
        <v>14</v>
      </c>
      <c r="H2463" t="s">
        <v>15</v>
      </c>
      <c r="I2463" s="2">
        <v>3.8</v>
      </c>
      <c r="J2463" s="4">
        <v>20</v>
      </c>
      <c r="K2463" s="3">
        <v>5</v>
      </c>
      <c r="L2463" s="1">
        <f t="shared" si="114"/>
        <v>16.568000000000001</v>
      </c>
      <c r="M2463" t="str" cm="1">
        <f t="array" ref="M2463">_xlfn.IFS(B2463&lt;18,"Under 18",B2463 &lt;=25,"18-25",B2463&lt;=35,"26-35",B2463&lt;=45,"36-45",B2463&lt;=60,"46-60",TRUE,"60+")</f>
        <v>60+</v>
      </c>
      <c r="N2463" t="str">
        <f t="shared" si="115"/>
        <v>Discounted</v>
      </c>
      <c r="O2463" t="str">
        <f t="shared" si="116"/>
        <v>Returning</v>
      </c>
    </row>
    <row r="2464" spans="1:15" x14ac:dyDescent="0.25">
      <c r="A2464">
        <v>2463</v>
      </c>
      <c r="B2464">
        <v>56</v>
      </c>
      <c r="C2464" t="s">
        <v>11</v>
      </c>
      <c r="D2464" t="s">
        <v>41</v>
      </c>
      <c r="E2464" t="s">
        <v>46</v>
      </c>
      <c r="F2464" s="1">
        <v>83.87</v>
      </c>
      <c r="G2464" t="s">
        <v>19</v>
      </c>
      <c r="H2464" t="s">
        <v>15</v>
      </c>
      <c r="I2464" s="2">
        <v>3.9</v>
      </c>
      <c r="J2464" s="4">
        <v>17</v>
      </c>
      <c r="K2464" s="3">
        <v>6</v>
      </c>
      <c r="L2464" s="1">
        <f t="shared" si="114"/>
        <v>69.612099999999998</v>
      </c>
      <c r="M2464" t="str" cm="1">
        <f t="array" ref="M2464">_xlfn.IFS(B2464&lt;18,"Under 18",B2464 &lt;=25,"18-25",B2464&lt;=35,"26-35",B2464&lt;=45,"36-45",B2464&lt;=60,"46-60",TRUE,"60+")</f>
        <v>46-60</v>
      </c>
      <c r="N2464" t="str">
        <f t="shared" si="115"/>
        <v>Discounted</v>
      </c>
      <c r="O2464" t="str">
        <f t="shared" si="116"/>
        <v>Returning</v>
      </c>
    </row>
    <row r="2465" spans="1:15" x14ac:dyDescent="0.25">
      <c r="A2465">
        <v>2464</v>
      </c>
      <c r="B2465">
        <v>67</v>
      </c>
      <c r="C2465" t="s">
        <v>16</v>
      </c>
      <c r="D2465" t="s">
        <v>17</v>
      </c>
      <c r="E2465" t="s">
        <v>35</v>
      </c>
      <c r="F2465" s="1">
        <v>43.13</v>
      </c>
      <c r="G2465" t="s">
        <v>24</v>
      </c>
      <c r="H2465" t="s">
        <v>37</v>
      </c>
      <c r="I2465" s="2">
        <v>3</v>
      </c>
      <c r="J2465" s="4">
        <v>9</v>
      </c>
      <c r="K2465" s="3">
        <v>2</v>
      </c>
      <c r="L2465" s="1">
        <f t="shared" si="114"/>
        <v>39.2483</v>
      </c>
      <c r="M2465" t="str" cm="1">
        <f t="array" ref="M2465">_xlfn.IFS(B2465&lt;18,"Under 18",B2465 &lt;=25,"18-25",B2465&lt;=35,"26-35",B2465&lt;=45,"36-45",B2465&lt;=60,"46-60",TRUE,"60+")</f>
        <v>60+</v>
      </c>
      <c r="N2465" t="str">
        <f t="shared" si="115"/>
        <v>Discounted</v>
      </c>
      <c r="O2465" t="str">
        <f t="shared" si="116"/>
        <v>Returning</v>
      </c>
    </row>
    <row r="2466" spans="1:15" x14ac:dyDescent="0.25">
      <c r="A2466">
        <v>2465</v>
      </c>
      <c r="B2466">
        <v>59</v>
      </c>
      <c r="C2466" t="s">
        <v>16</v>
      </c>
      <c r="D2466" t="s">
        <v>20</v>
      </c>
      <c r="E2466" t="s">
        <v>21</v>
      </c>
      <c r="F2466" s="1">
        <v>73.739999999999995</v>
      </c>
      <c r="G2466" t="s">
        <v>31</v>
      </c>
      <c r="H2466" t="s">
        <v>15</v>
      </c>
      <c r="I2466" s="2">
        <v>3.8</v>
      </c>
      <c r="J2466" s="4">
        <v>15</v>
      </c>
      <c r="K2466" s="3">
        <v>5</v>
      </c>
      <c r="L2466" s="1">
        <f t="shared" si="114"/>
        <v>62.678999999999995</v>
      </c>
      <c r="M2466" t="str" cm="1">
        <f t="array" ref="M2466">_xlfn.IFS(B2466&lt;18,"Under 18",B2466 &lt;=25,"18-25",B2466&lt;=35,"26-35",B2466&lt;=45,"36-45",B2466&lt;=60,"46-60",TRUE,"60+")</f>
        <v>46-60</v>
      </c>
      <c r="N2466" t="str">
        <f t="shared" si="115"/>
        <v>Discounted</v>
      </c>
      <c r="O2466" t="str">
        <f t="shared" si="116"/>
        <v>Returning</v>
      </c>
    </row>
    <row r="2467" spans="1:15" x14ac:dyDescent="0.25">
      <c r="A2467">
        <v>2466</v>
      </c>
      <c r="B2467">
        <v>32</v>
      </c>
      <c r="C2467" t="s">
        <v>16</v>
      </c>
      <c r="D2467" t="s">
        <v>20</v>
      </c>
      <c r="E2467" t="s">
        <v>21</v>
      </c>
      <c r="F2467" s="1">
        <v>144.04</v>
      </c>
      <c r="G2467" t="s">
        <v>31</v>
      </c>
      <c r="H2467" t="s">
        <v>15</v>
      </c>
      <c r="I2467" s="2">
        <v>3.8</v>
      </c>
      <c r="J2467" s="4">
        <v>13</v>
      </c>
      <c r="K2467" s="3">
        <v>4</v>
      </c>
      <c r="L2467" s="1">
        <f t="shared" si="114"/>
        <v>125.31479999999999</v>
      </c>
      <c r="M2467" t="str" cm="1">
        <f t="array" ref="M2467">_xlfn.IFS(B2467&lt;18,"Under 18",B2467 &lt;=25,"18-25",B2467&lt;=35,"26-35",B2467&lt;=45,"36-45",B2467&lt;=60,"46-60",TRUE,"60+")</f>
        <v>26-35</v>
      </c>
      <c r="N2467" t="str">
        <f t="shared" si="115"/>
        <v>Discounted</v>
      </c>
      <c r="O2467" t="str">
        <f t="shared" si="116"/>
        <v>Returning</v>
      </c>
    </row>
    <row r="2468" spans="1:15" x14ac:dyDescent="0.25">
      <c r="A2468">
        <v>2467</v>
      </c>
      <c r="B2468">
        <v>24</v>
      </c>
      <c r="C2468" t="s">
        <v>11</v>
      </c>
      <c r="D2468" t="s">
        <v>29</v>
      </c>
      <c r="E2468" t="s">
        <v>51</v>
      </c>
      <c r="F2468" s="1">
        <v>82.17</v>
      </c>
      <c r="G2468" t="s">
        <v>24</v>
      </c>
      <c r="H2468" t="s">
        <v>15</v>
      </c>
      <c r="I2468" s="2">
        <v>3.4</v>
      </c>
      <c r="J2468" s="4">
        <v>15</v>
      </c>
      <c r="K2468" s="3">
        <v>5</v>
      </c>
      <c r="L2468" s="1">
        <f t="shared" si="114"/>
        <v>69.844499999999996</v>
      </c>
      <c r="M2468" t="str" cm="1">
        <f t="array" ref="M2468">_xlfn.IFS(B2468&lt;18,"Under 18",B2468 &lt;=25,"18-25",B2468&lt;=35,"26-35",B2468&lt;=45,"36-45",B2468&lt;=60,"46-60",TRUE,"60+")</f>
        <v>18-25</v>
      </c>
      <c r="N2468" t="str">
        <f t="shared" si="115"/>
        <v>Discounted</v>
      </c>
      <c r="O2468" t="str">
        <f t="shared" si="116"/>
        <v>Returning</v>
      </c>
    </row>
    <row r="2469" spans="1:15" x14ac:dyDescent="0.25">
      <c r="A2469">
        <v>2468</v>
      </c>
      <c r="B2469">
        <v>31</v>
      </c>
      <c r="C2469" t="s">
        <v>11</v>
      </c>
      <c r="D2469" t="s">
        <v>41</v>
      </c>
      <c r="E2469" t="s">
        <v>44</v>
      </c>
      <c r="F2469" s="1">
        <v>128.18</v>
      </c>
      <c r="G2469" t="s">
        <v>14</v>
      </c>
      <c r="H2469" t="s">
        <v>15</v>
      </c>
      <c r="I2469" s="2">
        <v>4</v>
      </c>
      <c r="J2469" s="4">
        <v>17</v>
      </c>
      <c r="K2469" s="3">
        <v>6</v>
      </c>
      <c r="L2469" s="1">
        <f t="shared" si="114"/>
        <v>106.38939999999999</v>
      </c>
      <c r="M2469" t="str" cm="1">
        <f t="array" ref="M2469">_xlfn.IFS(B2469&lt;18,"Under 18",B2469 &lt;=25,"18-25",B2469&lt;=35,"26-35",B2469&lt;=45,"36-45",B2469&lt;=60,"46-60",TRUE,"60+")</f>
        <v>26-35</v>
      </c>
      <c r="N2469" t="str">
        <f t="shared" si="115"/>
        <v>Discounted</v>
      </c>
      <c r="O2469" t="str">
        <f t="shared" si="116"/>
        <v>Returning</v>
      </c>
    </row>
    <row r="2470" spans="1:15" x14ac:dyDescent="0.25">
      <c r="A2470">
        <v>2469</v>
      </c>
      <c r="B2470">
        <v>67</v>
      </c>
      <c r="C2470" t="s">
        <v>11</v>
      </c>
      <c r="D2470" t="s">
        <v>41</v>
      </c>
      <c r="E2470" t="s">
        <v>45</v>
      </c>
      <c r="F2470" s="1">
        <v>74.73</v>
      </c>
      <c r="G2470" t="s">
        <v>14</v>
      </c>
      <c r="H2470" t="s">
        <v>37</v>
      </c>
      <c r="I2470" s="2">
        <v>3.7</v>
      </c>
      <c r="J2470" s="4">
        <v>20</v>
      </c>
      <c r="K2470" s="3">
        <v>5</v>
      </c>
      <c r="L2470" s="1">
        <f t="shared" si="114"/>
        <v>59.784000000000006</v>
      </c>
      <c r="M2470" t="str" cm="1">
        <f t="array" ref="M2470">_xlfn.IFS(B2470&lt;18,"Under 18",B2470 &lt;=25,"18-25",B2470&lt;=35,"26-35",B2470&lt;=45,"36-45",B2470&lt;=60,"46-60",TRUE,"60+")</f>
        <v>60+</v>
      </c>
      <c r="N2470" t="str">
        <f t="shared" si="115"/>
        <v>Discounted</v>
      </c>
      <c r="O2470" t="str">
        <f t="shared" si="116"/>
        <v>Returning</v>
      </c>
    </row>
    <row r="2471" spans="1:15" x14ac:dyDescent="0.25">
      <c r="A2471">
        <v>2470</v>
      </c>
      <c r="B2471">
        <v>41</v>
      </c>
      <c r="C2471" t="s">
        <v>11</v>
      </c>
      <c r="D2471" t="s">
        <v>22</v>
      </c>
      <c r="E2471" t="s">
        <v>23</v>
      </c>
      <c r="F2471" s="1">
        <v>159.58000000000001</v>
      </c>
      <c r="G2471" t="s">
        <v>19</v>
      </c>
      <c r="H2471" t="s">
        <v>15</v>
      </c>
      <c r="I2471" s="2">
        <v>4.4000000000000004</v>
      </c>
      <c r="J2471" s="4">
        <v>8</v>
      </c>
      <c r="K2471" s="3">
        <v>4</v>
      </c>
      <c r="L2471" s="1">
        <f t="shared" si="114"/>
        <v>146.81360000000001</v>
      </c>
      <c r="M2471" t="str" cm="1">
        <f t="array" ref="M2471">_xlfn.IFS(B2471&lt;18,"Under 18",B2471 &lt;=25,"18-25",B2471&lt;=35,"26-35",B2471&lt;=45,"36-45",B2471&lt;=60,"46-60",TRUE,"60+")</f>
        <v>36-45</v>
      </c>
      <c r="N2471" t="str">
        <f t="shared" si="115"/>
        <v>Discounted</v>
      </c>
      <c r="O2471" t="str">
        <f t="shared" si="116"/>
        <v>Returning</v>
      </c>
    </row>
    <row r="2472" spans="1:15" x14ac:dyDescent="0.25">
      <c r="A2472">
        <v>2471</v>
      </c>
      <c r="B2472">
        <v>58</v>
      </c>
      <c r="C2472" t="s">
        <v>11</v>
      </c>
      <c r="D2472" t="s">
        <v>41</v>
      </c>
      <c r="E2472" t="s">
        <v>44</v>
      </c>
      <c r="F2472" s="1">
        <v>142.94999999999999</v>
      </c>
      <c r="G2472" t="s">
        <v>24</v>
      </c>
      <c r="H2472" t="s">
        <v>15</v>
      </c>
      <c r="I2472" s="2">
        <v>4.8</v>
      </c>
      <c r="J2472" s="4">
        <v>15</v>
      </c>
      <c r="K2472" s="3">
        <v>5</v>
      </c>
      <c r="L2472" s="1">
        <f t="shared" si="114"/>
        <v>121.50749999999999</v>
      </c>
      <c r="M2472" t="str" cm="1">
        <f t="array" ref="M2472">_xlfn.IFS(B2472&lt;18,"Under 18",B2472 &lt;=25,"18-25",B2472&lt;=35,"26-35",B2472&lt;=45,"36-45",B2472&lt;=60,"46-60",TRUE,"60+")</f>
        <v>46-60</v>
      </c>
      <c r="N2472" t="str">
        <f t="shared" si="115"/>
        <v>Discounted</v>
      </c>
      <c r="O2472" t="str">
        <f t="shared" si="116"/>
        <v>Returning</v>
      </c>
    </row>
    <row r="2473" spans="1:15" x14ac:dyDescent="0.25">
      <c r="A2473">
        <v>2472</v>
      </c>
      <c r="B2473">
        <v>22</v>
      </c>
      <c r="C2473" t="s">
        <v>11</v>
      </c>
      <c r="D2473" t="s">
        <v>29</v>
      </c>
      <c r="E2473" t="s">
        <v>30</v>
      </c>
      <c r="F2473" s="1">
        <v>56.67</v>
      </c>
      <c r="G2473" t="s">
        <v>31</v>
      </c>
      <c r="H2473" t="s">
        <v>37</v>
      </c>
      <c r="I2473" s="2">
        <v>4.3</v>
      </c>
      <c r="J2473" s="4">
        <v>15</v>
      </c>
      <c r="K2473" s="3">
        <v>5</v>
      </c>
      <c r="L2473" s="1">
        <f t="shared" si="114"/>
        <v>48.169499999999999</v>
      </c>
      <c r="M2473" t="str" cm="1">
        <f t="array" ref="M2473">_xlfn.IFS(B2473&lt;18,"Under 18",B2473 &lt;=25,"18-25",B2473&lt;=35,"26-35",B2473&lt;=45,"36-45",B2473&lt;=60,"46-60",TRUE,"60+")</f>
        <v>18-25</v>
      </c>
      <c r="N2473" t="str">
        <f t="shared" si="115"/>
        <v>Discounted</v>
      </c>
      <c r="O2473" t="str">
        <f t="shared" si="116"/>
        <v>Returning</v>
      </c>
    </row>
    <row r="2474" spans="1:15" x14ac:dyDescent="0.25">
      <c r="A2474">
        <v>2473</v>
      </c>
      <c r="B2474">
        <v>56</v>
      </c>
      <c r="C2474" t="s">
        <v>11</v>
      </c>
      <c r="D2474" t="s">
        <v>12</v>
      </c>
      <c r="E2474" t="s">
        <v>56</v>
      </c>
      <c r="F2474" s="1">
        <v>60.82</v>
      </c>
      <c r="G2474" t="s">
        <v>19</v>
      </c>
      <c r="H2474" t="s">
        <v>37</v>
      </c>
      <c r="I2474" s="2">
        <v>3.5</v>
      </c>
      <c r="J2474" s="4">
        <v>8</v>
      </c>
      <c r="K2474" s="3">
        <v>4</v>
      </c>
      <c r="L2474" s="1">
        <f t="shared" si="114"/>
        <v>55.9544</v>
      </c>
      <c r="M2474" t="str" cm="1">
        <f t="array" ref="M2474">_xlfn.IFS(B2474&lt;18,"Under 18",B2474 &lt;=25,"18-25",B2474&lt;=35,"26-35",B2474&lt;=45,"36-45",B2474&lt;=60,"46-60",TRUE,"60+")</f>
        <v>46-60</v>
      </c>
      <c r="N2474" t="str">
        <f t="shared" si="115"/>
        <v>Discounted</v>
      </c>
      <c r="O2474" t="str">
        <f t="shared" si="116"/>
        <v>Returning</v>
      </c>
    </row>
    <row r="2475" spans="1:15" x14ac:dyDescent="0.25">
      <c r="A2475">
        <v>2474</v>
      </c>
      <c r="B2475">
        <v>64</v>
      </c>
      <c r="C2475" t="s">
        <v>11</v>
      </c>
      <c r="D2475" t="s">
        <v>33</v>
      </c>
      <c r="E2475" t="s">
        <v>40</v>
      </c>
      <c r="F2475" s="1">
        <v>249.17</v>
      </c>
      <c r="G2475" t="s">
        <v>19</v>
      </c>
      <c r="H2475" t="s">
        <v>15</v>
      </c>
      <c r="I2475" s="2">
        <v>4.8</v>
      </c>
      <c r="J2475" s="4">
        <v>8</v>
      </c>
      <c r="K2475" s="3">
        <v>4</v>
      </c>
      <c r="L2475" s="1">
        <f t="shared" si="114"/>
        <v>229.2364</v>
      </c>
      <c r="M2475" t="str" cm="1">
        <f t="array" ref="M2475">_xlfn.IFS(B2475&lt;18,"Under 18",B2475 &lt;=25,"18-25",B2475&lt;=35,"26-35",B2475&lt;=45,"36-45",B2475&lt;=60,"46-60",TRUE,"60+")</f>
        <v>60+</v>
      </c>
      <c r="N2475" t="str">
        <f t="shared" si="115"/>
        <v>Discounted</v>
      </c>
      <c r="O2475" t="str">
        <f t="shared" si="116"/>
        <v>Returning</v>
      </c>
    </row>
    <row r="2476" spans="1:15" x14ac:dyDescent="0.25">
      <c r="A2476">
        <v>2475</v>
      </c>
      <c r="B2476">
        <v>58</v>
      </c>
      <c r="C2476" t="s">
        <v>11</v>
      </c>
      <c r="D2476" t="s">
        <v>41</v>
      </c>
      <c r="E2476" t="s">
        <v>46</v>
      </c>
      <c r="F2476" s="1">
        <v>105.75</v>
      </c>
      <c r="G2476" t="s">
        <v>14</v>
      </c>
      <c r="H2476" t="s">
        <v>15</v>
      </c>
      <c r="I2476" s="2">
        <v>4.5</v>
      </c>
      <c r="J2476" s="4">
        <v>19</v>
      </c>
      <c r="K2476" s="3">
        <v>7</v>
      </c>
      <c r="L2476" s="1">
        <f t="shared" si="114"/>
        <v>85.657499999999999</v>
      </c>
      <c r="M2476" t="str" cm="1">
        <f t="array" ref="M2476">_xlfn.IFS(B2476&lt;18,"Under 18",B2476 &lt;=25,"18-25",B2476&lt;=35,"26-35",B2476&lt;=45,"36-45",B2476&lt;=60,"46-60",TRUE,"60+")</f>
        <v>46-60</v>
      </c>
      <c r="N2476" t="str">
        <f t="shared" si="115"/>
        <v>Discounted</v>
      </c>
      <c r="O2476" t="str">
        <f t="shared" si="116"/>
        <v>Returning</v>
      </c>
    </row>
    <row r="2477" spans="1:15" x14ac:dyDescent="0.25">
      <c r="A2477">
        <v>2476</v>
      </c>
      <c r="B2477">
        <v>57</v>
      </c>
      <c r="C2477" t="s">
        <v>16</v>
      </c>
      <c r="D2477" t="s">
        <v>20</v>
      </c>
      <c r="E2477" t="s">
        <v>39</v>
      </c>
      <c r="F2477" s="1">
        <v>89.44</v>
      </c>
      <c r="G2477" t="s">
        <v>14</v>
      </c>
      <c r="H2477" t="s">
        <v>37</v>
      </c>
      <c r="I2477" s="2">
        <v>4.9000000000000004</v>
      </c>
      <c r="J2477" s="4">
        <v>10</v>
      </c>
      <c r="K2477" s="3">
        <v>5</v>
      </c>
      <c r="L2477" s="1">
        <f t="shared" si="114"/>
        <v>80.495999999999995</v>
      </c>
      <c r="M2477" t="str" cm="1">
        <f t="array" ref="M2477">_xlfn.IFS(B2477&lt;18,"Under 18",B2477 &lt;=25,"18-25",B2477&lt;=35,"26-35",B2477&lt;=45,"36-45",B2477&lt;=60,"46-60",TRUE,"60+")</f>
        <v>46-60</v>
      </c>
      <c r="N2477" t="str">
        <f t="shared" si="115"/>
        <v>Discounted</v>
      </c>
      <c r="O2477" t="str">
        <f t="shared" si="116"/>
        <v>Returning</v>
      </c>
    </row>
    <row r="2478" spans="1:15" x14ac:dyDescent="0.25">
      <c r="A2478">
        <v>2477</v>
      </c>
      <c r="B2478">
        <v>37</v>
      </c>
      <c r="C2478" t="s">
        <v>16</v>
      </c>
      <c r="D2478" t="s">
        <v>20</v>
      </c>
      <c r="E2478" t="s">
        <v>21</v>
      </c>
      <c r="F2478" s="1">
        <v>182.81</v>
      </c>
      <c r="G2478" t="s">
        <v>31</v>
      </c>
      <c r="H2478" t="s">
        <v>15</v>
      </c>
      <c r="I2478" s="2">
        <v>3.2</v>
      </c>
      <c r="J2478" s="4">
        <v>16</v>
      </c>
      <c r="K2478" s="3">
        <v>3</v>
      </c>
      <c r="L2478" s="1">
        <f t="shared" si="114"/>
        <v>153.56039999999999</v>
      </c>
      <c r="M2478" t="str" cm="1">
        <f t="array" ref="M2478">_xlfn.IFS(B2478&lt;18,"Under 18",B2478 &lt;=25,"18-25",B2478&lt;=35,"26-35",B2478&lt;=45,"36-45",B2478&lt;=60,"46-60",TRUE,"60+")</f>
        <v>36-45</v>
      </c>
      <c r="N2478" t="str">
        <f t="shared" si="115"/>
        <v>Discounted</v>
      </c>
      <c r="O2478" t="str">
        <f t="shared" si="116"/>
        <v>Returning</v>
      </c>
    </row>
    <row r="2479" spans="1:15" x14ac:dyDescent="0.25">
      <c r="A2479">
        <v>2478</v>
      </c>
      <c r="B2479">
        <v>30</v>
      </c>
      <c r="C2479" t="s">
        <v>16</v>
      </c>
      <c r="D2479" t="s">
        <v>20</v>
      </c>
      <c r="E2479" t="s">
        <v>21</v>
      </c>
      <c r="F2479" s="1">
        <v>49.64</v>
      </c>
      <c r="G2479" t="s">
        <v>19</v>
      </c>
      <c r="H2479" t="s">
        <v>37</v>
      </c>
      <c r="I2479" s="2">
        <v>4.0999999999999996</v>
      </c>
      <c r="J2479" s="4">
        <v>9</v>
      </c>
      <c r="K2479" s="3">
        <v>2</v>
      </c>
      <c r="L2479" s="1">
        <f t="shared" si="114"/>
        <v>45.172400000000003</v>
      </c>
      <c r="M2479" t="str" cm="1">
        <f t="array" ref="M2479">_xlfn.IFS(B2479&lt;18,"Under 18",B2479 &lt;=25,"18-25",B2479&lt;=35,"26-35",B2479&lt;=45,"36-45",B2479&lt;=60,"46-60",TRUE,"60+")</f>
        <v>26-35</v>
      </c>
      <c r="N2479" t="str">
        <f t="shared" si="115"/>
        <v>Discounted</v>
      </c>
      <c r="O2479" t="str">
        <f t="shared" si="116"/>
        <v>Returning</v>
      </c>
    </row>
    <row r="2480" spans="1:15" x14ac:dyDescent="0.25">
      <c r="A2480">
        <v>2479</v>
      </c>
      <c r="B2480">
        <v>56</v>
      </c>
      <c r="C2480" t="s">
        <v>16</v>
      </c>
      <c r="D2480" t="s">
        <v>20</v>
      </c>
      <c r="E2480" t="s">
        <v>36</v>
      </c>
      <c r="F2480" s="1">
        <v>118.27</v>
      </c>
      <c r="G2480" t="s">
        <v>14</v>
      </c>
      <c r="H2480" t="s">
        <v>15</v>
      </c>
      <c r="I2480" s="2">
        <v>4</v>
      </c>
      <c r="J2480" s="4">
        <v>19</v>
      </c>
      <c r="K2480" s="3">
        <v>7</v>
      </c>
      <c r="L2480" s="1">
        <f t="shared" si="114"/>
        <v>95.798699999999997</v>
      </c>
      <c r="M2480" t="str" cm="1">
        <f t="array" ref="M2480">_xlfn.IFS(B2480&lt;18,"Under 18",B2480 &lt;=25,"18-25",B2480&lt;=35,"26-35",B2480&lt;=45,"36-45",B2480&lt;=60,"46-60",TRUE,"60+")</f>
        <v>46-60</v>
      </c>
      <c r="N2480" t="str">
        <f t="shared" si="115"/>
        <v>Discounted</v>
      </c>
      <c r="O2480" t="str">
        <f t="shared" si="116"/>
        <v>Returning</v>
      </c>
    </row>
    <row r="2481" spans="1:15" x14ac:dyDescent="0.25">
      <c r="A2481">
        <v>2480</v>
      </c>
      <c r="B2481">
        <v>41</v>
      </c>
      <c r="C2481" t="s">
        <v>11</v>
      </c>
      <c r="D2481" t="s">
        <v>12</v>
      </c>
      <c r="E2481" t="s">
        <v>56</v>
      </c>
      <c r="F2481" s="1">
        <v>155.41</v>
      </c>
      <c r="G2481" t="s">
        <v>24</v>
      </c>
      <c r="H2481" t="s">
        <v>15</v>
      </c>
      <c r="I2481" s="2">
        <v>5</v>
      </c>
      <c r="J2481" s="4">
        <v>22</v>
      </c>
      <c r="K2481" s="3">
        <v>6</v>
      </c>
      <c r="L2481" s="1">
        <f t="shared" si="114"/>
        <v>121.21980000000001</v>
      </c>
      <c r="M2481" t="str" cm="1">
        <f t="array" ref="M2481">_xlfn.IFS(B2481&lt;18,"Under 18",B2481 &lt;=25,"18-25",B2481&lt;=35,"26-35",B2481&lt;=45,"36-45",B2481&lt;=60,"46-60",TRUE,"60+")</f>
        <v>36-45</v>
      </c>
      <c r="N2481" t="str">
        <f t="shared" si="115"/>
        <v>Discounted</v>
      </c>
      <c r="O2481" t="str">
        <f t="shared" si="116"/>
        <v>Returning</v>
      </c>
    </row>
    <row r="2482" spans="1:15" x14ac:dyDescent="0.25">
      <c r="A2482">
        <v>2481</v>
      </c>
      <c r="B2482">
        <v>47</v>
      </c>
      <c r="C2482" t="s">
        <v>16</v>
      </c>
      <c r="D2482" t="s">
        <v>33</v>
      </c>
      <c r="E2482" t="s">
        <v>38</v>
      </c>
      <c r="F2482" s="1">
        <v>162.15</v>
      </c>
      <c r="G2482" t="s">
        <v>14</v>
      </c>
      <c r="H2482" t="s">
        <v>15</v>
      </c>
      <c r="I2482" s="2">
        <v>4.9000000000000004</v>
      </c>
      <c r="J2482" s="4">
        <v>22</v>
      </c>
      <c r="K2482" s="3">
        <v>6</v>
      </c>
      <c r="L2482" s="1">
        <f t="shared" si="114"/>
        <v>126.477</v>
      </c>
      <c r="M2482" t="str" cm="1">
        <f t="array" ref="M2482">_xlfn.IFS(B2482&lt;18,"Under 18",B2482 &lt;=25,"18-25",B2482&lt;=35,"26-35",B2482&lt;=45,"36-45",B2482&lt;=60,"46-60",TRUE,"60+")</f>
        <v>46-60</v>
      </c>
      <c r="N2482" t="str">
        <f t="shared" si="115"/>
        <v>Discounted</v>
      </c>
      <c r="O2482" t="str">
        <f t="shared" si="116"/>
        <v>Returning</v>
      </c>
    </row>
    <row r="2483" spans="1:15" x14ac:dyDescent="0.25">
      <c r="A2483">
        <v>2482</v>
      </c>
      <c r="B2483">
        <v>62</v>
      </c>
      <c r="C2483" t="s">
        <v>16</v>
      </c>
      <c r="D2483" t="s">
        <v>17</v>
      </c>
      <c r="E2483" t="s">
        <v>18</v>
      </c>
      <c r="F2483" s="1">
        <v>122.41</v>
      </c>
      <c r="G2483" t="s">
        <v>19</v>
      </c>
      <c r="H2483" t="s">
        <v>15</v>
      </c>
      <c r="I2483" s="2">
        <v>3</v>
      </c>
      <c r="J2483" s="4">
        <v>17</v>
      </c>
      <c r="K2483" s="3">
        <v>6</v>
      </c>
      <c r="L2483" s="1">
        <f t="shared" si="114"/>
        <v>101.60029999999999</v>
      </c>
      <c r="M2483" t="str" cm="1">
        <f t="array" ref="M2483">_xlfn.IFS(B2483&lt;18,"Under 18",B2483 &lt;=25,"18-25",B2483&lt;=35,"26-35",B2483&lt;=45,"36-45",B2483&lt;=60,"46-60",TRUE,"60+")</f>
        <v>60+</v>
      </c>
      <c r="N2483" t="str">
        <f t="shared" si="115"/>
        <v>Discounted</v>
      </c>
      <c r="O2483" t="str">
        <f t="shared" si="116"/>
        <v>Returning</v>
      </c>
    </row>
    <row r="2484" spans="1:15" x14ac:dyDescent="0.25">
      <c r="A2484">
        <v>2483</v>
      </c>
      <c r="B2484">
        <v>42</v>
      </c>
      <c r="C2484" t="s">
        <v>16</v>
      </c>
      <c r="D2484" t="s">
        <v>33</v>
      </c>
      <c r="E2484" t="s">
        <v>38</v>
      </c>
      <c r="F2484" s="1">
        <v>166.76</v>
      </c>
      <c r="G2484" t="s">
        <v>19</v>
      </c>
      <c r="H2484" t="s">
        <v>15</v>
      </c>
      <c r="I2484" s="2">
        <v>3.4</v>
      </c>
      <c r="J2484" s="4">
        <v>18</v>
      </c>
      <c r="K2484" s="3">
        <v>9</v>
      </c>
      <c r="L2484" s="1">
        <f t="shared" si="114"/>
        <v>136.7432</v>
      </c>
      <c r="M2484" t="str" cm="1">
        <f t="array" ref="M2484">_xlfn.IFS(B2484&lt;18,"Under 18",B2484 &lt;=25,"18-25",B2484&lt;=35,"26-35",B2484&lt;=45,"36-45",B2484&lt;=60,"46-60",TRUE,"60+")</f>
        <v>36-45</v>
      </c>
      <c r="N2484" t="str">
        <f t="shared" si="115"/>
        <v>Discounted</v>
      </c>
      <c r="O2484" t="str">
        <f t="shared" si="116"/>
        <v>Returning</v>
      </c>
    </row>
    <row r="2485" spans="1:15" x14ac:dyDescent="0.25">
      <c r="A2485">
        <v>2484</v>
      </c>
      <c r="B2485">
        <v>55</v>
      </c>
      <c r="C2485" t="s">
        <v>16</v>
      </c>
      <c r="D2485" t="s">
        <v>20</v>
      </c>
      <c r="E2485" t="s">
        <v>21</v>
      </c>
      <c r="F2485" s="1">
        <v>91.77</v>
      </c>
      <c r="G2485" t="s">
        <v>14</v>
      </c>
      <c r="H2485" t="s">
        <v>37</v>
      </c>
      <c r="I2485" s="2">
        <v>3.8</v>
      </c>
      <c r="J2485" s="4">
        <v>20</v>
      </c>
      <c r="K2485" s="3">
        <v>5</v>
      </c>
      <c r="L2485" s="1">
        <f t="shared" si="114"/>
        <v>73.415999999999997</v>
      </c>
      <c r="M2485" t="str" cm="1">
        <f t="array" ref="M2485">_xlfn.IFS(B2485&lt;18,"Under 18",B2485 &lt;=25,"18-25",B2485&lt;=35,"26-35",B2485&lt;=45,"36-45",B2485&lt;=60,"46-60",TRUE,"60+")</f>
        <v>46-60</v>
      </c>
      <c r="N2485" t="str">
        <f t="shared" si="115"/>
        <v>Discounted</v>
      </c>
      <c r="O2485" t="str">
        <f t="shared" si="116"/>
        <v>Returning</v>
      </c>
    </row>
    <row r="2486" spans="1:15" x14ac:dyDescent="0.25">
      <c r="A2486">
        <v>2485</v>
      </c>
      <c r="B2486">
        <v>70</v>
      </c>
      <c r="C2486" t="s">
        <v>11</v>
      </c>
      <c r="D2486" t="s">
        <v>41</v>
      </c>
      <c r="E2486" t="s">
        <v>45</v>
      </c>
      <c r="F2486" s="1">
        <v>112.59</v>
      </c>
      <c r="G2486" t="s">
        <v>19</v>
      </c>
      <c r="H2486" t="s">
        <v>15</v>
      </c>
      <c r="I2486" s="2">
        <v>4.7</v>
      </c>
      <c r="J2486" s="4">
        <v>18</v>
      </c>
      <c r="K2486" s="3">
        <v>4</v>
      </c>
      <c r="L2486" s="1">
        <f t="shared" si="114"/>
        <v>92.323800000000006</v>
      </c>
      <c r="M2486" t="str" cm="1">
        <f t="array" ref="M2486">_xlfn.IFS(B2486&lt;18,"Under 18",B2486 &lt;=25,"18-25",B2486&lt;=35,"26-35",B2486&lt;=45,"36-45",B2486&lt;=60,"46-60",TRUE,"60+")</f>
        <v>60+</v>
      </c>
      <c r="N2486" t="str">
        <f t="shared" si="115"/>
        <v>Discounted</v>
      </c>
      <c r="O2486" t="str">
        <f t="shared" si="116"/>
        <v>Returning</v>
      </c>
    </row>
    <row r="2487" spans="1:15" x14ac:dyDescent="0.25">
      <c r="A2487">
        <v>2486</v>
      </c>
      <c r="B2487">
        <v>30</v>
      </c>
      <c r="C2487" t="s">
        <v>11</v>
      </c>
      <c r="D2487" t="s">
        <v>41</v>
      </c>
      <c r="E2487" t="s">
        <v>45</v>
      </c>
      <c r="F2487" s="1">
        <v>77.540000000000006</v>
      </c>
      <c r="G2487" t="s">
        <v>31</v>
      </c>
      <c r="H2487" t="s">
        <v>37</v>
      </c>
      <c r="I2487" s="2">
        <v>3.8</v>
      </c>
      <c r="J2487" s="4">
        <v>18</v>
      </c>
      <c r="K2487" s="3">
        <v>4</v>
      </c>
      <c r="L2487" s="1">
        <f t="shared" si="114"/>
        <v>63.582800000000013</v>
      </c>
      <c r="M2487" t="str" cm="1">
        <f t="array" ref="M2487">_xlfn.IFS(B2487&lt;18,"Under 18",B2487 &lt;=25,"18-25",B2487&lt;=35,"26-35",B2487&lt;=45,"36-45",B2487&lt;=60,"46-60",TRUE,"60+")</f>
        <v>26-35</v>
      </c>
      <c r="N2487" t="str">
        <f t="shared" si="115"/>
        <v>Discounted</v>
      </c>
      <c r="O2487" t="str">
        <f t="shared" si="116"/>
        <v>Returning</v>
      </c>
    </row>
    <row r="2488" spans="1:15" x14ac:dyDescent="0.25">
      <c r="A2488">
        <v>2487</v>
      </c>
      <c r="B2488">
        <v>58</v>
      </c>
      <c r="C2488" t="s">
        <v>11</v>
      </c>
      <c r="D2488" t="s">
        <v>12</v>
      </c>
      <c r="E2488" t="s">
        <v>50</v>
      </c>
      <c r="F2488" s="1">
        <v>125.61</v>
      </c>
      <c r="G2488" t="s">
        <v>14</v>
      </c>
      <c r="H2488" t="s">
        <v>15</v>
      </c>
      <c r="I2488" s="2">
        <v>3.3</v>
      </c>
      <c r="J2488" s="4">
        <v>12</v>
      </c>
      <c r="K2488" s="3">
        <v>6</v>
      </c>
      <c r="L2488" s="1">
        <f t="shared" si="114"/>
        <v>110.5368</v>
      </c>
      <c r="M2488" t="str" cm="1">
        <f t="array" ref="M2488">_xlfn.IFS(B2488&lt;18,"Under 18",B2488 &lt;=25,"18-25",B2488&lt;=35,"26-35",B2488&lt;=45,"36-45",B2488&lt;=60,"46-60",TRUE,"60+")</f>
        <v>46-60</v>
      </c>
      <c r="N2488" t="str">
        <f t="shared" si="115"/>
        <v>Discounted</v>
      </c>
      <c r="O2488" t="str">
        <f t="shared" si="116"/>
        <v>Returning</v>
      </c>
    </row>
    <row r="2489" spans="1:15" x14ac:dyDescent="0.25">
      <c r="A2489">
        <v>2488</v>
      </c>
      <c r="B2489">
        <v>66</v>
      </c>
      <c r="C2489" t="s">
        <v>11</v>
      </c>
      <c r="D2489" t="s">
        <v>12</v>
      </c>
      <c r="E2489" t="s">
        <v>13</v>
      </c>
      <c r="F2489" s="1">
        <v>175.38</v>
      </c>
      <c r="G2489" t="s">
        <v>14</v>
      </c>
      <c r="H2489" t="s">
        <v>15</v>
      </c>
      <c r="I2489" s="2">
        <v>4.0999999999999996</v>
      </c>
      <c r="J2489" s="4">
        <v>12</v>
      </c>
      <c r="K2489" s="3">
        <v>6</v>
      </c>
      <c r="L2489" s="1">
        <f t="shared" si="114"/>
        <v>154.33439999999999</v>
      </c>
      <c r="M2489" t="str" cm="1">
        <f t="array" ref="M2489">_xlfn.IFS(B2489&lt;18,"Under 18",B2489 &lt;=25,"18-25",B2489&lt;=35,"26-35",B2489&lt;=45,"36-45",B2489&lt;=60,"46-60",TRUE,"60+")</f>
        <v>60+</v>
      </c>
      <c r="N2489" t="str">
        <f t="shared" si="115"/>
        <v>Discounted</v>
      </c>
      <c r="O2489" t="str">
        <f t="shared" si="116"/>
        <v>Returning</v>
      </c>
    </row>
    <row r="2490" spans="1:15" x14ac:dyDescent="0.25">
      <c r="A2490">
        <v>2489</v>
      </c>
      <c r="B2490">
        <v>45</v>
      </c>
      <c r="C2490" t="s">
        <v>11</v>
      </c>
      <c r="D2490" t="s">
        <v>33</v>
      </c>
      <c r="E2490" t="s">
        <v>38</v>
      </c>
      <c r="F2490" s="1">
        <v>199.34</v>
      </c>
      <c r="G2490" t="s">
        <v>31</v>
      </c>
      <c r="H2490" t="s">
        <v>15</v>
      </c>
      <c r="I2490" s="2">
        <v>5</v>
      </c>
      <c r="J2490" s="4">
        <v>16</v>
      </c>
      <c r="K2490" s="3">
        <v>3</v>
      </c>
      <c r="L2490" s="1">
        <f t="shared" si="114"/>
        <v>167.44559999999998</v>
      </c>
      <c r="M2490" t="str" cm="1">
        <f t="array" ref="M2490">_xlfn.IFS(B2490&lt;18,"Under 18",B2490 &lt;=25,"18-25",B2490&lt;=35,"26-35",B2490&lt;=45,"36-45",B2490&lt;=60,"46-60",TRUE,"60+")</f>
        <v>36-45</v>
      </c>
      <c r="N2490" t="str">
        <f t="shared" si="115"/>
        <v>Discounted</v>
      </c>
      <c r="O2490" t="str">
        <f t="shared" si="116"/>
        <v>Returning</v>
      </c>
    </row>
    <row r="2491" spans="1:15" x14ac:dyDescent="0.25">
      <c r="A2491">
        <v>2490</v>
      </c>
      <c r="B2491">
        <v>57</v>
      </c>
      <c r="C2491" t="s">
        <v>16</v>
      </c>
      <c r="D2491" t="s">
        <v>33</v>
      </c>
      <c r="E2491" t="s">
        <v>40</v>
      </c>
      <c r="F2491" s="1">
        <v>102.02</v>
      </c>
      <c r="G2491" t="s">
        <v>24</v>
      </c>
      <c r="H2491" t="s">
        <v>15</v>
      </c>
      <c r="I2491" s="2">
        <v>4</v>
      </c>
      <c r="J2491" s="4">
        <v>19</v>
      </c>
      <c r="K2491" s="3">
        <v>7</v>
      </c>
      <c r="L2491" s="1">
        <f t="shared" si="114"/>
        <v>82.636200000000002</v>
      </c>
      <c r="M2491" t="str" cm="1">
        <f t="array" ref="M2491">_xlfn.IFS(B2491&lt;18,"Under 18",B2491 &lt;=25,"18-25",B2491&lt;=35,"26-35",B2491&lt;=45,"36-45",B2491&lt;=60,"46-60",TRUE,"60+")</f>
        <v>46-60</v>
      </c>
      <c r="N2491" t="str">
        <f t="shared" si="115"/>
        <v>Discounted</v>
      </c>
      <c r="O2491" t="str">
        <f t="shared" si="116"/>
        <v>Returning</v>
      </c>
    </row>
    <row r="2492" spans="1:15" x14ac:dyDescent="0.25">
      <c r="A2492">
        <v>2491</v>
      </c>
      <c r="B2492">
        <v>27</v>
      </c>
      <c r="C2492" t="s">
        <v>16</v>
      </c>
      <c r="D2492" t="s">
        <v>27</v>
      </c>
      <c r="E2492" t="s">
        <v>32</v>
      </c>
      <c r="F2492" s="1">
        <v>736.82</v>
      </c>
      <c r="G2492" t="s">
        <v>14</v>
      </c>
      <c r="H2492" t="s">
        <v>15</v>
      </c>
      <c r="I2492" s="2">
        <v>4.4000000000000004</v>
      </c>
      <c r="J2492" s="4">
        <v>10</v>
      </c>
      <c r="K2492" s="3">
        <v>5</v>
      </c>
      <c r="L2492" s="1">
        <f t="shared" si="114"/>
        <v>663.13800000000003</v>
      </c>
      <c r="M2492" t="str" cm="1">
        <f t="array" ref="M2492">_xlfn.IFS(B2492&lt;18,"Under 18",B2492 &lt;=25,"18-25",B2492&lt;=35,"26-35",B2492&lt;=45,"36-45",B2492&lt;=60,"46-60",TRUE,"60+")</f>
        <v>26-35</v>
      </c>
      <c r="N2492" t="str">
        <f t="shared" si="115"/>
        <v>Discounted</v>
      </c>
      <c r="O2492" t="str">
        <f t="shared" si="116"/>
        <v>Returning</v>
      </c>
    </row>
    <row r="2493" spans="1:15" x14ac:dyDescent="0.25">
      <c r="A2493">
        <v>2492</v>
      </c>
      <c r="B2493">
        <v>61</v>
      </c>
      <c r="C2493" t="s">
        <v>16</v>
      </c>
      <c r="D2493" t="s">
        <v>17</v>
      </c>
      <c r="E2493" t="s">
        <v>18</v>
      </c>
      <c r="F2493" s="1">
        <v>67.64</v>
      </c>
      <c r="G2493" t="s">
        <v>31</v>
      </c>
      <c r="H2493" t="s">
        <v>37</v>
      </c>
      <c r="I2493" s="2">
        <v>3.6</v>
      </c>
      <c r="J2493" s="4">
        <v>18</v>
      </c>
      <c r="K2493" s="3">
        <v>4</v>
      </c>
      <c r="L2493" s="1">
        <f t="shared" si="114"/>
        <v>55.464800000000004</v>
      </c>
      <c r="M2493" t="str" cm="1">
        <f t="array" ref="M2493">_xlfn.IFS(B2493&lt;18,"Under 18",B2493 &lt;=25,"18-25",B2493&lt;=35,"26-35",B2493&lt;=45,"36-45",B2493&lt;=60,"46-60",TRUE,"60+")</f>
        <v>60+</v>
      </c>
      <c r="N2493" t="str">
        <f t="shared" si="115"/>
        <v>Discounted</v>
      </c>
      <c r="O2493" t="str">
        <f t="shared" si="116"/>
        <v>Returning</v>
      </c>
    </row>
    <row r="2494" spans="1:15" x14ac:dyDescent="0.25">
      <c r="A2494">
        <v>2493</v>
      </c>
      <c r="B2494">
        <v>61</v>
      </c>
      <c r="C2494" t="s">
        <v>16</v>
      </c>
      <c r="D2494" t="s">
        <v>17</v>
      </c>
      <c r="E2494" t="s">
        <v>18</v>
      </c>
      <c r="F2494" s="1">
        <v>97.18</v>
      </c>
      <c r="G2494" t="s">
        <v>31</v>
      </c>
      <c r="H2494" t="s">
        <v>15</v>
      </c>
      <c r="I2494" s="2">
        <v>3.9</v>
      </c>
      <c r="J2494" s="4">
        <v>19</v>
      </c>
      <c r="K2494" s="3">
        <v>7</v>
      </c>
      <c r="L2494" s="1">
        <f t="shared" si="114"/>
        <v>78.715800000000016</v>
      </c>
      <c r="M2494" t="str" cm="1">
        <f t="array" ref="M2494">_xlfn.IFS(B2494&lt;18,"Under 18",B2494 &lt;=25,"18-25",B2494&lt;=35,"26-35",B2494&lt;=45,"36-45",B2494&lt;=60,"46-60",TRUE,"60+")</f>
        <v>60+</v>
      </c>
      <c r="N2494" t="str">
        <f t="shared" si="115"/>
        <v>Discounted</v>
      </c>
      <c r="O2494" t="str">
        <f t="shared" si="116"/>
        <v>Returning</v>
      </c>
    </row>
    <row r="2495" spans="1:15" x14ac:dyDescent="0.25">
      <c r="A2495">
        <v>2494</v>
      </c>
      <c r="B2495">
        <v>36</v>
      </c>
      <c r="C2495" t="s">
        <v>11</v>
      </c>
      <c r="D2495" t="s">
        <v>41</v>
      </c>
      <c r="E2495" t="s">
        <v>45</v>
      </c>
      <c r="F2495" s="1">
        <v>96.2</v>
      </c>
      <c r="G2495" t="s">
        <v>24</v>
      </c>
      <c r="H2495" t="s">
        <v>37</v>
      </c>
      <c r="I2495" s="2">
        <v>5</v>
      </c>
      <c r="J2495" s="4">
        <v>6</v>
      </c>
      <c r="K2495" s="3">
        <v>3</v>
      </c>
      <c r="L2495" s="1">
        <f t="shared" si="114"/>
        <v>90.427999999999997</v>
      </c>
      <c r="M2495" t="str" cm="1">
        <f t="array" ref="M2495">_xlfn.IFS(B2495&lt;18,"Under 18",B2495 &lt;=25,"18-25",B2495&lt;=35,"26-35",B2495&lt;=45,"36-45",B2495&lt;=60,"46-60",TRUE,"60+")</f>
        <v>36-45</v>
      </c>
      <c r="N2495" t="str">
        <f t="shared" si="115"/>
        <v>Discounted</v>
      </c>
      <c r="O2495" t="str">
        <f t="shared" si="116"/>
        <v>Returning</v>
      </c>
    </row>
    <row r="2496" spans="1:15" x14ac:dyDescent="0.25">
      <c r="A2496">
        <v>2495</v>
      </c>
      <c r="B2496">
        <v>30</v>
      </c>
      <c r="C2496" t="s">
        <v>16</v>
      </c>
      <c r="D2496" t="s">
        <v>33</v>
      </c>
      <c r="E2496" t="s">
        <v>34</v>
      </c>
      <c r="F2496" s="1">
        <v>178.66</v>
      </c>
      <c r="G2496" t="s">
        <v>24</v>
      </c>
      <c r="H2496" t="s">
        <v>15</v>
      </c>
      <c r="I2496" s="2">
        <v>3.1</v>
      </c>
      <c r="J2496" s="4">
        <v>16</v>
      </c>
      <c r="K2496" s="3">
        <v>3</v>
      </c>
      <c r="L2496" s="1">
        <f t="shared" si="114"/>
        <v>150.0744</v>
      </c>
      <c r="M2496" t="str" cm="1">
        <f t="array" ref="M2496">_xlfn.IFS(B2496&lt;18,"Under 18",B2496 &lt;=25,"18-25",B2496&lt;=35,"26-35",B2496&lt;=45,"36-45",B2496&lt;=60,"46-60",TRUE,"60+")</f>
        <v>26-35</v>
      </c>
      <c r="N2496" t="str">
        <f t="shared" si="115"/>
        <v>Discounted</v>
      </c>
      <c r="O2496" t="str">
        <f t="shared" si="116"/>
        <v>Returning</v>
      </c>
    </row>
    <row r="2497" spans="1:15" x14ac:dyDescent="0.25">
      <c r="A2497">
        <v>2496</v>
      </c>
      <c r="B2497">
        <v>58</v>
      </c>
      <c r="C2497" t="s">
        <v>16</v>
      </c>
      <c r="D2497" t="s">
        <v>17</v>
      </c>
      <c r="E2497" t="s">
        <v>18</v>
      </c>
      <c r="F2497" s="1">
        <v>59.56</v>
      </c>
      <c r="G2497" t="s">
        <v>14</v>
      </c>
      <c r="H2497" t="s">
        <v>15</v>
      </c>
      <c r="I2497" s="2">
        <v>4.5</v>
      </c>
      <c r="J2497" s="4">
        <v>24</v>
      </c>
      <c r="K2497" s="3">
        <v>7</v>
      </c>
      <c r="L2497" s="1">
        <f t="shared" si="114"/>
        <v>45.265599999999999</v>
      </c>
      <c r="M2497" t="str" cm="1">
        <f t="array" ref="M2497">_xlfn.IFS(B2497&lt;18,"Under 18",B2497 &lt;=25,"18-25",B2497&lt;=35,"26-35",B2497&lt;=45,"36-45",B2497&lt;=60,"46-60",TRUE,"60+")</f>
        <v>46-60</v>
      </c>
      <c r="N2497" t="str">
        <f t="shared" si="115"/>
        <v>Discounted</v>
      </c>
      <c r="O2497" t="str">
        <f t="shared" si="116"/>
        <v>Returning</v>
      </c>
    </row>
    <row r="2498" spans="1:15" x14ac:dyDescent="0.25">
      <c r="A2498">
        <v>2497</v>
      </c>
      <c r="B2498">
        <v>44</v>
      </c>
      <c r="C2498" t="s">
        <v>16</v>
      </c>
      <c r="D2498" t="s">
        <v>20</v>
      </c>
      <c r="E2498" t="s">
        <v>21</v>
      </c>
      <c r="F2498" s="1">
        <v>211.96</v>
      </c>
      <c r="G2498" t="s">
        <v>19</v>
      </c>
      <c r="H2498" t="s">
        <v>15</v>
      </c>
      <c r="I2498" s="2">
        <v>2.7</v>
      </c>
      <c r="J2498" s="4">
        <v>24</v>
      </c>
      <c r="K2498" s="3">
        <v>7</v>
      </c>
      <c r="L2498" s="1">
        <f t="shared" si="114"/>
        <v>161.08960000000002</v>
      </c>
      <c r="M2498" t="str" cm="1">
        <f t="array" ref="M2498">_xlfn.IFS(B2498&lt;18,"Under 18",B2498 &lt;=25,"18-25",B2498&lt;=35,"26-35",B2498&lt;=45,"36-45",B2498&lt;=60,"46-60",TRUE,"60+")</f>
        <v>36-45</v>
      </c>
      <c r="N2498" t="str">
        <f t="shared" si="115"/>
        <v>Discounted</v>
      </c>
      <c r="O2498" t="str">
        <f t="shared" si="116"/>
        <v>Returning</v>
      </c>
    </row>
    <row r="2499" spans="1:15" x14ac:dyDescent="0.25">
      <c r="A2499">
        <v>2498</v>
      </c>
      <c r="B2499">
        <v>28</v>
      </c>
      <c r="C2499" t="s">
        <v>16</v>
      </c>
      <c r="D2499" t="s">
        <v>33</v>
      </c>
      <c r="E2499" t="s">
        <v>34</v>
      </c>
      <c r="F2499" s="1">
        <v>54.72</v>
      </c>
      <c r="G2499" t="s">
        <v>24</v>
      </c>
      <c r="H2499" t="s">
        <v>37</v>
      </c>
      <c r="I2499" s="2">
        <v>3</v>
      </c>
      <c r="J2499" s="4">
        <v>8</v>
      </c>
      <c r="K2499" s="3">
        <v>4</v>
      </c>
      <c r="L2499" s="1">
        <f t="shared" ref="L2499:L2562" si="117">F2499 * (1 - J2499 / 100)</f>
        <v>50.342399999999998</v>
      </c>
      <c r="M2499" t="str" cm="1">
        <f t="array" ref="M2499">_xlfn.IFS(B2499&lt;18,"Under 18",B2499 &lt;=25,"18-25",B2499&lt;=35,"26-35",B2499&lt;=45,"36-45",B2499&lt;=60,"46-60",TRUE,"60+")</f>
        <v>26-35</v>
      </c>
      <c r="N2499" t="str">
        <f t="shared" ref="N2499:N2562" si="118">IF(J2499&gt;0,"Discounted","No Discount")</f>
        <v>Discounted</v>
      </c>
      <c r="O2499" t="str">
        <f t="shared" ref="O2499:O2562" si="119">IF(K2499&gt;0,"Returning","New")</f>
        <v>Returning</v>
      </c>
    </row>
    <row r="2500" spans="1:15" x14ac:dyDescent="0.25">
      <c r="A2500">
        <v>2499</v>
      </c>
      <c r="B2500">
        <v>50</v>
      </c>
      <c r="C2500" t="s">
        <v>11</v>
      </c>
      <c r="D2500" t="s">
        <v>41</v>
      </c>
      <c r="E2500" t="s">
        <v>42</v>
      </c>
      <c r="F2500" s="1">
        <v>166.8</v>
      </c>
      <c r="G2500" t="s">
        <v>14</v>
      </c>
      <c r="H2500" t="s">
        <v>15</v>
      </c>
      <c r="I2500" s="2">
        <v>4.8</v>
      </c>
      <c r="J2500" s="4">
        <v>15</v>
      </c>
      <c r="K2500" s="3">
        <v>5</v>
      </c>
      <c r="L2500" s="1">
        <f t="shared" si="117"/>
        <v>141.78</v>
      </c>
      <c r="M2500" t="str" cm="1">
        <f t="array" ref="M2500">_xlfn.IFS(B2500&lt;18,"Under 18",B2500 &lt;=25,"18-25",B2500&lt;=35,"26-35",B2500&lt;=45,"36-45",B2500&lt;=60,"46-60",TRUE,"60+")</f>
        <v>46-60</v>
      </c>
      <c r="N2500" t="str">
        <f t="shared" si="118"/>
        <v>Discounted</v>
      </c>
      <c r="O2500" t="str">
        <f t="shared" si="119"/>
        <v>Returning</v>
      </c>
    </row>
    <row r="2501" spans="1:15" x14ac:dyDescent="0.25">
      <c r="A2501">
        <v>2500</v>
      </c>
      <c r="B2501">
        <v>36</v>
      </c>
      <c r="C2501" t="s">
        <v>11</v>
      </c>
      <c r="D2501" t="s">
        <v>20</v>
      </c>
      <c r="E2501" t="s">
        <v>21</v>
      </c>
      <c r="F2501" s="1">
        <v>180.09</v>
      </c>
      <c r="G2501" t="s">
        <v>24</v>
      </c>
      <c r="H2501" t="s">
        <v>15</v>
      </c>
      <c r="I2501" s="2">
        <v>4.9000000000000004</v>
      </c>
      <c r="J2501" s="4">
        <v>19</v>
      </c>
      <c r="K2501" s="3">
        <v>7</v>
      </c>
      <c r="L2501" s="1">
        <f t="shared" si="117"/>
        <v>145.87290000000002</v>
      </c>
      <c r="M2501" t="str" cm="1">
        <f t="array" ref="M2501">_xlfn.IFS(B2501&lt;18,"Under 18",B2501 &lt;=25,"18-25",B2501&lt;=35,"26-35",B2501&lt;=45,"36-45",B2501&lt;=60,"46-60",TRUE,"60+")</f>
        <v>36-45</v>
      </c>
      <c r="N2501" t="str">
        <f t="shared" si="118"/>
        <v>Discounted</v>
      </c>
      <c r="O2501" t="str">
        <f t="shared" si="119"/>
        <v>Returning</v>
      </c>
    </row>
    <row r="2502" spans="1:15" x14ac:dyDescent="0.25">
      <c r="A2502">
        <v>2501</v>
      </c>
      <c r="B2502">
        <v>55</v>
      </c>
      <c r="C2502" t="s">
        <v>11</v>
      </c>
      <c r="D2502" t="s">
        <v>20</v>
      </c>
      <c r="E2502" t="s">
        <v>21</v>
      </c>
      <c r="F2502" s="1">
        <v>73.290000000000006</v>
      </c>
      <c r="G2502" t="s">
        <v>24</v>
      </c>
      <c r="H2502" t="s">
        <v>15</v>
      </c>
      <c r="I2502" s="2">
        <v>4.5999999999999996</v>
      </c>
      <c r="J2502" s="4">
        <v>19</v>
      </c>
      <c r="K2502" s="3">
        <v>7</v>
      </c>
      <c r="L2502" s="1">
        <f t="shared" si="117"/>
        <v>59.364900000000006</v>
      </c>
      <c r="M2502" t="str" cm="1">
        <f t="array" ref="M2502">_xlfn.IFS(B2502&lt;18,"Under 18",B2502 &lt;=25,"18-25",B2502&lt;=35,"26-35",B2502&lt;=45,"36-45",B2502&lt;=60,"46-60",TRUE,"60+")</f>
        <v>46-60</v>
      </c>
      <c r="N2502" t="str">
        <f t="shared" si="118"/>
        <v>Discounted</v>
      </c>
      <c r="O2502" t="str">
        <f t="shared" si="119"/>
        <v>Returning</v>
      </c>
    </row>
    <row r="2503" spans="1:15" x14ac:dyDescent="0.25">
      <c r="A2503">
        <v>2502</v>
      </c>
      <c r="B2503">
        <v>49</v>
      </c>
      <c r="C2503" t="s">
        <v>16</v>
      </c>
      <c r="D2503" t="s">
        <v>20</v>
      </c>
      <c r="E2503" t="s">
        <v>21</v>
      </c>
      <c r="F2503" s="1">
        <v>240.58</v>
      </c>
      <c r="G2503" t="s">
        <v>19</v>
      </c>
      <c r="H2503" t="s">
        <v>15</v>
      </c>
      <c r="I2503" s="2">
        <v>4.2</v>
      </c>
      <c r="J2503" s="4">
        <v>24</v>
      </c>
      <c r="K2503" s="3">
        <v>7</v>
      </c>
      <c r="L2503" s="1">
        <f t="shared" si="117"/>
        <v>182.8408</v>
      </c>
      <c r="M2503" t="str" cm="1">
        <f t="array" ref="M2503">_xlfn.IFS(B2503&lt;18,"Under 18",B2503 &lt;=25,"18-25",B2503&lt;=35,"26-35",B2503&lt;=45,"36-45",B2503&lt;=60,"46-60",TRUE,"60+")</f>
        <v>46-60</v>
      </c>
      <c r="N2503" t="str">
        <f t="shared" si="118"/>
        <v>Discounted</v>
      </c>
      <c r="O2503" t="str">
        <f t="shared" si="119"/>
        <v>Returning</v>
      </c>
    </row>
    <row r="2504" spans="1:15" x14ac:dyDescent="0.25">
      <c r="A2504">
        <v>2503</v>
      </c>
      <c r="B2504">
        <v>58</v>
      </c>
      <c r="C2504" t="s">
        <v>11</v>
      </c>
      <c r="D2504" t="s">
        <v>22</v>
      </c>
      <c r="E2504" t="s">
        <v>52</v>
      </c>
      <c r="F2504" s="1">
        <v>80.55</v>
      </c>
      <c r="G2504" t="s">
        <v>19</v>
      </c>
      <c r="H2504" t="s">
        <v>15</v>
      </c>
      <c r="I2504" s="2">
        <v>4.8</v>
      </c>
      <c r="J2504" s="4">
        <v>13</v>
      </c>
      <c r="K2504" s="3">
        <v>4</v>
      </c>
      <c r="L2504" s="1">
        <f t="shared" si="117"/>
        <v>70.078499999999991</v>
      </c>
      <c r="M2504" t="str" cm="1">
        <f t="array" ref="M2504">_xlfn.IFS(B2504&lt;18,"Under 18",B2504 &lt;=25,"18-25",B2504&lt;=35,"26-35",B2504&lt;=45,"36-45",B2504&lt;=60,"46-60",TRUE,"60+")</f>
        <v>46-60</v>
      </c>
      <c r="N2504" t="str">
        <f t="shared" si="118"/>
        <v>Discounted</v>
      </c>
      <c r="O2504" t="str">
        <f t="shared" si="119"/>
        <v>Returning</v>
      </c>
    </row>
    <row r="2505" spans="1:15" x14ac:dyDescent="0.25">
      <c r="A2505">
        <v>2504</v>
      </c>
      <c r="B2505">
        <v>57</v>
      </c>
      <c r="C2505" t="s">
        <v>16</v>
      </c>
      <c r="D2505" t="s">
        <v>27</v>
      </c>
      <c r="E2505" t="s">
        <v>32</v>
      </c>
      <c r="F2505" s="1">
        <v>1635.17</v>
      </c>
      <c r="G2505" t="s">
        <v>31</v>
      </c>
      <c r="H2505" t="s">
        <v>15</v>
      </c>
      <c r="I2505" s="2">
        <v>4.0999999999999996</v>
      </c>
      <c r="J2505" s="4">
        <v>9</v>
      </c>
      <c r="K2505" s="3">
        <v>2</v>
      </c>
      <c r="L2505" s="1">
        <f t="shared" si="117"/>
        <v>1488.0047000000002</v>
      </c>
      <c r="M2505" t="str" cm="1">
        <f t="array" ref="M2505">_xlfn.IFS(B2505&lt;18,"Under 18",B2505 &lt;=25,"18-25",B2505&lt;=35,"26-35",B2505&lt;=45,"36-45",B2505&lt;=60,"46-60",TRUE,"60+")</f>
        <v>46-60</v>
      </c>
      <c r="N2505" t="str">
        <f t="shared" si="118"/>
        <v>Discounted</v>
      </c>
      <c r="O2505" t="str">
        <f t="shared" si="119"/>
        <v>Returning</v>
      </c>
    </row>
    <row r="2506" spans="1:15" x14ac:dyDescent="0.25">
      <c r="A2506">
        <v>2505</v>
      </c>
      <c r="B2506">
        <v>25</v>
      </c>
      <c r="C2506" t="s">
        <v>16</v>
      </c>
      <c r="D2506" t="s">
        <v>33</v>
      </c>
      <c r="E2506" t="s">
        <v>34</v>
      </c>
      <c r="F2506" s="1">
        <v>226.76</v>
      </c>
      <c r="G2506" t="s">
        <v>24</v>
      </c>
      <c r="H2506" t="s">
        <v>15</v>
      </c>
      <c r="I2506" s="2">
        <v>4.2</v>
      </c>
      <c r="J2506" s="4">
        <v>21</v>
      </c>
      <c r="K2506" s="3">
        <v>8</v>
      </c>
      <c r="L2506" s="1">
        <f t="shared" si="117"/>
        <v>179.1404</v>
      </c>
      <c r="M2506" t="str" cm="1">
        <f t="array" ref="M2506">_xlfn.IFS(B2506&lt;18,"Under 18",B2506 &lt;=25,"18-25",B2506&lt;=35,"26-35",B2506&lt;=45,"36-45",B2506&lt;=60,"46-60",TRUE,"60+")</f>
        <v>18-25</v>
      </c>
      <c r="N2506" t="str">
        <f t="shared" si="118"/>
        <v>Discounted</v>
      </c>
      <c r="O2506" t="str">
        <f t="shared" si="119"/>
        <v>Returning</v>
      </c>
    </row>
    <row r="2507" spans="1:15" x14ac:dyDescent="0.25">
      <c r="A2507">
        <v>2506</v>
      </c>
      <c r="B2507">
        <v>42</v>
      </c>
      <c r="C2507" t="s">
        <v>16</v>
      </c>
      <c r="D2507" t="s">
        <v>20</v>
      </c>
      <c r="E2507" t="s">
        <v>21</v>
      </c>
      <c r="F2507" s="1">
        <v>132.34</v>
      </c>
      <c r="G2507" t="s">
        <v>19</v>
      </c>
      <c r="H2507" t="s">
        <v>15</v>
      </c>
      <c r="I2507" s="2">
        <v>4.5</v>
      </c>
      <c r="J2507" s="4">
        <v>20</v>
      </c>
      <c r="K2507" s="3">
        <v>5</v>
      </c>
      <c r="L2507" s="1">
        <f t="shared" si="117"/>
        <v>105.87200000000001</v>
      </c>
      <c r="M2507" t="str" cm="1">
        <f t="array" ref="M2507">_xlfn.IFS(B2507&lt;18,"Under 18",B2507 &lt;=25,"18-25",B2507&lt;=35,"26-35",B2507&lt;=45,"36-45",B2507&lt;=60,"46-60",TRUE,"60+")</f>
        <v>36-45</v>
      </c>
      <c r="N2507" t="str">
        <f t="shared" si="118"/>
        <v>Discounted</v>
      </c>
      <c r="O2507" t="str">
        <f t="shared" si="119"/>
        <v>Returning</v>
      </c>
    </row>
    <row r="2508" spans="1:15" x14ac:dyDescent="0.25">
      <c r="A2508">
        <v>2507</v>
      </c>
      <c r="B2508">
        <v>42</v>
      </c>
      <c r="C2508" t="s">
        <v>11</v>
      </c>
      <c r="D2508" t="s">
        <v>12</v>
      </c>
      <c r="E2508" t="s">
        <v>56</v>
      </c>
      <c r="F2508" s="1">
        <v>151.58000000000001</v>
      </c>
      <c r="G2508" t="s">
        <v>19</v>
      </c>
      <c r="H2508" t="s">
        <v>15</v>
      </c>
      <c r="I2508" s="2">
        <v>4.0999999999999996</v>
      </c>
      <c r="J2508" s="4">
        <v>2</v>
      </c>
      <c r="K2508" s="3">
        <v>1</v>
      </c>
      <c r="L2508" s="1">
        <f t="shared" si="117"/>
        <v>148.54840000000002</v>
      </c>
      <c r="M2508" t="str" cm="1">
        <f t="array" ref="M2508">_xlfn.IFS(B2508&lt;18,"Under 18",B2508 &lt;=25,"18-25",B2508&lt;=35,"26-35",B2508&lt;=45,"36-45",B2508&lt;=60,"46-60",TRUE,"60+")</f>
        <v>36-45</v>
      </c>
      <c r="N2508" t="str">
        <f t="shared" si="118"/>
        <v>Discounted</v>
      </c>
      <c r="O2508" t="str">
        <f t="shared" si="119"/>
        <v>Returning</v>
      </c>
    </row>
    <row r="2509" spans="1:15" x14ac:dyDescent="0.25">
      <c r="A2509">
        <v>2508</v>
      </c>
      <c r="B2509">
        <v>35</v>
      </c>
      <c r="C2509" t="s">
        <v>16</v>
      </c>
      <c r="D2509" t="s">
        <v>25</v>
      </c>
      <c r="E2509" t="s">
        <v>54</v>
      </c>
      <c r="F2509" s="1">
        <v>6.79</v>
      </c>
      <c r="G2509" t="s">
        <v>14</v>
      </c>
      <c r="H2509" t="s">
        <v>37</v>
      </c>
      <c r="I2509" s="2">
        <v>3.4</v>
      </c>
      <c r="J2509" s="4">
        <v>16</v>
      </c>
      <c r="K2509" s="3">
        <v>8</v>
      </c>
      <c r="L2509" s="1">
        <f t="shared" si="117"/>
        <v>5.7035999999999998</v>
      </c>
      <c r="M2509" t="str" cm="1">
        <f t="array" ref="M2509">_xlfn.IFS(B2509&lt;18,"Under 18",B2509 &lt;=25,"18-25",B2509&lt;=35,"26-35",B2509&lt;=45,"36-45",B2509&lt;=60,"46-60",TRUE,"60+")</f>
        <v>26-35</v>
      </c>
      <c r="N2509" t="str">
        <f t="shared" si="118"/>
        <v>Discounted</v>
      </c>
      <c r="O2509" t="str">
        <f t="shared" si="119"/>
        <v>Returning</v>
      </c>
    </row>
    <row r="2510" spans="1:15" x14ac:dyDescent="0.25">
      <c r="A2510">
        <v>2509</v>
      </c>
      <c r="B2510">
        <v>53</v>
      </c>
      <c r="C2510" t="s">
        <v>11</v>
      </c>
      <c r="D2510" t="s">
        <v>33</v>
      </c>
      <c r="E2510" t="s">
        <v>38</v>
      </c>
      <c r="F2510" s="1">
        <v>177.6</v>
      </c>
      <c r="G2510" t="s">
        <v>14</v>
      </c>
      <c r="H2510" t="s">
        <v>15</v>
      </c>
      <c r="I2510" s="2">
        <v>5</v>
      </c>
      <c r="J2510" s="4">
        <v>26</v>
      </c>
      <c r="K2510" s="3">
        <v>8</v>
      </c>
      <c r="L2510" s="1">
        <f t="shared" si="117"/>
        <v>131.42400000000001</v>
      </c>
      <c r="M2510" t="str" cm="1">
        <f t="array" ref="M2510">_xlfn.IFS(B2510&lt;18,"Under 18",B2510 &lt;=25,"18-25",B2510&lt;=35,"26-35",B2510&lt;=45,"36-45",B2510&lt;=60,"46-60",TRUE,"60+")</f>
        <v>46-60</v>
      </c>
      <c r="N2510" t="str">
        <f t="shared" si="118"/>
        <v>Discounted</v>
      </c>
      <c r="O2510" t="str">
        <f t="shared" si="119"/>
        <v>Returning</v>
      </c>
    </row>
    <row r="2511" spans="1:15" x14ac:dyDescent="0.25">
      <c r="A2511">
        <v>2510</v>
      </c>
      <c r="B2511">
        <v>49</v>
      </c>
      <c r="C2511" t="s">
        <v>16</v>
      </c>
      <c r="D2511" t="s">
        <v>27</v>
      </c>
      <c r="E2511" t="s">
        <v>32</v>
      </c>
      <c r="F2511" s="1">
        <v>1297.0899999999999</v>
      </c>
      <c r="G2511" t="s">
        <v>19</v>
      </c>
      <c r="H2511" t="s">
        <v>15</v>
      </c>
      <c r="I2511" s="2">
        <v>4.8</v>
      </c>
      <c r="J2511" s="4">
        <v>20</v>
      </c>
      <c r="K2511" s="3">
        <v>5</v>
      </c>
      <c r="L2511" s="1">
        <f t="shared" si="117"/>
        <v>1037.672</v>
      </c>
      <c r="M2511" t="str" cm="1">
        <f t="array" ref="M2511">_xlfn.IFS(B2511&lt;18,"Under 18",B2511 &lt;=25,"18-25",B2511&lt;=35,"26-35",B2511&lt;=45,"36-45",B2511&lt;=60,"46-60",TRUE,"60+")</f>
        <v>46-60</v>
      </c>
      <c r="N2511" t="str">
        <f t="shared" si="118"/>
        <v>Discounted</v>
      </c>
      <c r="O2511" t="str">
        <f t="shared" si="119"/>
        <v>Returning</v>
      </c>
    </row>
    <row r="2512" spans="1:15" x14ac:dyDescent="0.25">
      <c r="A2512">
        <v>2511</v>
      </c>
      <c r="B2512">
        <v>28</v>
      </c>
      <c r="C2512" t="s">
        <v>11</v>
      </c>
      <c r="D2512" t="s">
        <v>12</v>
      </c>
      <c r="E2512" t="s">
        <v>50</v>
      </c>
      <c r="F2512" s="1">
        <v>76.02</v>
      </c>
      <c r="G2512" t="s">
        <v>14</v>
      </c>
      <c r="H2512" t="s">
        <v>15</v>
      </c>
      <c r="I2512" s="2">
        <v>4</v>
      </c>
      <c r="J2512" s="4">
        <v>22</v>
      </c>
      <c r="K2512" s="3">
        <v>6</v>
      </c>
      <c r="L2512" s="1">
        <f t="shared" si="117"/>
        <v>59.2956</v>
      </c>
      <c r="M2512" t="str" cm="1">
        <f t="array" ref="M2512">_xlfn.IFS(B2512&lt;18,"Under 18",B2512 &lt;=25,"18-25",B2512&lt;=35,"26-35",B2512&lt;=45,"36-45",B2512&lt;=60,"46-60",TRUE,"60+")</f>
        <v>26-35</v>
      </c>
      <c r="N2512" t="str">
        <f t="shared" si="118"/>
        <v>Discounted</v>
      </c>
      <c r="O2512" t="str">
        <f t="shared" si="119"/>
        <v>Returning</v>
      </c>
    </row>
    <row r="2513" spans="1:15" x14ac:dyDescent="0.25">
      <c r="A2513">
        <v>2512</v>
      </c>
      <c r="B2513">
        <v>37</v>
      </c>
      <c r="C2513" t="s">
        <v>11</v>
      </c>
      <c r="D2513" t="s">
        <v>33</v>
      </c>
      <c r="E2513" t="s">
        <v>34</v>
      </c>
      <c r="F2513" s="1">
        <v>158.57</v>
      </c>
      <c r="G2513" t="s">
        <v>19</v>
      </c>
      <c r="H2513" t="s">
        <v>15</v>
      </c>
      <c r="I2513" s="2">
        <v>3.3</v>
      </c>
      <c r="J2513" s="4">
        <v>6</v>
      </c>
      <c r="K2513" s="3">
        <v>3</v>
      </c>
      <c r="L2513" s="1">
        <f t="shared" si="117"/>
        <v>149.05579999999998</v>
      </c>
      <c r="M2513" t="str" cm="1">
        <f t="array" ref="M2513">_xlfn.IFS(B2513&lt;18,"Under 18",B2513 &lt;=25,"18-25",B2513&lt;=35,"26-35",B2513&lt;=45,"36-45",B2513&lt;=60,"46-60",TRUE,"60+")</f>
        <v>36-45</v>
      </c>
      <c r="N2513" t="str">
        <f t="shared" si="118"/>
        <v>Discounted</v>
      </c>
      <c r="O2513" t="str">
        <f t="shared" si="119"/>
        <v>Returning</v>
      </c>
    </row>
    <row r="2514" spans="1:15" x14ac:dyDescent="0.25">
      <c r="A2514">
        <v>2513</v>
      </c>
      <c r="B2514">
        <v>27</v>
      </c>
      <c r="C2514" t="s">
        <v>11</v>
      </c>
      <c r="D2514" t="s">
        <v>41</v>
      </c>
      <c r="E2514" t="s">
        <v>44</v>
      </c>
      <c r="F2514" s="1">
        <v>88.33</v>
      </c>
      <c r="G2514" t="s">
        <v>24</v>
      </c>
      <c r="H2514" t="s">
        <v>15</v>
      </c>
      <c r="I2514" s="2">
        <v>3.8</v>
      </c>
      <c r="J2514" s="4">
        <v>10</v>
      </c>
      <c r="K2514" s="3">
        <v>5</v>
      </c>
      <c r="L2514" s="1">
        <f t="shared" si="117"/>
        <v>79.497</v>
      </c>
      <c r="M2514" t="str" cm="1">
        <f t="array" ref="M2514">_xlfn.IFS(B2514&lt;18,"Under 18",B2514 &lt;=25,"18-25",B2514&lt;=35,"26-35",B2514&lt;=45,"36-45",B2514&lt;=60,"46-60",TRUE,"60+")</f>
        <v>26-35</v>
      </c>
      <c r="N2514" t="str">
        <f t="shared" si="118"/>
        <v>Discounted</v>
      </c>
      <c r="O2514" t="str">
        <f t="shared" si="119"/>
        <v>Returning</v>
      </c>
    </row>
    <row r="2515" spans="1:15" x14ac:dyDescent="0.25">
      <c r="A2515">
        <v>2514</v>
      </c>
      <c r="B2515">
        <v>54</v>
      </c>
      <c r="C2515" t="s">
        <v>16</v>
      </c>
      <c r="D2515" t="s">
        <v>17</v>
      </c>
      <c r="E2515" t="s">
        <v>18</v>
      </c>
      <c r="F2515" s="1">
        <v>181.51</v>
      </c>
      <c r="G2515" t="s">
        <v>14</v>
      </c>
      <c r="H2515" t="s">
        <v>15</v>
      </c>
      <c r="I2515" s="2">
        <v>4.8</v>
      </c>
      <c r="J2515" s="4">
        <v>13</v>
      </c>
      <c r="K2515" s="3">
        <v>4</v>
      </c>
      <c r="L2515" s="1">
        <f t="shared" si="117"/>
        <v>157.91369999999998</v>
      </c>
      <c r="M2515" t="str" cm="1">
        <f t="array" ref="M2515">_xlfn.IFS(B2515&lt;18,"Under 18",B2515 &lt;=25,"18-25",B2515&lt;=35,"26-35",B2515&lt;=45,"36-45",B2515&lt;=60,"46-60",TRUE,"60+")</f>
        <v>46-60</v>
      </c>
      <c r="N2515" t="str">
        <f t="shared" si="118"/>
        <v>Discounted</v>
      </c>
      <c r="O2515" t="str">
        <f t="shared" si="119"/>
        <v>Returning</v>
      </c>
    </row>
    <row r="2516" spans="1:15" x14ac:dyDescent="0.25">
      <c r="A2516">
        <v>2515</v>
      </c>
      <c r="B2516">
        <v>27</v>
      </c>
      <c r="C2516" t="s">
        <v>16</v>
      </c>
      <c r="D2516" t="s">
        <v>17</v>
      </c>
      <c r="E2516" t="s">
        <v>18</v>
      </c>
      <c r="F2516" s="1">
        <v>48.86</v>
      </c>
      <c r="G2516" t="s">
        <v>24</v>
      </c>
      <c r="H2516" t="s">
        <v>37</v>
      </c>
      <c r="I2516" s="2">
        <v>4.8</v>
      </c>
      <c r="J2516" s="4">
        <v>8</v>
      </c>
      <c r="K2516" s="3">
        <v>4</v>
      </c>
      <c r="L2516" s="1">
        <f t="shared" si="117"/>
        <v>44.9512</v>
      </c>
      <c r="M2516" t="str" cm="1">
        <f t="array" ref="M2516">_xlfn.IFS(B2516&lt;18,"Under 18",B2516 &lt;=25,"18-25",B2516&lt;=35,"26-35",B2516&lt;=45,"36-45",B2516&lt;=60,"46-60",TRUE,"60+")</f>
        <v>26-35</v>
      </c>
      <c r="N2516" t="str">
        <f t="shared" si="118"/>
        <v>Discounted</v>
      </c>
      <c r="O2516" t="str">
        <f t="shared" si="119"/>
        <v>Returning</v>
      </c>
    </row>
    <row r="2517" spans="1:15" x14ac:dyDescent="0.25">
      <c r="A2517">
        <v>2516</v>
      </c>
      <c r="B2517">
        <v>55</v>
      </c>
      <c r="C2517" t="s">
        <v>11</v>
      </c>
      <c r="D2517" t="s">
        <v>12</v>
      </c>
      <c r="E2517" t="s">
        <v>13</v>
      </c>
      <c r="F2517" s="1">
        <v>124.2</v>
      </c>
      <c r="G2517" t="s">
        <v>19</v>
      </c>
      <c r="H2517" t="s">
        <v>15</v>
      </c>
      <c r="I2517" s="2">
        <v>3.6</v>
      </c>
      <c r="J2517" s="4">
        <v>12</v>
      </c>
      <c r="K2517" s="3">
        <v>6</v>
      </c>
      <c r="L2517" s="1">
        <f t="shared" si="117"/>
        <v>109.29600000000001</v>
      </c>
      <c r="M2517" t="str" cm="1">
        <f t="array" ref="M2517">_xlfn.IFS(B2517&lt;18,"Under 18",B2517 &lt;=25,"18-25",B2517&lt;=35,"26-35",B2517&lt;=45,"36-45",B2517&lt;=60,"46-60",TRUE,"60+")</f>
        <v>46-60</v>
      </c>
      <c r="N2517" t="str">
        <f t="shared" si="118"/>
        <v>Discounted</v>
      </c>
      <c r="O2517" t="str">
        <f t="shared" si="119"/>
        <v>Returning</v>
      </c>
    </row>
    <row r="2518" spans="1:15" x14ac:dyDescent="0.25">
      <c r="A2518">
        <v>2517</v>
      </c>
      <c r="B2518">
        <v>37</v>
      </c>
      <c r="C2518" t="s">
        <v>11</v>
      </c>
      <c r="D2518" t="s">
        <v>29</v>
      </c>
      <c r="E2518" t="s">
        <v>55</v>
      </c>
      <c r="F2518" s="1">
        <v>130.83000000000001</v>
      </c>
      <c r="G2518" t="s">
        <v>19</v>
      </c>
      <c r="H2518" t="s">
        <v>15</v>
      </c>
      <c r="I2518" s="2">
        <v>5</v>
      </c>
      <c r="J2518" s="4">
        <v>18</v>
      </c>
      <c r="K2518" s="3">
        <v>4</v>
      </c>
      <c r="L2518" s="1">
        <f t="shared" si="117"/>
        <v>107.28060000000002</v>
      </c>
      <c r="M2518" t="str" cm="1">
        <f t="array" ref="M2518">_xlfn.IFS(B2518&lt;18,"Under 18",B2518 &lt;=25,"18-25",B2518&lt;=35,"26-35",B2518&lt;=45,"36-45",B2518&lt;=60,"46-60",TRUE,"60+")</f>
        <v>36-45</v>
      </c>
      <c r="N2518" t="str">
        <f t="shared" si="118"/>
        <v>Discounted</v>
      </c>
      <c r="O2518" t="str">
        <f t="shared" si="119"/>
        <v>Returning</v>
      </c>
    </row>
    <row r="2519" spans="1:15" x14ac:dyDescent="0.25">
      <c r="A2519">
        <v>2518</v>
      </c>
      <c r="B2519">
        <v>21</v>
      </c>
      <c r="C2519" t="s">
        <v>16</v>
      </c>
      <c r="D2519" t="s">
        <v>17</v>
      </c>
      <c r="E2519" t="s">
        <v>18</v>
      </c>
      <c r="F2519" s="1">
        <v>46.83</v>
      </c>
      <c r="G2519" t="s">
        <v>19</v>
      </c>
      <c r="H2519" t="s">
        <v>15</v>
      </c>
      <c r="I2519" s="2">
        <v>5</v>
      </c>
      <c r="J2519" s="4">
        <v>16</v>
      </c>
      <c r="K2519" s="3">
        <v>3</v>
      </c>
      <c r="L2519" s="1">
        <f t="shared" si="117"/>
        <v>39.337199999999996</v>
      </c>
      <c r="M2519" t="str" cm="1">
        <f t="array" ref="M2519">_xlfn.IFS(B2519&lt;18,"Under 18",B2519 &lt;=25,"18-25",B2519&lt;=35,"26-35",B2519&lt;=45,"36-45",B2519&lt;=60,"46-60",TRUE,"60+")</f>
        <v>18-25</v>
      </c>
      <c r="N2519" t="str">
        <f t="shared" si="118"/>
        <v>Discounted</v>
      </c>
      <c r="O2519" t="str">
        <f t="shared" si="119"/>
        <v>Returning</v>
      </c>
    </row>
    <row r="2520" spans="1:15" x14ac:dyDescent="0.25">
      <c r="A2520">
        <v>2519</v>
      </c>
      <c r="B2520">
        <v>47</v>
      </c>
      <c r="C2520" t="s">
        <v>16</v>
      </c>
      <c r="D2520" t="s">
        <v>33</v>
      </c>
      <c r="E2520" t="s">
        <v>34</v>
      </c>
      <c r="F2520" s="1">
        <v>43.11</v>
      </c>
      <c r="G2520" t="s">
        <v>19</v>
      </c>
      <c r="H2520" t="s">
        <v>15</v>
      </c>
      <c r="I2520" s="2">
        <v>3.6</v>
      </c>
      <c r="J2520" s="4">
        <v>16</v>
      </c>
      <c r="K2520" s="3">
        <v>8</v>
      </c>
      <c r="L2520" s="1">
        <f t="shared" si="117"/>
        <v>36.212399999999995</v>
      </c>
      <c r="M2520" t="str" cm="1">
        <f t="array" ref="M2520">_xlfn.IFS(B2520&lt;18,"Under 18",B2520 &lt;=25,"18-25",B2520&lt;=35,"26-35",B2520&lt;=45,"36-45",B2520&lt;=60,"46-60",TRUE,"60+")</f>
        <v>46-60</v>
      </c>
      <c r="N2520" t="str">
        <f t="shared" si="118"/>
        <v>Discounted</v>
      </c>
      <c r="O2520" t="str">
        <f t="shared" si="119"/>
        <v>Returning</v>
      </c>
    </row>
    <row r="2521" spans="1:15" x14ac:dyDescent="0.25">
      <c r="A2521">
        <v>2520</v>
      </c>
      <c r="B2521">
        <v>55</v>
      </c>
      <c r="C2521" t="s">
        <v>11</v>
      </c>
      <c r="D2521" t="s">
        <v>29</v>
      </c>
      <c r="E2521" t="s">
        <v>51</v>
      </c>
      <c r="F2521" s="1">
        <v>131.37</v>
      </c>
      <c r="G2521" t="s">
        <v>14</v>
      </c>
      <c r="H2521" t="s">
        <v>15</v>
      </c>
      <c r="I2521" s="2">
        <v>3.4</v>
      </c>
      <c r="J2521" s="4">
        <v>14</v>
      </c>
      <c r="K2521" s="3">
        <v>2</v>
      </c>
      <c r="L2521" s="1">
        <f t="shared" si="117"/>
        <v>112.9782</v>
      </c>
      <c r="M2521" t="str" cm="1">
        <f t="array" ref="M2521">_xlfn.IFS(B2521&lt;18,"Under 18",B2521 &lt;=25,"18-25",B2521&lt;=35,"26-35",B2521&lt;=45,"36-45",B2521&lt;=60,"46-60",TRUE,"60+")</f>
        <v>46-60</v>
      </c>
      <c r="N2521" t="str">
        <f t="shared" si="118"/>
        <v>Discounted</v>
      </c>
      <c r="O2521" t="str">
        <f t="shared" si="119"/>
        <v>Returning</v>
      </c>
    </row>
    <row r="2522" spans="1:15" x14ac:dyDescent="0.25">
      <c r="A2522">
        <v>2521</v>
      </c>
      <c r="B2522">
        <v>35</v>
      </c>
      <c r="C2522" t="s">
        <v>11</v>
      </c>
      <c r="D2522" t="s">
        <v>33</v>
      </c>
      <c r="E2522" t="s">
        <v>34</v>
      </c>
      <c r="F2522" s="1">
        <v>216.78</v>
      </c>
      <c r="G2522" t="s">
        <v>14</v>
      </c>
      <c r="H2522" t="s">
        <v>15</v>
      </c>
      <c r="I2522" s="2">
        <v>3.7</v>
      </c>
      <c r="J2522" s="4">
        <v>10</v>
      </c>
      <c r="K2522" s="3">
        <v>5</v>
      </c>
      <c r="L2522" s="1">
        <f t="shared" si="117"/>
        <v>195.102</v>
      </c>
      <c r="M2522" t="str" cm="1">
        <f t="array" ref="M2522">_xlfn.IFS(B2522&lt;18,"Under 18",B2522 &lt;=25,"18-25",B2522&lt;=35,"26-35",B2522&lt;=45,"36-45",B2522&lt;=60,"46-60",TRUE,"60+")</f>
        <v>26-35</v>
      </c>
      <c r="N2522" t="str">
        <f t="shared" si="118"/>
        <v>Discounted</v>
      </c>
      <c r="O2522" t="str">
        <f t="shared" si="119"/>
        <v>Returning</v>
      </c>
    </row>
    <row r="2523" spans="1:15" x14ac:dyDescent="0.25">
      <c r="A2523">
        <v>2522</v>
      </c>
      <c r="B2523">
        <v>45</v>
      </c>
      <c r="C2523" t="s">
        <v>11</v>
      </c>
      <c r="D2523" t="s">
        <v>25</v>
      </c>
      <c r="E2523" t="s">
        <v>26</v>
      </c>
      <c r="F2523" s="1">
        <v>21.14</v>
      </c>
      <c r="G2523" t="s">
        <v>24</v>
      </c>
      <c r="H2523" t="s">
        <v>15</v>
      </c>
      <c r="I2523" s="2">
        <v>3.7</v>
      </c>
      <c r="J2523" s="4">
        <v>22</v>
      </c>
      <c r="K2523" s="3">
        <v>6</v>
      </c>
      <c r="L2523" s="1">
        <f t="shared" si="117"/>
        <v>16.4892</v>
      </c>
      <c r="M2523" t="str" cm="1">
        <f t="array" ref="M2523">_xlfn.IFS(B2523&lt;18,"Under 18",B2523 &lt;=25,"18-25",B2523&lt;=35,"26-35",B2523&lt;=45,"36-45",B2523&lt;=60,"46-60",TRUE,"60+")</f>
        <v>36-45</v>
      </c>
      <c r="N2523" t="str">
        <f t="shared" si="118"/>
        <v>Discounted</v>
      </c>
      <c r="O2523" t="str">
        <f t="shared" si="119"/>
        <v>Returning</v>
      </c>
    </row>
    <row r="2524" spans="1:15" x14ac:dyDescent="0.25">
      <c r="A2524">
        <v>2523</v>
      </c>
      <c r="B2524">
        <v>69</v>
      </c>
      <c r="C2524" t="s">
        <v>11</v>
      </c>
      <c r="D2524" t="s">
        <v>33</v>
      </c>
      <c r="E2524" t="s">
        <v>34</v>
      </c>
      <c r="F2524" s="1">
        <v>237.37</v>
      </c>
      <c r="G2524" t="s">
        <v>14</v>
      </c>
      <c r="H2524" t="s">
        <v>15</v>
      </c>
      <c r="I2524" s="2">
        <v>3.1</v>
      </c>
      <c r="J2524" s="4">
        <v>16</v>
      </c>
      <c r="K2524" s="3">
        <v>3</v>
      </c>
      <c r="L2524" s="1">
        <f t="shared" si="117"/>
        <v>199.39079999999998</v>
      </c>
      <c r="M2524" t="str" cm="1">
        <f t="array" ref="M2524">_xlfn.IFS(B2524&lt;18,"Under 18",B2524 &lt;=25,"18-25",B2524&lt;=35,"26-35",B2524&lt;=45,"36-45",B2524&lt;=60,"46-60",TRUE,"60+")</f>
        <v>60+</v>
      </c>
      <c r="N2524" t="str">
        <f t="shared" si="118"/>
        <v>Discounted</v>
      </c>
      <c r="O2524" t="str">
        <f t="shared" si="119"/>
        <v>Returning</v>
      </c>
    </row>
    <row r="2525" spans="1:15" x14ac:dyDescent="0.25">
      <c r="A2525">
        <v>2524</v>
      </c>
      <c r="B2525">
        <v>35</v>
      </c>
      <c r="C2525" t="s">
        <v>11</v>
      </c>
      <c r="D2525" t="s">
        <v>33</v>
      </c>
      <c r="E2525" t="s">
        <v>38</v>
      </c>
      <c r="F2525" s="1">
        <v>112.58</v>
      </c>
      <c r="G2525" t="s">
        <v>24</v>
      </c>
      <c r="H2525" t="s">
        <v>15</v>
      </c>
      <c r="I2525" s="2">
        <v>4</v>
      </c>
      <c r="J2525" s="4">
        <v>8</v>
      </c>
      <c r="K2525" s="3">
        <v>4</v>
      </c>
      <c r="L2525" s="1">
        <f t="shared" si="117"/>
        <v>103.5736</v>
      </c>
      <c r="M2525" t="str" cm="1">
        <f t="array" ref="M2525">_xlfn.IFS(B2525&lt;18,"Under 18",B2525 &lt;=25,"18-25",B2525&lt;=35,"26-35",B2525&lt;=45,"36-45",B2525&lt;=60,"46-60",TRUE,"60+")</f>
        <v>26-35</v>
      </c>
      <c r="N2525" t="str">
        <f t="shared" si="118"/>
        <v>Discounted</v>
      </c>
      <c r="O2525" t="str">
        <f t="shared" si="119"/>
        <v>Returning</v>
      </c>
    </row>
    <row r="2526" spans="1:15" x14ac:dyDescent="0.25">
      <c r="A2526">
        <v>2525</v>
      </c>
      <c r="B2526">
        <v>47</v>
      </c>
      <c r="C2526" t="s">
        <v>16</v>
      </c>
      <c r="D2526" t="s">
        <v>25</v>
      </c>
      <c r="E2526" t="s">
        <v>47</v>
      </c>
      <c r="F2526" s="1">
        <v>38.119999999999997</v>
      </c>
      <c r="G2526" t="s">
        <v>14</v>
      </c>
      <c r="H2526" t="s">
        <v>37</v>
      </c>
      <c r="I2526" s="2">
        <v>3.7</v>
      </c>
      <c r="J2526" s="4">
        <v>8</v>
      </c>
      <c r="K2526" s="3">
        <v>4</v>
      </c>
      <c r="L2526" s="1">
        <f t="shared" si="117"/>
        <v>35.070399999999999</v>
      </c>
      <c r="M2526" t="str" cm="1">
        <f t="array" ref="M2526">_xlfn.IFS(B2526&lt;18,"Under 18",B2526 &lt;=25,"18-25",B2526&lt;=35,"26-35",B2526&lt;=45,"36-45",B2526&lt;=60,"46-60",TRUE,"60+")</f>
        <v>46-60</v>
      </c>
      <c r="N2526" t="str">
        <f t="shared" si="118"/>
        <v>Discounted</v>
      </c>
      <c r="O2526" t="str">
        <f t="shared" si="119"/>
        <v>Returning</v>
      </c>
    </row>
    <row r="2527" spans="1:15" x14ac:dyDescent="0.25">
      <c r="A2527">
        <v>2526</v>
      </c>
      <c r="B2527">
        <v>40</v>
      </c>
      <c r="C2527" t="s">
        <v>11</v>
      </c>
      <c r="D2527" t="s">
        <v>29</v>
      </c>
      <c r="E2527" t="s">
        <v>30</v>
      </c>
      <c r="F2527" s="1">
        <v>79.73</v>
      </c>
      <c r="G2527" t="s">
        <v>14</v>
      </c>
      <c r="H2527" t="s">
        <v>15</v>
      </c>
      <c r="I2527" s="2">
        <v>3.5</v>
      </c>
      <c r="J2527" s="4">
        <v>12</v>
      </c>
      <c r="K2527" s="3">
        <v>1</v>
      </c>
      <c r="L2527" s="1">
        <f t="shared" si="117"/>
        <v>70.162400000000005</v>
      </c>
      <c r="M2527" t="str" cm="1">
        <f t="array" ref="M2527">_xlfn.IFS(B2527&lt;18,"Under 18",B2527 &lt;=25,"18-25",B2527&lt;=35,"26-35",B2527&lt;=45,"36-45",B2527&lt;=60,"46-60",TRUE,"60+")</f>
        <v>36-45</v>
      </c>
      <c r="N2527" t="str">
        <f t="shared" si="118"/>
        <v>Discounted</v>
      </c>
      <c r="O2527" t="str">
        <f t="shared" si="119"/>
        <v>Returning</v>
      </c>
    </row>
    <row r="2528" spans="1:15" x14ac:dyDescent="0.25">
      <c r="A2528">
        <v>2527</v>
      </c>
      <c r="B2528">
        <v>40</v>
      </c>
      <c r="C2528" t="s">
        <v>11</v>
      </c>
      <c r="D2528" t="s">
        <v>25</v>
      </c>
      <c r="E2528" t="s">
        <v>26</v>
      </c>
      <c r="F2528" s="1">
        <v>23.39</v>
      </c>
      <c r="G2528" t="s">
        <v>24</v>
      </c>
      <c r="H2528" t="s">
        <v>37</v>
      </c>
      <c r="I2528" s="2">
        <v>3.7</v>
      </c>
      <c r="J2528" s="4">
        <v>18</v>
      </c>
      <c r="K2528" s="3">
        <v>4</v>
      </c>
      <c r="L2528" s="1">
        <f t="shared" si="117"/>
        <v>19.1798</v>
      </c>
      <c r="M2528" t="str" cm="1">
        <f t="array" ref="M2528">_xlfn.IFS(B2528&lt;18,"Under 18",B2528 &lt;=25,"18-25",B2528&lt;=35,"26-35",B2528&lt;=45,"36-45",B2528&lt;=60,"46-60",TRUE,"60+")</f>
        <v>36-45</v>
      </c>
      <c r="N2528" t="str">
        <f t="shared" si="118"/>
        <v>Discounted</v>
      </c>
      <c r="O2528" t="str">
        <f t="shared" si="119"/>
        <v>Returning</v>
      </c>
    </row>
    <row r="2529" spans="1:15" x14ac:dyDescent="0.25">
      <c r="A2529">
        <v>2528</v>
      </c>
      <c r="B2529">
        <v>49</v>
      </c>
      <c r="C2529" t="s">
        <v>11</v>
      </c>
      <c r="D2529" t="s">
        <v>20</v>
      </c>
      <c r="E2529" t="s">
        <v>21</v>
      </c>
      <c r="F2529" s="1">
        <v>155.91999999999999</v>
      </c>
      <c r="G2529" t="s">
        <v>31</v>
      </c>
      <c r="H2529" t="s">
        <v>15</v>
      </c>
      <c r="I2529" s="2">
        <v>4.0999999999999996</v>
      </c>
      <c r="J2529" s="4">
        <v>8</v>
      </c>
      <c r="K2529" s="3">
        <v>4</v>
      </c>
      <c r="L2529" s="1">
        <f t="shared" si="117"/>
        <v>143.44639999999998</v>
      </c>
      <c r="M2529" t="str" cm="1">
        <f t="array" ref="M2529">_xlfn.IFS(B2529&lt;18,"Under 18",B2529 &lt;=25,"18-25",B2529&lt;=35,"26-35",B2529&lt;=45,"36-45",B2529&lt;=60,"46-60",TRUE,"60+")</f>
        <v>46-60</v>
      </c>
      <c r="N2529" t="str">
        <f t="shared" si="118"/>
        <v>Discounted</v>
      </c>
      <c r="O2529" t="str">
        <f t="shared" si="119"/>
        <v>Returning</v>
      </c>
    </row>
    <row r="2530" spans="1:15" x14ac:dyDescent="0.25">
      <c r="A2530">
        <v>2529</v>
      </c>
      <c r="B2530">
        <v>25</v>
      </c>
      <c r="C2530" t="s">
        <v>16</v>
      </c>
      <c r="D2530" t="s">
        <v>27</v>
      </c>
      <c r="E2530" t="s">
        <v>53</v>
      </c>
      <c r="F2530" s="1">
        <v>1144.23</v>
      </c>
      <c r="G2530" t="s">
        <v>31</v>
      </c>
      <c r="H2530" t="s">
        <v>15</v>
      </c>
      <c r="I2530" s="2">
        <v>3.4</v>
      </c>
      <c r="J2530" s="4">
        <v>2</v>
      </c>
      <c r="K2530" s="3">
        <v>1</v>
      </c>
      <c r="L2530" s="1">
        <f t="shared" si="117"/>
        <v>1121.3453999999999</v>
      </c>
      <c r="M2530" t="str" cm="1">
        <f t="array" ref="M2530">_xlfn.IFS(B2530&lt;18,"Under 18",B2530 &lt;=25,"18-25",B2530&lt;=35,"26-35",B2530&lt;=45,"36-45",B2530&lt;=60,"46-60",TRUE,"60+")</f>
        <v>18-25</v>
      </c>
      <c r="N2530" t="str">
        <f t="shared" si="118"/>
        <v>Discounted</v>
      </c>
      <c r="O2530" t="str">
        <f t="shared" si="119"/>
        <v>Returning</v>
      </c>
    </row>
    <row r="2531" spans="1:15" x14ac:dyDescent="0.25">
      <c r="A2531">
        <v>2530</v>
      </c>
      <c r="B2531">
        <v>35</v>
      </c>
      <c r="C2531" t="s">
        <v>16</v>
      </c>
      <c r="D2531" t="s">
        <v>17</v>
      </c>
      <c r="E2531" t="s">
        <v>35</v>
      </c>
      <c r="F2531" s="1">
        <v>180.47</v>
      </c>
      <c r="G2531" t="s">
        <v>24</v>
      </c>
      <c r="H2531" t="s">
        <v>15</v>
      </c>
      <c r="I2531" s="2">
        <v>4</v>
      </c>
      <c r="J2531" s="4">
        <v>12</v>
      </c>
      <c r="K2531" s="3">
        <v>6</v>
      </c>
      <c r="L2531" s="1">
        <f t="shared" si="117"/>
        <v>158.81360000000001</v>
      </c>
      <c r="M2531" t="str" cm="1">
        <f t="array" ref="M2531">_xlfn.IFS(B2531&lt;18,"Under 18",B2531 &lt;=25,"18-25",B2531&lt;=35,"26-35",B2531&lt;=45,"36-45",B2531&lt;=60,"46-60",TRUE,"60+")</f>
        <v>26-35</v>
      </c>
      <c r="N2531" t="str">
        <f t="shared" si="118"/>
        <v>Discounted</v>
      </c>
      <c r="O2531" t="str">
        <f t="shared" si="119"/>
        <v>Returning</v>
      </c>
    </row>
    <row r="2532" spans="1:15" x14ac:dyDescent="0.25">
      <c r="A2532">
        <v>2531</v>
      </c>
      <c r="B2532">
        <v>67</v>
      </c>
      <c r="C2532" t="s">
        <v>11</v>
      </c>
      <c r="D2532" t="s">
        <v>22</v>
      </c>
      <c r="E2532" t="s">
        <v>43</v>
      </c>
      <c r="F2532" s="1">
        <v>127.66</v>
      </c>
      <c r="G2532" t="s">
        <v>31</v>
      </c>
      <c r="H2532" t="s">
        <v>15</v>
      </c>
      <c r="I2532" s="2">
        <v>4.3</v>
      </c>
      <c r="J2532" s="4">
        <v>15</v>
      </c>
      <c r="K2532" s="3">
        <v>5</v>
      </c>
      <c r="L2532" s="1">
        <f t="shared" si="117"/>
        <v>108.511</v>
      </c>
      <c r="M2532" t="str" cm="1">
        <f t="array" ref="M2532">_xlfn.IFS(B2532&lt;18,"Under 18",B2532 &lt;=25,"18-25",B2532&lt;=35,"26-35",B2532&lt;=45,"36-45",B2532&lt;=60,"46-60",TRUE,"60+")</f>
        <v>60+</v>
      </c>
      <c r="N2532" t="str">
        <f t="shared" si="118"/>
        <v>Discounted</v>
      </c>
      <c r="O2532" t="str">
        <f t="shared" si="119"/>
        <v>Returning</v>
      </c>
    </row>
    <row r="2533" spans="1:15" x14ac:dyDescent="0.25">
      <c r="A2533">
        <v>2532</v>
      </c>
      <c r="B2533">
        <v>58</v>
      </c>
      <c r="C2533" t="s">
        <v>11</v>
      </c>
      <c r="D2533" t="s">
        <v>25</v>
      </c>
      <c r="E2533" t="s">
        <v>54</v>
      </c>
      <c r="F2533" s="1">
        <v>24.67</v>
      </c>
      <c r="G2533" t="s">
        <v>19</v>
      </c>
      <c r="H2533" t="s">
        <v>15</v>
      </c>
      <c r="I2533" s="2">
        <v>5</v>
      </c>
      <c r="J2533" s="4">
        <v>8</v>
      </c>
      <c r="K2533" s="3">
        <v>4</v>
      </c>
      <c r="L2533" s="1">
        <f t="shared" si="117"/>
        <v>22.696400000000004</v>
      </c>
      <c r="M2533" t="str" cm="1">
        <f t="array" ref="M2533">_xlfn.IFS(B2533&lt;18,"Under 18",B2533 &lt;=25,"18-25",B2533&lt;=35,"26-35",B2533&lt;=45,"36-45",B2533&lt;=60,"46-60",TRUE,"60+")</f>
        <v>46-60</v>
      </c>
      <c r="N2533" t="str">
        <f t="shared" si="118"/>
        <v>Discounted</v>
      </c>
      <c r="O2533" t="str">
        <f t="shared" si="119"/>
        <v>Returning</v>
      </c>
    </row>
    <row r="2534" spans="1:15" x14ac:dyDescent="0.25">
      <c r="A2534">
        <v>2533</v>
      </c>
      <c r="B2534">
        <v>57</v>
      </c>
      <c r="C2534" t="s">
        <v>16</v>
      </c>
      <c r="D2534" t="s">
        <v>22</v>
      </c>
      <c r="E2534" t="s">
        <v>23</v>
      </c>
      <c r="F2534" s="1">
        <v>146.46</v>
      </c>
      <c r="G2534" t="s">
        <v>19</v>
      </c>
      <c r="H2534" t="s">
        <v>15</v>
      </c>
      <c r="I2534" s="2">
        <v>4.4000000000000004</v>
      </c>
      <c r="J2534" s="4">
        <v>6</v>
      </c>
      <c r="K2534" s="3">
        <v>3</v>
      </c>
      <c r="L2534" s="1">
        <f t="shared" si="117"/>
        <v>137.67240000000001</v>
      </c>
      <c r="M2534" t="str" cm="1">
        <f t="array" ref="M2534">_xlfn.IFS(B2534&lt;18,"Under 18",B2534 &lt;=25,"18-25",B2534&lt;=35,"26-35",B2534&lt;=45,"36-45",B2534&lt;=60,"46-60",TRUE,"60+")</f>
        <v>46-60</v>
      </c>
      <c r="N2534" t="str">
        <f t="shared" si="118"/>
        <v>Discounted</v>
      </c>
      <c r="O2534" t="str">
        <f t="shared" si="119"/>
        <v>Returning</v>
      </c>
    </row>
    <row r="2535" spans="1:15" x14ac:dyDescent="0.25">
      <c r="A2535">
        <v>2534</v>
      </c>
      <c r="B2535">
        <v>44</v>
      </c>
      <c r="C2535" t="s">
        <v>11</v>
      </c>
      <c r="D2535" t="s">
        <v>41</v>
      </c>
      <c r="E2535" t="s">
        <v>44</v>
      </c>
      <c r="F2535" s="1">
        <v>88.66</v>
      </c>
      <c r="G2535" t="s">
        <v>19</v>
      </c>
      <c r="H2535" t="s">
        <v>37</v>
      </c>
      <c r="I2535" s="2">
        <v>3.1</v>
      </c>
      <c r="J2535" s="4">
        <v>15</v>
      </c>
      <c r="K2535" s="3">
        <v>5</v>
      </c>
      <c r="L2535" s="1">
        <f t="shared" si="117"/>
        <v>75.36099999999999</v>
      </c>
      <c r="M2535" t="str" cm="1">
        <f t="array" ref="M2535">_xlfn.IFS(B2535&lt;18,"Under 18",B2535 &lt;=25,"18-25",B2535&lt;=35,"26-35",B2535&lt;=45,"36-45",B2535&lt;=60,"46-60",TRUE,"60+")</f>
        <v>36-45</v>
      </c>
      <c r="N2535" t="str">
        <f t="shared" si="118"/>
        <v>Discounted</v>
      </c>
      <c r="O2535" t="str">
        <f t="shared" si="119"/>
        <v>Returning</v>
      </c>
    </row>
    <row r="2536" spans="1:15" x14ac:dyDescent="0.25">
      <c r="A2536">
        <v>2535</v>
      </c>
      <c r="B2536">
        <v>22</v>
      </c>
      <c r="C2536" t="s">
        <v>16</v>
      </c>
      <c r="D2536" t="s">
        <v>20</v>
      </c>
      <c r="E2536" t="s">
        <v>39</v>
      </c>
      <c r="F2536" s="1">
        <v>174.54</v>
      </c>
      <c r="G2536" t="s">
        <v>24</v>
      </c>
      <c r="H2536" t="s">
        <v>15</v>
      </c>
      <c r="I2536" s="2">
        <v>3.3</v>
      </c>
      <c r="J2536" s="4">
        <v>18</v>
      </c>
      <c r="K2536" s="3">
        <v>9</v>
      </c>
      <c r="L2536" s="1">
        <f t="shared" si="117"/>
        <v>143.12280000000001</v>
      </c>
      <c r="M2536" t="str" cm="1">
        <f t="array" ref="M2536">_xlfn.IFS(B2536&lt;18,"Under 18",B2536 &lt;=25,"18-25",B2536&lt;=35,"26-35",B2536&lt;=45,"36-45",B2536&lt;=60,"46-60",TRUE,"60+")</f>
        <v>18-25</v>
      </c>
      <c r="N2536" t="str">
        <f t="shared" si="118"/>
        <v>Discounted</v>
      </c>
      <c r="O2536" t="str">
        <f t="shared" si="119"/>
        <v>Returning</v>
      </c>
    </row>
    <row r="2537" spans="1:15" x14ac:dyDescent="0.25">
      <c r="A2537">
        <v>2536</v>
      </c>
      <c r="B2537">
        <v>26</v>
      </c>
      <c r="C2537" t="s">
        <v>16</v>
      </c>
      <c r="D2537" t="s">
        <v>27</v>
      </c>
      <c r="E2537" t="s">
        <v>49</v>
      </c>
      <c r="F2537" s="1">
        <v>689.29</v>
      </c>
      <c r="G2537" t="s">
        <v>14</v>
      </c>
      <c r="H2537" t="s">
        <v>15</v>
      </c>
      <c r="I2537" s="2">
        <v>3.7</v>
      </c>
      <c r="J2537" s="4">
        <v>4</v>
      </c>
      <c r="K2537" s="3">
        <v>2</v>
      </c>
      <c r="L2537" s="1">
        <f t="shared" si="117"/>
        <v>661.71839999999997</v>
      </c>
      <c r="M2537" t="str" cm="1">
        <f t="array" ref="M2537">_xlfn.IFS(B2537&lt;18,"Under 18",B2537 &lt;=25,"18-25",B2537&lt;=35,"26-35",B2537&lt;=45,"36-45",B2537&lt;=60,"46-60",TRUE,"60+")</f>
        <v>26-35</v>
      </c>
      <c r="N2537" t="str">
        <f t="shared" si="118"/>
        <v>Discounted</v>
      </c>
      <c r="O2537" t="str">
        <f t="shared" si="119"/>
        <v>Returning</v>
      </c>
    </row>
    <row r="2538" spans="1:15" x14ac:dyDescent="0.25">
      <c r="A2538">
        <v>2537</v>
      </c>
      <c r="B2538">
        <v>48</v>
      </c>
      <c r="C2538" t="s">
        <v>11</v>
      </c>
      <c r="D2538" t="s">
        <v>41</v>
      </c>
      <c r="E2538" t="s">
        <v>45</v>
      </c>
      <c r="F2538" s="1">
        <v>102.81</v>
      </c>
      <c r="G2538" t="s">
        <v>31</v>
      </c>
      <c r="H2538" t="s">
        <v>15</v>
      </c>
      <c r="I2538" s="2">
        <v>2.8</v>
      </c>
      <c r="J2538" s="4">
        <v>13</v>
      </c>
      <c r="K2538" s="3">
        <v>4</v>
      </c>
      <c r="L2538" s="1">
        <f t="shared" si="117"/>
        <v>89.444699999999997</v>
      </c>
      <c r="M2538" t="str" cm="1">
        <f t="array" ref="M2538">_xlfn.IFS(B2538&lt;18,"Under 18",B2538 &lt;=25,"18-25",B2538&lt;=35,"26-35",B2538&lt;=45,"36-45",B2538&lt;=60,"46-60",TRUE,"60+")</f>
        <v>46-60</v>
      </c>
      <c r="N2538" t="str">
        <f t="shared" si="118"/>
        <v>Discounted</v>
      </c>
      <c r="O2538" t="str">
        <f t="shared" si="119"/>
        <v>Returning</v>
      </c>
    </row>
    <row r="2539" spans="1:15" x14ac:dyDescent="0.25">
      <c r="A2539">
        <v>2538</v>
      </c>
      <c r="B2539">
        <v>53</v>
      </c>
      <c r="C2539" t="s">
        <v>11</v>
      </c>
      <c r="D2539" t="s">
        <v>41</v>
      </c>
      <c r="E2539" t="s">
        <v>44</v>
      </c>
      <c r="F2539" s="1">
        <v>98.94</v>
      </c>
      <c r="G2539" t="s">
        <v>14</v>
      </c>
      <c r="H2539" t="s">
        <v>15</v>
      </c>
      <c r="I2539" s="2">
        <v>4.8</v>
      </c>
      <c r="J2539" s="4">
        <v>15</v>
      </c>
      <c r="K2539" s="3">
        <v>5</v>
      </c>
      <c r="L2539" s="1">
        <f t="shared" si="117"/>
        <v>84.09899999999999</v>
      </c>
      <c r="M2539" t="str" cm="1">
        <f t="array" ref="M2539">_xlfn.IFS(B2539&lt;18,"Under 18",B2539 &lt;=25,"18-25",B2539&lt;=35,"26-35",B2539&lt;=45,"36-45",B2539&lt;=60,"46-60",TRUE,"60+")</f>
        <v>46-60</v>
      </c>
      <c r="N2539" t="str">
        <f t="shared" si="118"/>
        <v>Discounted</v>
      </c>
      <c r="O2539" t="str">
        <f t="shared" si="119"/>
        <v>Returning</v>
      </c>
    </row>
    <row r="2540" spans="1:15" x14ac:dyDescent="0.25">
      <c r="A2540">
        <v>2539</v>
      </c>
      <c r="B2540">
        <v>63</v>
      </c>
      <c r="C2540" t="s">
        <v>16</v>
      </c>
      <c r="D2540" t="s">
        <v>17</v>
      </c>
      <c r="E2540" t="s">
        <v>35</v>
      </c>
      <c r="F2540" s="1">
        <v>111.55</v>
      </c>
      <c r="G2540" t="s">
        <v>24</v>
      </c>
      <c r="H2540" t="s">
        <v>15</v>
      </c>
      <c r="I2540" s="2">
        <v>3.4</v>
      </c>
      <c r="J2540" s="4">
        <v>12</v>
      </c>
      <c r="K2540" s="3">
        <v>6</v>
      </c>
      <c r="L2540" s="1">
        <f t="shared" si="117"/>
        <v>98.164000000000001</v>
      </c>
      <c r="M2540" t="str" cm="1">
        <f t="array" ref="M2540">_xlfn.IFS(B2540&lt;18,"Under 18",B2540 &lt;=25,"18-25",B2540&lt;=35,"26-35",B2540&lt;=45,"36-45",B2540&lt;=60,"46-60",TRUE,"60+")</f>
        <v>60+</v>
      </c>
      <c r="N2540" t="str">
        <f t="shared" si="118"/>
        <v>Discounted</v>
      </c>
      <c r="O2540" t="str">
        <f t="shared" si="119"/>
        <v>Returning</v>
      </c>
    </row>
    <row r="2541" spans="1:15" x14ac:dyDescent="0.25">
      <c r="A2541">
        <v>2540</v>
      </c>
      <c r="B2541">
        <v>56</v>
      </c>
      <c r="C2541" t="s">
        <v>11</v>
      </c>
      <c r="D2541" t="s">
        <v>33</v>
      </c>
      <c r="E2541" t="s">
        <v>34</v>
      </c>
      <c r="F2541" s="1">
        <v>97.22</v>
      </c>
      <c r="G2541" t="s">
        <v>14</v>
      </c>
      <c r="H2541" t="s">
        <v>15</v>
      </c>
      <c r="I2541" s="2">
        <v>2.8</v>
      </c>
      <c r="J2541" s="4">
        <v>4</v>
      </c>
      <c r="K2541" s="3">
        <v>2</v>
      </c>
      <c r="L2541" s="1">
        <f t="shared" si="117"/>
        <v>93.331199999999995</v>
      </c>
      <c r="M2541" t="str" cm="1">
        <f t="array" ref="M2541">_xlfn.IFS(B2541&lt;18,"Under 18",B2541 &lt;=25,"18-25",B2541&lt;=35,"26-35",B2541&lt;=45,"36-45",B2541&lt;=60,"46-60",TRUE,"60+")</f>
        <v>46-60</v>
      </c>
      <c r="N2541" t="str">
        <f t="shared" si="118"/>
        <v>Discounted</v>
      </c>
      <c r="O2541" t="str">
        <f t="shared" si="119"/>
        <v>Returning</v>
      </c>
    </row>
    <row r="2542" spans="1:15" x14ac:dyDescent="0.25">
      <c r="A2542">
        <v>2541</v>
      </c>
      <c r="B2542">
        <v>61</v>
      </c>
      <c r="C2542" t="s">
        <v>11</v>
      </c>
      <c r="D2542" t="s">
        <v>20</v>
      </c>
      <c r="E2542" t="s">
        <v>36</v>
      </c>
      <c r="F2542" s="1">
        <v>25.02</v>
      </c>
      <c r="G2542" t="s">
        <v>19</v>
      </c>
      <c r="H2542" t="s">
        <v>37</v>
      </c>
      <c r="I2542" s="2">
        <v>4.2</v>
      </c>
      <c r="J2542" s="4">
        <v>16</v>
      </c>
      <c r="K2542" s="3">
        <v>3</v>
      </c>
      <c r="L2542" s="1">
        <f t="shared" si="117"/>
        <v>21.0168</v>
      </c>
      <c r="M2542" t="str" cm="1">
        <f t="array" ref="M2542">_xlfn.IFS(B2542&lt;18,"Under 18",B2542 &lt;=25,"18-25",B2542&lt;=35,"26-35",B2542&lt;=45,"36-45",B2542&lt;=60,"46-60",TRUE,"60+")</f>
        <v>60+</v>
      </c>
      <c r="N2542" t="str">
        <f t="shared" si="118"/>
        <v>Discounted</v>
      </c>
      <c r="O2542" t="str">
        <f t="shared" si="119"/>
        <v>Returning</v>
      </c>
    </row>
    <row r="2543" spans="1:15" x14ac:dyDescent="0.25">
      <c r="A2543">
        <v>2542</v>
      </c>
      <c r="B2543">
        <v>36</v>
      </c>
      <c r="C2543" t="s">
        <v>11</v>
      </c>
      <c r="D2543" t="s">
        <v>33</v>
      </c>
      <c r="E2543" t="s">
        <v>40</v>
      </c>
      <c r="F2543" s="1">
        <v>96.04</v>
      </c>
      <c r="G2543" t="s">
        <v>14</v>
      </c>
      <c r="H2543" t="s">
        <v>37</v>
      </c>
      <c r="I2543" s="2">
        <v>2.8</v>
      </c>
      <c r="J2543" s="4">
        <v>20</v>
      </c>
      <c r="K2543" s="3">
        <v>5</v>
      </c>
      <c r="L2543" s="1">
        <f t="shared" si="117"/>
        <v>76.832000000000008</v>
      </c>
      <c r="M2543" t="str" cm="1">
        <f t="array" ref="M2543">_xlfn.IFS(B2543&lt;18,"Under 18",B2543 &lt;=25,"18-25",B2543&lt;=35,"26-35",B2543&lt;=45,"36-45",B2543&lt;=60,"46-60",TRUE,"60+")</f>
        <v>36-45</v>
      </c>
      <c r="N2543" t="str">
        <f t="shared" si="118"/>
        <v>Discounted</v>
      </c>
      <c r="O2543" t="str">
        <f t="shared" si="119"/>
        <v>Returning</v>
      </c>
    </row>
    <row r="2544" spans="1:15" x14ac:dyDescent="0.25">
      <c r="A2544">
        <v>2543</v>
      </c>
      <c r="B2544">
        <v>25</v>
      </c>
      <c r="C2544" t="s">
        <v>16</v>
      </c>
      <c r="D2544" t="s">
        <v>33</v>
      </c>
      <c r="E2544" t="s">
        <v>38</v>
      </c>
      <c r="F2544" s="1">
        <v>77.540000000000006</v>
      </c>
      <c r="G2544" t="s">
        <v>31</v>
      </c>
      <c r="H2544" t="s">
        <v>15</v>
      </c>
      <c r="I2544" s="2">
        <v>4</v>
      </c>
      <c r="J2544" s="4">
        <v>15</v>
      </c>
      <c r="K2544" s="3">
        <v>5</v>
      </c>
      <c r="L2544" s="1">
        <f t="shared" si="117"/>
        <v>65.909000000000006</v>
      </c>
      <c r="M2544" t="str" cm="1">
        <f t="array" ref="M2544">_xlfn.IFS(B2544&lt;18,"Under 18",B2544 &lt;=25,"18-25",B2544&lt;=35,"26-35",B2544&lt;=45,"36-45",B2544&lt;=60,"46-60",TRUE,"60+")</f>
        <v>18-25</v>
      </c>
      <c r="N2544" t="str">
        <f t="shared" si="118"/>
        <v>Discounted</v>
      </c>
      <c r="O2544" t="str">
        <f t="shared" si="119"/>
        <v>Returning</v>
      </c>
    </row>
    <row r="2545" spans="1:15" x14ac:dyDescent="0.25">
      <c r="A2545">
        <v>2544</v>
      </c>
      <c r="B2545">
        <v>23</v>
      </c>
      <c r="C2545" t="s">
        <v>11</v>
      </c>
      <c r="D2545" t="s">
        <v>33</v>
      </c>
      <c r="E2545" t="s">
        <v>38</v>
      </c>
      <c r="F2545" s="1">
        <v>128.30000000000001</v>
      </c>
      <c r="G2545" t="s">
        <v>14</v>
      </c>
      <c r="H2545" t="s">
        <v>15</v>
      </c>
      <c r="I2545" s="2">
        <v>2.7</v>
      </c>
      <c r="J2545" s="4">
        <v>10</v>
      </c>
      <c r="K2545" s="3">
        <v>5</v>
      </c>
      <c r="L2545" s="1">
        <f t="shared" si="117"/>
        <v>115.47000000000001</v>
      </c>
      <c r="M2545" t="str" cm="1">
        <f t="array" ref="M2545">_xlfn.IFS(B2545&lt;18,"Under 18",B2545 &lt;=25,"18-25",B2545&lt;=35,"26-35",B2545&lt;=45,"36-45",B2545&lt;=60,"46-60",TRUE,"60+")</f>
        <v>18-25</v>
      </c>
      <c r="N2545" t="str">
        <f t="shared" si="118"/>
        <v>Discounted</v>
      </c>
      <c r="O2545" t="str">
        <f t="shared" si="119"/>
        <v>Returning</v>
      </c>
    </row>
    <row r="2546" spans="1:15" x14ac:dyDescent="0.25">
      <c r="A2546">
        <v>2545</v>
      </c>
      <c r="B2546">
        <v>64</v>
      </c>
      <c r="C2546" t="s">
        <v>11</v>
      </c>
      <c r="D2546" t="s">
        <v>33</v>
      </c>
      <c r="E2546" t="s">
        <v>40</v>
      </c>
      <c r="F2546" s="1">
        <v>123.62</v>
      </c>
      <c r="G2546" t="s">
        <v>24</v>
      </c>
      <c r="H2546" t="s">
        <v>15</v>
      </c>
      <c r="I2546" s="2">
        <v>4.2</v>
      </c>
      <c r="J2546" s="4">
        <v>10</v>
      </c>
      <c r="K2546" s="3">
        <v>5</v>
      </c>
      <c r="L2546" s="1">
        <f t="shared" si="117"/>
        <v>111.25800000000001</v>
      </c>
      <c r="M2546" t="str" cm="1">
        <f t="array" ref="M2546">_xlfn.IFS(B2546&lt;18,"Under 18",B2546 &lt;=25,"18-25",B2546&lt;=35,"26-35",B2546&lt;=45,"36-45",B2546&lt;=60,"46-60",TRUE,"60+")</f>
        <v>60+</v>
      </c>
      <c r="N2546" t="str">
        <f t="shared" si="118"/>
        <v>Discounted</v>
      </c>
      <c r="O2546" t="str">
        <f t="shared" si="119"/>
        <v>Returning</v>
      </c>
    </row>
    <row r="2547" spans="1:15" x14ac:dyDescent="0.25">
      <c r="A2547">
        <v>2546</v>
      </c>
      <c r="B2547">
        <v>54</v>
      </c>
      <c r="C2547" t="s">
        <v>16</v>
      </c>
      <c r="D2547" t="s">
        <v>20</v>
      </c>
      <c r="E2547" t="s">
        <v>36</v>
      </c>
      <c r="F2547" s="1">
        <v>113.57</v>
      </c>
      <c r="G2547" t="s">
        <v>14</v>
      </c>
      <c r="H2547" t="s">
        <v>15</v>
      </c>
      <c r="I2547" s="2">
        <v>3</v>
      </c>
      <c r="J2547" s="4">
        <v>15</v>
      </c>
      <c r="K2547" s="3">
        <v>5</v>
      </c>
      <c r="L2547" s="1">
        <f t="shared" si="117"/>
        <v>96.534499999999994</v>
      </c>
      <c r="M2547" t="str" cm="1">
        <f t="array" ref="M2547">_xlfn.IFS(B2547&lt;18,"Under 18",B2547 &lt;=25,"18-25",B2547&lt;=35,"26-35",B2547&lt;=45,"36-45",B2547&lt;=60,"46-60",TRUE,"60+")</f>
        <v>46-60</v>
      </c>
      <c r="N2547" t="str">
        <f t="shared" si="118"/>
        <v>Discounted</v>
      </c>
      <c r="O2547" t="str">
        <f t="shared" si="119"/>
        <v>Returning</v>
      </c>
    </row>
    <row r="2548" spans="1:15" x14ac:dyDescent="0.25">
      <c r="A2548">
        <v>2547</v>
      </c>
      <c r="B2548">
        <v>22</v>
      </c>
      <c r="C2548" t="s">
        <v>11</v>
      </c>
      <c r="D2548" t="s">
        <v>12</v>
      </c>
      <c r="E2548" t="s">
        <v>50</v>
      </c>
      <c r="F2548" s="1">
        <v>76.34</v>
      </c>
      <c r="G2548" t="s">
        <v>31</v>
      </c>
      <c r="H2548" t="s">
        <v>37</v>
      </c>
      <c r="I2548" s="2">
        <v>3.9</v>
      </c>
      <c r="J2548" s="4">
        <v>17</v>
      </c>
      <c r="K2548" s="3">
        <v>6</v>
      </c>
      <c r="L2548" s="1">
        <f t="shared" si="117"/>
        <v>63.362200000000001</v>
      </c>
      <c r="M2548" t="str" cm="1">
        <f t="array" ref="M2548">_xlfn.IFS(B2548&lt;18,"Under 18",B2548 &lt;=25,"18-25",B2548&lt;=35,"26-35",B2548&lt;=45,"36-45",B2548&lt;=60,"46-60",TRUE,"60+")</f>
        <v>18-25</v>
      </c>
      <c r="N2548" t="str">
        <f t="shared" si="118"/>
        <v>Discounted</v>
      </c>
      <c r="O2548" t="str">
        <f t="shared" si="119"/>
        <v>Returning</v>
      </c>
    </row>
    <row r="2549" spans="1:15" x14ac:dyDescent="0.25">
      <c r="A2549">
        <v>2548</v>
      </c>
      <c r="B2549">
        <v>61</v>
      </c>
      <c r="C2549" t="s">
        <v>16</v>
      </c>
      <c r="D2549" t="s">
        <v>17</v>
      </c>
      <c r="E2549" t="s">
        <v>35</v>
      </c>
      <c r="F2549" s="1">
        <v>128.18</v>
      </c>
      <c r="G2549" t="s">
        <v>19</v>
      </c>
      <c r="H2549" t="s">
        <v>15</v>
      </c>
      <c r="I2549" s="2">
        <v>3.6</v>
      </c>
      <c r="J2549" s="4">
        <v>16</v>
      </c>
      <c r="K2549" s="3">
        <v>3</v>
      </c>
      <c r="L2549" s="1">
        <f t="shared" si="117"/>
        <v>107.6712</v>
      </c>
      <c r="M2549" t="str" cm="1">
        <f t="array" ref="M2549">_xlfn.IFS(B2549&lt;18,"Under 18",B2549 &lt;=25,"18-25",B2549&lt;=35,"26-35",B2549&lt;=45,"36-45",B2549&lt;=60,"46-60",TRUE,"60+")</f>
        <v>60+</v>
      </c>
      <c r="N2549" t="str">
        <f t="shared" si="118"/>
        <v>Discounted</v>
      </c>
      <c r="O2549" t="str">
        <f t="shared" si="119"/>
        <v>Returning</v>
      </c>
    </row>
    <row r="2550" spans="1:15" x14ac:dyDescent="0.25">
      <c r="A2550">
        <v>2549</v>
      </c>
      <c r="B2550">
        <v>26</v>
      </c>
      <c r="C2550" t="s">
        <v>16</v>
      </c>
      <c r="D2550" t="s">
        <v>20</v>
      </c>
      <c r="E2550" t="s">
        <v>21</v>
      </c>
      <c r="F2550" s="1">
        <v>98.3</v>
      </c>
      <c r="G2550" t="s">
        <v>14</v>
      </c>
      <c r="H2550" t="s">
        <v>15</v>
      </c>
      <c r="I2550" s="2">
        <v>3.9</v>
      </c>
      <c r="J2550" s="4">
        <v>16</v>
      </c>
      <c r="K2550" s="3">
        <v>3</v>
      </c>
      <c r="L2550" s="1">
        <f t="shared" si="117"/>
        <v>82.571999999999989</v>
      </c>
      <c r="M2550" t="str" cm="1">
        <f t="array" ref="M2550">_xlfn.IFS(B2550&lt;18,"Under 18",B2550 &lt;=25,"18-25",B2550&lt;=35,"26-35",B2550&lt;=45,"36-45",B2550&lt;=60,"46-60",TRUE,"60+")</f>
        <v>26-35</v>
      </c>
      <c r="N2550" t="str">
        <f t="shared" si="118"/>
        <v>Discounted</v>
      </c>
      <c r="O2550" t="str">
        <f t="shared" si="119"/>
        <v>Returning</v>
      </c>
    </row>
    <row r="2551" spans="1:15" x14ac:dyDescent="0.25">
      <c r="A2551">
        <v>2550</v>
      </c>
      <c r="B2551">
        <v>42</v>
      </c>
      <c r="C2551" t="s">
        <v>11</v>
      </c>
      <c r="D2551" t="s">
        <v>29</v>
      </c>
      <c r="E2551" t="s">
        <v>55</v>
      </c>
      <c r="F2551" s="1">
        <v>74.72</v>
      </c>
      <c r="G2551" t="s">
        <v>19</v>
      </c>
      <c r="H2551" t="s">
        <v>15</v>
      </c>
      <c r="I2551" s="2">
        <v>4.3</v>
      </c>
      <c r="J2551" s="4">
        <v>25</v>
      </c>
      <c r="K2551" s="3">
        <v>10</v>
      </c>
      <c r="L2551" s="1">
        <f t="shared" si="117"/>
        <v>56.04</v>
      </c>
      <c r="M2551" t="str" cm="1">
        <f t="array" ref="M2551">_xlfn.IFS(B2551&lt;18,"Under 18",B2551 &lt;=25,"18-25",B2551&lt;=35,"26-35",B2551&lt;=45,"36-45",B2551&lt;=60,"46-60",TRUE,"60+")</f>
        <v>36-45</v>
      </c>
      <c r="N2551" t="str">
        <f t="shared" si="118"/>
        <v>Discounted</v>
      </c>
      <c r="O2551" t="str">
        <f t="shared" si="119"/>
        <v>Returning</v>
      </c>
    </row>
    <row r="2552" spans="1:15" x14ac:dyDescent="0.25">
      <c r="A2552">
        <v>2551</v>
      </c>
      <c r="B2552">
        <v>56</v>
      </c>
      <c r="C2552" t="s">
        <v>11</v>
      </c>
      <c r="D2552" t="s">
        <v>41</v>
      </c>
      <c r="E2552" t="s">
        <v>45</v>
      </c>
      <c r="F2552" s="1">
        <v>104.87</v>
      </c>
      <c r="G2552" t="s">
        <v>14</v>
      </c>
      <c r="H2552" t="s">
        <v>15</v>
      </c>
      <c r="I2552" s="2">
        <v>4.4000000000000004</v>
      </c>
      <c r="J2552" s="4">
        <v>22</v>
      </c>
      <c r="K2552" s="3">
        <v>11</v>
      </c>
      <c r="L2552" s="1">
        <f t="shared" si="117"/>
        <v>81.798600000000008</v>
      </c>
      <c r="M2552" t="str" cm="1">
        <f t="array" ref="M2552">_xlfn.IFS(B2552&lt;18,"Under 18",B2552 &lt;=25,"18-25",B2552&lt;=35,"26-35",B2552&lt;=45,"36-45",B2552&lt;=60,"46-60",TRUE,"60+")</f>
        <v>46-60</v>
      </c>
      <c r="N2552" t="str">
        <f t="shared" si="118"/>
        <v>Discounted</v>
      </c>
      <c r="O2552" t="str">
        <f t="shared" si="119"/>
        <v>Returning</v>
      </c>
    </row>
    <row r="2553" spans="1:15" x14ac:dyDescent="0.25">
      <c r="A2553">
        <v>2552</v>
      </c>
      <c r="B2553">
        <v>54</v>
      </c>
      <c r="C2553" t="s">
        <v>11</v>
      </c>
      <c r="D2553" t="s">
        <v>12</v>
      </c>
      <c r="E2553" t="s">
        <v>56</v>
      </c>
      <c r="F2553" s="1">
        <v>54.62</v>
      </c>
      <c r="G2553" t="s">
        <v>31</v>
      </c>
      <c r="H2553" t="s">
        <v>37</v>
      </c>
      <c r="I2553" s="2">
        <v>3.7</v>
      </c>
      <c r="J2553" s="4">
        <v>8</v>
      </c>
      <c r="K2553" s="3">
        <v>4</v>
      </c>
      <c r="L2553" s="1">
        <f t="shared" si="117"/>
        <v>50.250399999999999</v>
      </c>
      <c r="M2553" t="str" cm="1">
        <f t="array" ref="M2553">_xlfn.IFS(B2553&lt;18,"Under 18",B2553 &lt;=25,"18-25",B2553&lt;=35,"26-35",B2553&lt;=45,"36-45",B2553&lt;=60,"46-60",TRUE,"60+")</f>
        <v>46-60</v>
      </c>
      <c r="N2553" t="str">
        <f t="shared" si="118"/>
        <v>Discounted</v>
      </c>
      <c r="O2553" t="str">
        <f t="shared" si="119"/>
        <v>Returning</v>
      </c>
    </row>
    <row r="2554" spans="1:15" x14ac:dyDescent="0.25">
      <c r="A2554">
        <v>2553</v>
      </c>
      <c r="B2554">
        <v>50</v>
      </c>
      <c r="C2554" t="s">
        <v>11</v>
      </c>
      <c r="D2554" t="s">
        <v>12</v>
      </c>
      <c r="E2554" t="s">
        <v>56</v>
      </c>
      <c r="F2554" s="1">
        <v>161.18</v>
      </c>
      <c r="G2554" t="s">
        <v>31</v>
      </c>
      <c r="H2554" t="s">
        <v>15</v>
      </c>
      <c r="I2554" s="2">
        <v>3.9</v>
      </c>
      <c r="J2554" s="4">
        <v>22</v>
      </c>
      <c r="K2554" s="3">
        <v>6</v>
      </c>
      <c r="L2554" s="1">
        <f t="shared" si="117"/>
        <v>125.72040000000001</v>
      </c>
      <c r="M2554" t="str" cm="1">
        <f t="array" ref="M2554">_xlfn.IFS(B2554&lt;18,"Under 18",B2554 &lt;=25,"18-25",B2554&lt;=35,"26-35",B2554&lt;=45,"36-45",B2554&lt;=60,"46-60",TRUE,"60+")</f>
        <v>46-60</v>
      </c>
      <c r="N2554" t="str">
        <f t="shared" si="118"/>
        <v>Discounted</v>
      </c>
      <c r="O2554" t="str">
        <f t="shared" si="119"/>
        <v>Returning</v>
      </c>
    </row>
    <row r="2555" spans="1:15" x14ac:dyDescent="0.25">
      <c r="A2555">
        <v>2554</v>
      </c>
      <c r="B2555">
        <v>52</v>
      </c>
      <c r="C2555" t="s">
        <v>11</v>
      </c>
      <c r="D2555" t="s">
        <v>25</v>
      </c>
      <c r="E2555" t="s">
        <v>54</v>
      </c>
      <c r="F2555" s="1">
        <v>36.75</v>
      </c>
      <c r="G2555" t="s">
        <v>14</v>
      </c>
      <c r="H2555" t="s">
        <v>15</v>
      </c>
      <c r="I2555" s="2">
        <v>4</v>
      </c>
      <c r="J2555" s="4">
        <v>8</v>
      </c>
      <c r="K2555" s="3">
        <v>4</v>
      </c>
      <c r="L2555" s="1">
        <f t="shared" si="117"/>
        <v>33.81</v>
      </c>
      <c r="M2555" t="str" cm="1">
        <f t="array" ref="M2555">_xlfn.IFS(B2555&lt;18,"Under 18",B2555 &lt;=25,"18-25",B2555&lt;=35,"26-35",B2555&lt;=45,"36-45",B2555&lt;=60,"46-60",TRUE,"60+")</f>
        <v>46-60</v>
      </c>
      <c r="N2555" t="str">
        <f t="shared" si="118"/>
        <v>Discounted</v>
      </c>
      <c r="O2555" t="str">
        <f t="shared" si="119"/>
        <v>Returning</v>
      </c>
    </row>
    <row r="2556" spans="1:15" x14ac:dyDescent="0.25">
      <c r="A2556">
        <v>2555</v>
      </c>
      <c r="B2556">
        <v>41</v>
      </c>
      <c r="C2556" t="s">
        <v>11</v>
      </c>
      <c r="D2556" t="s">
        <v>12</v>
      </c>
      <c r="E2556" t="s">
        <v>50</v>
      </c>
      <c r="F2556" s="1">
        <v>101.23</v>
      </c>
      <c r="G2556" t="s">
        <v>19</v>
      </c>
      <c r="H2556" t="s">
        <v>15</v>
      </c>
      <c r="I2556" s="2">
        <v>2.8</v>
      </c>
      <c r="J2556" s="4">
        <v>15</v>
      </c>
      <c r="K2556" s="3">
        <v>5</v>
      </c>
      <c r="L2556" s="1">
        <f t="shared" si="117"/>
        <v>86.045500000000004</v>
      </c>
      <c r="M2556" t="str" cm="1">
        <f t="array" ref="M2556">_xlfn.IFS(B2556&lt;18,"Under 18",B2556 &lt;=25,"18-25",B2556&lt;=35,"26-35",B2556&lt;=45,"36-45",B2556&lt;=60,"46-60",TRUE,"60+")</f>
        <v>36-45</v>
      </c>
      <c r="N2556" t="str">
        <f t="shared" si="118"/>
        <v>Discounted</v>
      </c>
      <c r="O2556" t="str">
        <f t="shared" si="119"/>
        <v>Returning</v>
      </c>
    </row>
    <row r="2557" spans="1:15" x14ac:dyDescent="0.25">
      <c r="A2557">
        <v>2556</v>
      </c>
      <c r="B2557">
        <v>63</v>
      </c>
      <c r="C2557" t="s">
        <v>11</v>
      </c>
      <c r="D2557" t="s">
        <v>25</v>
      </c>
      <c r="E2557" t="s">
        <v>57</v>
      </c>
      <c r="F2557" s="1">
        <v>69.8</v>
      </c>
      <c r="G2557" t="s">
        <v>14</v>
      </c>
      <c r="H2557" t="s">
        <v>37</v>
      </c>
      <c r="I2557" s="2">
        <v>5</v>
      </c>
      <c r="J2557" s="4">
        <v>10</v>
      </c>
      <c r="K2557" s="3">
        <v>5</v>
      </c>
      <c r="L2557" s="1">
        <f t="shared" si="117"/>
        <v>62.82</v>
      </c>
      <c r="M2557" t="str" cm="1">
        <f t="array" ref="M2557">_xlfn.IFS(B2557&lt;18,"Under 18",B2557 &lt;=25,"18-25",B2557&lt;=35,"26-35",B2557&lt;=45,"36-45",B2557&lt;=60,"46-60",TRUE,"60+")</f>
        <v>60+</v>
      </c>
      <c r="N2557" t="str">
        <f t="shared" si="118"/>
        <v>Discounted</v>
      </c>
      <c r="O2557" t="str">
        <f t="shared" si="119"/>
        <v>Returning</v>
      </c>
    </row>
    <row r="2558" spans="1:15" x14ac:dyDescent="0.25">
      <c r="A2558">
        <v>2557</v>
      </c>
      <c r="B2558">
        <v>57</v>
      </c>
      <c r="C2558" t="s">
        <v>11</v>
      </c>
      <c r="D2558" t="s">
        <v>25</v>
      </c>
      <c r="E2558" t="s">
        <v>57</v>
      </c>
      <c r="F2558" s="1">
        <v>56.76</v>
      </c>
      <c r="G2558" t="s">
        <v>31</v>
      </c>
      <c r="H2558" t="s">
        <v>15</v>
      </c>
      <c r="I2558" s="2">
        <v>3.9</v>
      </c>
      <c r="J2558" s="4">
        <v>22</v>
      </c>
      <c r="K2558" s="3">
        <v>6</v>
      </c>
      <c r="L2558" s="1">
        <f t="shared" si="117"/>
        <v>44.272799999999997</v>
      </c>
      <c r="M2558" t="str" cm="1">
        <f t="array" ref="M2558">_xlfn.IFS(B2558&lt;18,"Under 18",B2558 &lt;=25,"18-25",B2558&lt;=35,"26-35",B2558&lt;=45,"36-45",B2558&lt;=60,"46-60",TRUE,"60+")</f>
        <v>46-60</v>
      </c>
      <c r="N2558" t="str">
        <f t="shared" si="118"/>
        <v>Discounted</v>
      </c>
      <c r="O2558" t="str">
        <f t="shared" si="119"/>
        <v>Returning</v>
      </c>
    </row>
    <row r="2559" spans="1:15" x14ac:dyDescent="0.25">
      <c r="A2559">
        <v>2558</v>
      </c>
      <c r="B2559">
        <v>44</v>
      </c>
      <c r="C2559" t="s">
        <v>11</v>
      </c>
      <c r="D2559" t="s">
        <v>20</v>
      </c>
      <c r="E2559" t="s">
        <v>39</v>
      </c>
      <c r="F2559" s="1">
        <v>192.76</v>
      </c>
      <c r="G2559" t="s">
        <v>14</v>
      </c>
      <c r="H2559" t="s">
        <v>15</v>
      </c>
      <c r="I2559" s="2">
        <v>3.5</v>
      </c>
      <c r="J2559" s="4">
        <v>15</v>
      </c>
      <c r="K2559" s="3">
        <v>5</v>
      </c>
      <c r="L2559" s="1">
        <f t="shared" si="117"/>
        <v>163.84599999999998</v>
      </c>
      <c r="M2559" t="str" cm="1">
        <f t="array" ref="M2559">_xlfn.IFS(B2559&lt;18,"Under 18",B2559 &lt;=25,"18-25",B2559&lt;=35,"26-35",B2559&lt;=45,"36-45",B2559&lt;=60,"46-60",TRUE,"60+")</f>
        <v>36-45</v>
      </c>
      <c r="N2559" t="str">
        <f t="shared" si="118"/>
        <v>Discounted</v>
      </c>
      <c r="O2559" t="str">
        <f t="shared" si="119"/>
        <v>Returning</v>
      </c>
    </row>
    <row r="2560" spans="1:15" x14ac:dyDescent="0.25">
      <c r="A2560">
        <v>2559</v>
      </c>
      <c r="B2560">
        <v>47</v>
      </c>
      <c r="C2560" t="s">
        <v>16</v>
      </c>
      <c r="D2560" t="s">
        <v>20</v>
      </c>
      <c r="E2560" t="s">
        <v>39</v>
      </c>
      <c r="F2560" s="1">
        <v>133.84</v>
      </c>
      <c r="G2560" t="s">
        <v>31</v>
      </c>
      <c r="H2560" t="s">
        <v>15</v>
      </c>
      <c r="I2560" s="2">
        <v>5</v>
      </c>
      <c r="J2560" s="4">
        <v>14</v>
      </c>
      <c r="K2560" s="3">
        <v>7</v>
      </c>
      <c r="L2560" s="1">
        <f t="shared" si="117"/>
        <v>115.1024</v>
      </c>
      <c r="M2560" t="str" cm="1">
        <f t="array" ref="M2560">_xlfn.IFS(B2560&lt;18,"Under 18",B2560 &lt;=25,"18-25",B2560&lt;=35,"26-35",B2560&lt;=45,"36-45",B2560&lt;=60,"46-60",TRUE,"60+")</f>
        <v>46-60</v>
      </c>
      <c r="N2560" t="str">
        <f t="shared" si="118"/>
        <v>Discounted</v>
      </c>
      <c r="O2560" t="str">
        <f t="shared" si="119"/>
        <v>Returning</v>
      </c>
    </row>
    <row r="2561" spans="1:15" x14ac:dyDescent="0.25">
      <c r="A2561">
        <v>2560</v>
      </c>
      <c r="B2561">
        <v>66</v>
      </c>
      <c r="C2561" t="s">
        <v>11</v>
      </c>
      <c r="D2561" t="s">
        <v>12</v>
      </c>
      <c r="E2561" t="s">
        <v>50</v>
      </c>
      <c r="F2561" s="1">
        <v>48.53</v>
      </c>
      <c r="G2561" t="s">
        <v>31</v>
      </c>
      <c r="H2561" t="s">
        <v>15</v>
      </c>
      <c r="I2561" s="2">
        <v>2.9</v>
      </c>
      <c r="J2561" s="4">
        <v>11</v>
      </c>
      <c r="K2561" s="3">
        <v>3</v>
      </c>
      <c r="L2561" s="1">
        <f t="shared" si="117"/>
        <v>43.191700000000004</v>
      </c>
      <c r="M2561" t="str" cm="1">
        <f t="array" ref="M2561">_xlfn.IFS(B2561&lt;18,"Under 18",B2561 &lt;=25,"18-25",B2561&lt;=35,"26-35",B2561&lt;=45,"36-45",B2561&lt;=60,"46-60",TRUE,"60+")</f>
        <v>60+</v>
      </c>
      <c r="N2561" t="str">
        <f t="shared" si="118"/>
        <v>Discounted</v>
      </c>
      <c r="O2561" t="str">
        <f t="shared" si="119"/>
        <v>Returning</v>
      </c>
    </row>
    <row r="2562" spans="1:15" x14ac:dyDescent="0.25">
      <c r="A2562">
        <v>2561</v>
      </c>
      <c r="B2562">
        <v>65</v>
      </c>
      <c r="C2562" t="s">
        <v>11</v>
      </c>
      <c r="D2562" t="s">
        <v>22</v>
      </c>
      <c r="E2562" t="s">
        <v>52</v>
      </c>
      <c r="F2562" s="1">
        <v>157.49</v>
      </c>
      <c r="G2562" t="s">
        <v>19</v>
      </c>
      <c r="H2562" t="s">
        <v>15</v>
      </c>
      <c r="I2562" s="2">
        <v>3.8</v>
      </c>
      <c r="J2562" s="4">
        <v>17</v>
      </c>
      <c r="K2562" s="3">
        <v>6</v>
      </c>
      <c r="L2562" s="1">
        <f t="shared" si="117"/>
        <v>130.7167</v>
      </c>
      <c r="M2562" t="str" cm="1">
        <f t="array" ref="M2562">_xlfn.IFS(B2562&lt;18,"Under 18",B2562 &lt;=25,"18-25",B2562&lt;=35,"26-35",B2562&lt;=45,"36-45",B2562&lt;=60,"46-60",TRUE,"60+")</f>
        <v>60+</v>
      </c>
      <c r="N2562" t="str">
        <f t="shared" si="118"/>
        <v>Discounted</v>
      </c>
      <c r="O2562" t="str">
        <f t="shared" si="119"/>
        <v>Returning</v>
      </c>
    </row>
    <row r="2563" spans="1:15" x14ac:dyDescent="0.25">
      <c r="A2563">
        <v>2562</v>
      </c>
      <c r="B2563">
        <v>69</v>
      </c>
      <c r="C2563" t="s">
        <v>16</v>
      </c>
      <c r="D2563" t="s">
        <v>33</v>
      </c>
      <c r="E2563" t="s">
        <v>34</v>
      </c>
      <c r="F2563" s="1">
        <v>157.19999999999999</v>
      </c>
      <c r="G2563" t="s">
        <v>24</v>
      </c>
      <c r="H2563" t="s">
        <v>15</v>
      </c>
      <c r="I2563" s="2">
        <v>4.4000000000000004</v>
      </c>
      <c r="J2563" s="4">
        <v>11</v>
      </c>
      <c r="K2563" s="3">
        <v>3</v>
      </c>
      <c r="L2563" s="1">
        <f t="shared" ref="L2563:L2626" si="120">F2563 * (1 - J2563 / 100)</f>
        <v>139.90799999999999</v>
      </c>
      <c r="M2563" t="str" cm="1">
        <f t="array" ref="M2563">_xlfn.IFS(B2563&lt;18,"Under 18",B2563 &lt;=25,"18-25",B2563&lt;=35,"26-35",B2563&lt;=45,"36-45",B2563&lt;=60,"46-60",TRUE,"60+")</f>
        <v>60+</v>
      </c>
      <c r="N2563" t="str">
        <f t="shared" ref="N2563:N2626" si="121">IF(J2563&gt;0,"Discounted","No Discount")</f>
        <v>Discounted</v>
      </c>
      <c r="O2563" t="str">
        <f t="shared" ref="O2563:O2626" si="122">IF(K2563&gt;0,"Returning","New")</f>
        <v>Returning</v>
      </c>
    </row>
    <row r="2564" spans="1:15" x14ac:dyDescent="0.25">
      <c r="A2564">
        <v>2563</v>
      </c>
      <c r="B2564">
        <v>45</v>
      </c>
      <c r="C2564" t="s">
        <v>11</v>
      </c>
      <c r="D2564" t="s">
        <v>29</v>
      </c>
      <c r="E2564" t="s">
        <v>55</v>
      </c>
      <c r="F2564" s="1">
        <v>59.66</v>
      </c>
      <c r="G2564" t="s">
        <v>14</v>
      </c>
      <c r="H2564" t="s">
        <v>15</v>
      </c>
      <c r="I2564" s="2">
        <v>3.8</v>
      </c>
      <c r="J2564" s="4">
        <v>11</v>
      </c>
      <c r="K2564" s="3">
        <v>3</v>
      </c>
      <c r="L2564" s="1">
        <f t="shared" si="120"/>
        <v>53.0974</v>
      </c>
      <c r="M2564" t="str" cm="1">
        <f t="array" ref="M2564">_xlfn.IFS(B2564&lt;18,"Under 18",B2564 &lt;=25,"18-25",B2564&lt;=35,"26-35",B2564&lt;=45,"36-45",B2564&lt;=60,"46-60",TRUE,"60+")</f>
        <v>36-45</v>
      </c>
      <c r="N2564" t="str">
        <f t="shared" si="121"/>
        <v>Discounted</v>
      </c>
      <c r="O2564" t="str">
        <f t="shared" si="122"/>
        <v>Returning</v>
      </c>
    </row>
    <row r="2565" spans="1:15" x14ac:dyDescent="0.25">
      <c r="A2565">
        <v>2564</v>
      </c>
      <c r="B2565">
        <v>37</v>
      </c>
      <c r="C2565" t="s">
        <v>11</v>
      </c>
      <c r="D2565" t="s">
        <v>41</v>
      </c>
      <c r="E2565" t="s">
        <v>42</v>
      </c>
      <c r="F2565" s="1">
        <v>181.19</v>
      </c>
      <c r="G2565" t="s">
        <v>31</v>
      </c>
      <c r="H2565" t="s">
        <v>15</v>
      </c>
      <c r="I2565" s="2">
        <v>4.3</v>
      </c>
      <c r="J2565" s="4">
        <v>22</v>
      </c>
      <c r="K2565" s="3">
        <v>6</v>
      </c>
      <c r="L2565" s="1">
        <f t="shared" si="120"/>
        <v>141.32820000000001</v>
      </c>
      <c r="M2565" t="str" cm="1">
        <f t="array" ref="M2565">_xlfn.IFS(B2565&lt;18,"Under 18",B2565 &lt;=25,"18-25",B2565&lt;=35,"26-35",B2565&lt;=45,"36-45",B2565&lt;=60,"46-60",TRUE,"60+")</f>
        <v>36-45</v>
      </c>
      <c r="N2565" t="str">
        <f t="shared" si="121"/>
        <v>Discounted</v>
      </c>
      <c r="O2565" t="str">
        <f t="shared" si="122"/>
        <v>Returning</v>
      </c>
    </row>
    <row r="2566" spans="1:15" x14ac:dyDescent="0.25">
      <c r="A2566">
        <v>2565</v>
      </c>
      <c r="B2566">
        <v>47</v>
      </c>
      <c r="C2566" t="s">
        <v>11</v>
      </c>
      <c r="D2566" t="s">
        <v>41</v>
      </c>
      <c r="E2566" t="s">
        <v>46</v>
      </c>
      <c r="F2566" s="1">
        <v>123.24</v>
      </c>
      <c r="G2566" t="s">
        <v>19</v>
      </c>
      <c r="H2566" t="s">
        <v>15</v>
      </c>
      <c r="I2566" s="2">
        <v>3.6</v>
      </c>
      <c r="J2566" s="4">
        <v>10</v>
      </c>
      <c r="K2566" s="3">
        <v>5</v>
      </c>
      <c r="L2566" s="1">
        <f t="shared" si="120"/>
        <v>110.916</v>
      </c>
      <c r="M2566" t="str" cm="1">
        <f t="array" ref="M2566">_xlfn.IFS(B2566&lt;18,"Under 18",B2566 &lt;=25,"18-25",B2566&lt;=35,"26-35",B2566&lt;=45,"36-45",B2566&lt;=60,"46-60",TRUE,"60+")</f>
        <v>46-60</v>
      </c>
      <c r="N2566" t="str">
        <f t="shared" si="121"/>
        <v>Discounted</v>
      </c>
      <c r="O2566" t="str">
        <f t="shared" si="122"/>
        <v>Returning</v>
      </c>
    </row>
    <row r="2567" spans="1:15" x14ac:dyDescent="0.25">
      <c r="A2567">
        <v>2566</v>
      </c>
      <c r="B2567">
        <v>33</v>
      </c>
      <c r="C2567" t="s">
        <v>11</v>
      </c>
      <c r="D2567" t="s">
        <v>41</v>
      </c>
      <c r="E2567" t="s">
        <v>46</v>
      </c>
      <c r="F2567" s="1">
        <v>53.56</v>
      </c>
      <c r="G2567" t="s">
        <v>19</v>
      </c>
      <c r="H2567" t="s">
        <v>15</v>
      </c>
      <c r="I2567" s="2">
        <v>3.1</v>
      </c>
      <c r="J2567" s="4">
        <v>10</v>
      </c>
      <c r="K2567" s="3">
        <v>5</v>
      </c>
      <c r="L2567" s="1">
        <f t="shared" si="120"/>
        <v>48.204000000000001</v>
      </c>
      <c r="M2567" t="str" cm="1">
        <f t="array" ref="M2567">_xlfn.IFS(B2567&lt;18,"Under 18",B2567 &lt;=25,"18-25",B2567&lt;=35,"26-35",B2567&lt;=45,"36-45",B2567&lt;=60,"46-60",TRUE,"60+")</f>
        <v>26-35</v>
      </c>
      <c r="N2567" t="str">
        <f t="shared" si="121"/>
        <v>Discounted</v>
      </c>
      <c r="O2567" t="str">
        <f t="shared" si="122"/>
        <v>Returning</v>
      </c>
    </row>
    <row r="2568" spans="1:15" x14ac:dyDescent="0.25">
      <c r="A2568">
        <v>2567</v>
      </c>
      <c r="B2568">
        <v>44</v>
      </c>
      <c r="C2568" t="s">
        <v>11</v>
      </c>
      <c r="D2568" t="s">
        <v>12</v>
      </c>
      <c r="E2568" t="s">
        <v>13</v>
      </c>
      <c r="F2568" s="1">
        <v>153.44999999999999</v>
      </c>
      <c r="G2568" t="s">
        <v>19</v>
      </c>
      <c r="H2568" t="s">
        <v>15</v>
      </c>
      <c r="I2568" s="2">
        <v>4.0999999999999996</v>
      </c>
      <c r="J2568" s="4">
        <v>13</v>
      </c>
      <c r="K2568" s="3">
        <v>4</v>
      </c>
      <c r="L2568" s="1">
        <f t="shared" si="120"/>
        <v>133.50149999999999</v>
      </c>
      <c r="M2568" t="str" cm="1">
        <f t="array" ref="M2568">_xlfn.IFS(B2568&lt;18,"Under 18",B2568 &lt;=25,"18-25",B2568&lt;=35,"26-35",B2568&lt;=45,"36-45",B2568&lt;=60,"46-60",TRUE,"60+")</f>
        <v>36-45</v>
      </c>
      <c r="N2568" t="str">
        <f t="shared" si="121"/>
        <v>Discounted</v>
      </c>
      <c r="O2568" t="str">
        <f t="shared" si="122"/>
        <v>Returning</v>
      </c>
    </row>
    <row r="2569" spans="1:15" x14ac:dyDescent="0.25">
      <c r="A2569">
        <v>2568</v>
      </c>
      <c r="B2569">
        <v>30</v>
      </c>
      <c r="C2569" t="s">
        <v>11</v>
      </c>
      <c r="D2569" t="s">
        <v>33</v>
      </c>
      <c r="E2569" t="s">
        <v>40</v>
      </c>
      <c r="F2569" s="1">
        <v>136.93</v>
      </c>
      <c r="G2569" t="s">
        <v>31</v>
      </c>
      <c r="H2569" t="s">
        <v>15</v>
      </c>
      <c r="I2569" s="2">
        <v>5</v>
      </c>
      <c r="J2569" s="4">
        <v>9</v>
      </c>
      <c r="K2569" s="3">
        <v>2</v>
      </c>
      <c r="L2569" s="1">
        <f t="shared" si="120"/>
        <v>124.6063</v>
      </c>
      <c r="M2569" t="str" cm="1">
        <f t="array" ref="M2569">_xlfn.IFS(B2569&lt;18,"Under 18",B2569 &lt;=25,"18-25",B2569&lt;=35,"26-35",B2569&lt;=45,"36-45",B2569&lt;=60,"46-60",TRUE,"60+")</f>
        <v>26-35</v>
      </c>
      <c r="N2569" t="str">
        <f t="shared" si="121"/>
        <v>Discounted</v>
      </c>
      <c r="O2569" t="str">
        <f t="shared" si="122"/>
        <v>Returning</v>
      </c>
    </row>
    <row r="2570" spans="1:15" x14ac:dyDescent="0.25">
      <c r="A2570">
        <v>2569</v>
      </c>
      <c r="B2570">
        <v>70</v>
      </c>
      <c r="C2570" t="s">
        <v>16</v>
      </c>
      <c r="D2570" t="s">
        <v>17</v>
      </c>
      <c r="E2570" t="s">
        <v>42</v>
      </c>
      <c r="F2570" s="1">
        <v>198.86</v>
      </c>
      <c r="G2570" t="s">
        <v>19</v>
      </c>
      <c r="H2570" t="s">
        <v>15</v>
      </c>
      <c r="I2570" s="2">
        <v>4.0999999999999996</v>
      </c>
      <c r="J2570" s="4">
        <v>8</v>
      </c>
      <c r="K2570" s="3">
        <v>4</v>
      </c>
      <c r="L2570" s="1">
        <f t="shared" si="120"/>
        <v>182.95120000000003</v>
      </c>
      <c r="M2570" t="str" cm="1">
        <f t="array" ref="M2570">_xlfn.IFS(B2570&lt;18,"Under 18",B2570 &lt;=25,"18-25",B2570&lt;=35,"26-35",B2570&lt;=45,"36-45",B2570&lt;=60,"46-60",TRUE,"60+")</f>
        <v>60+</v>
      </c>
      <c r="N2570" t="str">
        <f t="shared" si="121"/>
        <v>Discounted</v>
      </c>
      <c r="O2570" t="str">
        <f t="shared" si="122"/>
        <v>Returning</v>
      </c>
    </row>
    <row r="2571" spans="1:15" x14ac:dyDescent="0.25">
      <c r="A2571">
        <v>2570</v>
      </c>
      <c r="B2571">
        <v>44</v>
      </c>
      <c r="C2571" t="s">
        <v>16</v>
      </c>
      <c r="D2571" t="s">
        <v>20</v>
      </c>
      <c r="E2571" t="s">
        <v>36</v>
      </c>
      <c r="F2571" s="1">
        <v>154.32</v>
      </c>
      <c r="G2571" t="s">
        <v>24</v>
      </c>
      <c r="H2571" t="s">
        <v>15</v>
      </c>
      <c r="I2571" s="2">
        <v>4.5999999999999996</v>
      </c>
      <c r="J2571" s="4">
        <v>10</v>
      </c>
      <c r="K2571" s="3">
        <v>5</v>
      </c>
      <c r="L2571" s="1">
        <f t="shared" si="120"/>
        <v>138.88800000000001</v>
      </c>
      <c r="M2571" t="str" cm="1">
        <f t="array" ref="M2571">_xlfn.IFS(B2571&lt;18,"Under 18",B2571 &lt;=25,"18-25",B2571&lt;=35,"26-35",B2571&lt;=45,"36-45",B2571&lt;=60,"46-60",TRUE,"60+")</f>
        <v>36-45</v>
      </c>
      <c r="N2571" t="str">
        <f t="shared" si="121"/>
        <v>Discounted</v>
      </c>
      <c r="O2571" t="str">
        <f t="shared" si="122"/>
        <v>Returning</v>
      </c>
    </row>
    <row r="2572" spans="1:15" x14ac:dyDescent="0.25">
      <c r="A2572">
        <v>2571</v>
      </c>
      <c r="B2572">
        <v>69</v>
      </c>
      <c r="C2572" t="s">
        <v>16</v>
      </c>
      <c r="D2572" t="s">
        <v>17</v>
      </c>
      <c r="E2572" t="s">
        <v>48</v>
      </c>
      <c r="F2572" s="1">
        <v>176.88</v>
      </c>
      <c r="G2572" t="s">
        <v>19</v>
      </c>
      <c r="H2572" t="s">
        <v>15</v>
      </c>
      <c r="I2572" s="2">
        <v>4.3</v>
      </c>
      <c r="J2572" s="4">
        <v>9</v>
      </c>
      <c r="K2572" s="3">
        <v>2</v>
      </c>
      <c r="L2572" s="1">
        <f t="shared" si="120"/>
        <v>160.96080000000001</v>
      </c>
      <c r="M2572" t="str" cm="1">
        <f t="array" ref="M2572">_xlfn.IFS(B2572&lt;18,"Under 18",B2572 &lt;=25,"18-25",B2572&lt;=35,"26-35",B2572&lt;=45,"36-45",B2572&lt;=60,"46-60",TRUE,"60+")</f>
        <v>60+</v>
      </c>
      <c r="N2572" t="str">
        <f t="shared" si="121"/>
        <v>Discounted</v>
      </c>
      <c r="O2572" t="str">
        <f t="shared" si="122"/>
        <v>Returning</v>
      </c>
    </row>
    <row r="2573" spans="1:15" x14ac:dyDescent="0.25">
      <c r="A2573">
        <v>2572</v>
      </c>
      <c r="B2573">
        <v>48</v>
      </c>
      <c r="C2573" t="s">
        <v>11</v>
      </c>
      <c r="D2573" t="s">
        <v>20</v>
      </c>
      <c r="E2573" t="s">
        <v>36</v>
      </c>
      <c r="F2573" s="1">
        <v>91.06</v>
      </c>
      <c r="G2573" t="s">
        <v>31</v>
      </c>
      <c r="H2573" t="s">
        <v>15</v>
      </c>
      <c r="I2573" s="2">
        <v>4.2</v>
      </c>
      <c r="J2573" s="4">
        <v>11</v>
      </c>
      <c r="K2573" s="3">
        <v>3</v>
      </c>
      <c r="L2573" s="1">
        <f t="shared" si="120"/>
        <v>81.043400000000005</v>
      </c>
      <c r="M2573" t="str" cm="1">
        <f t="array" ref="M2573">_xlfn.IFS(B2573&lt;18,"Under 18",B2573 &lt;=25,"18-25",B2573&lt;=35,"26-35",B2573&lt;=45,"36-45",B2573&lt;=60,"46-60",TRUE,"60+")</f>
        <v>46-60</v>
      </c>
      <c r="N2573" t="str">
        <f t="shared" si="121"/>
        <v>Discounted</v>
      </c>
      <c r="O2573" t="str">
        <f t="shared" si="122"/>
        <v>Returning</v>
      </c>
    </row>
    <row r="2574" spans="1:15" x14ac:dyDescent="0.25">
      <c r="A2574">
        <v>2573</v>
      </c>
      <c r="B2574">
        <v>33</v>
      </c>
      <c r="C2574" t="s">
        <v>11</v>
      </c>
      <c r="D2574" t="s">
        <v>33</v>
      </c>
      <c r="E2574" t="s">
        <v>38</v>
      </c>
      <c r="F2574" s="1">
        <v>76.06</v>
      </c>
      <c r="G2574" t="s">
        <v>14</v>
      </c>
      <c r="H2574" t="s">
        <v>15</v>
      </c>
      <c r="I2574" s="2">
        <v>4</v>
      </c>
      <c r="J2574" s="4">
        <v>15</v>
      </c>
      <c r="K2574" s="3">
        <v>5</v>
      </c>
      <c r="L2574" s="1">
        <f t="shared" si="120"/>
        <v>64.650999999999996</v>
      </c>
      <c r="M2574" t="str" cm="1">
        <f t="array" ref="M2574">_xlfn.IFS(B2574&lt;18,"Under 18",B2574 &lt;=25,"18-25",B2574&lt;=35,"26-35",B2574&lt;=45,"36-45",B2574&lt;=60,"46-60",TRUE,"60+")</f>
        <v>26-35</v>
      </c>
      <c r="N2574" t="str">
        <f t="shared" si="121"/>
        <v>Discounted</v>
      </c>
      <c r="O2574" t="str">
        <f t="shared" si="122"/>
        <v>Returning</v>
      </c>
    </row>
    <row r="2575" spans="1:15" x14ac:dyDescent="0.25">
      <c r="A2575">
        <v>2574</v>
      </c>
      <c r="B2575">
        <v>52</v>
      </c>
      <c r="C2575" t="s">
        <v>11</v>
      </c>
      <c r="D2575" t="s">
        <v>12</v>
      </c>
      <c r="E2575" t="s">
        <v>56</v>
      </c>
      <c r="F2575" s="1">
        <v>65.97</v>
      </c>
      <c r="G2575" t="s">
        <v>19</v>
      </c>
      <c r="H2575" t="s">
        <v>15</v>
      </c>
      <c r="I2575" s="2">
        <v>2.9</v>
      </c>
      <c r="J2575" s="4">
        <v>6</v>
      </c>
      <c r="K2575" s="3">
        <v>3</v>
      </c>
      <c r="L2575" s="1">
        <f t="shared" si="120"/>
        <v>62.011799999999994</v>
      </c>
      <c r="M2575" t="str" cm="1">
        <f t="array" ref="M2575">_xlfn.IFS(B2575&lt;18,"Under 18",B2575 &lt;=25,"18-25",B2575&lt;=35,"26-35",B2575&lt;=45,"36-45",B2575&lt;=60,"46-60",TRUE,"60+")</f>
        <v>46-60</v>
      </c>
      <c r="N2575" t="str">
        <f t="shared" si="121"/>
        <v>Discounted</v>
      </c>
      <c r="O2575" t="str">
        <f t="shared" si="122"/>
        <v>Returning</v>
      </c>
    </row>
    <row r="2576" spans="1:15" x14ac:dyDescent="0.25">
      <c r="A2576">
        <v>2575</v>
      </c>
      <c r="B2576">
        <v>65</v>
      </c>
      <c r="C2576" t="s">
        <v>16</v>
      </c>
      <c r="D2576" t="s">
        <v>17</v>
      </c>
      <c r="E2576" t="s">
        <v>42</v>
      </c>
      <c r="F2576" s="1">
        <v>119.34</v>
      </c>
      <c r="G2576" t="s">
        <v>24</v>
      </c>
      <c r="H2576" t="s">
        <v>15</v>
      </c>
      <c r="I2576" s="2">
        <v>4.0999999999999996</v>
      </c>
      <c r="J2576" s="4">
        <v>8</v>
      </c>
      <c r="K2576" s="3">
        <v>4</v>
      </c>
      <c r="L2576" s="1">
        <f t="shared" si="120"/>
        <v>109.79280000000001</v>
      </c>
      <c r="M2576" t="str" cm="1">
        <f t="array" ref="M2576">_xlfn.IFS(B2576&lt;18,"Under 18",B2576 &lt;=25,"18-25",B2576&lt;=35,"26-35",B2576&lt;=45,"36-45",B2576&lt;=60,"46-60",TRUE,"60+")</f>
        <v>60+</v>
      </c>
      <c r="N2576" t="str">
        <f t="shared" si="121"/>
        <v>Discounted</v>
      </c>
      <c r="O2576" t="str">
        <f t="shared" si="122"/>
        <v>Returning</v>
      </c>
    </row>
    <row r="2577" spans="1:15" x14ac:dyDescent="0.25">
      <c r="A2577">
        <v>2576</v>
      </c>
      <c r="B2577">
        <v>70</v>
      </c>
      <c r="C2577" t="s">
        <v>11</v>
      </c>
      <c r="D2577" t="s">
        <v>41</v>
      </c>
      <c r="E2577" t="s">
        <v>42</v>
      </c>
      <c r="F2577" s="1">
        <v>140.91</v>
      </c>
      <c r="G2577" t="s">
        <v>19</v>
      </c>
      <c r="H2577" t="s">
        <v>15</v>
      </c>
      <c r="I2577" s="2">
        <v>3.1</v>
      </c>
      <c r="J2577" s="4">
        <v>10</v>
      </c>
      <c r="K2577" s="3">
        <v>5</v>
      </c>
      <c r="L2577" s="1">
        <f t="shared" si="120"/>
        <v>126.819</v>
      </c>
      <c r="M2577" t="str" cm="1">
        <f t="array" ref="M2577">_xlfn.IFS(B2577&lt;18,"Under 18",B2577 &lt;=25,"18-25",B2577&lt;=35,"26-35",B2577&lt;=45,"36-45",B2577&lt;=60,"46-60",TRUE,"60+")</f>
        <v>60+</v>
      </c>
      <c r="N2577" t="str">
        <f t="shared" si="121"/>
        <v>Discounted</v>
      </c>
      <c r="O2577" t="str">
        <f t="shared" si="122"/>
        <v>Returning</v>
      </c>
    </row>
    <row r="2578" spans="1:15" x14ac:dyDescent="0.25">
      <c r="A2578">
        <v>2577</v>
      </c>
      <c r="B2578">
        <v>29</v>
      </c>
      <c r="C2578" t="s">
        <v>16</v>
      </c>
      <c r="D2578" t="s">
        <v>25</v>
      </c>
      <c r="E2578" t="s">
        <v>26</v>
      </c>
      <c r="F2578" s="1">
        <v>51.55</v>
      </c>
      <c r="G2578" t="s">
        <v>14</v>
      </c>
      <c r="H2578" t="s">
        <v>15</v>
      </c>
      <c r="I2578" s="2">
        <v>4.2</v>
      </c>
      <c r="J2578" s="4">
        <v>7</v>
      </c>
      <c r="K2578" s="3">
        <v>1</v>
      </c>
      <c r="L2578" s="1">
        <f t="shared" si="120"/>
        <v>47.941499999999991</v>
      </c>
      <c r="M2578" t="str" cm="1">
        <f t="array" ref="M2578">_xlfn.IFS(B2578&lt;18,"Under 18",B2578 &lt;=25,"18-25",B2578&lt;=35,"26-35",B2578&lt;=45,"36-45",B2578&lt;=60,"46-60",TRUE,"60+")</f>
        <v>26-35</v>
      </c>
      <c r="N2578" t="str">
        <f t="shared" si="121"/>
        <v>Discounted</v>
      </c>
      <c r="O2578" t="str">
        <f t="shared" si="122"/>
        <v>Returning</v>
      </c>
    </row>
    <row r="2579" spans="1:15" x14ac:dyDescent="0.25">
      <c r="A2579">
        <v>2578</v>
      </c>
      <c r="B2579">
        <v>47</v>
      </c>
      <c r="C2579" t="s">
        <v>16</v>
      </c>
      <c r="D2579" t="s">
        <v>33</v>
      </c>
      <c r="E2579" t="s">
        <v>38</v>
      </c>
      <c r="F2579" s="1">
        <v>45.39</v>
      </c>
      <c r="G2579" t="s">
        <v>14</v>
      </c>
      <c r="H2579" t="s">
        <v>15</v>
      </c>
      <c r="I2579" s="2">
        <v>4.0999999999999996</v>
      </c>
      <c r="J2579" s="4">
        <v>19</v>
      </c>
      <c r="K2579" s="3">
        <v>7</v>
      </c>
      <c r="L2579" s="1">
        <f t="shared" si="120"/>
        <v>36.765900000000002</v>
      </c>
      <c r="M2579" t="str" cm="1">
        <f t="array" ref="M2579">_xlfn.IFS(B2579&lt;18,"Under 18",B2579 &lt;=25,"18-25",B2579&lt;=35,"26-35",B2579&lt;=45,"36-45",B2579&lt;=60,"46-60",TRUE,"60+")</f>
        <v>46-60</v>
      </c>
      <c r="N2579" t="str">
        <f t="shared" si="121"/>
        <v>Discounted</v>
      </c>
      <c r="O2579" t="str">
        <f t="shared" si="122"/>
        <v>Returning</v>
      </c>
    </row>
    <row r="2580" spans="1:15" x14ac:dyDescent="0.25">
      <c r="A2580">
        <v>2579</v>
      </c>
      <c r="B2580">
        <v>69</v>
      </c>
      <c r="C2580" t="s">
        <v>11</v>
      </c>
      <c r="D2580" t="s">
        <v>20</v>
      </c>
      <c r="E2580" t="s">
        <v>21</v>
      </c>
      <c r="F2580" s="1">
        <v>116.25</v>
      </c>
      <c r="G2580" t="s">
        <v>24</v>
      </c>
      <c r="H2580" t="s">
        <v>15</v>
      </c>
      <c r="I2580" s="2">
        <v>4.5999999999999996</v>
      </c>
      <c r="J2580" s="4">
        <v>24</v>
      </c>
      <c r="K2580" s="3">
        <v>7</v>
      </c>
      <c r="L2580" s="1">
        <f t="shared" si="120"/>
        <v>88.35</v>
      </c>
      <c r="M2580" t="str" cm="1">
        <f t="array" ref="M2580">_xlfn.IFS(B2580&lt;18,"Under 18",B2580 &lt;=25,"18-25",B2580&lt;=35,"26-35",B2580&lt;=45,"36-45",B2580&lt;=60,"46-60",TRUE,"60+")</f>
        <v>60+</v>
      </c>
      <c r="N2580" t="str">
        <f t="shared" si="121"/>
        <v>Discounted</v>
      </c>
      <c r="O2580" t="str">
        <f t="shared" si="122"/>
        <v>Returning</v>
      </c>
    </row>
    <row r="2581" spans="1:15" x14ac:dyDescent="0.25">
      <c r="A2581">
        <v>2580</v>
      </c>
      <c r="B2581">
        <v>43</v>
      </c>
      <c r="C2581" t="s">
        <v>11</v>
      </c>
      <c r="D2581" t="s">
        <v>25</v>
      </c>
      <c r="E2581" t="s">
        <v>47</v>
      </c>
      <c r="F2581" s="1">
        <v>65.16</v>
      </c>
      <c r="G2581" t="s">
        <v>24</v>
      </c>
      <c r="H2581" t="s">
        <v>37</v>
      </c>
      <c r="I2581" s="2">
        <v>4.7</v>
      </c>
      <c r="J2581" s="4">
        <v>18</v>
      </c>
      <c r="K2581" s="3">
        <v>4</v>
      </c>
      <c r="L2581" s="1">
        <f t="shared" si="120"/>
        <v>53.431200000000004</v>
      </c>
      <c r="M2581" t="str" cm="1">
        <f t="array" ref="M2581">_xlfn.IFS(B2581&lt;18,"Under 18",B2581 &lt;=25,"18-25",B2581&lt;=35,"26-35",B2581&lt;=45,"36-45",B2581&lt;=60,"46-60",TRUE,"60+")</f>
        <v>36-45</v>
      </c>
      <c r="N2581" t="str">
        <f t="shared" si="121"/>
        <v>Discounted</v>
      </c>
      <c r="O2581" t="str">
        <f t="shared" si="122"/>
        <v>Returning</v>
      </c>
    </row>
    <row r="2582" spans="1:15" x14ac:dyDescent="0.25">
      <c r="A2582">
        <v>2581</v>
      </c>
      <c r="B2582">
        <v>33</v>
      </c>
      <c r="C2582" t="s">
        <v>11</v>
      </c>
      <c r="D2582" t="s">
        <v>41</v>
      </c>
      <c r="E2582" t="s">
        <v>45</v>
      </c>
      <c r="F2582" s="1">
        <v>123.96</v>
      </c>
      <c r="G2582" t="s">
        <v>19</v>
      </c>
      <c r="H2582" t="s">
        <v>15</v>
      </c>
      <c r="I2582" s="2">
        <v>3.1</v>
      </c>
      <c r="J2582" s="4">
        <v>15</v>
      </c>
      <c r="K2582" s="3">
        <v>5</v>
      </c>
      <c r="L2582" s="1">
        <f t="shared" si="120"/>
        <v>105.36599999999999</v>
      </c>
      <c r="M2582" t="str" cm="1">
        <f t="array" ref="M2582">_xlfn.IFS(B2582&lt;18,"Under 18",B2582 &lt;=25,"18-25",B2582&lt;=35,"26-35",B2582&lt;=45,"36-45",B2582&lt;=60,"46-60",TRUE,"60+")</f>
        <v>26-35</v>
      </c>
      <c r="N2582" t="str">
        <f t="shared" si="121"/>
        <v>Discounted</v>
      </c>
      <c r="O2582" t="str">
        <f t="shared" si="122"/>
        <v>Returning</v>
      </c>
    </row>
    <row r="2583" spans="1:15" x14ac:dyDescent="0.25">
      <c r="A2583">
        <v>2582</v>
      </c>
      <c r="B2583">
        <v>66</v>
      </c>
      <c r="C2583" t="s">
        <v>16</v>
      </c>
      <c r="D2583" t="s">
        <v>33</v>
      </c>
      <c r="E2583" t="s">
        <v>38</v>
      </c>
      <c r="F2583" s="1">
        <v>58.45</v>
      </c>
      <c r="G2583" t="s">
        <v>24</v>
      </c>
      <c r="H2583" t="s">
        <v>15</v>
      </c>
      <c r="I2583" s="2">
        <v>3.5</v>
      </c>
      <c r="J2583" s="4">
        <v>20</v>
      </c>
      <c r="K2583" s="3">
        <v>5</v>
      </c>
      <c r="L2583" s="1">
        <f t="shared" si="120"/>
        <v>46.760000000000005</v>
      </c>
      <c r="M2583" t="str" cm="1">
        <f t="array" ref="M2583">_xlfn.IFS(B2583&lt;18,"Under 18",B2583 &lt;=25,"18-25",B2583&lt;=35,"26-35",B2583&lt;=45,"36-45",B2583&lt;=60,"46-60",TRUE,"60+")</f>
        <v>60+</v>
      </c>
      <c r="N2583" t="str">
        <f t="shared" si="121"/>
        <v>Discounted</v>
      </c>
      <c r="O2583" t="str">
        <f t="shared" si="122"/>
        <v>Returning</v>
      </c>
    </row>
    <row r="2584" spans="1:15" x14ac:dyDescent="0.25">
      <c r="A2584">
        <v>2583</v>
      </c>
      <c r="B2584">
        <v>59</v>
      </c>
      <c r="C2584" t="s">
        <v>11</v>
      </c>
      <c r="D2584" t="s">
        <v>33</v>
      </c>
      <c r="E2584" t="s">
        <v>34</v>
      </c>
      <c r="F2584" s="1">
        <v>183.81</v>
      </c>
      <c r="G2584" t="s">
        <v>19</v>
      </c>
      <c r="H2584" t="s">
        <v>15</v>
      </c>
      <c r="I2584" s="2">
        <v>4.0999999999999996</v>
      </c>
      <c r="J2584" s="4">
        <v>22</v>
      </c>
      <c r="K2584" s="3">
        <v>6</v>
      </c>
      <c r="L2584" s="1">
        <f t="shared" si="120"/>
        <v>143.37180000000001</v>
      </c>
      <c r="M2584" t="str" cm="1">
        <f t="array" ref="M2584">_xlfn.IFS(B2584&lt;18,"Under 18",B2584 &lt;=25,"18-25",B2584&lt;=35,"26-35",B2584&lt;=45,"36-45",B2584&lt;=60,"46-60",TRUE,"60+")</f>
        <v>46-60</v>
      </c>
      <c r="N2584" t="str">
        <f t="shared" si="121"/>
        <v>Discounted</v>
      </c>
      <c r="O2584" t="str">
        <f t="shared" si="122"/>
        <v>Returning</v>
      </c>
    </row>
    <row r="2585" spans="1:15" x14ac:dyDescent="0.25">
      <c r="A2585">
        <v>2584</v>
      </c>
      <c r="B2585">
        <v>30</v>
      </c>
      <c r="C2585" t="s">
        <v>11</v>
      </c>
      <c r="D2585" t="s">
        <v>29</v>
      </c>
      <c r="E2585" t="s">
        <v>55</v>
      </c>
      <c r="F2585" s="1">
        <v>129.88999999999999</v>
      </c>
      <c r="G2585" t="s">
        <v>31</v>
      </c>
      <c r="H2585" t="s">
        <v>15</v>
      </c>
      <c r="I2585" s="2">
        <v>4.2</v>
      </c>
      <c r="J2585" s="4">
        <v>17</v>
      </c>
      <c r="K2585" s="3">
        <v>6</v>
      </c>
      <c r="L2585" s="1">
        <f t="shared" si="120"/>
        <v>107.80869999999999</v>
      </c>
      <c r="M2585" t="str" cm="1">
        <f t="array" ref="M2585">_xlfn.IFS(B2585&lt;18,"Under 18",B2585 &lt;=25,"18-25",B2585&lt;=35,"26-35",B2585&lt;=45,"36-45",B2585&lt;=60,"46-60",TRUE,"60+")</f>
        <v>26-35</v>
      </c>
      <c r="N2585" t="str">
        <f t="shared" si="121"/>
        <v>Discounted</v>
      </c>
      <c r="O2585" t="str">
        <f t="shared" si="122"/>
        <v>Returning</v>
      </c>
    </row>
    <row r="2586" spans="1:15" x14ac:dyDescent="0.25">
      <c r="A2586">
        <v>2585</v>
      </c>
      <c r="B2586">
        <v>47</v>
      </c>
      <c r="C2586" t="s">
        <v>16</v>
      </c>
      <c r="D2586" t="s">
        <v>17</v>
      </c>
      <c r="E2586" t="s">
        <v>48</v>
      </c>
      <c r="F2586" s="1">
        <v>97.5</v>
      </c>
      <c r="G2586" t="s">
        <v>19</v>
      </c>
      <c r="H2586" t="s">
        <v>37</v>
      </c>
      <c r="I2586" s="2">
        <v>4.7</v>
      </c>
      <c r="J2586" s="4">
        <v>12</v>
      </c>
      <c r="K2586" s="3">
        <v>6</v>
      </c>
      <c r="L2586" s="1">
        <f t="shared" si="120"/>
        <v>85.8</v>
      </c>
      <c r="M2586" t="str" cm="1">
        <f t="array" ref="M2586">_xlfn.IFS(B2586&lt;18,"Under 18",B2586 &lt;=25,"18-25",B2586&lt;=35,"26-35",B2586&lt;=45,"36-45",B2586&lt;=60,"46-60",TRUE,"60+")</f>
        <v>46-60</v>
      </c>
      <c r="N2586" t="str">
        <f t="shared" si="121"/>
        <v>Discounted</v>
      </c>
      <c r="O2586" t="str">
        <f t="shared" si="122"/>
        <v>Returning</v>
      </c>
    </row>
    <row r="2587" spans="1:15" x14ac:dyDescent="0.25">
      <c r="A2587">
        <v>2586</v>
      </c>
      <c r="B2587">
        <v>68</v>
      </c>
      <c r="C2587" t="s">
        <v>16</v>
      </c>
      <c r="D2587" t="s">
        <v>20</v>
      </c>
      <c r="E2587" t="s">
        <v>39</v>
      </c>
      <c r="F2587" s="1">
        <v>123.53</v>
      </c>
      <c r="G2587" t="s">
        <v>19</v>
      </c>
      <c r="H2587" t="s">
        <v>15</v>
      </c>
      <c r="I2587" s="2">
        <v>4.4000000000000004</v>
      </c>
      <c r="J2587" s="4">
        <v>14</v>
      </c>
      <c r="K2587" s="3">
        <v>2</v>
      </c>
      <c r="L2587" s="1">
        <f t="shared" si="120"/>
        <v>106.2358</v>
      </c>
      <c r="M2587" t="str" cm="1">
        <f t="array" ref="M2587">_xlfn.IFS(B2587&lt;18,"Under 18",B2587 &lt;=25,"18-25",B2587&lt;=35,"26-35",B2587&lt;=45,"36-45",B2587&lt;=60,"46-60",TRUE,"60+")</f>
        <v>60+</v>
      </c>
      <c r="N2587" t="str">
        <f t="shared" si="121"/>
        <v>Discounted</v>
      </c>
      <c r="O2587" t="str">
        <f t="shared" si="122"/>
        <v>Returning</v>
      </c>
    </row>
    <row r="2588" spans="1:15" x14ac:dyDescent="0.25">
      <c r="A2588">
        <v>2587</v>
      </c>
      <c r="B2588">
        <v>53</v>
      </c>
      <c r="C2588" t="s">
        <v>16</v>
      </c>
      <c r="D2588" t="s">
        <v>20</v>
      </c>
      <c r="E2588" t="s">
        <v>36</v>
      </c>
      <c r="F2588" s="1">
        <v>152.44999999999999</v>
      </c>
      <c r="G2588" t="s">
        <v>19</v>
      </c>
      <c r="H2588" t="s">
        <v>15</v>
      </c>
      <c r="I2588" s="2">
        <v>3</v>
      </c>
      <c r="J2588" s="4">
        <v>19</v>
      </c>
      <c r="K2588" s="3">
        <v>7</v>
      </c>
      <c r="L2588" s="1">
        <f t="shared" si="120"/>
        <v>123.4845</v>
      </c>
      <c r="M2588" t="str" cm="1">
        <f t="array" ref="M2588">_xlfn.IFS(B2588&lt;18,"Under 18",B2588 &lt;=25,"18-25",B2588&lt;=35,"26-35",B2588&lt;=45,"36-45",B2588&lt;=60,"46-60",TRUE,"60+")</f>
        <v>46-60</v>
      </c>
      <c r="N2588" t="str">
        <f t="shared" si="121"/>
        <v>Discounted</v>
      </c>
      <c r="O2588" t="str">
        <f t="shared" si="122"/>
        <v>Returning</v>
      </c>
    </row>
    <row r="2589" spans="1:15" x14ac:dyDescent="0.25">
      <c r="A2589">
        <v>2588</v>
      </c>
      <c r="B2589">
        <v>30</v>
      </c>
      <c r="C2589" t="s">
        <v>11</v>
      </c>
      <c r="D2589" t="s">
        <v>41</v>
      </c>
      <c r="E2589" t="s">
        <v>45</v>
      </c>
      <c r="F2589" s="1">
        <v>148.18</v>
      </c>
      <c r="G2589" t="s">
        <v>24</v>
      </c>
      <c r="H2589" t="s">
        <v>15</v>
      </c>
      <c r="I2589" s="2">
        <v>4.7</v>
      </c>
      <c r="J2589" s="4">
        <v>24</v>
      </c>
      <c r="K2589" s="3">
        <v>7</v>
      </c>
      <c r="L2589" s="1">
        <f t="shared" si="120"/>
        <v>112.61680000000001</v>
      </c>
      <c r="M2589" t="str" cm="1">
        <f t="array" ref="M2589">_xlfn.IFS(B2589&lt;18,"Under 18",B2589 &lt;=25,"18-25",B2589&lt;=35,"26-35",B2589&lt;=45,"36-45",B2589&lt;=60,"46-60",TRUE,"60+")</f>
        <v>26-35</v>
      </c>
      <c r="N2589" t="str">
        <f t="shared" si="121"/>
        <v>Discounted</v>
      </c>
      <c r="O2589" t="str">
        <f t="shared" si="122"/>
        <v>Returning</v>
      </c>
    </row>
    <row r="2590" spans="1:15" x14ac:dyDescent="0.25">
      <c r="A2590">
        <v>2589</v>
      </c>
      <c r="B2590">
        <v>52</v>
      </c>
      <c r="C2590" t="s">
        <v>11</v>
      </c>
      <c r="D2590" t="s">
        <v>25</v>
      </c>
      <c r="E2590" t="s">
        <v>57</v>
      </c>
      <c r="F2590" s="1">
        <v>69.489999999999995</v>
      </c>
      <c r="G2590" t="s">
        <v>19</v>
      </c>
      <c r="H2590" t="s">
        <v>37</v>
      </c>
      <c r="I2590" s="2">
        <v>3.9</v>
      </c>
      <c r="J2590" s="4">
        <v>12</v>
      </c>
      <c r="K2590" s="3">
        <v>6</v>
      </c>
      <c r="L2590" s="1">
        <f t="shared" si="120"/>
        <v>61.151199999999996</v>
      </c>
      <c r="M2590" t="str" cm="1">
        <f t="array" ref="M2590">_xlfn.IFS(B2590&lt;18,"Under 18",B2590 &lt;=25,"18-25",B2590&lt;=35,"26-35",B2590&lt;=45,"36-45",B2590&lt;=60,"46-60",TRUE,"60+")</f>
        <v>46-60</v>
      </c>
      <c r="N2590" t="str">
        <f t="shared" si="121"/>
        <v>Discounted</v>
      </c>
      <c r="O2590" t="str">
        <f t="shared" si="122"/>
        <v>Returning</v>
      </c>
    </row>
    <row r="2591" spans="1:15" x14ac:dyDescent="0.25">
      <c r="A2591">
        <v>2590</v>
      </c>
      <c r="B2591">
        <v>28</v>
      </c>
      <c r="C2591" t="s">
        <v>11</v>
      </c>
      <c r="D2591" t="s">
        <v>33</v>
      </c>
      <c r="E2591" t="s">
        <v>38</v>
      </c>
      <c r="F2591" s="1">
        <v>221.51</v>
      </c>
      <c r="G2591" t="s">
        <v>19</v>
      </c>
      <c r="H2591" t="s">
        <v>15</v>
      </c>
      <c r="I2591" s="2">
        <v>3</v>
      </c>
      <c r="J2591" s="4">
        <v>8</v>
      </c>
      <c r="K2591" s="3">
        <v>4</v>
      </c>
      <c r="L2591" s="1">
        <f t="shared" si="120"/>
        <v>203.78919999999999</v>
      </c>
      <c r="M2591" t="str" cm="1">
        <f t="array" ref="M2591">_xlfn.IFS(B2591&lt;18,"Under 18",B2591 &lt;=25,"18-25",B2591&lt;=35,"26-35",B2591&lt;=45,"36-45",B2591&lt;=60,"46-60",TRUE,"60+")</f>
        <v>26-35</v>
      </c>
      <c r="N2591" t="str">
        <f t="shared" si="121"/>
        <v>Discounted</v>
      </c>
      <c r="O2591" t="str">
        <f t="shared" si="122"/>
        <v>Returning</v>
      </c>
    </row>
    <row r="2592" spans="1:15" x14ac:dyDescent="0.25">
      <c r="A2592">
        <v>2591</v>
      </c>
      <c r="B2592">
        <v>40</v>
      </c>
      <c r="C2592" t="s">
        <v>11</v>
      </c>
      <c r="D2592" t="s">
        <v>20</v>
      </c>
      <c r="E2592" t="s">
        <v>36</v>
      </c>
      <c r="F2592" s="1">
        <v>129.22</v>
      </c>
      <c r="G2592" t="s">
        <v>14</v>
      </c>
      <c r="H2592" t="s">
        <v>15</v>
      </c>
      <c r="I2592" s="2">
        <v>4.3</v>
      </c>
      <c r="J2592" s="4">
        <v>12</v>
      </c>
      <c r="K2592" s="3">
        <v>6</v>
      </c>
      <c r="L2592" s="1">
        <f t="shared" si="120"/>
        <v>113.7136</v>
      </c>
      <c r="M2592" t="str" cm="1">
        <f t="array" ref="M2592">_xlfn.IFS(B2592&lt;18,"Under 18",B2592 &lt;=25,"18-25",B2592&lt;=35,"26-35",B2592&lt;=45,"36-45",B2592&lt;=60,"46-60",TRUE,"60+")</f>
        <v>36-45</v>
      </c>
      <c r="N2592" t="str">
        <f t="shared" si="121"/>
        <v>Discounted</v>
      </c>
      <c r="O2592" t="str">
        <f t="shared" si="122"/>
        <v>Returning</v>
      </c>
    </row>
    <row r="2593" spans="1:15" x14ac:dyDescent="0.25">
      <c r="A2593">
        <v>2592</v>
      </c>
      <c r="B2593">
        <v>46</v>
      </c>
      <c r="C2593" t="s">
        <v>16</v>
      </c>
      <c r="D2593" t="s">
        <v>20</v>
      </c>
      <c r="E2593" t="s">
        <v>39</v>
      </c>
      <c r="F2593" s="1">
        <v>67.89</v>
      </c>
      <c r="G2593" t="s">
        <v>31</v>
      </c>
      <c r="H2593" t="s">
        <v>15</v>
      </c>
      <c r="I2593" s="2">
        <v>3.3</v>
      </c>
      <c r="J2593" s="4">
        <v>8</v>
      </c>
      <c r="K2593" s="3">
        <v>4</v>
      </c>
      <c r="L2593" s="1">
        <f t="shared" si="120"/>
        <v>62.458800000000004</v>
      </c>
      <c r="M2593" t="str" cm="1">
        <f t="array" ref="M2593">_xlfn.IFS(B2593&lt;18,"Under 18",B2593 &lt;=25,"18-25",B2593&lt;=35,"26-35",B2593&lt;=45,"36-45",B2593&lt;=60,"46-60",TRUE,"60+")</f>
        <v>46-60</v>
      </c>
      <c r="N2593" t="str">
        <f t="shared" si="121"/>
        <v>Discounted</v>
      </c>
      <c r="O2593" t="str">
        <f t="shared" si="122"/>
        <v>Returning</v>
      </c>
    </row>
    <row r="2594" spans="1:15" x14ac:dyDescent="0.25">
      <c r="A2594">
        <v>2593</v>
      </c>
      <c r="B2594">
        <v>26</v>
      </c>
      <c r="C2594" t="s">
        <v>16</v>
      </c>
      <c r="D2594" t="s">
        <v>25</v>
      </c>
      <c r="E2594" t="s">
        <v>47</v>
      </c>
      <c r="F2594" s="1">
        <v>31.17</v>
      </c>
      <c r="G2594" t="s">
        <v>14</v>
      </c>
      <c r="H2594" t="s">
        <v>37</v>
      </c>
      <c r="I2594" s="2">
        <v>3.4</v>
      </c>
      <c r="J2594" s="4">
        <v>11</v>
      </c>
      <c r="K2594" s="3">
        <v>3</v>
      </c>
      <c r="L2594" s="1">
        <f t="shared" si="120"/>
        <v>27.741300000000003</v>
      </c>
      <c r="M2594" t="str" cm="1">
        <f t="array" ref="M2594">_xlfn.IFS(B2594&lt;18,"Under 18",B2594 &lt;=25,"18-25",B2594&lt;=35,"26-35",B2594&lt;=45,"36-45",B2594&lt;=60,"46-60",TRUE,"60+")</f>
        <v>26-35</v>
      </c>
      <c r="N2594" t="str">
        <f t="shared" si="121"/>
        <v>Discounted</v>
      </c>
      <c r="O2594" t="str">
        <f t="shared" si="122"/>
        <v>Returning</v>
      </c>
    </row>
    <row r="2595" spans="1:15" x14ac:dyDescent="0.25">
      <c r="A2595">
        <v>2594</v>
      </c>
      <c r="B2595">
        <v>54</v>
      </c>
      <c r="C2595" t="s">
        <v>11</v>
      </c>
      <c r="D2595" t="s">
        <v>12</v>
      </c>
      <c r="E2595" t="s">
        <v>50</v>
      </c>
      <c r="F2595" s="1">
        <v>90.54</v>
      </c>
      <c r="G2595" t="s">
        <v>31</v>
      </c>
      <c r="H2595" t="s">
        <v>37</v>
      </c>
      <c r="I2595" s="2">
        <v>3.4</v>
      </c>
      <c r="J2595" s="4">
        <v>18</v>
      </c>
      <c r="K2595" s="3">
        <v>4</v>
      </c>
      <c r="L2595" s="1">
        <f t="shared" si="120"/>
        <v>74.242800000000017</v>
      </c>
      <c r="M2595" t="str" cm="1">
        <f t="array" ref="M2595">_xlfn.IFS(B2595&lt;18,"Under 18",B2595 &lt;=25,"18-25",B2595&lt;=35,"26-35",B2595&lt;=45,"36-45",B2595&lt;=60,"46-60",TRUE,"60+")</f>
        <v>46-60</v>
      </c>
      <c r="N2595" t="str">
        <f t="shared" si="121"/>
        <v>Discounted</v>
      </c>
      <c r="O2595" t="str">
        <f t="shared" si="122"/>
        <v>Returning</v>
      </c>
    </row>
    <row r="2596" spans="1:15" x14ac:dyDescent="0.25">
      <c r="A2596">
        <v>2595</v>
      </c>
      <c r="B2596">
        <v>34</v>
      </c>
      <c r="C2596" t="s">
        <v>16</v>
      </c>
      <c r="D2596" t="s">
        <v>17</v>
      </c>
      <c r="E2596" t="s">
        <v>18</v>
      </c>
      <c r="F2596" s="1">
        <v>62.19</v>
      </c>
      <c r="G2596" t="s">
        <v>24</v>
      </c>
      <c r="H2596" t="s">
        <v>37</v>
      </c>
      <c r="I2596" s="2">
        <v>4.0999999999999996</v>
      </c>
      <c r="J2596" s="4">
        <v>18</v>
      </c>
      <c r="K2596" s="3">
        <v>4</v>
      </c>
      <c r="L2596" s="1">
        <f t="shared" si="120"/>
        <v>50.995800000000003</v>
      </c>
      <c r="M2596" t="str" cm="1">
        <f t="array" ref="M2596">_xlfn.IFS(B2596&lt;18,"Under 18",B2596 &lt;=25,"18-25",B2596&lt;=35,"26-35",B2596&lt;=45,"36-45",B2596&lt;=60,"46-60",TRUE,"60+")</f>
        <v>26-35</v>
      </c>
      <c r="N2596" t="str">
        <f t="shared" si="121"/>
        <v>Discounted</v>
      </c>
      <c r="O2596" t="str">
        <f t="shared" si="122"/>
        <v>Returning</v>
      </c>
    </row>
    <row r="2597" spans="1:15" x14ac:dyDescent="0.25">
      <c r="A2597">
        <v>2596</v>
      </c>
      <c r="B2597">
        <v>53</v>
      </c>
      <c r="C2597" t="s">
        <v>11</v>
      </c>
      <c r="D2597" t="s">
        <v>33</v>
      </c>
      <c r="E2597" t="s">
        <v>40</v>
      </c>
      <c r="F2597" s="1">
        <v>160.62</v>
      </c>
      <c r="G2597" t="s">
        <v>31</v>
      </c>
      <c r="H2597" t="s">
        <v>15</v>
      </c>
      <c r="I2597" s="2">
        <v>3.4</v>
      </c>
      <c r="J2597" s="4">
        <v>21</v>
      </c>
      <c r="K2597" s="3">
        <v>8</v>
      </c>
      <c r="L2597" s="1">
        <f t="shared" si="120"/>
        <v>126.88980000000001</v>
      </c>
      <c r="M2597" t="str" cm="1">
        <f t="array" ref="M2597">_xlfn.IFS(B2597&lt;18,"Under 18",B2597 &lt;=25,"18-25",B2597&lt;=35,"26-35",B2597&lt;=45,"36-45",B2597&lt;=60,"46-60",TRUE,"60+")</f>
        <v>46-60</v>
      </c>
      <c r="N2597" t="str">
        <f t="shared" si="121"/>
        <v>Discounted</v>
      </c>
      <c r="O2597" t="str">
        <f t="shared" si="122"/>
        <v>Returning</v>
      </c>
    </row>
    <row r="2598" spans="1:15" x14ac:dyDescent="0.25">
      <c r="A2598">
        <v>2597</v>
      </c>
      <c r="B2598">
        <v>53</v>
      </c>
      <c r="C2598" t="s">
        <v>16</v>
      </c>
      <c r="D2598" t="s">
        <v>27</v>
      </c>
      <c r="E2598" t="s">
        <v>49</v>
      </c>
      <c r="F2598" s="1">
        <v>2661.25</v>
      </c>
      <c r="G2598" t="s">
        <v>19</v>
      </c>
      <c r="H2598" t="s">
        <v>15</v>
      </c>
      <c r="I2598" s="2">
        <v>4.5</v>
      </c>
      <c r="J2598" s="4">
        <v>24</v>
      </c>
      <c r="K2598" s="3">
        <v>7</v>
      </c>
      <c r="L2598" s="1">
        <f t="shared" si="120"/>
        <v>2022.55</v>
      </c>
      <c r="M2598" t="str" cm="1">
        <f t="array" ref="M2598">_xlfn.IFS(B2598&lt;18,"Under 18",B2598 &lt;=25,"18-25",B2598&lt;=35,"26-35",B2598&lt;=45,"36-45",B2598&lt;=60,"46-60",TRUE,"60+")</f>
        <v>46-60</v>
      </c>
      <c r="N2598" t="str">
        <f t="shared" si="121"/>
        <v>Discounted</v>
      </c>
      <c r="O2598" t="str">
        <f t="shared" si="122"/>
        <v>Returning</v>
      </c>
    </row>
    <row r="2599" spans="1:15" x14ac:dyDescent="0.25">
      <c r="A2599">
        <v>2598</v>
      </c>
      <c r="B2599">
        <v>60</v>
      </c>
      <c r="C2599" t="s">
        <v>11</v>
      </c>
      <c r="D2599" t="s">
        <v>41</v>
      </c>
      <c r="E2599" t="s">
        <v>45</v>
      </c>
      <c r="F2599" s="1">
        <v>57.4</v>
      </c>
      <c r="G2599" t="s">
        <v>24</v>
      </c>
      <c r="H2599" t="s">
        <v>37</v>
      </c>
      <c r="I2599" s="2">
        <v>3.3</v>
      </c>
      <c r="J2599" s="4">
        <v>17</v>
      </c>
      <c r="K2599" s="3">
        <v>6</v>
      </c>
      <c r="L2599" s="1">
        <f t="shared" si="120"/>
        <v>47.641999999999996</v>
      </c>
      <c r="M2599" t="str" cm="1">
        <f t="array" ref="M2599">_xlfn.IFS(B2599&lt;18,"Under 18",B2599 &lt;=25,"18-25",B2599&lt;=35,"26-35",B2599&lt;=45,"36-45",B2599&lt;=60,"46-60",TRUE,"60+")</f>
        <v>46-60</v>
      </c>
      <c r="N2599" t="str">
        <f t="shared" si="121"/>
        <v>Discounted</v>
      </c>
      <c r="O2599" t="str">
        <f t="shared" si="122"/>
        <v>Returning</v>
      </c>
    </row>
    <row r="2600" spans="1:15" x14ac:dyDescent="0.25">
      <c r="A2600">
        <v>2599</v>
      </c>
      <c r="B2600">
        <v>24</v>
      </c>
      <c r="C2600" t="s">
        <v>16</v>
      </c>
      <c r="D2600" t="s">
        <v>17</v>
      </c>
      <c r="E2600" t="s">
        <v>48</v>
      </c>
      <c r="F2600" s="1">
        <v>38.57</v>
      </c>
      <c r="G2600" t="s">
        <v>31</v>
      </c>
      <c r="H2600" t="s">
        <v>15</v>
      </c>
      <c r="I2600" s="2">
        <v>3.5</v>
      </c>
      <c r="J2600" s="4">
        <v>6</v>
      </c>
      <c r="K2600" s="3">
        <v>3</v>
      </c>
      <c r="L2600" s="1">
        <f t="shared" si="120"/>
        <v>36.255800000000001</v>
      </c>
      <c r="M2600" t="str" cm="1">
        <f t="array" ref="M2600">_xlfn.IFS(B2600&lt;18,"Under 18",B2600 &lt;=25,"18-25",B2600&lt;=35,"26-35",B2600&lt;=45,"36-45",B2600&lt;=60,"46-60",TRUE,"60+")</f>
        <v>18-25</v>
      </c>
      <c r="N2600" t="str">
        <f t="shared" si="121"/>
        <v>Discounted</v>
      </c>
      <c r="O2600" t="str">
        <f t="shared" si="122"/>
        <v>Returning</v>
      </c>
    </row>
    <row r="2601" spans="1:15" x14ac:dyDescent="0.25">
      <c r="A2601">
        <v>2600</v>
      </c>
      <c r="B2601">
        <v>29</v>
      </c>
      <c r="C2601" t="s">
        <v>11</v>
      </c>
      <c r="D2601" t="s">
        <v>33</v>
      </c>
      <c r="E2601" t="s">
        <v>38</v>
      </c>
      <c r="F2601" s="1">
        <v>57.06</v>
      </c>
      <c r="G2601" t="s">
        <v>14</v>
      </c>
      <c r="H2601" t="s">
        <v>15</v>
      </c>
      <c r="I2601" s="2">
        <v>4.0999999999999996</v>
      </c>
      <c r="J2601" s="4">
        <v>12</v>
      </c>
      <c r="K2601" s="3">
        <v>6</v>
      </c>
      <c r="L2601" s="1">
        <f t="shared" si="120"/>
        <v>50.212800000000001</v>
      </c>
      <c r="M2601" t="str" cm="1">
        <f t="array" ref="M2601">_xlfn.IFS(B2601&lt;18,"Under 18",B2601 &lt;=25,"18-25",B2601&lt;=35,"26-35",B2601&lt;=45,"36-45",B2601&lt;=60,"46-60",TRUE,"60+")</f>
        <v>26-35</v>
      </c>
      <c r="N2601" t="str">
        <f t="shared" si="121"/>
        <v>Discounted</v>
      </c>
      <c r="O2601" t="str">
        <f t="shared" si="122"/>
        <v>Returning</v>
      </c>
    </row>
    <row r="2602" spans="1:15" x14ac:dyDescent="0.25">
      <c r="A2602">
        <v>2601</v>
      </c>
      <c r="B2602">
        <v>64</v>
      </c>
      <c r="C2602" t="s">
        <v>16</v>
      </c>
      <c r="D2602" t="s">
        <v>25</v>
      </c>
      <c r="E2602" t="s">
        <v>47</v>
      </c>
      <c r="F2602" s="1">
        <v>49.9</v>
      </c>
      <c r="G2602" t="s">
        <v>31</v>
      </c>
      <c r="H2602" t="s">
        <v>15</v>
      </c>
      <c r="I2602" s="2">
        <v>4.2</v>
      </c>
      <c r="J2602" s="4">
        <v>14</v>
      </c>
      <c r="K2602" s="3">
        <v>7</v>
      </c>
      <c r="L2602" s="1">
        <f t="shared" si="120"/>
        <v>42.914000000000001</v>
      </c>
      <c r="M2602" t="str" cm="1">
        <f t="array" ref="M2602">_xlfn.IFS(B2602&lt;18,"Under 18",B2602 &lt;=25,"18-25",B2602&lt;=35,"26-35",B2602&lt;=45,"36-45",B2602&lt;=60,"46-60",TRUE,"60+")</f>
        <v>60+</v>
      </c>
      <c r="N2602" t="str">
        <f t="shared" si="121"/>
        <v>Discounted</v>
      </c>
      <c r="O2602" t="str">
        <f t="shared" si="122"/>
        <v>Returning</v>
      </c>
    </row>
    <row r="2603" spans="1:15" x14ac:dyDescent="0.25">
      <c r="A2603">
        <v>2602</v>
      </c>
      <c r="B2603">
        <v>48</v>
      </c>
      <c r="C2603" t="s">
        <v>11</v>
      </c>
      <c r="D2603" t="s">
        <v>12</v>
      </c>
      <c r="E2603" t="s">
        <v>13</v>
      </c>
      <c r="F2603" s="1">
        <v>142.62</v>
      </c>
      <c r="G2603" t="s">
        <v>14</v>
      </c>
      <c r="H2603" t="s">
        <v>15</v>
      </c>
      <c r="I2603" s="2">
        <v>3.6</v>
      </c>
      <c r="J2603" s="4">
        <v>18</v>
      </c>
      <c r="K2603" s="3">
        <v>9</v>
      </c>
      <c r="L2603" s="1">
        <f t="shared" si="120"/>
        <v>116.94840000000001</v>
      </c>
      <c r="M2603" t="str" cm="1">
        <f t="array" ref="M2603">_xlfn.IFS(B2603&lt;18,"Under 18",B2603 &lt;=25,"18-25",B2603&lt;=35,"26-35",B2603&lt;=45,"36-45",B2603&lt;=60,"46-60",TRUE,"60+")</f>
        <v>46-60</v>
      </c>
      <c r="N2603" t="str">
        <f t="shared" si="121"/>
        <v>Discounted</v>
      </c>
      <c r="O2603" t="str">
        <f t="shared" si="122"/>
        <v>Returning</v>
      </c>
    </row>
    <row r="2604" spans="1:15" x14ac:dyDescent="0.25">
      <c r="A2604">
        <v>2603</v>
      </c>
      <c r="B2604">
        <v>55</v>
      </c>
      <c r="C2604" t="s">
        <v>16</v>
      </c>
      <c r="D2604" t="s">
        <v>17</v>
      </c>
      <c r="E2604" t="s">
        <v>42</v>
      </c>
      <c r="F2604" s="1">
        <v>90.45</v>
      </c>
      <c r="G2604" t="s">
        <v>19</v>
      </c>
      <c r="H2604" t="s">
        <v>37</v>
      </c>
      <c r="I2604" s="2">
        <v>3.3</v>
      </c>
      <c r="J2604" s="4">
        <v>8</v>
      </c>
      <c r="K2604" s="3">
        <v>4</v>
      </c>
      <c r="L2604" s="1">
        <f t="shared" si="120"/>
        <v>83.214000000000013</v>
      </c>
      <c r="M2604" t="str" cm="1">
        <f t="array" ref="M2604">_xlfn.IFS(B2604&lt;18,"Under 18",B2604 &lt;=25,"18-25",B2604&lt;=35,"26-35",B2604&lt;=45,"36-45",B2604&lt;=60,"46-60",TRUE,"60+")</f>
        <v>46-60</v>
      </c>
      <c r="N2604" t="str">
        <f t="shared" si="121"/>
        <v>Discounted</v>
      </c>
      <c r="O2604" t="str">
        <f t="shared" si="122"/>
        <v>Returning</v>
      </c>
    </row>
    <row r="2605" spans="1:15" x14ac:dyDescent="0.25">
      <c r="A2605">
        <v>2604</v>
      </c>
      <c r="B2605">
        <v>59</v>
      </c>
      <c r="C2605" t="s">
        <v>16</v>
      </c>
      <c r="D2605" t="s">
        <v>20</v>
      </c>
      <c r="E2605" t="s">
        <v>36</v>
      </c>
      <c r="F2605" s="1">
        <v>207.97</v>
      </c>
      <c r="G2605" t="s">
        <v>19</v>
      </c>
      <c r="H2605" t="s">
        <v>15</v>
      </c>
      <c r="I2605" s="2">
        <v>4.5</v>
      </c>
      <c r="J2605" s="4">
        <v>13</v>
      </c>
      <c r="K2605" s="3">
        <v>4</v>
      </c>
      <c r="L2605" s="1">
        <f t="shared" si="120"/>
        <v>180.93389999999999</v>
      </c>
      <c r="M2605" t="str" cm="1">
        <f t="array" ref="M2605">_xlfn.IFS(B2605&lt;18,"Under 18",B2605 &lt;=25,"18-25",B2605&lt;=35,"26-35",B2605&lt;=45,"36-45",B2605&lt;=60,"46-60",TRUE,"60+")</f>
        <v>46-60</v>
      </c>
      <c r="N2605" t="str">
        <f t="shared" si="121"/>
        <v>Discounted</v>
      </c>
      <c r="O2605" t="str">
        <f t="shared" si="122"/>
        <v>Returning</v>
      </c>
    </row>
    <row r="2606" spans="1:15" x14ac:dyDescent="0.25">
      <c r="A2606">
        <v>2605</v>
      </c>
      <c r="B2606">
        <v>29</v>
      </c>
      <c r="C2606" t="s">
        <v>16</v>
      </c>
      <c r="D2606" t="s">
        <v>20</v>
      </c>
      <c r="E2606" t="s">
        <v>39</v>
      </c>
      <c r="F2606" s="1">
        <v>78.87</v>
      </c>
      <c r="G2606" t="s">
        <v>31</v>
      </c>
      <c r="H2606" t="s">
        <v>37</v>
      </c>
      <c r="I2606" s="2">
        <v>3.9</v>
      </c>
      <c r="J2606" s="4">
        <v>17</v>
      </c>
      <c r="K2606" s="3">
        <v>6</v>
      </c>
      <c r="L2606" s="1">
        <f t="shared" si="120"/>
        <v>65.462100000000007</v>
      </c>
      <c r="M2606" t="str" cm="1">
        <f t="array" ref="M2606">_xlfn.IFS(B2606&lt;18,"Under 18",B2606 &lt;=25,"18-25",B2606&lt;=35,"26-35",B2606&lt;=45,"36-45",B2606&lt;=60,"46-60",TRUE,"60+")</f>
        <v>26-35</v>
      </c>
      <c r="N2606" t="str">
        <f t="shared" si="121"/>
        <v>Discounted</v>
      </c>
      <c r="O2606" t="str">
        <f t="shared" si="122"/>
        <v>Returning</v>
      </c>
    </row>
    <row r="2607" spans="1:15" x14ac:dyDescent="0.25">
      <c r="A2607">
        <v>2606</v>
      </c>
      <c r="B2607">
        <v>47</v>
      </c>
      <c r="C2607" t="s">
        <v>16</v>
      </c>
      <c r="D2607" t="s">
        <v>17</v>
      </c>
      <c r="E2607" t="s">
        <v>35</v>
      </c>
      <c r="F2607" s="1">
        <v>160.26</v>
      </c>
      <c r="G2607" t="s">
        <v>31</v>
      </c>
      <c r="H2607" t="s">
        <v>15</v>
      </c>
      <c r="I2607" s="2">
        <v>3.7</v>
      </c>
      <c r="J2607" s="4">
        <v>20</v>
      </c>
      <c r="K2607" s="3">
        <v>5</v>
      </c>
      <c r="L2607" s="1">
        <f t="shared" si="120"/>
        <v>128.208</v>
      </c>
      <c r="M2607" t="str" cm="1">
        <f t="array" ref="M2607">_xlfn.IFS(B2607&lt;18,"Under 18",B2607 &lt;=25,"18-25",B2607&lt;=35,"26-35",B2607&lt;=45,"36-45",B2607&lt;=60,"46-60",TRUE,"60+")</f>
        <v>46-60</v>
      </c>
      <c r="N2607" t="str">
        <f t="shared" si="121"/>
        <v>Discounted</v>
      </c>
      <c r="O2607" t="str">
        <f t="shared" si="122"/>
        <v>Returning</v>
      </c>
    </row>
    <row r="2608" spans="1:15" x14ac:dyDescent="0.25">
      <c r="A2608">
        <v>2607</v>
      </c>
      <c r="B2608">
        <v>27</v>
      </c>
      <c r="C2608" t="s">
        <v>16</v>
      </c>
      <c r="D2608" t="s">
        <v>20</v>
      </c>
      <c r="E2608" t="s">
        <v>21</v>
      </c>
      <c r="F2608" s="1">
        <v>227.6</v>
      </c>
      <c r="G2608" t="s">
        <v>24</v>
      </c>
      <c r="H2608" t="s">
        <v>15</v>
      </c>
      <c r="I2608" s="2">
        <v>4.9000000000000004</v>
      </c>
      <c r="J2608" s="4">
        <v>14</v>
      </c>
      <c r="K2608" s="3">
        <v>2</v>
      </c>
      <c r="L2608" s="1">
        <f t="shared" si="120"/>
        <v>195.73599999999999</v>
      </c>
      <c r="M2608" t="str" cm="1">
        <f t="array" ref="M2608">_xlfn.IFS(B2608&lt;18,"Under 18",B2608 &lt;=25,"18-25",B2608&lt;=35,"26-35",B2608&lt;=45,"36-45",B2608&lt;=60,"46-60",TRUE,"60+")</f>
        <v>26-35</v>
      </c>
      <c r="N2608" t="str">
        <f t="shared" si="121"/>
        <v>Discounted</v>
      </c>
      <c r="O2608" t="str">
        <f t="shared" si="122"/>
        <v>Returning</v>
      </c>
    </row>
    <row r="2609" spans="1:15" x14ac:dyDescent="0.25">
      <c r="A2609">
        <v>2608</v>
      </c>
      <c r="B2609">
        <v>37</v>
      </c>
      <c r="C2609" t="s">
        <v>11</v>
      </c>
      <c r="D2609" t="s">
        <v>33</v>
      </c>
      <c r="E2609" t="s">
        <v>38</v>
      </c>
      <c r="F2609" s="1">
        <v>62.2</v>
      </c>
      <c r="G2609" t="s">
        <v>31</v>
      </c>
      <c r="H2609" t="s">
        <v>37</v>
      </c>
      <c r="I2609" s="2">
        <v>4</v>
      </c>
      <c r="J2609" s="4">
        <v>18</v>
      </c>
      <c r="K2609" s="3">
        <v>9</v>
      </c>
      <c r="L2609" s="1">
        <f t="shared" si="120"/>
        <v>51.004000000000005</v>
      </c>
      <c r="M2609" t="str" cm="1">
        <f t="array" ref="M2609">_xlfn.IFS(B2609&lt;18,"Under 18",B2609 &lt;=25,"18-25",B2609&lt;=35,"26-35",B2609&lt;=45,"36-45",B2609&lt;=60,"46-60",TRUE,"60+")</f>
        <v>36-45</v>
      </c>
      <c r="N2609" t="str">
        <f t="shared" si="121"/>
        <v>Discounted</v>
      </c>
      <c r="O2609" t="str">
        <f t="shared" si="122"/>
        <v>Returning</v>
      </c>
    </row>
    <row r="2610" spans="1:15" x14ac:dyDescent="0.25">
      <c r="A2610">
        <v>2609</v>
      </c>
      <c r="B2610">
        <v>30</v>
      </c>
      <c r="C2610" t="s">
        <v>16</v>
      </c>
      <c r="D2610" t="s">
        <v>17</v>
      </c>
      <c r="E2610" t="s">
        <v>18</v>
      </c>
      <c r="F2610" s="1">
        <v>111.07</v>
      </c>
      <c r="G2610" t="s">
        <v>19</v>
      </c>
      <c r="H2610" t="s">
        <v>15</v>
      </c>
      <c r="I2610" s="2">
        <v>3.9</v>
      </c>
      <c r="J2610" s="4">
        <v>23</v>
      </c>
      <c r="K2610" s="3">
        <v>9</v>
      </c>
      <c r="L2610" s="1">
        <f t="shared" si="120"/>
        <v>85.523899999999998</v>
      </c>
      <c r="M2610" t="str" cm="1">
        <f t="array" ref="M2610">_xlfn.IFS(B2610&lt;18,"Under 18",B2610 &lt;=25,"18-25",B2610&lt;=35,"26-35",B2610&lt;=45,"36-45",B2610&lt;=60,"46-60",TRUE,"60+")</f>
        <v>26-35</v>
      </c>
      <c r="N2610" t="str">
        <f t="shared" si="121"/>
        <v>Discounted</v>
      </c>
      <c r="O2610" t="str">
        <f t="shared" si="122"/>
        <v>Returning</v>
      </c>
    </row>
    <row r="2611" spans="1:15" x14ac:dyDescent="0.25">
      <c r="A2611">
        <v>2610</v>
      </c>
      <c r="B2611">
        <v>44</v>
      </c>
      <c r="C2611" t="s">
        <v>16</v>
      </c>
      <c r="D2611" t="s">
        <v>22</v>
      </c>
      <c r="E2611" t="s">
        <v>43</v>
      </c>
      <c r="F2611" s="1">
        <v>136.96</v>
      </c>
      <c r="G2611" t="s">
        <v>31</v>
      </c>
      <c r="H2611" t="s">
        <v>15</v>
      </c>
      <c r="I2611" s="2">
        <v>2.5</v>
      </c>
      <c r="J2611" s="4">
        <v>19</v>
      </c>
      <c r="K2611" s="3">
        <v>7</v>
      </c>
      <c r="L2611" s="1">
        <f t="shared" si="120"/>
        <v>110.93760000000002</v>
      </c>
      <c r="M2611" t="str" cm="1">
        <f t="array" ref="M2611">_xlfn.IFS(B2611&lt;18,"Under 18",B2611 &lt;=25,"18-25",B2611&lt;=35,"26-35",B2611&lt;=45,"36-45",B2611&lt;=60,"46-60",TRUE,"60+")</f>
        <v>36-45</v>
      </c>
      <c r="N2611" t="str">
        <f t="shared" si="121"/>
        <v>Discounted</v>
      </c>
      <c r="O2611" t="str">
        <f t="shared" si="122"/>
        <v>Returning</v>
      </c>
    </row>
    <row r="2612" spans="1:15" x14ac:dyDescent="0.25">
      <c r="A2612">
        <v>2611</v>
      </c>
      <c r="B2612">
        <v>28</v>
      </c>
      <c r="C2612" t="s">
        <v>11</v>
      </c>
      <c r="D2612" t="s">
        <v>20</v>
      </c>
      <c r="E2612" t="s">
        <v>39</v>
      </c>
      <c r="F2612" s="1">
        <v>99.34</v>
      </c>
      <c r="G2612" t="s">
        <v>24</v>
      </c>
      <c r="H2612" t="s">
        <v>37</v>
      </c>
      <c r="I2612" s="2">
        <v>4.0999999999999996</v>
      </c>
      <c r="J2612" s="4">
        <v>15</v>
      </c>
      <c r="K2612" s="3">
        <v>5</v>
      </c>
      <c r="L2612" s="1">
        <f t="shared" si="120"/>
        <v>84.439000000000007</v>
      </c>
      <c r="M2612" t="str" cm="1">
        <f t="array" ref="M2612">_xlfn.IFS(B2612&lt;18,"Under 18",B2612 &lt;=25,"18-25",B2612&lt;=35,"26-35",B2612&lt;=45,"36-45",B2612&lt;=60,"46-60",TRUE,"60+")</f>
        <v>26-35</v>
      </c>
      <c r="N2612" t="str">
        <f t="shared" si="121"/>
        <v>Discounted</v>
      </c>
      <c r="O2612" t="str">
        <f t="shared" si="122"/>
        <v>Returning</v>
      </c>
    </row>
    <row r="2613" spans="1:15" x14ac:dyDescent="0.25">
      <c r="A2613">
        <v>2612</v>
      </c>
      <c r="B2613">
        <v>58</v>
      </c>
      <c r="C2613" t="s">
        <v>11</v>
      </c>
      <c r="D2613" t="s">
        <v>29</v>
      </c>
      <c r="E2613" t="s">
        <v>55</v>
      </c>
      <c r="F2613" s="1">
        <v>59.64</v>
      </c>
      <c r="G2613" t="s">
        <v>19</v>
      </c>
      <c r="H2613" t="s">
        <v>37</v>
      </c>
      <c r="I2613" s="2">
        <v>3.1</v>
      </c>
      <c r="J2613" s="4">
        <v>15</v>
      </c>
      <c r="K2613" s="3">
        <v>5</v>
      </c>
      <c r="L2613" s="1">
        <f t="shared" si="120"/>
        <v>50.694000000000003</v>
      </c>
      <c r="M2613" t="str" cm="1">
        <f t="array" ref="M2613">_xlfn.IFS(B2613&lt;18,"Under 18",B2613 &lt;=25,"18-25",B2613&lt;=35,"26-35",B2613&lt;=45,"36-45",B2613&lt;=60,"46-60",TRUE,"60+")</f>
        <v>46-60</v>
      </c>
      <c r="N2613" t="str">
        <f t="shared" si="121"/>
        <v>Discounted</v>
      </c>
      <c r="O2613" t="str">
        <f t="shared" si="122"/>
        <v>Returning</v>
      </c>
    </row>
    <row r="2614" spans="1:15" x14ac:dyDescent="0.25">
      <c r="A2614">
        <v>2613</v>
      </c>
      <c r="B2614">
        <v>67</v>
      </c>
      <c r="C2614" t="s">
        <v>11</v>
      </c>
      <c r="D2614" t="s">
        <v>41</v>
      </c>
      <c r="E2614" t="s">
        <v>46</v>
      </c>
      <c r="F2614" s="1">
        <v>44.95</v>
      </c>
      <c r="G2614" t="s">
        <v>24</v>
      </c>
      <c r="H2614" t="s">
        <v>15</v>
      </c>
      <c r="I2614" s="2">
        <v>2.8</v>
      </c>
      <c r="J2614" s="4">
        <v>12</v>
      </c>
      <c r="K2614" s="3">
        <v>6</v>
      </c>
      <c r="L2614" s="1">
        <f t="shared" si="120"/>
        <v>39.556000000000004</v>
      </c>
      <c r="M2614" t="str" cm="1">
        <f t="array" ref="M2614">_xlfn.IFS(B2614&lt;18,"Under 18",B2614 &lt;=25,"18-25",B2614&lt;=35,"26-35",B2614&lt;=45,"36-45",B2614&lt;=60,"46-60",TRUE,"60+")</f>
        <v>60+</v>
      </c>
      <c r="N2614" t="str">
        <f t="shared" si="121"/>
        <v>Discounted</v>
      </c>
      <c r="O2614" t="str">
        <f t="shared" si="122"/>
        <v>Returning</v>
      </c>
    </row>
    <row r="2615" spans="1:15" x14ac:dyDescent="0.25">
      <c r="A2615">
        <v>2614</v>
      </c>
      <c r="B2615">
        <v>58</v>
      </c>
      <c r="C2615" t="s">
        <v>16</v>
      </c>
      <c r="D2615" t="s">
        <v>27</v>
      </c>
      <c r="E2615" t="s">
        <v>28</v>
      </c>
      <c r="F2615" s="1">
        <v>926.5</v>
      </c>
      <c r="G2615" t="s">
        <v>31</v>
      </c>
      <c r="H2615" t="s">
        <v>15</v>
      </c>
      <c r="I2615" s="2">
        <v>4.3</v>
      </c>
      <c r="J2615" s="4">
        <v>6</v>
      </c>
      <c r="K2615" s="3">
        <v>3</v>
      </c>
      <c r="L2615" s="1">
        <f t="shared" si="120"/>
        <v>870.91</v>
      </c>
      <c r="M2615" t="str" cm="1">
        <f t="array" ref="M2615">_xlfn.IFS(B2615&lt;18,"Under 18",B2615 &lt;=25,"18-25",B2615&lt;=35,"26-35",B2615&lt;=45,"36-45",B2615&lt;=60,"46-60",TRUE,"60+")</f>
        <v>46-60</v>
      </c>
      <c r="N2615" t="str">
        <f t="shared" si="121"/>
        <v>Discounted</v>
      </c>
      <c r="O2615" t="str">
        <f t="shared" si="122"/>
        <v>Returning</v>
      </c>
    </row>
    <row r="2616" spans="1:15" x14ac:dyDescent="0.25">
      <c r="A2616">
        <v>2615</v>
      </c>
      <c r="B2616">
        <v>45</v>
      </c>
      <c r="C2616" t="s">
        <v>11</v>
      </c>
      <c r="D2616" t="s">
        <v>25</v>
      </c>
      <c r="E2616" t="s">
        <v>57</v>
      </c>
      <c r="F2616" s="1">
        <v>59.98</v>
      </c>
      <c r="G2616" t="s">
        <v>31</v>
      </c>
      <c r="H2616" t="s">
        <v>15</v>
      </c>
      <c r="I2616" s="2">
        <v>4</v>
      </c>
      <c r="J2616" s="4">
        <v>6</v>
      </c>
      <c r="K2616" s="3">
        <v>3</v>
      </c>
      <c r="L2616" s="1">
        <f t="shared" si="120"/>
        <v>56.381199999999993</v>
      </c>
      <c r="M2616" t="str" cm="1">
        <f t="array" ref="M2616">_xlfn.IFS(B2616&lt;18,"Under 18",B2616 &lt;=25,"18-25",B2616&lt;=35,"26-35",B2616&lt;=45,"36-45",B2616&lt;=60,"46-60",TRUE,"60+")</f>
        <v>36-45</v>
      </c>
      <c r="N2616" t="str">
        <f t="shared" si="121"/>
        <v>Discounted</v>
      </c>
      <c r="O2616" t="str">
        <f t="shared" si="122"/>
        <v>Returning</v>
      </c>
    </row>
    <row r="2617" spans="1:15" x14ac:dyDescent="0.25">
      <c r="A2617">
        <v>2616</v>
      </c>
      <c r="B2617">
        <v>26</v>
      </c>
      <c r="C2617" t="s">
        <v>16</v>
      </c>
      <c r="D2617" t="s">
        <v>20</v>
      </c>
      <c r="E2617" t="s">
        <v>36</v>
      </c>
      <c r="F2617" s="1">
        <v>188.94</v>
      </c>
      <c r="G2617" t="s">
        <v>24</v>
      </c>
      <c r="H2617" t="s">
        <v>15</v>
      </c>
      <c r="I2617" s="2">
        <v>4.3</v>
      </c>
      <c r="J2617" s="4">
        <v>18</v>
      </c>
      <c r="K2617" s="3">
        <v>4</v>
      </c>
      <c r="L2617" s="1">
        <f t="shared" si="120"/>
        <v>154.9308</v>
      </c>
      <c r="M2617" t="str" cm="1">
        <f t="array" ref="M2617">_xlfn.IFS(B2617&lt;18,"Under 18",B2617 &lt;=25,"18-25",B2617&lt;=35,"26-35",B2617&lt;=45,"36-45",B2617&lt;=60,"46-60",TRUE,"60+")</f>
        <v>26-35</v>
      </c>
      <c r="N2617" t="str">
        <f t="shared" si="121"/>
        <v>Discounted</v>
      </c>
      <c r="O2617" t="str">
        <f t="shared" si="122"/>
        <v>Returning</v>
      </c>
    </row>
    <row r="2618" spans="1:15" x14ac:dyDescent="0.25">
      <c r="A2618">
        <v>2617</v>
      </c>
      <c r="B2618">
        <v>56</v>
      </c>
      <c r="C2618" t="s">
        <v>11</v>
      </c>
      <c r="D2618" t="s">
        <v>33</v>
      </c>
      <c r="E2618" t="s">
        <v>40</v>
      </c>
      <c r="F2618" s="1">
        <v>177.97</v>
      </c>
      <c r="G2618" t="s">
        <v>19</v>
      </c>
      <c r="H2618" t="s">
        <v>15</v>
      </c>
      <c r="I2618" s="2">
        <v>4</v>
      </c>
      <c r="J2618" s="4">
        <v>20</v>
      </c>
      <c r="K2618" s="3">
        <v>10</v>
      </c>
      <c r="L2618" s="1">
        <f t="shared" si="120"/>
        <v>142.376</v>
      </c>
      <c r="M2618" t="str" cm="1">
        <f t="array" ref="M2618">_xlfn.IFS(B2618&lt;18,"Under 18",B2618 &lt;=25,"18-25",B2618&lt;=35,"26-35",B2618&lt;=45,"36-45",B2618&lt;=60,"46-60",TRUE,"60+")</f>
        <v>46-60</v>
      </c>
      <c r="N2618" t="str">
        <f t="shared" si="121"/>
        <v>Discounted</v>
      </c>
      <c r="O2618" t="str">
        <f t="shared" si="122"/>
        <v>Returning</v>
      </c>
    </row>
    <row r="2619" spans="1:15" x14ac:dyDescent="0.25">
      <c r="A2619">
        <v>2618</v>
      </c>
      <c r="B2619">
        <v>50</v>
      </c>
      <c r="C2619" t="s">
        <v>11</v>
      </c>
      <c r="D2619" t="s">
        <v>12</v>
      </c>
      <c r="E2619" t="s">
        <v>56</v>
      </c>
      <c r="F2619" s="1">
        <v>128.68</v>
      </c>
      <c r="G2619" t="s">
        <v>19</v>
      </c>
      <c r="H2619" t="s">
        <v>15</v>
      </c>
      <c r="I2619" s="2">
        <v>3.7</v>
      </c>
      <c r="J2619" s="4">
        <v>11</v>
      </c>
      <c r="K2619" s="3">
        <v>3</v>
      </c>
      <c r="L2619" s="1">
        <f t="shared" si="120"/>
        <v>114.52520000000001</v>
      </c>
      <c r="M2619" t="str" cm="1">
        <f t="array" ref="M2619">_xlfn.IFS(B2619&lt;18,"Under 18",B2619 &lt;=25,"18-25",B2619&lt;=35,"26-35",B2619&lt;=45,"36-45",B2619&lt;=60,"46-60",TRUE,"60+")</f>
        <v>46-60</v>
      </c>
      <c r="N2619" t="str">
        <f t="shared" si="121"/>
        <v>Discounted</v>
      </c>
      <c r="O2619" t="str">
        <f t="shared" si="122"/>
        <v>Returning</v>
      </c>
    </row>
    <row r="2620" spans="1:15" x14ac:dyDescent="0.25">
      <c r="A2620">
        <v>2619</v>
      </c>
      <c r="B2620">
        <v>48</v>
      </c>
      <c r="C2620" t="s">
        <v>16</v>
      </c>
      <c r="D2620" t="s">
        <v>20</v>
      </c>
      <c r="E2620" t="s">
        <v>21</v>
      </c>
      <c r="F2620" s="1">
        <v>137.66999999999999</v>
      </c>
      <c r="G2620" t="s">
        <v>19</v>
      </c>
      <c r="H2620" t="s">
        <v>15</v>
      </c>
      <c r="I2620" s="2">
        <v>3.7</v>
      </c>
      <c r="J2620" s="4">
        <v>4</v>
      </c>
      <c r="K2620" s="3">
        <v>2</v>
      </c>
      <c r="L2620" s="1">
        <f t="shared" si="120"/>
        <v>132.16319999999999</v>
      </c>
      <c r="M2620" t="str" cm="1">
        <f t="array" ref="M2620">_xlfn.IFS(B2620&lt;18,"Under 18",B2620 &lt;=25,"18-25",B2620&lt;=35,"26-35",B2620&lt;=45,"36-45",B2620&lt;=60,"46-60",TRUE,"60+")</f>
        <v>46-60</v>
      </c>
      <c r="N2620" t="str">
        <f t="shared" si="121"/>
        <v>Discounted</v>
      </c>
      <c r="O2620" t="str">
        <f t="shared" si="122"/>
        <v>Returning</v>
      </c>
    </row>
    <row r="2621" spans="1:15" x14ac:dyDescent="0.25">
      <c r="A2621">
        <v>2620</v>
      </c>
      <c r="B2621">
        <v>28</v>
      </c>
      <c r="C2621" t="s">
        <v>16</v>
      </c>
      <c r="D2621" t="s">
        <v>17</v>
      </c>
      <c r="E2621" t="s">
        <v>42</v>
      </c>
      <c r="F2621" s="1">
        <v>138.24</v>
      </c>
      <c r="G2621" t="s">
        <v>14</v>
      </c>
      <c r="H2621" t="s">
        <v>15</v>
      </c>
      <c r="I2621" s="2">
        <v>3.1</v>
      </c>
      <c r="J2621" s="4">
        <v>11</v>
      </c>
      <c r="K2621" s="3">
        <v>3</v>
      </c>
      <c r="L2621" s="1">
        <f t="shared" si="120"/>
        <v>123.03360000000001</v>
      </c>
      <c r="M2621" t="str" cm="1">
        <f t="array" ref="M2621">_xlfn.IFS(B2621&lt;18,"Under 18",B2621 &lt;=25,"18-25",B2621&lt;=35,"26-35",B2621&lt;=45,"36-45",B2621&lt;=60,"46-60",TRUE,"60+")</f>
        <v>26-35</v>
      </c>
      <c r="N2621" t="str">
        <f t="shared" si="121"/>
        <v>Discounted</v>
      </c>
      <c r="O2621" t="str">
        <f t="shared" si="122"/>
        <v>Returning</v>
      </c>
    </row>
    <row r="2622" spans="1:15" x14ac:dyDescent="0.25">
      <c r="A2622">
        <v>2621</v>
      </c>
      <c r="B2622">
        <v>60</v>
      </c>
      <c r="C2622" t="s">
        <v>16</v>
      </c>
      <c r="D2622" t="s">
        <v>20</v>
      </c>
      <c r="E2622" t="s">
        <v>36</v>
      </c>
      <c r="F2622" s="1">
        <v>26.82</v>
      </c>
      <c r="G2622" t="s">
        <v>24</v>
      </c>
      <c r="H2622" t="s">
        <v>15</v>
      </c>
      <c r="I2622" s="2">
        <v>4.5</v>
      </c>
      <c r="J2622" s="4">
        <v>11</v>
      </c>
      <c r="K2622" s="3">
        <v>3</v>
      </c>
      <c r="L2622" s="1">
        <f t="shared" si="120"/>
        <v>23.869800000000001</v>
      </c>
      <c r="M2622" t="str" cm="1">
        <f t="array" ref="M2622">_xlfn.IFS(B2622&lt;18,"Under 18",B2622 &lt;=25,"18-25",B2622&lt;=35,"26-35",B2622&lt;=45,"36-45",B2622&lt;=60,"46-60",TRUE,"60+")</f>
        <v>46-60</v>
      </c>
      <c r="N2622" t="str">
        <f t="shared" si="121"/>
        <v>Discounted</v>
      </c>
      <c r="O2622" t="str">
        <f t="shared" si="122"/>
        <v>Returning</v>
      </c>
    </row>
    <row r="2623" spans="1:15" x14ac:dyDescent="0.25">
      <c r="A2623">
        <v>2622</v>
      </c>
      <c r="B2623">
        <v>64</v>
      </c>
      <c r="C2623" t="s">
        <v>11</v>
      </c>
      <c r="D2623" t="s">
        <v>41</v>
      </c>
      <c r="E2623" t="s">
        <v>44</v>
      </c>
      <c r="F2623" s="1">
        <v>83.11</v>
      </c>
      <c r="G2623" t="s">
        <v>19</v>
      </c>
      <c r="H2623" t="s">
        <v>37</v>
      </c>
      <c r="I2623" s="2">
        <v>2.9</v>
      </c>
      <c r="J2623" s="4">
        <v>11</v>
      </c>
      <c r="K2623" s="3">
        <v>3</v>
      </c>
      <c r="L2623" s="1">
        <f t="shared" si="120"/>
        <v>73.9679</v>
      </c>
      <c r="M2623" t="str" cm="1">
        <f t="array" ref="M2623">_xlfn.IFS(B2623&lt;18,"Under 18",B2623 &lt;=25,"18-25",B2623&lt;=35,"26-35",B2623&lt;=45,"36-45",B2623&lt;=60,"46-60",TRUE,"60+")</f>
        <v>60+</v>
      </c>
      <c r="N2623" t="str">
        <f t="shared" si="121"/>
        <v>Discounted</v>
      </c>
      <c r="O2623" t="str">
        <f t="shared" si="122"/>
        <v>Returning</v>
      </c>
    </row>
    <row r="2624" spans="1:15" x14ac:dyDescent="0.25">
      <c r="A2624">
        <v>2623</v>
      </c>
      <c r="B2624">
        <v>47</v>
      </c>
      <c r="C2624" t="s">
        <v>16</v>
      </c>
      <c r="D2624" t="s">
        <v>20</v>
      </c>
      <c r="E2624" t="s">
        <v>36</v>
      </c>
      <c r="F2624" s="1">
        <v>126.93</v>
      </c>
      <c r="G2624" t="s">
        <v>31</v>
      </c>
      <c r="H2624" t="s">
        <v>15</v>
      </c>
      <c r="I2624" s="2">
        <v>3.6</v>
      </c>
      <c r="J2624" s="4">
        <v>20</v>
      </c>
      <c r="K2624" s="3">
        <v>10</v>
      </c>
      <c r="L2624" s="1">
        <f t="shared" si="120"/>
        <v>101.54400000000001</v>
      </c>
      <c r="M2624" t="str" cm="1">
        <f t="array" ref="M2624">_xlfn.IFS(B2624&lt;18,"Under 18",B2624 &lt;=25,"18-25",B2624&lt;=35,"26-35",B2624&lt;=45,"36-45",B2624&lt;=60,"46-60",TRUE,"60+")</f>
        <v>46-60</v>
      </c>
      <c r="N2624" t="str">
        <f t="shared" si="121"/>
        <v>Discounted</v>
      </c>
      <c r="O2624" t="str">
        <f t="shared" si="122"/>
        <v>Returning</v>
      </c>
    </row>
    <row r="2625" spans="1:15" x14ac:dyDescent="0.25">
      <c r="A2625">
        <v>2624</v>
      </c>
      <c r="B2625">
        <v>28</v>
      </c>
      <c r="C2625" t="s">
        <v>16</v>
      </c>
      <c r="D2625" t="s">
        <v>22</v>
      </c>
      <c r="E2625" t="s">
        <v>52</v>
      </c>
      <c r="F2625" s="1">
        <v>241.39</v>
      </c>
      <c r="G2625" t="s">
        <v>19</v>
      </c>
      <c r="H2625" t="s">
        <v>15</v>
      </c>
      <c r="I2625" s="2">
        <v>3.2</v>
      </c>
      <c r="J2625" s="4">
        <v>17</v>
      </c>
      <c r="K2625" s="3">
        <v>6</v>
      </c>
      <c r="L2625" s="1">
        <f t="shared" si="120"/>
        <v>200.35369999999998</v>
      </c>
      <c r="M2625" t="str" cm="1">
        <f t="array" ref="M2625">_xlfn.IFS(B2625&lt;18,"Under 18",B2625 &lt;=25,"18-25",B2625&lt;=35,"26-35",B2625&lt;=45,"36-45",B2625&lt;=60,"46-60",TRUE,"60+")</f>
        <v>26-35</v>
      </c>
      <c r="N2625" t="str">
        <f t="shared" si="121"/>
        <v>Discounted</v>
      </c>
      <c r="O2625" t="str">
        <f t="shared" si="122"/>
        <v>Returning</v>
      </c>
    </row>
    <row r="2626" spans="1:15" x14ac:dyDescent="0.25">
      <c r="A2626">
        <v>2625</v>
      </c>
      <c r="B2626">
        <v>48</v>
      </c>
      <c r="C2626" t="s">
        <v>11</v>
      </c>
      <c r="D2626" t="s">
        <v>29</v>
      </c>
      <c r="E2626" t="s">
        <v>55</v>
      </c>
      <c r="F2626" s="1">
        <v>128.09</v>
      </c>
      <c r="G2626" t="s">
        <v>24</v>
      </c>
      <c r="H2626" t="s">
        <v>15</v>
      </c>
      <c r="I2626" s="2">
        <v>4.2</v>
      </c>
      <c r="J2626" s="4">
        <v>14</v>
      </c>
      <c r="K2626" s="3">
        <v>7</v>
      </c>
      <c r="L2626" s="1">
        <f t="shared" si="120"/>
        <v>110.1574</v>
      </c>
      <c r="M2626" t="str" cm="1">
        <f t="array" ref="M2626">_xlfn.IFS(B2626&lt;18,"Under 18",B2626 &lt;=25,"18-25",B2626&lt;=35,"26-35",B2626&lt;=45,"36-45",B2626&lt;=60,"46-60",TRUE,"60+")</f>
        <v>46-60</v>
      </c>
      <c r="N2626" t="str">
        <f t="shared" si="121"/>
        <v>Discounted</v>
      </c>
      <c r="O2626" t="str">
        <f t="shared" si="122"/>
        <v>Returning</v>
      </c>
    </row>
    <row r="2627" spans="1:15" x14ac:dyDescent="0.25">
      <c r="A2627">
        <v>2626</v>
      </c>
      <c r="B2627">
        <v>29</v>
      </c>
      <c r="C2627" t="s">
        <v>16</v>
      </c>
      <c r="D2627" t="s">
        <v>33</v>
      </c>
      <c r="E2627" t="s">
        <v>34</v>
      </c>
      <c r="F2627" s="1">
        <v>184.29</v>
      </c>
      <c r="G2627" t="s">
        <v>19</v>
      </c>
      <c r="H2627" t="s">
        <v>15</v>
      </c>
      <c r="I2627" s="2">
        <v>2.8</v>
      </c>
      <c r="J2627" s="4">
        <v>24</v>
      </c>
      <c r="K2627" s="3">
        <v>7</v>
      </c>
      <c r="L2627" s="1">
        <f t="shared" ref="L2627:L2690" si="123">F2627 * (1 - J2627 / 100)</f>
        <v>140.06039999999999</v>
      </c>
      <c r="M2627" t="str" cm="1">
        <f t="array" ref="M2627">_xlfn.IFS(B2627&lt;18,"Under 18",B2627 &lt;=25,"18-25",B2627&lt;=35,"26-35",B2627&lt;=45,"36-45",B2627&lt;=60,"46-60",TRUE,"60+")</f>
        <v>26-35</v>
      </c>
      <c r="N2627" t="str">
        <f t="shared" ref="N2627:N2690" si="124">IF(J2627&gt;0,"Discounted","No Discount")</f>
        <v>Discounted</v>
      </c>
      <c r="O2627" t="str">
        <f t="shared" ref="O2627:O2690" si="125">IF(K2627&gt;0,"Returning","New")</f>
        <v>Returning</v>
      </c>
    </row>
    <row r="2628" spans="1:15" x14ac:dyDescent="0.25">
      <c r="A2628">
        <v>2627</v>
      </c>
      <c r="B2628">
        <v>60</v>
      </c>
      <c r="C2628" t="s">
        <v>11</v>
      </c>
      <c r="D2628" t="s">
        <v>29</v>
      </c>
      <c r="E2628" t="s">
        <v>55</v>
      </c>
      <c r="F2628" s="1">
        <v>144.08000000000001</v>
      </c>
      <c r="G2628" t="s">
        <v>14</v>
      </c>
      <c r="H2628" t="s">
        <v>15</v>
      </c>
      <c r="I2628" s="2">
        <v>2.5</v>
      </c>
      <c r="J2628" s="4">
        <v>6</v>
      </c>
      <c r="K2628" s="3">
        <v>3</v>
      </c>
      <c r="L2628" s="1">
        <f t="shared" si="123"/>
        <v>135.43520000000001</v>
      </c>
      <c r="M2628" t="str" cm="1">
        <f t="array" ref="M2628">_xlfn.IFS(B2628&lt;18,"Under 18",B2628 &lt;=25,"18-25",B2628&lt;=35,"26-35",B2628&lt;=45,"36-45",B2628&lt;=60,"46-60",TRUE,"60+")</f>
        <v>46-60</v>
      </c>
      <c r="N2628" t="str">
        <f t="shared" si="124"/>
        <v>Discounted</v>
      </c>
      <c r="O2628" t="str">
        <f t="shared" si="125"/>
        <v>Returning</v>
      </c>
    </row>
    <row r="2629" spans="1:15" x14ac:dyDescent="0.25">
      <c r="A2629">
        <v>2628</v>
      </c>
      <c r="B2629">
        <v>48</v>
      </c>
      <c r="C2629" t="s">
        <v>11</v>
      </c>
      <c r="D2629" t="s">
        <v>41</v>
      </c>
      <c r="E2629" t="s">
        <v>44</v>
      </c>
      <c r="F2629" s="1">
        <v>74.56</v>
      </c>
      <c r="G2629" t="s">
        <v>14</v>
      </c>
      <c r="H2629" t="s">
        <v>37</v>
      </c>
      <c r="I2629" s="2">
        <v>3.3</v>
      </c>
      <c r="J2629" s="4">
        <v>8</v>
      </c>
      <c r="K2629" s="3">
        <v>4</v>
      </c>
      <c r="L2629" s="1">
        <f t="shared" si="123"/>
        <v>68.595200000000006</v>
      </c>
      <c r="M2629" t="str" cm="1">
        <f t="array" ref="M2629">_xlfn.IFS(B2629&lt;18,"Under 18",B2629 &lt;=25,"18-25",B2629&lt;=35,"26-35",B2629&lt;=45,"36-45",B2629&lt;=60,"46-60",TRUE,"60+")</f>
        <v>46-60</v>
      </c>
      <c r="N2629" t="str">
        <f t="shared" si="124"/>
        <v>Discounted</v>
      </c>
      <c r="O2629" t="str">
        <f t="shared" si="125"/>
        <v>Returning</v>
      </c>
    </row>
    <row r="2630" spans="1:15" x14ac:dyDescent="0.25">
      <c r="A2630">
        <v>2629</v>
      </c>
      <c r="B2630">
        <v>66</v>
      </c>
      <c r="C2630" t="s">
        <v>16</v>
      </c>
      <c r="D2630" t="s">
        <v>33</v>
      </c>
      <c r="E2630" t="s">
        <v>34</v>
      </c>
      <c r="F2630" s="1">
        <v>127.67</v>
      </c>
      <c r="G2630" t="s">
        <v>14</v>
      </c>
      <c r="H2630" t="s">
        <v>15</v>
      </c>
      <c r="I2630" s="2">
        <v>3.4</v>
      </c>
      <c r="J2630" s="4">
        <v>0</v>
      </c>
      <c r="K2630" s="3">
        <v>0</v>
      </c>
      <c r="L2630" s="1">
        <f t="shared" si="123"/>
        <v>127.67</v>
      </c>
      <c r="M2630" t="str" cm="1">
        <f t="array" ref="M2630">_xlfn.IFS(B2630&lt;18,"Under 18",B2630 &lt;=25,"18-25",B2630&lt;=35,"26-35",B2630&lt;=45,"36-45",B2630&lt;=60,"46-60",TRUE,"60+")</f>
        <v>60+</v>
      </c>
      <c r="N2630" t="str">
        <f t="shared" si="124"/>
        <v>No Discount</v>
      </c>
      <c r="O2630" t="str">
        <f t="shared" si="125"/>
        <v>New</v>
      </c>
    </row>
    <row r="2631" spans="1:15" x14ac:dyDescent="0.25">
      <c r="A2631">
        <v>2630</v>
      </c>
      <c r="B2631">
        <v>49</v>
      </c>
      <c r="C2631" t="s">
        <v>11</v>
      </c>
      <c r="D2631" t="s">
        <v>33</v>
      </c>
      <c r="E2631" t="s">
        <v>34</v>
      </c>
      <c r="F2631" s="1">
        <v>73.3</v>
      </c>
      <c r="G2631" t="s">
        <v>31</v>
      </c>
      <c r="H2631" t="s">
        <v>37</v>
      </c>
      <c r="I2631" s="2">
        <v>3.3</v>
      </c>
      <c r="J2631" s="4">
        <v>8</v>
      </c>
      <c r="K2631" s="3">
        <v>4</v>
      </c>
      <c r="L2631" s="1">
        <f t="shared" si="123"/>
        <v>67.436000000000007</v>
      </c>
      <c r="M2631" t="str" cm="1">
        <f t="array" ref="M2631">_xlfn.IFS(B2631&lt;18,"Under 18",B2631 &lt;=25,"18-25",B2631&lt;=35,"26-35",B2631&lt;=45,"36-45",B2631&lt;=60,"46-60",TRUE,"60+")</f>
        <v>46-60</v>
      </c>
      <c r="N2631" t="str">
        <f t="shared" si="124"/>
        <v>Discounted</v>
      </c>
      <c r="O2631" t="str">
        <f t="shared" si="125"/>
        <v>Returning</v>
      </c>
    </row>
    <row r="2632" spans="1:15" x14ac:dyDescent="0.25">
      <c r="A2632">
        <v>2631</v>
      </c>
      <c r="B2632">
        <v>25</v>
      </c>
      <c r="C2632" t="s">
        <v>16</v>
      </c>
      <c r="D2632" t="s">
        <v>20</v>
      </c>
      <c r="E2632" t="s">
        <v>21</v>
      </c>
      <c r="F2632" s="1">
        <v>106.6</v>
      </c>
      <c r="G2632" t="s">
        <v>14</v>
      </c>
      <c r="H2632" t="s">
        <v>15</v>
      </c>
      <c r="I2632" s="2">
        <v>3.8</v>
      </c>
      <c r="J2632" s="4">
        <v>17</v>
      </c>
      <c r="K2632" s="3">
        <v>6</v>
      </c>
      <c r="L2632" s="1">
        <f t="shared" si="123"/>
        <v>88.477999999999994</v>
      </c>
      <c r="M2632" t="str" cm="1">
        <f t="array" ref="M2632">_xlfn.IFS(B2632&lt;18,"Under 18",B2632 &lt;=25,"18-25",B2632&lt;=35,"26-35",B2632&lt;=45,"36-45",B2632&lt;=60,"46-60",TRUE,"60+")</f>
        <v>18-25</v>
      </c>
      <c r="N2632" t="str">
        <f t="shared" si="124"/>
        <v>Discounted</v>
      </c>
      <c r="O2632" t="str">
        <f t="shared" si="125"/>
        <v>Returning</v>
      </c>
    </row>
    <row r="2633" spans="1:15" x14ac:dyDescent="0.25">
      <c r="A2633">
        <v>2632</v>
      </c>
      <c r="B2633">
        <v>52</v>
      </c>
      <c r="C2633" t="s">
        <v>16</v>
      </c>
      <c r="D2633" t="s">
        <v>27</v>
      </c>
      <c r="E2633" t="s">
        <v>28</v>
      </c>
      <c r="F2633" s="1">
        <v>1302.45</v>
      </c>
      <c r="G2633" t="s">
        <v>14</v>
      </c>
      <c r="H2633" t="s">
        <v>15</v>
      </c>
      <c r="I2633" s="2">
        <v>4.5</v>
      </c>
      <c r="J2633" s="4">
        <v>18</v>
      </c>
      <c r="K2633" s="3">
        <v>9</v>
      </c>
      <c r="L2633" s="1">
        <f t="shared" si="123"/>
        <v>1068.009</v>
      </c>
      <c r="M2633" t="str" cm="1">
        <f t="array" ref="M2633">_xlfn.IFS(B2633&lt;18,"Under 18",B2633 &lt;=25,"18-25",B2633&lt;=35,"26-35",B2633&lt;=45,"36-45",B2633&lt;=60,"46-60",TRUE,"60+")</f>
        <v>46-60</v>
      </c>
      <c r="N2633" t="str">
        <f t="shared" si="124"/>
        <v>Discounted</v>
      </c>
      <c r="O2633" t="str">
        <f t="shared" si="125"/>
        <v>Returning</v>
      </c>
    </row>
    <row r="2634" spans="1:15" x14ac:dyDescent="0.25">
      <c r="A2634">
        <v>2633</v>
      </c>
      <c r="B2634">
        <v>65</v>
      </c>
      <c r="C2634" t="s">
        <v>16</v>
      </c>
      <c r="D2634" t="s">
        <v>22</v>
      </c>
      <c r="E2634" t="s">
        <v>52</v>
      </c>
      <c r="F2634" s="1">
        <v>275.33999999999997</v>
      </c>
      <c r="G2634" t="s">
        <v>14</v>
      </c>
      <c r="H2634" t="s">
        <v>15</v>
      </c>
      <c r="I2634" s="2">
        <v>3</v>
      </c>
      <c r="J2634" s="4">
        <v>14</v>
      </c>
      <c r="K2634" s="3">
        <v>7</v>
      </c>
      <c r="L2634" s="1">
        <f t="shared" si="123"/>
        <v>236.79239999999999</v>
      </c>
      <c r="M2634" t="str" cm="1">
        <f t="array" ref="M2634">_xlfn.IFS(B2634&lt;18,"Under 18",B2634 &lt;=25,"18-25",B2634&lt;=35,"26-35",B2634&lt;=45,"36-45",B2634&lt;=60,"46-60",TRUE,"60+")</f>
        <v>60+</v>
      </c>
      <c r="N2634" t="str">
        <f t="shared" si="124"/>
        <v>Discounted</v>
      </c>
      <c r="O2634" t="str">
        <f t="shared" si="125"/>
        <v>Returning</v>
      </c>
    </row>
    <row r="2635" spans="1:15" x14ac:dyDescent="0.25">
      <c r="A2635">
        <v>2634</v>
      </c>
      <c r="B2635">
        <v>62</v>
      </c>
      <c r="C2635" t="s">
        <v>11</v>
      </c>
      <c r="D2635" t="s">
        <v>41</v>
      </c>
      <c r="E2635" t="s">
        <v>42</v>
      </c>
      <c r="F2635" s="1">
        <v>167.27</v>
      </c>
      <c r="G2635" t="s">
        <v>31</v>
      </c>
      <c r="H2635" t="s">
        <v>15</v>
      </c>
      <c r="I2635" s="2">
        <v>3.3</v>
      </c>
      <c r="J2635" s="4">
        <v>18</v>
      </c>
      <c r="K2635" s="3">
        <v>4</v>
      </c>
      <c r="L2635" s="1">
        <f t="shared" si="123"/>
        <v>137.16140000000001</v>
      </c>
      <c r="M2635" t="str" cm="1">
        <f t="array" ref="M2635">_xlfn.IFS(B2635&lt;18,"Under 18",B2635 &lt;=25,"18-25",B2635&lt;=35,"26-35",B2635&lt;=45,"36-45",B2635&lt;=60,"46-60",TRUE,"60+")</f>
        <v>60+</v>
      </c>
      <c r="N2635" t="str">
        <f t="shared" si="124"/>
        <v>Discounted</v>
      </c>
      <c r="O2635" t="str">
        <f t="shared" si="125"/>
        <v>Returning</v>
      </c>
    </row>
    <row r="2636" spans="1:15" x14ac:dyDescent="0.25">
      <c r="A2636">
        <v>2635</v>
      </c>
      <c r="B2636">
        <v>70</v>
      </c>
      <c r="C2636" t="s">
        <v>16</v>
      </c>
      <c r="D2636" t="s">
        <v>17</v>
      </c>
      <c r="E2636" t="s">
        <v>18</v>
      </c>
      <c r="F2636" s="1">
        <v>191.8</v>
      </c>
      <c r="G2636" t="s">
        <v>14</v>
      </c>
      <c r="H2636" t="s">
        <v>15</v>
      </c>
      <c r="I2636" s="2">
        <v>2.4</v>
      </c>
      <c r="J2636" s="4">
        <v>13</v>
      </c>
      <c r="K2636" s="3">
        <v>4</v>
      </c>
      <c r="L2636" s="1">
        <f t="shared" si="123"/>
        <v>166.86600000000001</v>
      </c>
      <c r="M2636" t="str" cm="1">
        <f t="array" ref="M2636">_xlfn.IFS(B2636&lt;18,"Under 18",B2636 &lt;=25,"18-25",B2636&lt;=35,"26-35",B2636&lt;=45,"36-45",B2636&lt;=60,"46-60",TRUE,"60+")</f>
        <v>60+</v>
      </c>
      <c r="N2636" t="str">
        <f t="shared" si="124"/>
        <v>Discounted</v>
      </c>
      <c r="O2636" t="str">
        <f t="shared" si="125"/>
        <v>Returning</v>
      </c>
    </row>
    <row r="2637" spans="1:15" x14ac:dyDescent="0.25">
      <c r="A2637">
        <v>2636</v>
      </c>
      <c r="B2637">
        <v>64</v>
      </c>
      <c r="C2637" t="s">
        <v>16</v>
      </c>
      <c r="D2637" t="s">
        <v>33</v>
      </c>
      <c r="E2637" t="s">
        <v>40</v>
      </c>
      <c r="F2637" s="1">
        <v>62.44</v>
      </c>
      <c r="G2637" t="s">
        <v>14</v>
      </c>
      <c r="H2637" t="s">
        <v>15</v>
      </c>
      <c r="I2637" s="2">
        <v>5</v>
      </c>
      <c r="J2637" s="4">
        <v>16</v>
      </c>
      <c r="K2637" s="3">
        <v>8</v>
      </c>
      <c r="L2637" s="1">
        <f t="shared" si="123"/>
        <v>52.449599999999997</v>
      </c>
      <c r="M2637" t="str" cm="1">
        <f t="array" ref="M2637">_xlfn.IFS(B2637&lt;18,"Under 18",B2637 &lt;=25,"18-25",B2637&lt;=35,"26-35",B2637&lt;=45,"36-45",B2637&lt;=60,"46-60",TRUE,"60+")</f>
        <v>60+</v>
      </c>
      <c r="N2637" t="str">
        <f t="shared" si="124"/>
        <v>Discounted</v>
      </c>
      <c r="O2637" t="str">
        <f t="shared" si="125"/>
        <v>Returning</v>
      </c>
    </row>
    <row r="2638" spans="1:15" x14ac:dyDescent="0.25">
      <c r="A2638">
        <v>2637</v>
      </c>
      <c r="B2638">
        <v>22</v>
      </c>
      <c r="C2638" t="s">
        <v>11</v>
      </c>
      <c r="D2638" t="s">
        <v>33</v>
      </c>
      <c r="E2638" t="s">
        <v>40</v>
      </c>
      <c r="F2638" s="1">
        <v>146.36000000000001</v>
      </c>
      <c r="G2638" t="s">
        <v>31</v>
      </c>
      <c r="H2638" t="s">
        <v>15</v>
      </c>
      <c r="I2638" s="2">
        <v>4.5999999999999996</v>
      </c>
      <c r="J2638" s="4">
        <v>10</v>
      </c>
      <c r="K2638" s="3">
        <v>5</v>
      </c>
      <c r="L2638" s="1">
        <f t="shared" si="123"/>
        <v>131.72400000000002</v>
      </c>
      <c r="M2638" t="str" cm="1">
        <f t="array" ref="M2638">_xlfn.IFS(B2638&lt;18,"Under 18",B2638 &lt;=25,"18-25",B2638&lt;=35,"26-35",B2638&lt;=45,"36-45",B2638&lt;=60,"46-60",TRUE,"60+")</f>
        <v>18-25</v>
      </c>
      <c r="N2638" t="str">
        <f t="shared" si="124"/>
        <v>Discounted</v>
      </c>
      <c r="O2638" t="str">
        <f t="shared" si="125"/>
        <v>Returning</v>
      </c>
    </row>
    <row r="2639" spans="1:15" x14ac:dyDescent="0.25">
      <c r="A2639">
        <v>2638</v>
      </c>
      <c r="B2639">
        <v>61</v>
      </c>
      <c r="C2639" t="s">
        <v>16</v>
      </c>
      <c r="D2639" t="s">
        <v>20</v>
      </c>
      <c r="E2639" t="s">
        <v>36</v>
      </c>
      <c r="F2639" s="1">
        <v>237.45</v>
      </c>
      <c r="G2639" t="s">
        <v>31</v>
      </c>
      <c r="H2639" t="s">
        <v>15</v>
      </c>
      <c r="I2639" s="2">
        <v>5</v>
      </c>
      <c r="J2639" s="4">
        <v>24</v>
      </c>
      <c r="K2639" s="3">
        <v>7</v>
      </c>
      <c r="L2639" s="1">
        <f t="shared" si="123"/>
        <v>180.46199999999999</v>
      </c>
      <c r="M2639" t="str" cm="1">
        <f t="array" ref="M2639">_xlfn.IFS(B2639&lt;18,"Under 18",B2639 &lt;=25,"18-25",B2639&lt;=35,"26-35",B2639&lt;=45,"36-45",B2639&lt;=60,"46-60",TRUE,"60+")</f>
        <v>60+</v>
      </c>
      <c r="N2639" t="str">
        <f t="shared" si="124"/>
        <v>Discounted</v>
      </c>
      <c r="O2639" t="str">
        <f t="shared" si="125"/>
        <v>Returning</v>
      </c>
    </row>
    <row r="2640" spans="1:15" x14ac:dyDescent="0.25">
      <c r="A2640">
        <v>2639</v>
      </c>
      <c r="B2640">
        <v>63</v>
      </c>
      <c r="C2640" t="s">
        <v>11</v>
      </c>
      <c r="D2640" t="s">
        <v>29</v>
      </c>
      <c r="E2640" t="s">
        <v>30</v>
      </c>
      <c r="F2640" s="1">
        <v>85.28</v>
      </c>
      <c r="G2640" t="s">
        <v>31</v>
      </c>
      <c r="H2640" t="s">
        <v>15</v>
      </c>
      <c r="I2640" s="2">
        <v>4.9000000000000004</v>
      </c>
      <c r="J2640" s="4">
        <v>20</v>
      </c>
      <c r="K2640" s="3">
        <v>10</v>
      </c>
      <c r="L2640" s="1">
        <f t="shared" si="123"/>
        <v>68.224000000000004</v>
      </c>
      <c r="M2640" t="str" cm="1">
        <f t="array" ref="M2640">_xlfn.IFS(B2640&lt;18,"Under 18",B2640 &lt;=25,"18-25",B2640&lt;=35,"26-35",B2640&lt;=45,"36-45",B2640&lt;=60,"46-60",TRUE,"60+")</f>
        <v>60+</v>
      </c>
      <c r="N2640" t="str">
        <f t="shared" si="124"/>
        <v>Discounted</v>
      </c>
      <c r="O2640" t="str">
        <f t="shared" si="125"/>
        <v>Returning</v>
      </c>
    </row>
    <row r="2641" spans="1:15" x14ac:dyDescent="0.25">
      <c r="A2641">
        <v>2640</v>
      </c>
      <c r="B2641">
        <v>45</v>
      </c>
      <c r="C2641" t="s">
        <v>16</v>
      </c>
      <c r="D2641" t="s">
        <v>27</v>
      </c>
      <c r="E2641" t="s">
        <v>49</v>
      </c>
      <c r="F2641" s="1">
        <v>1766.89</v>
      </c>
      <c r="G2641" t="s">
        <v>14</v>
      </c>
      <c r="H2641" t="s">
        <v>15</v>
      </c>
      <c r="I2641" s="2">
        <v>4.5</v>
      </c>
      <c r="J2641" s="4">
        <v>20</v>
      </c>
      <c r="K2641" s="3">
        <v>5</v>
      </c>
      <c r="L2641" s="1">
        <f t="shared" si="123"/>
        <v>1413.5120000000002</v>
      </c>
      <c r="M2641" t="str" cm="1">
        <f t="array" ref="M2641">_xlfn.IFS(B2641&lt;18,"Under 18",B2641 &lt;=25,"18-25",B2641&lt;=35,"26-35",B2641&lt;=45,"36-45",B2641&lt;=60,"46-60",TRUE,"60+")</f>
        <v>36-45</v>
      </c>
      <c r="N2641" t="str">
        <f t="shared" si="124"/>
        <v>Discounted</v>
      </c>
      <c r="O2641" t="str">
        <f t="shared" si="125"/>
        <v>Returning</v>
      </c>
    </row>
    <row r="2642" spans="1:15" x14ac:dyDescent="0.25">
      <c r="A2642">
        <v>2641</v>
      </c>
      <c r="B2642">
        <v>26</v>
      </c>
      <c r="C2642" t="s">
        <v>11</v>
      </c>
      <c r="D2642" t="s">
        <v>41</v>
      </c>
      <c r="E2642" t="s">
        <v>44</v>
      </c>
      <c r="F2642" s="1">
        <v>56.74</v>
      </c>
      <c r="G2642" t="s">
        <v>31</v>
      </c>
      <c r="H2642" t="s">
        <v>37</v>
      </c>
      <c r="I2642" s="2">
        <v>3.8</v>
      </c>
      <c r="J2642" s="4">
        <v>19</v>
      </c>
      <c r="K2642" s="3">
        <v>7</v>
      </c>
      <c r="L2642" s="1">
        <f t="shared" si="123"/>
        <v>45.959400000000002</v>
      </c>
      <c r="M2642" t="str" cm="1">
        <f t="array" ref="M2642">_xlfn.IFS(B2642&lt;18,"Under 18",B2642 &lt;=25,"18-25",B2642&lt;=35,"26-35",B2642&lt;=45,"36-45",B2642&lt;=60,"46-60",TRUE,"60+")</f>
        <v>26-35</v>
      </c>
      <c r="N2642" t="str">
        <f t="shared" si="124"/>
        <v>Discounted</v>
      </c>
      <c r="O2642" t="str">
        <f t="shared" si="125"/>
        <v>Returning</v>
      </c>
    </row>
    <row r="2643" spans="1:15" x14ac:dyDescent="0.25">
      <c r="A2643">
        <v>2642</v>
      </c>
      <c r="B2643">
        <v>48</v>
      </c>
      <c r="C2643" t="s">
        <v>11</v>
      </c>
      <c r="D2643" t="s">
        <v>29</v>
      </c>
      <c r="E2643" t="s">
        <v>51</v>
      </c>
      <c r="F2643" s="1">
        <v>39.32</v>
      </c>
      <c r="G2643" t="s">
        <v>24</v>
      </c>
      <c r="H2643" t="s">
        <v>37</v>
      </c>
      <c r="I2643" s="2">
        <v>4.2</v>
      </c>
      <c r="J2643" s="4">
        <v>13</v>
      </c>
      <c r="K2643" s="3">
        <v>4</v>
      </c>
      <c r="L2643" s="1">
        <f t="shared" si="123"/>
        <v>34.208399999999997</v>
      </c>
      <c r="M2643" t="str" cm="1">
        <f t="array" ref="M2643">_xlfn.IFS(B2643&lt;18,"Under 18",B2643 &lt;=25,"18-25",B2643&lt;=35,"26-35",B2643&lt;=45,"36-45",B2643&lt;=60,"46-60",TRUE,"60+")</f>
        <v>46-60</v>
      </c>
      <c r="N2643" t="str">
        <f t="shared" si="124"/>
        <v>Discounted</v>
      </c>
      <c r="O2643" t="str">
        <f t="shared" si="125"/>
        <v>Returning</v>
      </c>
    </row>
    <row r="2644" spans="1:15" x14ac:dyDescent="0.25">
      <c r="A2644">
        <v>2643</v>
      </c>
      <c r="B2644">
        <v>64</v>
      </c>
      <c r="C2644" t="s">
        <v>11</v>
      </c>
      <c r="D2644" t="s">
        <v>12</v>
      </c>
      <c r="E2644" t="s">
        <v>13</v>
      </c>
      <c r="F2644" s="1">
        <v>98.93</v>
      </c>
      <c r="G2644" t="s">
        <v>19</v>
      </c>
      <c r="H2644" t="s">
        <v>37</v>
      </c>
      <c r="I2644" s="2">
        <v>3.9</v>
      </c>
      <c r="J2644" s="4">
        <v>16</v>
      </c>
      <c r="K2644" s="3">
        <v>3</v>
      </c>
      <c r="L2644" s="1">
        <f t="shared" si="123"/>
        <v>83.101200000000006</v>
      </c>
      <c r="M2644" t="str" cm="1">
        <f t="array" ref="M2644">_xlfn.IFS(B2644&lt;18,"Under 18",B2644 &lt;=25,"18-25",B2644&lt;=35,"26-35",B2644&lt;=45,"36-45",B2644&lt;=60,"46-60",TRUE,"60+")</f>
        <v>60+</v>
      </c>
      <c r="N2644" t="str">
        <f t="shared" si="124"/>
        <v>Discounted</v>
      </c>
      <c r="O2644" t="str">
        <f t="shared" si="125"/>
        <v>Returning</v>
      </c>
    </row>
    <row r="2645" spans="1:15" x14ac:dyDescent="0.25">
      <c r="A2645">
        <v>2644</v>
      </c>
      <c r="B2645">
        <v>61</v>
      </c>
      <c r="C2645" t="s">
        <v>16</v>
      </c>
      <c r="D2645" t="s">
        <v>25</v>
      </c>
      <c r="E2645" t="s">
        <v>54</v>
      </c>
      <c r="F2645" s="1">
        <v>57.47</v>
      </c>
      <c r="G2645" t="s">
        <v>31</v>
      </c>
      <c r="H2645" t="s">
        <v>37</v>
      </c>
      <c r="I2645" s="2">
        <v>3.4</v>
      </c>
      <c r="J2645" s="4">
        <v>18</v>
      </c>
      <c r="K2645" s="3">
        <v>4</v>
      </c>
      <c r="L2645" s="1">
        <f t="shared" si="123"/>
        <v>47.125400000000006</v>
      </c>
      <c r="M2645" t="str" cm="1">
        <f t="array" ref="M2645">_xlfn.IFS(B2645&lt;18,"Under 18",B2645 &lt;=25,"18-25",B2645&lt;=35,"26-35",B2645&lt;=45,"36-45",B2645&lt;=60,"46-60",TRUE,"60+")</f>
        <v>60+</v>
      </c>
      <c r="N2645" t="str">
        <f t="shared" si="124"/>
        <v>Discounted</v>
      </c>
      <c r="O2645" t="str">
        <f t="shared" si="125"/>
        <v>Returning</v>
      </c>
    </row>
    <row r="2646" spans="1:15" x14ac:dyDescent="0.25">
      <c r="A2646">
        <v>2645</v>
      </c>
      <c r="B2646">
        <v>36</v>
      </c>
      <c r="C2646" t="s">
        <v>11</v>
      </c>
      <c r="D2646" t="s">
        <v>25</v>
      </c>
      <c r="E2646" t="s">
        <v>47</v>
      </c>
      <c r="F2646" s="1">
        <v>57.01</v>
      </c>
      <c r="G2646" t="s">
        <v>14</v>
      </c>
      <c r="H2646" t="s">
        <v>15</v>
      </c>
      <c r="I2646" s="2">
        <v>3.9</v>
      </c>
      <c r="J2646" s="4">
        <v>6</v>
      </c>
      <c r="K2646" s="3">
        <v>3</v>
      </c>
      <c r="L2646" s="1">
        <f t="shared" si="123"/>
        <v>53.589399999999998</v>
      </c>
      <c r="M2646" t="str" cm="1">
        <f t="array" ref="M2646">_xlfn.IFS(B2646&lt;18,"Under 18",B2646 &lt;=25,"18-25",B2646&lt;=35,"26-35",B2646&lt;=45,"36-45",B2646&lt;=60,"46-60",TRUE,"60+")</f>
        <v>36-45</v>
      </c>
      <c r="N2646" t="str">
        <f t="shared" si="124"/>
        <v>Discounted</v>
      </c>
      <c r="O2646" t="str">
        <f t="shared" si="125"/>
        <v>Returning</v>
      </c>
    </row>
    <row r="2647" spans="1:15" x14ac:dyDescent="0.25">
      <c r="A2647">
        <v>2646</v>
      </c>
      <c r="B2647">
        <v>64</v>
      </c>
      <c r="C2647" t="s">
        <v>16</v>
      </c>
      <c r="D2647" t="s">
        <v>17</v>
      </c>
      <c r="E2647" t="s">
        <v>35</v>
      </c>
      <c r="F2647" s="1">
        <v>150.52000000000001</v>
      </c>
      <c r="G2647" t="s">
        <v>24</v>
      </c>
      <c r="H2647" t="s">
        <v>15</v>
      </c>
      <c r="I2647" s="2">
        <v>4.3</v>
      </c>
      <c r="J2647" s="4">
        <v>18</v>
      </c>
      <c r="K2647" s="3">
        <v>4</v>
      </c>
      <c r="L2647" s="1">
        <f t="shared" si="123"/>
        <v>123.42640000000002</v>
      </c>
      <c r="M2647" t="str" cm="1">
        <f t="array" ref="M2647">_xlfn.IFS(B2647&lt;18,"Under 18",B2647 &lt;=25,"18-25",B2647&lt;=35,"26-35",B2647&lt;=45,"36-45",B2647&lt;=60,"46-60",TRUE,"60+")</f>
        <v>60+</v>
      </c>
      <c r="N2647" t="str">
        <f t="shared" si="124"/>
        <v>Discounted</v>
      </c>
      <c r="O2647" t="str">
        <f t="shared" si="125"/>
        <v>Returning</v>
      </c>
    </row>
    <row r="2648" spans="1:15" x14ac:dyDescent="0.25">
      <c r="A2648">
        <v>2647</v>
      </c>
      <c r="B2648">
        <v>50</v>
      </c>
      <c r="C2648" t="s">
        <v>11</v>
      </c>
      <c r="D2648" t="s">
        <v>29</v>
      </c>
      <c r="E2648" t="s">
        <v>30</v>
      </c>
      <c r="F2648" s="1">
        <v>58.55</v>
      </c>
      <c r="G2648" t="s">
        <v>19</v>
      </c>
      <c r="H2648" t="s">
        <v>15</v>
      </c>
      <c r="I2648" s="2">
        <v>3.4</v>
      </c>
      <c r="J2648" s="4">
        <v>19</v>
      </c>
      <c r="K2648" s="3">
        <v>7</v>
      </c>
      <c r="L2648" s="1">
        <f t="shared" si="123"/>
        <v>47.4255</v>
      </c>
      <c r="M2648" t="str" cm="1">
        <f t="array" ref="M2648">_xlfn.IFS(B2648&lt;18,"Under 18",B2648 &lt;=25,"18-25",B2648&lt;=35,"26-35",B2648&lt;=45,"36-45",B2648&lt;=60,"46-60",TRUE,"60+")</f>
        <v>46-60</v>
      </c>
      <c r="N2648" t="str">
        <f t="shared" si="124"/>
        <v>Discounted</v>
      </c>
      <c r="O2648" t="str">
        <f t="shared" si="125"/>
        <v>Returning</v>
      </c>
    </row>
    <row r="2649" spans="1:15" x14ac:dyDescent="0.25">
      <c r="A2649">
        <v>2648</v>
      </c>
      <c r="B2649">
        <v>64</v>
      </c>
      <c r="C2649" t="s">
        <v>11</v>
      </c>
      <c r="D2649" t="s">
        <v>41</v>
      </c>
      <c r="E2649" t="s">
        <v>44</v>
      </c>
      <c r="F2649" s="1">
        <v>32.29</v>
      </c>
      <c r="G2649" t="s">
        <v>24</v>
      </c>
      <c r="H2649" t="s">
        <v>37</v>
      </c>
      <c r="I2649" s="2">
        <v>4.2</v>
      </c>
      <c r="J2649" s="4">
        <v>12</v>
      </c>
      <c r="K2649" s="3">
        <v>6</v>
      </c>
      <c r="L2649" s="1">
        <f t="shared" si="123"/>
        <v>28.415199999999999</v>
      </c>
      <c r="M2649" t="str" cm="1">
        <f t="array" ref="M2649">_xlfn.IFS(B2649&lt;18,"Under 18",B2649 &lt;=25,"18-25",B2649&lt;=35,"26-35",B2649&lt;=45,"36-45",B2649&lt;=60,"46-60",TRUE,"60+")</f>
        <v>60+</v>
      </c>
      <c r="N2649" t="str">
        <f t="shared" si="124"/>
        <v>Discounted</v>
      </c>
      <c r="O2649" t="str">
        <f t="shared" si="125"/>
        <v>Returning</v>
      </c>
    </row>
    <row r="2650" spans="1:15" x14ac:dyDescent="0.25">
      <c r="A2650">
        <v>2649</v>
      </c>
      <c r="B2650">
        <v>65</v>
      </c>
      <c r="C2650" t="s">
        <v>16</v>
      </c>
      <c r="D2650" t="s">
        <v>27</v>
      </c>
      <c r="E2650" t="s">
        <v>28</v>
      </c>
      <c r="F2650" s="1">
        <v>1042.54</v>
      </c>
      <c r="G2650" t="s">
        <v>14</v>
      </c>
      <c r="H2650" t="s">
        <v>15</v>
      </c>
      <c r="I2650" s="2">
        <v>3.7</v>
      </c>
      <c r="J2650" s="4">
        <v>12</v>
      </c>
      <c r="K2650" s="3">
        <v>6</v>
      </c>
      <c r="L2650" s="1">
        <f t="shared" si="123"/>
        <v>917.43520000000001</v>
      </c>
      <c r="M2650" t="str" cm="1">
        <f t="array" ref="M2650">_xlfn.IFS(B2650&lt;18,"Under 18",B2650 &lt;=25,"18-25",B2650&lt;=35,"26-35",B2650&lt;=45,"36-45",B2650&lt;=60,"46-60",TRUE,"60+")</f>
        <v>60+</v>
      </c>
      <c r="N2650" t="str">
        <f t="shared" si="124"/>
        <v>Discounted</v>
      </c>
      <c r="O2650" t="str">
        <f t="shared" si="125"/>
        <v>Returning</v>
      </c>
    </row>
    <row r="2651" spans="1:15" x14ac:dyDescent="0.25">
      <c r="A2651">
        <v>2650</v>
      </c>
      <c r="B2651">
        <v>69</v>
      </c>
      <c r="C2651" t="s">
        <v>11</v>
      </c>
      <c r="D2651" t="s">
        <v>25</v>
      </c>
      <c r="E2651" t="s">
        <v>57</v>
      </c>
      <c r="F2651" s="1">
        <v>26.45</v>
      </c>
      <c r="G2651" t="s">
        <v>31</v>
      </c>
      <c r="H2651" t="s">
        <v>37</v>
      </c>
      <c r="I2651" s="2">
        <v>4.5</v>
      </c>
      <c r="J2651" s="4">
        <v>20</v>
      </c>
      <c r="K2651" s="3">
        <v>5</v>
      </c>
      <c r="L2651" s="1">
        <f t="shared" si="123"/>
        <v>21.16</v>
      </c>
      <c r="M2651" t="str" cm="1">
        <f t="array" ref="M2651">_xlfn.IFS(B2651&lt;18,"Under 18",B2651 &lt;=25,"18-25",B2651&lt;=35,"26-35",B2651&lt;=45,"36-45",B2651&lt;=60,"46-60",TRUE,"60+")</f>
        <v>60+</v>
      </c>
      <c r="N2651" t="str">
        <f t="shared" si="124"/>
        <v>Discounted</v>
      </c>
      <c r="O2651" t="str">
        <f t="shared" si="125"/>
        <v>Returning</v>
      </c>
    </row>
    <row r="2652" spans="1:15" x14ac:dyDescent="0.25">
      <c r="A2652">
        <v>2651</v>
      </c>
      <c r="B2652">
        <v>32</v>
      </c>
      <c r="C2652" t="s">
        <v>11</v>
      </c>
      <c r="D2652" t="s">
        <v>33</v>
      </c>
      <c r="E2652" t="s">
        <v>38</v>
      </c>
      <c r="F2652" s="1">
        <v>90.64</v>
      </c>
      <c r="G2652" t="s">
        <v>31</v>
      </c>
      <c r="H2652" t="s">
        <v>37</v>
      </c>
      <c r="I2652" s="2">
        <v>3.7</v>
      </c>
      <c r="J2652" s="4">
        <v>17</v>
      </c>
      <c r="K2652" s="3">
        <v>6</v>
      </c>
      <c r="L2652" s="1">
        <f t="shared" si="123"/>
        <v>75.231200000000001</v>
      </c>
      <c r="M2652" t="str" cm="1">
        <f t="array" ref="M2652">_xlfn.IFS(B2652&lt;18,"Under 18",B2652 &lt;=25,"18-25",B2652&lt;=35,"26-35",B2652&lt;=45,"36-45",B2652&lt;=60,"46-60",TRUE,"60+")</f>
        <v>26-35</v>
      </c>
      <c r="N2652" t="str">
        <f t="shared" si="124"/>
        <v>Discounted</v>
      </c>
      <c r="O2652" t="str">
        <f t="shared" si="125"/>
        <v>Returning</v>
      </c>
    </row>
    <row r="2653" spans="1:15" x14ac:dyDescent="0.25">
      <c r="A2653">
        <v>2652</v>
      </c>
      <c r="B2653">
        <v>33</v>
      </c>
      <c r="C2653" t="s">
        <v>16</v>
      </c>
      <c r="D2653" t="s">
        <v>33</v>
      </c>
      <c r="E2653" t="s">
        <v>34</v>
      </c>
      <c r="F2653" s="1">
        <v>44.23</v>
      </c>
      <c r="G2653" t="s">
        <v>19</v>
      </c>
      <c r="H2653" t="s">
        <v>37</v>
      </c>
      <c r="I2653" s="2">
        <v>2.4</v>
      </c>
      <c r="J2653" s="4">
        <v>8</v>
      </c>
      <c r="K2653" s="3">
        <v>4</v>
      </c>
      <c r="L2653" s="1">
        <f t="shared" si="123"/>
        <v>40.691600000000001</v>
      </c>
      <c r="M2653" t="str" cm="1">
        <f t="array" ref="M2653">_xlfn.IFS(B2653&lt;18,"Under 18",B2653 &lt;=25,"18-25",B2653&lt;=35,"26-35",B2653&lt;=45,"36-45",B2653&lt;=60,"46-60",TRUE,"60+")</f>
        <v>26-35</v>
      </c>
      <c r="N2653" t="str">
        <f t="shared" si="124"/>
        <v>Discounted</v>
      </c>
      <c r="O2653" t="str">
        <f t="shared" si="125"/>
        <v>Returning</v>
      </c>
    </row>
    <row r="2654" spans="1:15" x14ac:dyDescent="0.25">
      <c r="A2654">
        <v>2653</v>
      </c>
      <c r="B2654">
        <v>58</v>
      </c>
      <c r="C2654" t="s">
        <v>16</v>
      </c>
      <c r="D2654" t="s">
        <v>33</v>
      </c>
      <c r="E2654" t="s">
        <v>34</v>
      </c>
      <c r="F2654" s="1">
        <v>54.47</v>
      </c>
      <c r="G2654" t="s">
        <v>14</v>
      </c>
      <c r="H2654" t="s">
        <v>15</v>
      </c>
      <c r="I2654" s="2">
        <v>3.1</v>
      </c>
      <c r="J2654" s="4">
        <v>12</v>
      </c>
      <c r="K2654" s="3">
        <v>6</v>
      </c>
      <c r="L2654" s="1">
        <f t="shared" si="123"/>
        <v>47.933599999999998</v>
      </c>
      <c r="M2654" t="str" cm="1">
        <f t="array" ref="M2654">_xlfn.IFS(B2654&lt;18,"Under 18",B2654 &lt;=25,"18-25",B2654&lt;=35,"26-35",B2654&lt;=45,"36-45",B2654&lt;=60,"46-60",TRUE,"60+")</f>
        <v>46-60</v>
      </c>
      <c r="N2654" t="str">
        <f t="shared" si="124"/>
        <v>Discounted</v>
      </c>
      <c r="O2654" t="str">
        <f t="shared" si="125"/>
        <v>Returning</v>
      </c>
    </row>
    <row r="2655" spans="1:15" x14ac:dyDescent="0.25">
      <c r="A2655">
        <v>2654</v>
      </c>
      <c r="B2655">
        <v>51</v>
      </c>
      <c r="C2655" t="s">
        <v>11</v>
      </c>
      <c r="D2655" t="s">
        <v>12</v>
      </c>
      <c r="E2655" t="s">
        <v>56</v>
      </c>
      <c r="F2655" s="1">
        <v>121.74</v>
      </c>
      <c r="G2655" t="s">
        <v>24</v>
      </c>
      <c r="H2655" t="s">
        <v>15</v>
      </c>
      <c r="I2655" s="2">
        <v>4.5999999999999996</v>
      </c>
      <c r="J2655" s="4">
        <v>4</v>
      </c>
      <c r="K2655" s="3">
        <v>2</v>
      </c>
      <c r="L2655" s="1">
        <f t="shared" si="123"/>
        <v>116.87039999999999</v>
      </c>
      <c r="M2655" t="str" cm="1">
        <f t="array" ref="M2655">_xlfn.IFS(B2655&lt;18,"Under 18",B2655 &lt;=25,"18-25",B2655&lt;=35,"26-35",B2655&lt;=45,"36-45",B2655&lt;=60,"46-60",TRUE,"60+")</f>
        <v>46-60</v>
      </c>
      <c r="N2655" t="str">
        <f t="shared" si="124"/>
        <v>Discounted</v>
      </c>
      <c r="O2655" t="str">
        <f t="shared" si="125"/>
        <v>Returning</v>
      </c>
    </row>
    <row r="2656" spans="1:15" x14ac:dyDescent="0.25">
      <c r="A2656">
        <v>2655</v>
      </c>
      <c r="B2656">
        <v>69</v>
      </c>
      <c r="C2656" t="s">
        <v>11</v>
      </c>
      <c r="D2656" t="s">
        <v>22</v>
      </c>
      <c r="E2656" t="s">
        <v>52</v>
      </c>
      <c r="F2656" s="1">
        <v>51.27</v>
      </c>
      <c r="G2656" t="s">
        <v>31</v>
      </c>
      <c r="H2656" t="s">
        <v>15</v>
      </c>
      <c r="I2656" s="2">
        <v>3.9</v>
      </c>
      <c r="J2656" s="4">
        <v>16</v>
      </c>
      <c r="K2656" s="3">
        <v>3</v>
      </c>
      <c r="L2656" s="1">
        <f t="shared" si="123"/>
        <v>43.066800000000001</v>
      </c>
      <c r="M2656" t="str" cm="1">
        <f t="array" ref="M2656">_xlfn.IFS(B2656&lt;18,"Under 18",B2656 &lt;=25,"18-25",B2656&lt;=35,"26-35",B2656&lt;=45,"36-45",B2656&lt;=60,"46-60",TRUE,"60+")</f>
        <v>60+</v>
      </c>
      <c r="N2656" t="str">
        <f t="shared" si="124"/>
        <v>Discounted</v>
      </c>
      <c r="O2656" t="str">
        <f t="shared" si="125"/>
        <v>Returning</v>
      </c>
    </row>
    <row r="2657" spans="1:15" x14ac:dyDescent="0.25">
      <c r="A2657">
        <v>2656</v>
      </c>
      <c r="B2657">
        <v>39</v>
      </c>
      <c r="C2657" t="s">
        <v>16</v>
      </c>
      <c r="D2657" t="s">
        <v>22</v>
      </c>
      <c r="E2657" t="s">
        <v>43</v>
      </c>
      <c r="F2657" s="1">
        <v>188.31</v>
      </c>
      <c r="G2657" t="s">
        <v>14</v>
      </c>
      <c r="H2657" t="s">
        <v>15</v>
      </c>
      <c r="I2657" s="2">
        <v>2.8</v>
      </c>
      <c r="J2657" s="4">
        <v>8</v>
      </c>
      <c r="K2657" s="3">
        <v>4</v>
      </c>
      <c r="L2657" s="1">
        <f t="shared" si="123"/>
        <v>173.24520000000001</v>
      </c>
      <c r="M2657" t="str" cm="1">
        <f t="array" ref="M2657">_xlfn.IFS(B2657&lt;18,"Under 18",B2657 &lt;=25,"18-25",B2657&lt;=35,"26-35",B2657&lt;=45,"36-45",B2657&lt;=60,"46-60",TRUE,"60+")</f>
        <v>36-45</v>
      </c>
      <c r="N2657" t="str">
        <f t="shared" si="124"/>
        <v>Discounted</v>
      </c>
      <c r="O2657" t="str">
        <f t="shared" si="125"/>
        <v>Returning</v>
      </c>
    </row>
    <row r="2658" spans="1:15" x14ac:dyDescent="0.25">
      <c r="A2658">
        <v>2657</v>
      </c>
      <c r="B2658">
        <v>63</v>
      </c>
      <c r="C2658" t="s">
        <v>11</v>
      </c>
      <c r="D2658" t="s">
        <v>33</v>
      </c>
      <c r="E2658" t="s">
        <v>38</v>
      </c>
      <c r="F2658" s="1">
        <v>230.43</v>
      </c>
      <c r="G2658" t="s">
        <v>24</v>
      </c>
      <c r="H2658" t="s">
        <v>15</v>
      </c>
      <c r="I2658" s="2">
        <v>3.8</v>
      </c>
      <c r="J2658" s="4">
        <v>8</v>
      </c>
      <c r="K2658" s="3">
        <v>4</v>
      </c>
      <c r="L2658" s="1">
        <f t="shared" si="123"/>
        <v>211.99560000000002</v>
      </c>
      <c r="M2658" t="str" cm="1">
        <f t="array" ref="M2658">_xlfn.IFS(B2658&lt;18,"Under 18",B2658 &lt;=25,"18-25",B2658&lt;=35,"26-35",B2658&lt;=45,"36-45",B2658&lt;=60,"46-60",TRUE,"60+")</f>
        <v>60+</v>
      </c>
      <c r="N2658" t="str">
        <f t="shared" si="124"/>
        <v>Discounted</v>
      </c>
      <c r="O2658" t="str">
        <f t="shared" si="125"/>
        <v>Returning</v>
      </c>
    </row>
    <row r="2659" spans="1:15" x14ac:dyDescent="0.25">
      <c r="A2659">
        <v>2658</v>
      </c>
      <c r="B2659">
        <v>56</v>
      </c>
      <c r="C2659" t="s">
        <v>16</v>
      </c>
      <c r="D2659" t="s">
        <v>17</v>
      </c>
      <c r="E2659" t="s">
        <v>35</v>
      </c>
      <c r="F2659" s="1">
        <v>47.11</v>
      </c>
      <c r="G2659" t="s">
        <v>19</v>
      </c>
      <c r="H2659" t="s">
        <v>37</v>
      </c>
      <c r="I2659" s="2">
        <v>4.4000000000000004</v>
      </c>
      <c r="J2659" s="4">
        <v>8</v>
      </c>
      <c r="K2659" s="3">
        <v>4</v>
      </c>
      <c r="L2659" s="1">
        <f t="shared" si="123"/>
        <v>43.341200000000001</v>
      </c>
      <c r="M2659" t="str" cm="1">
        <f t="array" ref="M2659">_xlfn.IFS(B2659&lt;18,"Under 18",B2659 &lt;=25,"18-25",B2659&lt;=35,"26-35",B2659&lt;=45,"36-45",B2659&lt;=60,"46-60",TRUE,"60+")</f>
        <v>46-60</v>
      </c>
      <c r="N2659" t="str">
        <f t="shared" si="124"/>
        <v>Discounted</v>
      </c>
      <c r="O2659" t="str">
        <f t="shared" si="125"/>
        <v>Returning</v>
      </c>
    </row>
    <row r="2660" spans="1:15" x14ac:dyDescent="0.25">
      <c r="A2660">
        <v>2659</v>
      </c>
      <c r="B2660">
        <v>70</v>
      </c>
      <c r="C2660" t="s">
        <v>11</v>
      </c>
      <c r="D2660" t="s">
        <v>41</v>
      </c>
      <c r="E2660" t="s">
        <v>42</v>
      </c>
      <c r="F2660" s="1">
        <v>30.45</v>
      </c>
      <c r="G2660" t="s">
        <v>24</v>
      </c>
      <c r="H2660" t="s">
        <v>15</v>
      </c>
      <c r="I2660" s="2">
        <v>3.8</v>
      </c>
      <c r="J2660" s="4">
        <v>12</v>
      </c>
      <c r="K2660" s="3">
        <v>6</v>
      </c>
      <c r="L2660" s="1">
        <f t="shared" si="123"/>
        <v>26.795999999999999</v>
      </c>
      <c r="M2660" t="str" cm="1">
        <f t="array" ref="M2660">_xlfn.IFS(B2660&lt;18,"Under 18",B2660 &lt;=25,"18-25",B2660&lt;=35,"26-35",B2660&lt;=45,"36-45",B2660&lt;=60,"46-60",TRUE,"60+")</f>
        <v>60+</v>
      </c>
      <c r="N2660" t="str">
        <f t="shared" si="124"/>
        <v>Discounted</v>
      </c>
      <c r="O2660" t="str">
        <f t="shared" si="125"/>
        <v>Returning</v>
      </c>
    </row>
    <row r="2661" spans="1:15" x14ac:dyDescent="0.25">
      <c r="A2661">
        <v>2660</v>
      </c>
      <c r="B2661">
        <v>50</v>
      </c>
      <c r="C2661" t="s">
        <v>11</v>
      </c>
      <c r="D2661" t="s">
        <v>29</v>
      </c>
      <c r="E2661" t="s">
        <v>55</v>
      </c>
      <c r="F2661" s="1">
        <v>54.62</v>
      </c>
      <c r="G2661" t="s">
        <v>19</v>
      </c>
      <c r="H2661" t="s">
        <v>37</v>
      </c>
      <c r="I2661" s="2">
        <v>4.0999999999999996</v>
      </c>
      <c r="J2661" s="4">
        <v>16</v>
      </c>
      <c r="K2661" s="3">
        <v>3</v>
      </c>
      <c r="L2661" s="1">
        <f t="shared" si="123"/>
        <v>45.880799999999994</v>
      </c>
      <c r="M2661" t="str" cm="1">
        <f t="array" ref="M2661">_xlfn.IFS(B2661&lt;18,"Under 18",B2661 &lt;=25,"18-25",B2661&lt;=35,"26-35",B2661&lt;=45,"36-45",B2661&lt;=60,"46-60",TRUE,"60+")</f>
        <v>46-60</v>
      </c>
      <c r="N2661" t="str">
        <f t="shared" si="124"/>
        <v>Discounted</v>
      </c>
      <c r="O2661" t="str">
        <f t="shared" si="125"/>
        <v>Returning</v>
      </c>
    </row>
    <row r="2662" spans="1:15" x14ac:dyDescent="0.25">
      <c r="A2662">
        <v>2661</v>
      </c>
      <c r="B2662">
        <v>45</v>
      </c>
      <c r="C2662" t="s">
        <v>16</v>
      </c>
      <c r="D2662" t="s">
        <v>25</v>
      </c>
      <c r="E2662" t="s">
        <v>54</v>
      </c>
      <c r="F2662" s="1">
        <v>5.85</v>
      </c>
      <c r="G2662" t="s">
        <v>24</v>
      </c>
      <c r="H2662" t="s">
        <v>15</v>
      </c>
      <c r="I2662" s="2">
        <v>4.5</v>
      </c>
      <c r="J2662" s="4">
        <v>13</v>
      </c>
      <c r="K2662" s="3">
        <v>4</v>
      </c>
      <c r="L2662" s="1">
        <f t="shared" si="123"/>
        <v>5.0894999999999992</v>
      </c>
      <c r="M2662" t="str" cm="1">
        <f t="array" ref="M2662">_xlfn.IFS(B2662&lt;18,"Under 18",B2662 &lt;=25,"18-25",B2662&lt;=35,"26-35",B2662&lt;=45,"36-45",B2662&lt;=60,"46-60",TRUE,"60+")</f>
        <v>36-45</v>
      </c>
      <c r="N2662" t="str">
        <f t="shared" si="124"/>
        <v>Discounted</v>
      </c>
      <c r="O2662" t="str">
        <f t="shared" si="125"/>
        <v>Returning</v>
      </c>
    </row>
    <row r="2663" spans="1:15" x14ac:dyDescent="0.25">
      <c r="A2663">
        <v>2662</v>
      </c>
      <c r="B2663">
        <v>55</v>
      </c>
      <c r="C2663" t="s">
        <v>16</v>
      </c>
      <c r="D2663" t="s">
        <v>20</v>
      </c>
      <c r="E2663" t="s">
        <v>39</v>
      </c>
      <c r="F2663" s="1">
        <v>175.82</v>
      </c>
      <c r="G2663" t="s">
        <v>31</v>
      </c>
      <c r="H2663" t="s">
        <v>15</v>
      </c>
      <c r="I2663" s="2">
        <v>4.5999999999999996</v>
      </c>
      <c r="J2663" s="4">
        <v>7</v>
      </c>
      <c r="K2663" s="3">
        <v>1</v>
      </c>
      <c r="L2663" s="1">
        <f t="shared" si="123"/>
        <v>163.51259999999999</v>
      </c>
      <c r="M2663" t="str" cm="1">
        <f t="array" ref="M2663">_xlfn.IFS(B2663&lt;18,"Under 18",B2663 &lt;=25,"18-25",B2663&lt;=35,"26-35",B2663&lt;=45,"36-45",B2663&lt;=60,"46-60",TRUE,"60+")</f>
        <v>46-60</v>
      </c>
      <c r="N2663" t="str">
        <f t="shared" si="124"/>
        <v>Discounted</v>
      </c>
      <c r="O2663" t="str">
        <f t="shared" si="125"/>
        <v>Returning</v>
      </c>
    </row>
    <row r="2664" spans="1:15" x14ac:dyDescent="0.25">
      <c r="A2664">
        <v>2663</v>
      </c>
      <c r="B2664">
        <v>26</v>
      </c>
      <c r="C2664" t="s">
        <v>16</v>
      </c>
      <c r="D2664" t="s">
        <v>20</v>
      </c>
      <c r="E2664" t="s">
        <v>39</v>
      </c>
      <c r="F2664" s="1">
        <v>34.479999999999997</v>
      </c>
      <c r="G2664" t="s">
        <v>14</v>
      </c>
      <c r="H2664" t="s">
        <v>37</v>
      </c>
      <c r="I2664" s="2">
        <v>4</v>
      </c>
      <c r="J2664" s="4">
        <v>17</v>
      </c>
      <c r="K2664" s="3">
        <v>6</v>
      </c>
      <c r="L2664" s="1">
        <f t="shared" si="123"/>
        <v>28.618399999999998</v>
      </c>
      <c r="M2664" t="str" cm="1">
        <f t="array" ref="M2664">_xlfn.IFS(B2664&lt;18,"Under 18",B2664 &lt;=25,"18-25",B2664&lt;=35,"26-35",B2664&lt;=45,"36-45",B2664&lt;=60,"46-60",TRUE,"60+")</f>
        <v>26-35</v>
      </c>
      <c r="N2664" t="str">
        <f t="shared" si="124"/>
        <v>Discounted</v>
      </c>
      <c r="O2664" t="str">
        <f t="shared" si="125"/>
        <v>Returning</v>
      </c>
    </row>
    <row r="2665" spans="1:15" x14ac:dyDescent="0.25">
      <c r="A2665">
        <v>2664</v>
      </c>
      <c r="B2665">
        <v>69</v>
      </c>
      <c r="C2665" t="s">
        <v>16</v>
      </c>
      <c r="D2665" t="s">
        <v>27</v>
      </c>
      <c r="E2665" t="s">
        <v>28</v>
      </c>
      <c r="F2665" s="1">
        <v>2410.79</v>
      </c>
      <c r="G2665" t="s">
        <v>24</v>
      </c>
      <c r="H2665" t="s">
        <v>15</v>
      </c>
      <c r="I2665" s="2">
        <v>4.3</v>
      </c>
      <c r="J2665" s="4">
        <v>16</v>
      </c>
      <c r="K2665" s="3">
        <v>8</v>
      </c>
      <c r="L2665" s="1">
        <f t="shared" si="123"/>
        <v>2025.0636</v>
      </c>
      <c r="M2665" t="str" cm="1">
        <f t="array" ref="M2665">_xlfn.IFS(B2665&lt;18,"Under 18",B2665 &lt;=25,"18-25",B2665&lt;=35,"26-35",B2665&lt;=45,"36-45",B2665&lt;=60,"46-60",TRUE,"60+")</f>
        <v>60+</v>
      </c>
      <c r="N2665" t="str">
        <f t="shared" si="124"/>
        <v>Discounted</v>
      </c>
      <c r="O2665" t="str">
        <f t="shared" si="125"/>
        <v>Returning</v>
      </c>
    </row>
    <row r="2666" spans="1:15" x14ac:dyDescent="0.25">
      <c r="A2666">
        <v>2665</v>
      </c>
      <c r="B2666">
        <v>64</v>
      </c>
      <c r="C2666" t="s">
        <v>16</v>
      </c>
      <c r="D2666" t="s">
        <v>20</v>
      </c>
      <c r="E2666" t="s">
        <v>21</v>
      </c>
      <c r="F2666" s="1">
        <v>232.53</v>
      </c>
      <c r="G2666" t="s">
        <v>14</v>
      </c>
      <c r="H2666" t="s">
        <v>15</v>
      </c>
      <c r="I2666" s="2">
        <v>4.3</v>
      </c>
      <c r="J2666" s="4">
        <v>19</v>
      </c>
      <c r="K2666" s="3">
        <v>7</v>
      </c>
      <c r="L2666" s="1">
        <f t="shared" si="123"/>
        <v>188.3493</v>
      </c>
      <c r="M2666" t="str" cm="1">
        <f t="array" ref="M2666">_xlfn.IFS(B2666&lt;18,"Under 18",B2666 &lt;=25,"18-25",B2666&lt;=35,"26-35",B2666&lt;=45,"36-45",B2666&lt;=60,"46-60",TRUE,"60+")</f>
        <v>60+</v>
      </c>
      <c r="N2666" t="str">
        <f t="shared" si="124"/>
        <v>Discounted</v>
      </c>
      <c r="O2666" t="str">
        <f t="shared" si="125"/>
        <v>Returning</v>
      </c>
    </row>
    <row r="2667" spans="1:15" x14ac:dyDescent="0.25">
      <c r="A2667">
        <v>2666</v>
      </c>
      <c r="B2667">
        <v>31</v>
      </c>
      <c r="C2667" t="s">
        <v>16</v>
      </c>
      <c r="D2667" t="s">
        <v>33</v>
      </c>
      <c r="E2667" t="s">
        <v>38</v>
      </c>
      <c r="F2667" s="1">
        <v>112.63</v>
      </c>
      <c r="G2667" t="s">
        <v>14</v>
      </c>
      <c r="H2667" t="s">
        <v>15</v>
      </c>
      <c r="I2667" s="2">
        <v>2.7</v>
      </c>
      <c r="J2667" s="4">
        <v>8</v>
      </c>
      <c r="K2667" s="3">
        <v>4</v>
      </c>
      <c r="L2667" s="1">
        <f t="shared" si="123"/>
        <v>103.61960000000001</v>
      </c>
      <c r="M2667" t="str" cm="1">
        <f t="array" ref="M2667">_xlfn.IFS(B2667&lt;18,"Under 18",B2667 &lt;=25,"18-25",B2667&lt;=35,"26-35",B2667&lt;=45,"36-45",B2667&lt;=60,"46-60",TRUE,"60+")</f>
        <v>26-35</v>
      </c>
      <c r="N2667" t="str">
        <f t="shared" si="124"/>
        <v>Discounted</v>
      </c>
      <c r="O2667" t="str">
        <f t="shared" si="125"/>
        <v>Returning</v>
      </c>
    </row>
    <row r="2668" spans="1:15" x14ac:dyDescent="0.25">
      <c r="A2668">
        <v>2667</v>
      </c>
      <c r="B2668">
        <v>60</v>
      </c>
      <c r="C2668" t="s">
        <v>11</v>
      </c>
      <c r="D2668" t="s">
        <v>12</v>
      </c>
      <c r="E2668" t="s">
        <v>13</v>
      </c>
      <c r="F2668" s="1">
        <v>138.91</v>
      </c>
      <c r="G2668" t="s">
        <v>14</v>
      </c>
      <c r="H2668" t="s">
        <v>15</v>
      </c>
      <c r="I2668" s="2">
        <v>4.4000000000000004</v>
      </c>
      <c r="J2668" s="4">
        <v>13</v>
      </c>
      <c r="K2668" s="3">
        <v>4</v>
      </c>
      <c r="L2668" s="1">
        <f t="shared" si="123"/>
        <v>120.85169999999999</v>
      </c>
      <c r="M2668" t="str" cm="1">
        <f t="array" ref="M2668">_xlfn.IFS(B2668&lt;18,"Under 18",B2668 &lt;=25,"18-25",B2668&lt;=35,"26-35",B2668&lt;=45,"36-45",B2668&lt;=60,"46-60",TRUE,"60+")</f>
        <v>46-60</v>
      </c>
      <c r="N2668" t="str">
        <f t="shared" si="124"/>
        <v>Discounted</v>
      </c>
      <c r="O2668" t="str">
        <f t="shared" si="125"/>
        <v>Returning</v>
      </c>
    </row>
    <row r="2669" spans="1:15" x14ac:dyDescent="0.25">
      <c r="A2669">
        <v>2668</v>
      </c>
      <c r="B2669">
        <v>26</v>
      </c>
      <c r="C2669" t="s">
        <v>16</v>
      </c>
      <c r="D2669" t="s">
        <v>33</v>
      </c>
      <c r="E2669" t="s">
        <v>38</v>
      </c>
      <c r="F2669" s="1">
        <v>221.47</v>
      </c>
      <c r="G2669" t="s">
        <v>14</v>
      </c>
      <c r="H2669" t="s">
        <v>15</v>
      </c>
      <c r="I2669" s="2">
        <v>3.1</v>
      </c>
      <c r="J2669" s="4">
        <v>12</v>
      </c>
      <c r="K2669" s="3">
        <v>6</v>
      </c>
      <c r="L2669" s="1">
        <f t="shared" si="123"/>
        <v>194.89359999999999</v>
      </c>
      <c r="M2669" t="str" cm="1">
        <f t="array" ref="M2669">_xlfn.IFS(B2669&lt;18,"Under 18",B2669 &lt;=25,"18-25",B2669&lt;=35,"26-35",B2669&lt;=45,"36-45",B2669&lt;=60,"46-60",TRUE,"60+")</f>
        <v>26-35</v>
      </c>
      <c r="N2669" t="str">
        <f t="shared" si="124"/>
        <v>Discounted</v>
      </c>
      <c r="O2669" t="str">
        <f t="shared" si="125"/>
        <v>Returning</v>
      </c>
    </row>
    <row r="2670" spans="1:15" x14ac:dyDescent="0.25">
      <c r="A2670">
        <v>2669</v>
      </c>
      <c r="B2670">
        <v>21</v>
      </c>
      <c r="C2670" t="s">
        <v>11</v>
      </c>
      <c r="D2670" t="s">
        <v>41</v>
      </c>
      <c r="E2670" t="s">
        <v>42</v>
      </c>
      <c r="F2670" s="1">
        <v>52.43</v>
      </c>
      <c r="G2670" t="s">
        <v>14</v>
      </c>
      <c r="H2670" t="s">
        <v>37</v>
      </c>
      <c r="I2670" s="2">
        <v>3.6</v>
      </c>
      <c r="J2670" s="4">
        <v>25</v>
      </c>
      <c r="K2670" s="3">
        <v>10</v>
      </c>
      <c r="L2670" s="1">
        <f t="shared" si="123"/>
        <v>39.322499999999998</v>
      </c>
      <c r="M2670" t="str" cm="1">
        <f t="array" ref="M2670">_xlfn.IFS(B2670&lt;18,"Under 18",B2670 &lt;=25,"18-25",B2670&lt;=35,"26-35",B2670&lt;=45,"36-45",B2670&lt;=60,"46-60",TRUE,"60+")</f>
        <v>18-25</v>
      </c>
      <c r="N2670" t="str">
        <f t="shared" si="124"/>
        <v>Discounted</v>
      </c>
      <c r="O2670" t="str">
        <f t="shared" si="125"/>
        <v>Returning</v>
      </c>
    </row>
    <row r="2671" spans="1:15" x14ac:dyDescent="0.25">
      <c r="A2671">
        <v>2670</v>
      </c>
      <c r="B2671">
        <v>37</v>
      </c>
      <c r="C2671" t="s">
        <v>16</v>
      </c>
      <c r="D2671" t="s">
        <v>20</v>
      </c>
      <c r="E2671" t="s">
        <v>39</v>
      </c>
      <c r="F2671" s="1">
        <v>172.83</v>
      </c>
      <c r="G2671" t="s">
        <v>19</v>
      </c>
      <c r="H2671" t="s">
        <v>15</v>
      </c>
      <c r="I2671" s="2">
        <v>3.1</v>
      </c>
      <c r="J2671" s="4">
        <v>22</v>
      </c>
      <c r="K2671" s="3">
        <v>6</v>
      </c>
      <c r="L2671" s="1">
        <f t="shared" si="123"/>
        <v>134.8074</v>
      </c>
      <c r="M2671" t="str" cm="1">
        <f t="array" ref="M2671">_xlfn.IFS(B2671&lt;18,"Under 18",B2671 &lt;=25,"18-25",B2671&lt;=35,"26-35",B2671&lt;=45,"36-45",B2671&lt;=60,"46-60",TRUE,"60+")</f>
        <v>36-45</v>
      </c>
      <c r="N2671" t="str">
        <f t="shared" si="124"/>
        <v>Discounted</v>
      </c>
      <c r="O2671" t="str">
        <f t="shared" si="125"/>
        <v>Returning</v>
      </c>
    </row>
    <row r="2672" spans="1:15" x14ac:dyDescent="0.25">
      <c r="A2672">
        <v>2671</v>
      </c>
      <c r="B2672">
        <v>35</v>
      </c>
      <c r="C2672" t="s">
        <v>11</v>
      </c>
      <c r="D2672" t="s">
        <v>22</v>
      </c>
      <c r="E2672" t="s">
        <v>23</v>
      </c>
      <c r="F2672" s="1">
        <v>217.67</v>
      </c>
      <c r="G2672" t="s">
        <v>24</v>
      </c>
      <c r="H2672" t="s">
        <v>15</v>
      </c>
      <c r="I2672" s="2">
        <v>3.5</v>
      </c>
      <c r="J2672" s="4">
        <v>10</v>
      </c>
      <c r="K2672" s="3">
        <v>5</v>
      </c>
      <c r="L2672" s="1">
        <f t="shared" si="123"/>
        <v>195.90299999999999</v>
      </c>
      <c r="M2672" t="str" cm="1">
        <f t="array" ref="M2672">_xlfn.IFS(B2672&lt;18,"Under 18",B2672 &lt;=25,"18-25",B2672&lt;=35,"26-35",B2672&lt;=45,"36-45",B2672&lt;=60,"46-60",TRUE,"60+")</f>
        <v>26-35</v>
      </c>
      <c r="N2672" t="str">
        <f t="shared" si="124"/>
        <v>Discounted</v>
      </c>
      <c r="O2672" t="str">
        <f t="shared" si="125"/>
        <v>Returning</v>
      </c>
    </row>
    <row r="2673" spans="1:15" x14ac:dyDescent="0.25">
      <c r="A2673">
        <v>2672</v>
      </c>
      <c r="B2673">
        <v>29</v>
      </c>
      <c r="C2673" t="s">
        <v>16</v>
      </c>
      <c r="D2673" t="s">
        <v>33</v>
      </c>
      <c r="E2673" t="s">
        <v>40</v>
      </c>
      <c r="F2673" s="1">
        <v>217.41</v>
      </c>
      <c r="G2673" t="s">
        <v>14</v>
      </c>
      <c r="H2673" t="s">
        <v>15</v>
      </c>
      <c r="I2673" s="2">
        <v>4.3</v>
      </c>
      <c r="J2673" s="4">
        <v>14</v>
      </c>
      <c r="K2673" s="3">
        <v>7</v>
      </c>
      <c r="L2673" s="1">
        <f t="shared" si="123"/>
        <v>186.9726</v>
      </c>
      <c r="M2673" t="str" cm="1">
        <f t="array" ref="M2673">_xlfn.IFS(B2673&lt;18,"Under 18",B2673 &lt;=25,"18-25",B2673&lt;=35,"26-35",B2673&lt;=45,"36-45",B2673&lt;=60,"46-60",TRUE,"60+")</f>
        <v>26-35</v>
      </c>
      <c r="N2673" t="str">
        <f t="shared" si="124"/>
        <v>Discounted</v>
      </c>
      <c r="O2673" t="str">
        <f t="shared" si="125"/>
        <v>Returning</v>
      </c>
    </row>
    <row r="2674" spans="1:15" x14ac:dyDescent="0.25">
      <c r="A2674">
        <v>2673</v>
      </c>
      <c r="B2674">
        <v>41</v>
      </c>
      <c r="C2674" t="s">
        <v>16</v>
      </c>
      <c r="D2674" t="s">
        <v>33</v>
      </c>
      <c r="E2674" t="s">
        <v>40</v>
      </c>
      <c r="F2674" s="1">
        <v>171.5</v>
      </c>
      <c r="G2674" t="s">
        <v>24</v>
      </c>
      <c r="H2674" t="s">
        <v>15</v>
      </c>
      <c r="I2674" s="2">
        <v>3.3</v>
      </c>
      <c r="J2674" s="4">
        <v>19</v>
      </c>
      <c r="K2674" s="3">
        <v>7</v>
      </c>
      <c r="L2674" s="1">
        <f t="shared" si="123"/>
        <v>138.91500000000002</v>
      </c>
      <c r="M2674" t="str" cm="1">
        <f t="array" ref="M2674">_xlfn.IFS(B2674&lt;18,"Under 18",B2674 &lt;=25,"18-25",B2674&lt;=35,"26-35",B2674&lt;=45,"36-45",B2674&lt;=60,"46-60",TRUE,"60+")</f>
        <v>36-45</v>
      </c>
      <c r="N2674" t="str">
        <f t="shared" si="124"/>
        <v>Discounted</v>
      </c>
      <c r="O2674" t="str">
        <f t="shared" si="125"/>
        <v>Returning</v>
      </c>
    </row>
    <row r="2675" spans="1:15" x14ac:dyDescent="0.25">
      <c r="A2675">
        <v>2674</v>
      </c>
      <c r="B2675">
        <v>35</v>
      </c>
      <c r="C2675" t="s">
        <v>16</v>
      </c>
      <c r="D2675" t="s">
        <v>27</v>
      </c>
      <c r="E2675" t="s">
        <v>49</v>
      </c>
      <c r="F2675" s="1">
        <v>2366.84</v>
      </c>
      <c r="G2675" t="s">
        <v>24</v>
      </c>
      <c r="H2675" t="s">
        <v>15</v>
      </c>
      <c r="I2675" s="2">
        <v>3.6</v>
      </c>
      <c r="J2675" s="4">
        <v>26</v>
      </c>
      <c r="K2675" s="3">
        <v>8</v>
      </c>
      <c r="L2675" s="1">
        <f t="shared" si="123"/>
        <v>1751.4616000000001</v>
      </c>
      <c r="M2675" t="str" cm="1">
        <f t="array" ref="M2675">_xlfn.IFS(B2675&lt;18,"Under 18",B2675 &lt;=25,"18-25",B2675&lt;=35,"26-35",B2675&lt;=45,"36-45",B2675&lt;=60,"46-60",TRUE,"60+")</f>
        <v>26-35</v>
      </c>
      <c r="N2675" t="str">
        <f t="shared" si="124"/>
        <v>Discounted</v>
      </c>
      <c r="O2675" t="str">
        <f t="shared" si="125"/>
        <v>Returning</v>
      </c>
    </row>
    <row r="2676" spans="1:15" x14ac:dyDescent="0.25">
      <c r="A2676">
        <v>2675</v>
      </c>
      <c r="B2676">
        <v>70</v>
      </c>
      <c r="C2676" t="s">
        <v>11</v>
      </c>
      <c r="D2676" t="s">
        <v>12</v>
      </c>
      <c r="E2676" t="s">
        <v>56</v>
      </c>
      <c r="F2676" s="1">
        <v>169.45</v>
      </c>
      <c r="G2676" t="s">
        <v>19</v>
      </c>
      <c r="H2676" t="s">
        <v>15</v>
      </c>
      <c r="I2676" s="2">
        <v>3.1</v>
      </c>
      <c r="J2676" s="4">
        <v>15</v>
      </c>
      <c r="K2676" s="3">
        <v>5</v>
      </c>
      <c r="L2676" s="1">
        <f t="shared" si="123"/>
        <v>144.0325</v>
      </c>
      <c r="M2676" t="str" cm="1">
        <f t="array" ref="M2676">_xlfn.IFS(B2676&lt;18,"Under 18",B2676 &lt;=25,"18-25",B2676&lt;=35,"26-35",B2676&lt;=45,"36-45",B2676&lt;=60,"46-60",TRUE,"60+")</f>
        <v>60+</v>
      </c>
      <c r="N2676" t="str">
        <f t="shared" si="124"/>
        <v>Discounted</v>
      </c>
      <c r="O2676" t="str">
        <f t="shared" si="125"/>
        <v>Returning</v>
      </c>
    </row>
    <row r="2677" spans="1:15" x14ac:dyDescent="0.25">
      <c r="A2677">
        <v>2676</v>
      </c>
      <c r="B2677">
        <v>50</v>
      </c>
      <c r="C2677" t="s">
        <v>11</v>
      </c>
      <c r="D2677" t="s">
        <v>12</v>
      </c>
      <c r="E2677" t="s">
        <v>13</v>
      </c>
      <c r="F2677" s="1">
        <v>51.73</v>
      </c>
      <c r="G2677" t="s">
        <v>14</v>
      </c>
      <c r="H2677" t="s">
        <v>37</v>
      </c>
      <c r="I2677" s="2">
        <v>3.4</v>
      </c>
      <c r="J2677" s="4">
        <v>10</v>
      </c>
      <c r="K2677" s="3">
        <v>5</v>
      </c>
      <c r="L2677" s="1">
        <f t="shared" si="123"/>
        <v>46.556999999999995</v>
      </c>
      <c r="M2677" t="str" cm="1">
        <f t="array" ref="M2677">_xlfn.IFS(B2677&lt;18,"Under 18",B2677 &lt;=25,"18-25",B2677&lt;=35,"26-35",B2677&lt;=45,"36-45",B2677&lt;=60,"46-60",TRUE,"60+")</f>
        <v>46-60</v>
      </c>
      <c r="N2677" t="str">
        <f t="shared" si="124"/>
        <v>Discounted</v>
      </c>
      <c r="O2677" t="str">
        <f t="shared" si="125"/>
        <v>Returning</v>
      </c>
    </row>
    <row r="2678" spans="1:15" x14ac:dyDescent="0.25">
      <c r="A2678">
        <v>2677</v>
      </c>
      <c r="B2678">
        <v>43</v>
      </c>
      <c r="C2678" t="s">
        <v>11</v>
      </c>
      <c r="D2678" t="s">
        <v>33</v>
      </c>
      <c r="E2678" t="s">
        <v>34</v>
      </c>
      <c r="F2678" s="1">
        <v>111.39</v>
      </c>
      <c r="G2678" t="s">
        <v>14</v>
      </c>
      <c r="H2678" t="s">
        <v>15</v>
      </c>
      <c r="I2678" s="2">
        <v>2.8</v>
      </c>
      <c r="J2678" s="4">
        <v>6</v>
      </c>
      <c r="K2678" s="3">
        <v>3</v>
      </c>
      <c r="L2678" s="1">
        <f t="shared" si="123"/>
        <v>104.70659999999999</v>
      </c>
      <c r="M2678" t="str" cm="1">
        <f t="array" ref="M2678">_xlfn.IFS(B2678&lt;18,"Under 18",B2678 &lt;=25,"18-25",B2678&lt;=35,"26-35",B2678&lt;=45,"36-45",B2678&lt;=60,"46-60",TRUE,"60+")</f>
        <v>36-45</v>
      </c>
      <c r="N2678" t="str">
        <f t="shared" si="124"/>
        <v>Discounted</v>
      </c>
      <c r="O2678" t="str">
        <f t="shared" si="125"/>
        <v>Returning</v>
      </c>
    </row>
    <row r="2679" spans="1:15" x14ac:dyDescent="0.25">
      <c r="A2679">
        <v>2678</v>
      </c>
      <c r="B2679">
        <v>40</v>
      </c>
      <c r="C2679" t="s">
        <v>11</v>
      </c>
      <c r="D2679" t="s">
        <v>33</v>
      </c>
      <c r="E2679" t="s">
        <v>40</v>
      </c>
      <c r="F2679" s="1">
        <v>184.33</v>
      </c>
      <c r="G2679" t="s">
        <v>31</v>
      </c>
      <c r="H2679" t="s">
        <v>15</v>
      </c>
      <c r="I2679" s="2">
        <v>4.3</v>
      </c>
      <c r="J2679" s="4">
        <v>26</v>
      </c>
      <c r="K2679" s="3">
        <v>8</v>
      </c>
      <c r="L2679" s="1">
        <f t="shared" si="123"/>
        <v>136.4042</v>
      </c>
      <c r="M2679" t="str" cm="1">
        <f t="array" ref="M2679">_xlfn.IFS(B2679&lt;18,"Under 18",B2679 &lt;=25,"18-25",B2679&lt;=35,"26-35",B2679&lt;=45,"36-45",B2679&lt;=60,"46-60",TRUE,"60+")</f>
        <v>36-45</v>
      </c>
      <c r="N2679" t="str">
        <f t="shared" si="124"/>
        <v>Discounted</v>
      </c>
      <c r="O2679" t="str">
        <f t="shared" si="125"/>
        <v>Returning</v>
      </c>
    </row>
    <row r="2680" spans="1:15" x14ac:dyDescent="0.25">
      <c r="A2680">
        <v>2679</v>
      </c>
      <c r="B2680">
        <v>32</v>
      </c>
      <c r="C2680" t="s">
        <v>11</v>
      </c>
      <c r="D2680" t="s">
        <v>41</v>
      </c>
      <c r="E2680" t="s">
        <v>46</v>
      </c>
      <c r="F2680" s="1">
        <v>110.27</v>
      </c>
      <c r="G2680" t="s">
        <v>24</v>
      </c>
      <c r="H2680" t="s">
        <v>15</v>
      </c>
      <c r="I2680" s="2">
        <v>4.4000000000000004</v>
      </c>
      <c r="J2680" s="4">
        <v>18</v>
      </c>
      <c r="K2680" s="3">
        <v>4</v>
      </c>
      <c r="L2680" s="1">
        <f t="shared" si="123"/>
        <v>90.421400000000006</v>
      </c>
      <c r="M2680" t="str" cm="1">
        <f t="array" ref="M2680">_xlfn.IFS(B2680&lt;18,"Under 18",B2680 &lt;=25,"18-25",B2680&lt;=35,"26-35",B2680&lt;=45,"36-45",B2680&lt;=60,"46-60",TRUE,"60+")</f>
        <v>26-35</v>
      </c>
      <c r="N2680" t="str">
        <f t="shared" si="124"/>
        <v>Discounted</v>
      </c>
      <c r="O2680" t="str">
        <f t="shared" si="125"/>
        <v>Returning</v>
      </c>
    </row>
    <row r="2681" spans="1:15" x14ac:dyDescent="0.25">
      <c r="A2681">
        <v>2680</v>
      </c>
      <c r="B2681">
        <v>61</v>
      </c>
      <c r="C2681" t="s">
        <v>11</v>
      </c>
      <c r="D2681" t="s">
        <v>41</v>
      </c>
      <c r="E2681" t="s">
        <v>45</v>
      </c>
      <c r="F2681" s="1">
        <v>79.69</v>
      </c>
      <c r="G2681" t="s">
        <v>14</v>
      </c>
      <c r="H2681" t="s">
        <v>37</v>
      </c>
      <c r="I2681" s="2">
        <v>3.3</v>
      </c>
      <c r="J2681" s="4">
        <v>18</v>
      </c>
      <c r="K2681" s="3">
        <v>4</v>
      </c>
      <c r="L2681" s="1">
        <f t="shared" si="123"/>
        <v>65.345799999999997</v>
      </c>
      <c r="M2681" t="str" cm="1">
        <f t="array" ref="M2681">_xlfn.IFS(B2681&lt;18,"Under 18",B2681 &lt;=25,"18-25",B2681&lt;=35,"26-35",B2681&lt;=45,"36-45",B2681&lt;=60,"46-60",TRUE,"60+")</f>
        <v>60+</v>
      </c>
      <c r="N2681" t="str">
        <f t="shared" si="124"/>
        <v>Discounted</v>
      </c>
      <c r="O2681" t="str">
        <f t="shared" si="125"/>
        <v>Returning</v>
      </c>
    </row>
    <row r="2682" spans="1:15" x14ac:dyDescent="0.25">
      <c r="A2682">
        <v>2681</v>
      </c>
      <c r="B2682">
        <v>54</v>
      </c>
      <c r="C2682" t="s">
        <v>11</v>
      </c>
      <c r="D2682" t="s">
        <v>29</v>
      </c>
      <c r="E2682" t="s">
        <v>30</v>
      </c>
      <c r="F2682" s="1">
        <v>125.21</v>
      </c>
      <c r="G2682" t="s">
        <v>14</v>
      </c>
      <c r="H2682" t="s">
        <v>15</v>
      </c>
      <c r="I2682" s="2">
        <v>4.0999999999999996</v>
      </c>
      <c r="J2682" s="4">
        <v>8</v>
      </c>
      <c r="K2682" s="3">
        <v>4</v>
      </c>
      <c r="L2682" s="1">
        <f t="shared" si="123"/>
        <v>115.1932</v>
      </c>
      <c r="M2682" t="str" cm="1">
        <f t="array" ref="M2682">_xlfn.IFS(B2682&lt;18,"Under 18",B2682 &lt;=25,"18-25",B2682&lt;=35,"26-35",B2682&lt;=45,"36-45",B2682&lt;=60,"46-60",TRUE,"60+")</f>
        <v>46-60</v>
      </c>
      <c r="N2682" t="str">
        <f t="shared" si="124"/>
        <v>Discounted</v>
      </c>
      <c r="O2682" t="str">
        <f t="shared" si="125"/>
        <v>Returning</v>
      </c>
    </row>
    <row r="2683" spans="1:15" x14ac:dyDescent="0.25">
      <c r="A2683">
        <v>2682</v>
      </c>
      <c r="B2683">
        <v>66</v>
      </c>
      <c r="C2683" t="s">
        <v>16</v>
      </c>
      <c r="D2683" t="s">
        <v>25</v>
      </c>
      <c r="E2683" t="s">
        <v>57</v>
      </c>
      <c r="F2683" s="1">
        <v>5.08</v>
      </c>
      <c r="G2683" t="s">
        <v>24</v>
      </c>
      <c r="H2683" t="s">
        <v>37</v>
      </c>
      <c r="I2683" s="2">
        <v>4.9000000000000004</v>
      </c>
      <c r="J2683" s="4">
        <v>17</v>
      </c>
      <c r="K2683" s="3">
        <v>6</v>
      </c>
      <c r="L2683" s="1">
        <f t="shared" si="123"/>
        <v>4.2164000000000001</v>
      </c>
      <c r="M2683" t="str" cm="1">
        <f t="array" ref="M2683">_xlfn.IFS(B2683&lt;18,"Under 18",B2683 &lt;=25,"18-25",B2683&lt;=35,"26-35",B2683&lt;=45,"36-45",B2683&lt;=60,"46-60",TRUE,"60+")</f>
        <v>60+</v>
      </c>
      <c r="N2683" t="str">
        <f t="shared" si="124"/>
        <v>Discounted</v>
      </c>
      <c r="O2683" t="str">
        <f t="shared" si="125"/>
        <v>Returning</v>
      </c>
    </row>
    <row r="2684" spans="1:15" x14ac:dyDescent="0.25">
      <c r="A2684">
        <v>2683</v>
      </c>
      <c r="B2684">
        <v>69</v>
      </c>
      <c r="C2684" t="s">
        <v>11</v>
      </c>
      <c r="D2684" t="s">
        <v>33</v>
      </c>
      <c r="E2684" t="s">
        <v>40</v>
      </c>
      <c r="F2684" s="1">
        <v>228.38</v>
      </c>
      <c r="G2684" t="s">
        <v>14</v>
      </c>
      <c r="H2684" t="s">
        <v>15</v>
      </c>
      <c r="I2684" s="2">
        <v>4</v>
      </c>
      <c r="J2684" s="4">
        <v>14</v>
      </c>
      <c r="K2684" s="3">
        <v>7</v>
      </c>
      <c r="L2684" s="1">
        <f t="shared" si="123"/>
        <v>196.4068</v>
      </c>
      <c r="M2684" t="str" cm="1">
        <f t="array" ref="M2684">_xlfn.IFS(B2684&lt;18,"Under 18",B2684 &lt;=25,"18-25",B2684&lt;=35,"26-35",B2684&lt;=45,"36-45",B2684&lt;=60,"46-60",TRUE,"60+")</f>
        <v>60+</v>
      </c>
      <c r="N2684" t="str">
        <f t="shared" si="124"/>
        <v>Discounted</v>
      </c>
      <c r="O2684" t="str">
        <f t="shared" si="125"/>
        <v>Returning</v>
      </c>
    </row>
    <row r="2685" spans="1:15" x14ac:dyDescent="0.25">
      <c r="A2685">
        <v>2684</v>
      </c>
      <c r="B2685">
        <v>27</v>
      </c>
      <c r="C2685" t="s">
        <v>16</v>
      </c>
      <c r="D2685" t="s">
        <v>33</v>
      </c>
      <c r="E2685" t="s">
        <v>38</v>
      </c>
      <c r="F2685" s="1">
        <v>146.57</v>
      </c>
      <c r="G2685" t="s">
        <v>24</v>
      </c>
      <c r="H2685" t="s">
        <v>15</v>
      </c>
      <c r="I2685" s="2">
        <v>3.2</v>
      </c>
      <c r="J2685" s="4">
        <v>15</v>
      </c>
      <c r="K2685" s="3">
        <v>5</v>
      </c>
      <c r="L2685" s="1">
        <f t="shared" si="123"/>
        <v>124.58449999999999</v>
      </c>
      <c r="M2685" t="str" cm="1">
        <f t="array" ref="M2685">_xlfn.IFS(B2685&lt;18,"Under 18",B2685 &lt;=25,"18-25",B2685&lt;=35,"26-35",B2685&lt;=45,"36-45",B2685&lt;=60,"46-60",TRUE,"60+")</f>
        <v>26-35</v>
      </c>
      <c r="N2685" t="str">
        <f t="shared" si="124"/>
        <v>Discounted</v>
      </c>
      <c r="O2685" t="str">
        <f t="shared" si="125"/>
        <v>Returning</v>
      </c>
    </row>
    <row r="2686" spans="1:15" x14ac:dyDescent="0.25">
      <c r="A2686">
        <v>2685</v>
      </c>
      <c r="B2686">
        <v>64</v>
      </c>
      <c r="C2686" t="s">
        <v>11</v>
      </c>
      <c r="D2686" t="s">
        <v>33</v>
      </c>
      <c r="E2686" t="s">
        <v>38</v>
      </c>
      <c r="F2686" s="1">
        <v>90.12</v>
      </c>
      <c r="G2686" t="s">
        <v>24</v>
      </c>
      <c r="H2686" t="s">
        <v>15</v>
      </c>
      <c r="I2686" s="2">
        <v>5</v>
      </c>
      <c r="J2686" s="4">
        <v>13</v>
      </c>
      <c r="K2686" s="3">
        <v>4</v>
      </c>
      <c r="L2686" s="1">
        <f t="shared" si="123"/>
        <v>78.40440000000001</v>
      </c>
      <c r="M2686" t="str" cm="1">
        <f t="array" ref="M2686">_xlfn.IFS(B2686&lt;18,"Under 18",B2686 &lt;=25,"18-25",B2686&lt;=35,"26-35",B2686&lt;=45,"36-45",B2686&lt;=60,"46-60",TRUE,"60+")</f>
        <v>60+</v>
      </c>
      <c r="N2686" t="str">
        <f t="shared" si="124"/>
        <v>Discounted</v>
      </c>
      <c r="O2686" t="str">
        <f t="shared" si="125"/>
        <v>Returning</v>
      </c>
    </row>
    <row r="2687" spans="1:15" x14ac:dyDescent="0.25">
      <c r="A2687">
        <v>2686</v>
      </c>
      <c r="B2687">
        <v>46</v>
      </c>
      <c r="C2687" t="s">
        <v>16</v>
      </c>
      <c r="D2687" t="s">
        <v>20</v>
      </c>
      <c r="E2687" t="s">
        <v>39</v>
      </c>
      <c r="F2687" s="1">
        <v>180.39</v>
      </c>
      <c r="G2687" t="s">
        <v>24</v>
      </c>
      <c r="H2687" t="s">
        <v>15</v>
      </c>
      <c r="I2687" s="2">
        <v>5</v>
      </c>
      <c r="J2687" s="4">
        <v>11</v>
      </c>
      <c r="K2687" s="3">
        <v>3</v>
      </c>
      <c r="L2687" s="1">
        <f t="shared" si="123"/>
        <v>160.5471</v>
      </c>
      <c r="M2687" t="str" cm="1">
        <f t="array" ref="M2687">_xlfn.IFS(B2687&lt;18,"Under 18",B2687 &lt;=25,"18-25",B2687&lt;=35,"26-35",B2687&lt;=45,"36-45",B2687&lt;=60,"46-60",TRUE,"60+")</f>
        <v>46-60</v>
      </c>
      <c r="N2687" t="str">
        <f t="shared" si="124"/>
        <v>Discounted</v>
      </c>
      <c r="O2687" t="str">
        <f t="shared" si="125"/>
        <v>Returning</v>
      </c>
    </row>
    <row r="2688" spans="1:15" x14ac:dyDescent="0.25">
      <c r="A2688">
        <v>2687</v>
      </c>
      <c r="B2688">
        <v>21</v>
      </c>
      <c r="C2688" t="s">
        <v>11</v>
      </c>
      <c r="D2688" t="s">
        <v>33</v>
      </c>
      <c r="E2688" t="s">
        <v>38</v>
      </c>
      <c r="F2688" s="1">
        <v>234.56</v>
      </c>
      <c r="G2688" t="s">
        <v>31</v>
      </c>
      <c r="H2688" t="s">
        <v>15</v>
      </c>
      <c r="I2688" s="2">
        <v>4.0999999999999996</v>
      </c>
      <c r="J2688" s="4">
        <v>15</v>
      </c>
      <c r="K2688" s="3">
        <v>5</v>
      </c>
      <c r="L2688" s="1">
        <f t="shared" si="123"/>
        <v>199.376</v>
      </c>
      <c r="M2688" t="str" cm="1">
        <f t="array" ref="M2688">_xlfn.IFS(B2688&lt;18,"Under 18",B2688 &lt;=25,"18-25",B2688&lt;=35,"26-35",B2688&lt;=45,"36-45",B2688&lt;=60,"46-60",TRUE,"60+")</f>
        <v>18-25</v>
      </c>
      <c r="N2688" t="str">
        <f t="shared" si="124"/>
        <v>Discounted</v>
      </c>
      <c r="O2688" t="str">
        <f t="shared" si="125"/>
        <v>Returning</v>
      </c>
    </row>
    <row r="2689" spans="1:15" x14ac:dyDescent="0.25">
      <c r="A2689">
        <v>2688</v>
      </c>
      <c r="B2689">
        <v>31</v>
      </c>
      <c r="C2689" t="s">
        <v>16</v>
      </c>
      <c r="D2689" t="s">
        <v>17</v>
      </c>
      <c r="E2689" t="s">
        <v>42</v>
      </c>
      <c r="F2689" s="1">
        <v>172.58</v>
      </c>
      <c r="G2689" t="s">
        <v>14</v>
      </c>
      <c r="H2689" t="s">
        <v>15</v>
      </c>
      <c r="I2689" s="2">
        <v>2.4</v>
      </c>
      <c r="J2689" s="4">
        <v>18</v>
      </c>
      <c r="K2689" s="3">
        <v>4</v>
      </c>
      <c r="L2689" s="1">
        <f t="shared" si="123"/>
        <v>141.51560000000003</v>
      </c>
      <c r="M2689" t="str" cm="1">
        <f t="array" ref="M2689">_xlfn.IFS(B2689&lt;18,"Under 18",B2689 &lt;=25,"18-25",B2689&lt;=35,"26-35",B2689&lt;=45,"36-45",B2689&lt;=60,"46-60",TRUE,"60+")</f>
        <v>26-35</v>
      </c>
      <c r="N2689" t="str">
        <f t="shared" si="124"/>
        <v>Discounted</v>
      </c>
      <c r="O2689" t="str">
        <f t="shared" si="125"/>
        <v>Returning</v>
      </c>
    </row>
    <row r="2690" spans="1:15" x14ac:dyDescent="0.25">
      <c r="A2690">
        <v>2689</v>
      </c>
      <c r="B2690">
        <v>69</v>
      </c>
      <c r="C2690" t="s">
        <v>11</v>
      </c>
      <c r="D2690" t="s">
        <v>33</v>
      </c>
      <c r="E2690" t="s">
        <v>34</v>
      </c>
      <c r="F2690" s="1">
        <v>90.11</v>
      </c>
      <c r="G2690" t="s">
        <v>14</v>
      </c>
      <c r="H2690" t="s">
        <v>37</v>
      </c>
      <c r="I2690" s="2">
        <v>3.3</v>
      </c>
      <c r="J2690" s="4">
        <v>15</v>
      </c>
      <c r="K2690" s="3">
        <v>5</v>
      </c>
      <c r="L2690" s="1">
        <f t="shared" si="123"/>
        <v>76.593499999999992</v>
      </c>
      <c r="M2690" t="str" cm="1">
        <f t="array" ref="M2690">_xlfn.IFS(B2690&lt;18,"Under 18",B2690 &lt;=25,"18-25",B2690&lt;=35,"26-35",B2690&lt;=45,"36-45",B2690&lt;=60,"46-60",TRUE,"60+")</f>
        <v>60+</v>
      </c>
      <c r="N2690" t="str">
        <f t="shared" si="124"/>
        <v>Discounted</v>
      </c>
      <c r="O2690" t="str">
        <f t="shared" si="125"/>
        <v>Returning</v>
      </c>
    </row>
    <row r="2691" spans="1:15" x14ac:dyDescent="0.25">
      <c r="A2691">
        <v>2690</v>
      </c>
      <c r="B2691">
        <v>55</v>
      </c>
      <c r="C2691" t="s">
        <v>11</v>
      </c>
      <c r="D2691" t="s">
        <v>41</v>
      </c>
      <c r="E2691" t="s">
        <v>44</v>
      </c>
      <c r="F2691" s="1">
        <v>159.87</v>
      </c>
      <c r="G2691" t="s">
        <v>24</v>
      </c>
      <c r="H2691" t="s">
        <v>15</v>
      </c>
      <c r="I2691" s="2">
        <v>3.6</v>
      </c>
      <c r="J2691" s="4">
        <v>8</v>
      </c>
      <c r="K2691" s="3">
        <v>4</v>
      </c>
      <c r="L2691" s="1">
        <f t="shared" ref="L2691:L2754" si="126">F2691 * (1 - J2691 / 100)</f>
        <v>147.0804</v>
      </c>
      <c r="M2691" t="str" cm="1">
        <f t="array" ref="M2691">_xlfn.IFS(B2691&lt;18,"Under 18",B2691 &lt;=25,"18-25",B2691&lt;=35,"26-35",B2691&lt;=45,"36-45",B2691&lt;=60,"46-60",TRUE,"60+")</f>
        <v>46-60</v>
      </c>
      <c r="N2691" t="str">
        <f t="shared" ref="N2691:N2754" si="127">IF(J2691&gt;0,"Discounted","No Discount")</f>
        <v>Discounted</v>
      </c>
      <c r="O2691" t="str">
        <f t="shared" ref="O2691:O2754" si="128">IF(K2691&gt;0,"Returning","New")</f>
        <v>Returning</v>
      </c>
    </row>
    <row r="2692" spans="1:15" x14ac:dyDescent="0.25">
      <c r="A2692">
        <v>2691</v>
      </c>
      <c r="B2692">
        <v>50</v>
      </c>
      <c r="C2692" t="s">
        <v>11</v>
      </c>
      <c r="D2692" t="s">
        <v>33</v>
      </c>
      <c r="E2692" t="s">
        <v>38</v>
      </c>
      <c r="F2692" s="1">
        <v>95.51</v>
      </c>
      <c r="G2692" t="s">
        <v>19</v>
      </c>
      <c r="H2692" t="s">
        <v>15</v>
      </c>
      <c r="I2692" s="2">
        <v>5</v>
      </c>
      <c r="J2692" s="4">
        <v>20</v>
      </c>
      <c r="K2692" s="3">
        <v>5</v>
      </c>
      <c r="L2692" s="1">
        <f t="shared" si="126"/>
        <v>76.408000000000001</v>
      </c>
      <c r="M2692" t="str" cm="1">
        <f t="array" ref="M2692">_xlfn.IFS(B2692&lt;18,"Under 18",B2692 &lt;=25,"18-25",B2692&lt;=35,"26-35",B2692&lt;=45,"36-45",B2692&lt;=60,"46-60",TRUE,"60+")</f>
        <v>46-60</v>
      </c>
      <c r="N2692" t="str">
        <f t="shared" si="127"/>
        <v>Discounted</v>
      </c>
      <c r="O2692" t="str">
        <f t="shared" si="128"/>
        <v>Returning</v>
      </c>
    </row>
    <row r="2693" spans="1:15" x14ac:dyDescent="0.25">
      <c r="A2693">
        <v>2692</v>
      </c>
      <c r="B2693">
        <v>68</v>
      </c>
      <c r="C2693" t="s">
        <v>16</v>
      </c>
      <c r="D2693" t="s">
        <v>20</v>
      </c>
      <c r="E2693" t="s">
        <v>39</v>
      </c>
      <c r="F2693" s="1">
        <v>84.67</v>
      </c>
      <c r="G2693" t="s">
        <v>14</v>
      </c>
      <c r="H2693" t="s">
        <v>15</v>
      </c>
      <c r="I2693" s="2">
        <v>3</v>
      </c>
      <c r="J2693" s="4">
        <v>13</v>
      </c>
      <c r="K2693" s="3">
        <v>4</v>
      </c>
      <c r="L2693" s="1">
        <f t="shared" si="126"/>
        <v>73.662900000000008</v>
      </c>
      <c r="M2693" t="str" cm="1">
        <f t="array" ref="M2693">_xlfn.IFS(B2693&lt;18,"Under 18",B2693 &lt;=25,"18-25",B2693&lt;=35,"26-35",B2693&lt;=45,"36-45",B2693&lt;=60,"46-60",TRUE,"60+")</f>
        <v>60+</v>
      </c>
      <c r="N2693" t="str">
        <f t="shared" si="127"/>
        <v>Discounted</v>
      </c>
      <c r="O2693" t="str">
        <f t="shared" si="128"/>
        <v>Returning</v>
      </c>
    </row>
    <row r="2694" spans="1:15" x14ac:dyDescent="0.25">
      <c r="A2694">
        <v>2693</v>
      </c>
      <c r="B2694">
        <v>64</v>
      </c>
      <c r="C2694" t="s">
        <v>16</v>
      </c>
      <c r="D2694" t="s">
        <v>20</v>
      </c>
      <c r="E2694" t="s">
        <v>39</v>
      </c>
      <c r="F2694" s="1">
        <v>25.56</v>
      </c>
      <c r="G2694" t="s">
        <v>24</v>
      </c>
      <c r="H2694" t="s">
        <v>37</v>
      </c>
      <c r="I2694" s="2">
        <v>3.2</v>
      </c>
      <c r="J2694" s="4">
        <v>11</v>
      </c>
      <c r="K2694" s="3">
        <v>3</v>
      </c>
      <c r="L2694" s="1">
        <f t="shared" si="126"/>
        <v>22.7484</v>
      </c>
      <c r="M2694" t="str" cm="1">
        <f t="array" ref="M2694">_xlfn.IFS(B2694&lt;18,"Under 18",B2694 &lt;=25,"18-25",B2694&lt;=35,"26-35",B2694&lt;=45,"36-45",B2694&lt;=60,"46-60",TRUE,"60+")</f>
        <v>60+</v>
      </c>
      <c r="N2694" t="str">
        <f t="shared" si="127"/>
        <v>Discounted</v>
      </c>
      <c r="O2694" t="str">
        <f t="shared" si="128"/>
        <v>Returning</v>
      </c>
    </row>
    <row r="2695" spans="1:15" x14ac:dyDescent="0.25">
      <c r="A2695">
        <v>2694</v>
      </c>
      <c r="B2695">
        <v>63</v>
      </c>
      <c r="C2695" t="s">
        <v>11</v>
      </c>
      <c r="D2695" t="s">
        <v>29</v>
      </c>
      <c r="E2695" t="s">
        <v>30</v>
      </c>
      <c r="F2695" s="1">
        <v>49.07</v>
      </c>
      <c r="G2695" t="s">
        <v>14</v>
      </c>
      <c r="H2695" t="s">
        <v>15</v>
      </c>
      <c r="I2695" s="2">
        <v>4.5999999999999996</v>
      </c>
      <c r="J2695" s="4">
        <v>6</v>
      </c>
      <c r="K2695" s="3">
        <v>3</v>
      </c>
      <c r="L2695" s="1">
        <f t="shared" si="126"/>
        <v>46.125799999999998</v>
      </c>
      <c r="M2695" t="str" cm="1">
        <f t="array" ref="M2695">_xlfn.IFS(B2695&lt;18,"Under 18",B2695 &lt;=25,"18-25",B2695&lt;=35,"26-35",B2695&lt;=45,"36-45",B2695&lt;=60,"46-60",TRUE,"60+")</f>
        <v>60+</v>
      </c>
      <c r="N2695" t="str">
        <f t="shared" si="127"/>
        <v>Discounted</v>
      </c>
      <c r="O2695" t="str">
        <f t="shared" si="128"/>
        <v>Returning</v>
      </c>
    </row>
    <row r="2696" spans="1:15" x14ac:dyDescent="0.25">
      <c r="A2696">
        <v>2695</v>
      </c>
      <c r="B2696">
        <v>32</v>
      </c>
      <c r="C2696" t="s">
        <v>16</v>
      </c>
      <c r="D2696" t="s">
        <v>17</v>
      </c>
      <c r="E2696" t="s">
        <v>18</v>
      </c>
      <c r="F2696" s="1">
        <v>73.680000000000007</v>
      </c>
      <c r="G2696" t="s">
        <v>19</v>
      </c>
      <c r="H2696" t="s">
        <v>37</v>
      </c>
      <c r="I2696" s="2">
        <v>4.5</v>
      </c>
      <c r="J2696" s="4">
        <v>22</v>
      </c>
      <c r="K2696" s="3">
        <v>6</v>
      </c>
      <c r="L2696" s="1">
        <f t="shared" si="126"/>
        <v>57.470400000000005</v>
      </c>
      <c r="M2696" t="str" cm="1">
        <f t="array" ref="M2696">_xlfn.IFS(B2696&lt;18,"Under 18",B2696 &lt;=25,"18-25",B2696&lt;=35,"26-35",B2696&lt;=45,"36-45",B2696&lt;=60,"46-60",TRUE,"60+")</f>
        <v>26-35</v>
      </c>
      <c r="N2696" t="str">
        <f t="shared" si="127"/>
        <v>Discounted</v>
      </c>
      <c r="O2696" t="str">
        <f t="shared" si="128"/>
        <v>Returning</v>
      </c>
    </row>
    <row r="2697" spans="1:15" x14ac:dyDescent="0.25">
      <c r="A2697">
        <v>2696</v>
      </c>
      <c r="B2697">
        <v>36</v>
      </c>
      <c r="C2697" t="s">
        <v>16</v>
      </c>
      <c r="D2697" t="s">
        <v>20</v>
      </c>
      <c r="E2697" t="s">
        <v>39</v>
      </c>
      <c r="F2697" s="1">
        <v>116.83</v>
      </c>
      <c r="G2697" t="s">
        <v>14</v>
      </c>
      <c r="H2697" t="s">
        <v>15</v>
      </c>
      <c r="I2697" s="2">
        <v>4</v>
      </c>
      <c r="J2697" s="4">
        <v>14</v>
      </c>
      <c r="K2697" s="3">
        <v>7</v>
      </c>
      <c r="L2697" s="1">
        <f t="shared" si="126"/>
        <v>100.4738</v>
      </c>
      <c r="M2697" t="str" cm="1">
        <f t="array" ref="M2697">_xlfn.IFS(B2697&lt;18,"Under 18",B2697 &lt;=25,"18-25",B2697&lt;=35,"26-35",B2697&lt;=45,"36-45",B2697&lt;=60,"46-60",TRUE,"60+")</f>
        <v>36-45</v>
      </c>
      <c r="N2697" t="str">
        <f t="shared" si="127"/>
        <v>Discounted</v>
      </c>
      <c r="O2697" t="str">
        <f t="shared" si="128"/>
        <v>Returning</v>
      </c>
    </row>
    <row r="2698" spans="1:15" x14ac:dyDescent="0.25">
      <c r="A2698">
        <v>2697</v>
      </c>
      <c r="B2698">
        <v>49</v>
      </c>
      <c r="C2698" t="s">
        <v>16</v>
      </c>
      <c r="D2698" t="s">
        <v>27</v>
      </c>
      <c r="E2698" t="s">
        <v>28</v>
      </c>
      <c r="F2698" s="1">
        <v>1896.33</v>
      </c>
      <c r="G2698" t="s">
        <v>14</v>
      </c>
      <c r="H2698" t="s">
        <v>15</v>
      </c>
      <c r="I2698" s="2">
        <v>3.7</v>
      </c>
      <c r="J2698" s="4">
        <v>14</v>
      </c>
      <c r="K2698" s="3">
        <v>7</v>
      </c>
      <c r="L2698" s="1">
        <f t="shared" si="126"/>
        <v>1630.8437999999999</v>
      </c>
      <c r="M2698" t="str" cm="1">
        <f t="array" ref="M2698">_xlfn.IFS(B2698&lt;18,"Under 18",B2698 &lt;=25,"18-25",B2698&lt;=35,"26-35",B2698&lt;=45,"36-45",B2698&lt;=60,"46-60",TRUE,"60+")</f>
        <v>46-60</v>
      </c>
      <c r="N2698" t="str">
        <f t="shared" si="127"/>
        <v>Discounted</v>
      </c>
      <c r="O2698" t="str">
        <f t="shared" si="128"/>
        <v>Returning</v>
      </c>
    </row>
    <row r="2699" spans="1:15" x14ac:dyDescent="0.25">
      <c r="A2699">
        <v>2698</v>
      </c>
      <c r="B2699">
        <v>48</v>
      </c>
      <c r="C2699" t="s">
        <v>11</v>
      </c>
      <c r="D2699" t="s">
        <v>29</v>
      </c>
      <c r="E2699" t="s">
        <v>55</v>
      </c>
      <c r="F2699" s="1">
        <v>27.41</v>
      </c>
      <c r="G2699" t="s">
        <v>19</v>
      </c>
      <c r="H2699" t="s">
        <v>15</v>
      </c>
      <c r="I2699" s="2">
        <v>5</v>
      </c>
      <c r="J2699" s="4">
        <v>14</v>
      </c>
      <c r="K2699" s="3">
        <v>2</v>
      </c>
      <c r="L2699" s="1">
        <f t="shared" si="126"/>
        <v>23.572600000000001</v>
      </c>
      <c r="M2699" t="str" cm="1">
        <f t="array" ref="M2699">_xlfn.IFS(B2699&lt;18,"Under 18",B2699 &lt;=25,"18-25",B2699&lt;=35,"26-35",B2699&lt;=45,"36-45",B2699&lt;=60,"46-60",TRUE,"60+")</f>
        <v>46-60</v>
      </c>
      <c r="N2699" t="str">
        <f t="shared" si="127"/>
        <v>Discounted</v>
      </c>
      <c r="O2699" t="str">
        <f t="shared" si="128"/>
        <v>Returning</v>
      </c>
    </row>
    <row r="2700" spans="1:15" x14ac:dyDescent="0.25">
      <c r="A2700">
        <v>2699</v>
      </c>
      <c r="B2700">
        <v>57</v>
      </c>
      <c r="C2700" t="s">
        <v>16</v>
      </c>
      <c r="D2700" t="s">
        <v>17</v>
      </c>
      <c r="E2700" t="s">
        <v>42</v>
      </c>
      <c r="F2700" s="1">
        <v>160.88</v>
      </c>
      <c r="G2700" t="s">
        <v>31</v>
      </c>
      <c r="H2700" t="s">
        <v>15</v>
      </c>
      <c r="I2700" s="2">
        <v>2.9</v>
      </c>
      <c r="J2700" s="4">
        <v>20</v>
      </c>
      <c r="K2700" s="3">
        <v>5</v>
      </c>
      <c r="L2700" s="1">
        <f t="shared" si="126"/>
        <v>128.70400000000001</v>
      </c>
      <c r="M2700" t="str" cm="1">
        <f t="array" ref="M2700">_xlfn.IFS(B2700&lt;18,"Under 18",B2700 &lt;=25,"18-25",B2700&lt;=35,"26-35",B2700&lt;=45,"36-45",B2700&lt;=60,"46-60",TRUE,"60+")</f>
        <v>46-60</v>
      </c>
      <c r="N2700" t="str">
        <f t="shared" si="127"/>
        <v>Discounted</v>
      </c>
      <c r="O2700" t="str">
        <f t="shared" si="128"/>
        <v>Returning</v>
      </c>
    </row>
    <row r="2701" spans="1:15" x14ac:dyDescent="0.25">
      <c r="A2701">
        <v>2700</v>
      </c>
      <c r="B2701">
        <v>47</v>
      </c>
      <c r="C2701" t="s">
        <v>11</v>
      </c>
      <c r="D2701" t="s">
        <v>29</v>
      </c>
      <c r="E2701" t="s">
        <v>55</v>
      </c>
      <c r="F2701" s="1">
        <v>133.68</v>
      </c>
      <c r="G2701" t="s">
        <v>31</v>
      </c>
      <c r="H2701" t="s">
        <v>15</v>
      </c>
      <c r="I2701" s="2">
        <v>4.9000000000000004</v>
      </c>
      <c r="J2701" s="4">
        <v>12</v>
      </c>
      <c r="K2701" s="3">
        <v>1</v>
      </c>
      <c r="L2701" s="1">
        <f t="shared" si="126"/>
        <v>117.6384</v>
      </c>
      <c r="M2701" t="str" cm="1">
        <f t="array" ref="M2701">_xlfn.IFS(B2701&lt;18,"Under 18",B2701 &lt;=25,"18-25",B2701&lt;=35,"26-35",B2701&lt;=45,"36-45",B2701&lt;=60,"46-60",TRUE,"60+")</f>
        <v>46-60</v>
      </c>
      <c r="N2701" t="str">
        <f t="shared" si="127"/>
        <v>Discounted</v>
      </c>
      <c r="O2701" t="str">
        <f t="shared" si="128"/>
        <v>Returning</v>
      </c>
    </row>
    <row r="2702" spans="1:15" x14ac:dyDescent="0.25">
      <c r="A2702">
        <v>2701</v>
      </c>
      <c r="B2702">
        <v>64</v>
      </c>
      <c r="C2702" t="s">
        <v>16</v>
      </c>
      <c r="D2702" t="s">
        <v>27</v>
      </c>
      <c r="E2702" t="s">
        <v>49</v>
      </c>
      <c r="F2702" s="1">
        <v>2526.33</v>
      </c>
      <c r="G2702" t="s">
        <v>19</v>
      </c>
      <c r="H2702" t="s">
        <v>15</v>
      </c>
      <c r="I2702" s="2">
        <v>4.7</v>
      </c>
      <c r="J2702" s="4">
        <v>11</v>
      </c>
      <c r="K2702" s="3">
        <v>3</v>
      </c>
      <c r="L2702" s="1">
        <f t="shared" si="126"/>
        <v>2248.4337</v>
      </c>
      <c r="M2702" t="str" cm="1">
        <f t="array" ref="M2702">_xlfn.IFS(B2702&lt;18,"Under 18",B2702 &lt;=25,"18-25",B2702&lt;=35,"26-35",B2702&lt;=45,"36-45",B2702&lt;=60,"46-60",TRUE,"60+")</f>
        <v>60+</v>
      </c>
      <c r="N2702" t="str">
        <f t="shared" si="127"/>
        <v>Discounted</v>
      </c>
      <c r="O2702" t="str">
        <f t="shared" si="128"/>
        <v>Returning</v>
      </c>
    </row>
    <row r="2703" spans="1:15" x14ac:dyDescent="0.25">
      <c r="A2703">
        <v>2702</v>
      </c>
      <c r="B2703">
        <v>43</v>
      </c>
      <c r="C2703" t="s">
        <v>11</v>
      </c>
      <c r="D2703" t="s">
        <v>29</v>
      </c>
      <c r="E2703" t="s">
        <v>30</v>
      </c>
      <c r="F2703" s="1">
        <v>52.38</v>
      </c>
      <c r="G2703" t="s">
        <v>19</v>
      </c>
      <c r="H2703" t="s">
        <v>37</v>
      </c>
      <c r="I2703" s="2">
        <v>4.5</v>
      </c>
      <c r="J2703" s="4">
        <v>13</v>
      </c>
      <c r="K2703" s="3">
        <v>4</v>
      </c>
      <c r="L2703" s="1">
        <f t="shared" si="126"/>
        <v>45.570599999999999</v>
      </c>
      <c r="M2703" t="str" cm="1">
        <f t="array" ref="M2703">_xlfn.IFS(B2703&lt;18,"Under 18",B2703 &lt;=25,"18-25",B2703&lt;=35,"26-35",B2703&lt;=45,"36-45",B2703&lt;=60,"46-60",TRUE,"60+")</f>
        <v>36-45</v>
      </c>
      <c r="N2703" t="str">
        <f t="shared" si="127"/>
        <v>Discounted</v>
      </c>
      <c r="O2703" t="str">
        <f t="shared" si="128"/>
        <v>Returning</v>
      </c>
    </row>
    <row r="2704" spans="1:15" x14ac:dyDescent="0.25">
      <c r="A2704">
        <v>2703</v>
      </c>
      <c r="B2704">
        <v>46</v>
      </c>
      <c r="C2704" t="s">
        <v>16</v>
      </c>
      <c r="D2704" t="s">
        <v>33</v>
      </c>
      <c r="E2704" t="s">
        <v>38</v>
      </c>
      <c r="F2704" s="1">
        <v>172.43</v>
      </c>
      <c r="G2704" t="s">
        <v>14</v>
      </c>
      <c r="H2704" t="s">
        <v>15</v>
      </c>
      <c r="I2704" s="2">
        <v>3.7</v>
      </c>
      <c r="J2704" s="4">
        <v>28</v>
      </c>
      <c r="K2704" s="3">
        <v>9</v>
      </c>
      <c r="L2704" s="1">
        <f t="shared" si="126"/>
        <v>124.14960000000001</v>
      </c>
      <c r="M2704" t="str" cm="1">
        <f t="array" ref="M2704">_xlfn.IFS(B2704&lt;18,"Under 18",B2704 &lt;=25,"18-25",B2704&lt;=35,"26-35",B2704&lt;=45,"36-45",B2704&lt;=60,"46-60",TRUE,"60+")</f>
        <v>46-60</v>
      </c>
      <c r="N2704" t="str">
        <f t="shared" si="127"/>
        <v>Discounted</v>
      </c>
      <c r="O2704" t="str">
        <f t="shared" si="128"/>
        <v>Returning</v>
      </c>
    </row>
    <row r="2705" spans="1:15" x14ac:dyDescent="0.25">
      <c r="A2705">
        <v>2704</v>
      </c>
      <c r="B2705">
        <v>31</v>
      </c>
      <c r="C2705" t="s">
        <v>11</v>
      </c>
      <c r="D2705" t="s">
        <v>29</v>
      </c>
      <c r="E2705" t="s">
        <v>30</v>
      </c>
      <c r="F2705" s="1">
        <v>22.43</v>
      </c>
      <c r="G2705" t="s">
        <v>19</v>
      </c>
      <c r="H2705" t="s">
        <v>37</v>
      </c>
      <c r="I2705" s="2">
        <v>5</v>
      </c>
      <c r="J2705" s="4">
        <v>20</v>
      </c>
      <c r="K2705" s="3">
        <v>5</v>
      </c>
      <c r="L2705" s="1">
        <f t="shared" si="126"/>
        <v>17.943999999999999</v>
      </c>
      <c r="M2705" t="str" cm="1">
        <f t="array" ref="M2705">_xlfn.IFS(B2705&lt;18,"Under 18",B2705 &lt;=25,"18-25",B2705&lt;=35,"26-35",B2705&lt;=45,"36-45",B2705&lt;=60,"46-60",TRUE,"60+")</f>
        <v>26-35</v>
      </c>
      <c r="N2705" t="str">
        <f t="shared" si="127"/>
        <v>Discounted</v>
      </c>
      <c r="O2705" t="str">
        <f t="shared" si="128"/>
        <v>Returning</v>
      </c>
    </row>
    <row r="2706" spans="1:15" x14ac:dyDescent="0.25">
      <c r="A2706">
        <v>2705</v>
      </c>
      <c r="B2706">
        <v>57</v>
      </c>
      <c r="C2706" t="s">
        <v>11</v>
      </c>
      <c r="D2706" t="s">
        <v>29</v>
      </c>
      <c r="E2706" t="s">
        <v>51</v>
      </c>
      <c r="F2706" s="1">
        <v>134.93</v>
      </c>
      <c r="G2706" t="s">
        <v>19</v>
      </c>
      <c r="H2706" t="s">
        <v>15</v>
      </c>
      <c r="I2706" s="2">
        <v>4.5</v>
      </c>
      <c r="J2706" s="4">
        <v>16</v>
      </c>
      <c r="K2706" s="3">
        <v>3</v>
      </c>
      <c r="L2706" s="1">
        <f t="shared" si="126"/>
        <v>113.3412</v>
      </c>
      <c r="M2706" t="str" cm="1">
        <f t="array" ref="M2706">_xlfn.IFS(B2706&lt;18,"Under 18",B2706 &lt;=25,"18-25",B2706&lt;=35,"26-35",B2706&lt;=45,"36-45",B2706&lt;=60,"46-60",TRUE,"60+")</f>
        <v>46-60</v>
      </c>
      <c r="N2706" t="str">
        <f t="shared" si="127"/>
        <v>Discounted</v>
      </c>
      <c r="O2706" t="str">
        <f t="shared" si="128"/>
        <v>Returning</v>
      </c>
    </row>
    <row r="2707" spans="1:15" x14ac:dyDescent="0.25">
      <c r="A2707">
        <v>2706</v>
      </c>
      <c r="B2707">
        <v>28</v>
      </c>
      <c r="C2707" t="s">
        <v>11</v>
      </c>
      <c r="D2707" t="s">
        <v>29</v>
      </c>
      <c r="E2707" t="s">
        <v>30</v>
      </c>
      <c r="F2707" s="1">
        <v>29.51</v>
      </c>
      <c r="G2707" t="s">
        <v>31</v>
      </c>
      <c r="H2707" t="s">
        <v>15</v>
      </c>
      <c r="I2707" s="2">
        <v>4.4000000000000004</v>
      </c>
      <c r="J2707" s="4">
        <v>16</v>
      </c>
      <c r="K2707" s="3">
        <v>8</v>
      </c>
      <c r="L2707" s="1">
        <f t="shared" si="126"/>
        <v>24.788399999999999</v>
      </c>
      <c r="M2707" t="str" cm="1">
        <f t="array" ref="M2707">_xlfn.IFS(B2707&lt;18,"Under 18",B2707 &lt;=25,"18-25",B2707&lt;=35,"26-35",B2707&lt;=45,"36-45",B2707&lt;=60,"46-60",TRUE,"60+")</f>
        <v>26-35</v>
      </c>
      <c r="N2707" t="str">
        <f t="shared" si="127"/>
        <v>Discounted</v>
      </c>
      <c r="O2707" t="str">
        <f t="shared" si="128"/>
        <v>Returning</v>
      </c>
    </row>
    <row r="2708" spans="1:15" x14ac:dyDescent="0.25">
      <c r="A2708">
        <v>2707</v>
      </c>
      <c r="B2708">
        <v>21</v>
      </c>
      <c r="C2708" t="s">
        <v>16</v>
      </c>
      <c r="D2708" t="s">
        <v>17</v>
      </c>
      <c r="E2708" t="s">
        <v>18</v>
      </c>
      <c r="F2708" s="1">
        <v>58.68</v>
      </c>
      <c r="G2708" t="s">
        <v>14</v>
      </c>
      <c r="H2708" t="s">
        <v>15</v>
      </c>
      <c r="I2708" s="2">
        <v>3.6</v>
      </c>
      <c r="J2708" s="4">
        <v>20</v>
      </c>
      <c r="K2708" s="3">
        <v>5</v>
      </c>
      <c r="L2708" s="1">
        <f t="shared" si="126"/>
        <v>46.944000000000003</v>
      </c>
      <c r="M2708" t="str" cm="1">
        <f t="array" ref="M2708">_xlfn.IFS(B2708&lt;18,"Under 18",B2708 &lt;=25,"18-25",B2708&lt;=35,"26-35",B2708&lt;=45,"36-45",B2708&lt;=60,"46-60",TRUE,"60+")</f>
        <v>18-25</v>
      </c>
      <c r="N2708" t="str">
        <f t="shared" si="127"/>
        <v>Discounted</v>
      </c>
      <c r="O2708" t="str">
        <f t="shared" si="128"/>
        <v>Returning</v>
      </c>
    </row>
    <row r="2709" spans="1:15" x14ac:dyDescent="0.25">
      <c r="A2709">
        <v>2708</v>
      </c>
      <c r="B2709">
        <v>31</v>
      </c>
      <c r="C2709" t="s">
        <v>16</v>
      </c>
      <c r="D2709" t="s">
        <v>27</v>
      </c>
      <c r="E2709" t="s">
        <v>49</v>
      </c>
      <c r="F2709" s="1">
        <v>2023.48</v>
      </c>
      <c r="G2709" t="s">
        <v>14</v>
      </c>
      <c r="H2709" t="s">
        <v>15</v>
      </c>
      <c r="I2709" s="2">
        <v>2.6</v>
      </c>
      <c r="J2709" s="4">
        <v>9</v>
      </c>
      <c r="K2709" s="3">
        <v>2</v>
      </c>
      <c r="L2709" s="1">
        <f t="shared" si="126"/>
        <v>1841.3668</v>
      </c>
      <c r="M2709" t="str" cm="1">
        <f t="array" ref="M2709">_xlfn.IFS(B2709&lt;18,"Under 18",B2709 &lt;=25,"18-25",B2709&lt;=35,"26-35",B2709&lt;=45,"36-45",B2709&lt;=60,"46-60",TRUE,"60+")</f>
        <v>26-35</v>
      </c>
      <c r="N2709" t="str">
        <f t="shared" si="127"/>
        <v>Discounted</v>
      </c>
      <c r="O2709" t="str">
        <f t="shared" si="128"/>
        <v>Returning</v>
      </c>
    </row>
    <row r="2710" spans="1:15" x14ac:dyDescent="0.25">
      <c r="A2710">
        <v>2709</v>
      </c>
      <c r="B2710">
        <v>57</v>
      </c>
      <c r="C2710" t="s">
        <v>11</v>
      </c>
      <c r="D2710" t="s">
        <v>29</v>
      </c>
      <c r="E2710" t="s">
        <v>55</v>
      </c>
      <c r="F2710" s="1">
        <v>66.39</v>
      </c>
      <c r="G2710" t="s">
        <v>31</v>
      </c>
      <c r="H2710" t="s">
        <v>37</v>
      </c>
      <c r="I2710" s="2">
        <v>3.1</v>
      </c>
      <c r="J2710" s="4">
        <v>8</v>
      </c>
      <c r="K2710" s="3">
        <v>4</v>
      </c>
      <c r="L2710" s="1">
        <f t="shared" si="126"/>
        <v>61.078800000000001</v>
      </c>
      <c r="M2710" t="str" cm="1">
        <f t="array" ref="M2710">_xlfn.IFS(B2710&lt;18,"Under 18",B2710 &lt;=25,"18-25",B2710&lt;=35,"26-35",B2710&lt;=45,"36-45",B2710&lt;=60,"46-60",TRUE,"60+")</f>
        <v>46-60</v>
      </c>
      <c r="N2710" t="str">
        <f t="shared" si="127"/>
        <v>Discounted</v>
      </c>
      <c r="O2710" t="str">
        <f t="shared" si="128"/>
        <v>Returning</v>
      </c>
    </row>
    <row r="2711" spans="1:15" x14ac:dyDescent="0.25">
      <c r="A2711">
        <v>2710</v>
      </c>
      <c r="B2711">
        <v>59</v>
      </c>
      <c r="C2711" t="s">
        <v>16</v>
      </c>
      <c r="D2711" t="s">
        <v>17</v>
      </c>
      <c r="E2711" t="s">
        <v>48</v>
      </c>
      <c r="F2711" s="1">
        <v>141.61000000000001</v>
      </c>
      <c r="G2711" t="s">
        <v>31</v>
      </c>
      <c r="H2711" t="s">
        <v>15</v>
      </c>
      <c r="I2711" s="2">
        <v>4.0999999999999996</v>
      </c>
      <c r="J2711" s="4">
        <v>8</v>
      </c>
      <c r="K2711" s="3">
        <v>4</v>
      </c>
      <c r="L2711" s="1">
        <f t="shared" si="126"/>
        <v>130.28120000000001</v>
      </c>
      <c r="M2711" t="str" cm="1">
        <f t="array" ref="M2711">_xlfn.IFS(B2711&lt;18,"Under 18",B2711 &lt;=25,"18-25",B2711&lt;=35,"26-35",B2711&lt;=45,"36-45",B2711&lt;=60,"46-60",TRUE,"60+")</f>
        <v>46-60</v>
      </c>
      <c r="N2711" t="str">
        <f t="shared" si="127"/>
        <v>Discounted</v>
      </c>
      <c r="O2711" t="str">
        <f t="shared" si="128"/>
        <v>Returning</v>
      </c>
    </row>
    <row r="2712" spans="1:15" x14ac:dyDescent="0.25">
      <c r="A2712">
        <v>2711</v>
      </c>
      <c r="B2712">
        <v>21</v>
      </c>
      <c r="C2712" t="s">
        <v>16</v>
      </c>
      <c r="D2712" t="s">
        <v>27</v>
      </c>
      <c r="E2712" t="s">
        <v>49</v>
      </c>
      <c r="F2712" s="1">
        <v>2109.6799999999998</v>
      </c>
      <c r="G2712" t="s">
        <v>24</v>
      </c>
      <c r="H2712" t="s">
        <v>15</v>
      </c>
      <c r="I2712" s="2">
        <v>3.2</v>
      </c>
      <c r="J2712" s="4">
        <v>12</v>
      </c>
      <c r="K2712" s="3">
        <v>6</v>
      </c>
      <c r="L2712" s="1">
        <f t="shared" si="126"/>
        <v>1856.5183999999999</v>
      </c>
      <c r="M2712" t="str" cm="1">
        <f t="array" ref="M2712">_xlfn.IFS(B2712&lt;18,"Under 18",B2712 &lt;=25,"18-25",B2712&lt;=35,"26-35",B2712&lt;=45,"36-45",B2712&lt;=60,"46-60",TRUE,"60+")</f>
        <v>18-25</v>
      </c>
      <c r="N2712" t="str">
        <f t="shared" si="127"/>
        <v>Discounted</v>
      </c>
      <c r="O2712" t="str">
        <f t="shared" si="128"/>
        <v>Returning</v>
      </c>
    </row>
    <row r="2713" spans="1:15" x14ac:dyDescent="0.25">
      <c r="A2713">
        <v>2712</v>
      </c>
      <c r="B2713">
        <v>25</v>
      </c>
      <c r="C2713" t="s">
        <v>11</v>
      </c>
      <c r="D2713" t="s">
        <v>25</v>
      </c>
      <c r="E2713" t="s">
        <v>26</v>
      </c>
      <c r="F2713" s="1">
        <v>41.72</v>
      </c>
      <c r="G2713" t="s">
        <v>14</v>
      </c>
      <c r="H2713" t="s">
        <v>37</v>
      </c>
      <c r="I2713" s="2">
        <v>5</v>
      </c>
      <c r="J2713" s="4">
        <v>2</v>
      </c>
      <c r="K2713" s="3">
        <v>1</v>
      </c>
      <c r="L2713" s="1">
        <f t="shared" si="126"/>
        <v>40.885599999999997</v>
      </c>
      <c r="M2713" t="str" cm="1">
        <f t="array" ref="M2713">_xlfn.IFS(B2713&lt;18,"Under 18",B2713 &lt;=25,"18-25",B2713&lt;=35,"26-35",B2713&lt;=45,"36-45",B2713&lt;=60,"46-60",TRUE,"60+")</f>
        <v>18-25</v>
      </c>
      <c r="N2713" t="str">
        <f t="shared" si="127"/>
        <v>Discounted</v>
      </c>
      <c r="O2713" t="str">
        <f t="shared" si="128"/>
        <v>Returning</v>
      </c>
    </row>
    <row r="2714" spans="1:15" x14ac:dyDescent="0.25">
      <c r="A2714">
        <v>2713</v>
      </c>
      <c r="B2714">
        <v>41</v>
      </c>
      <c r="C2714" t="s">
        <v>11</v>
      </c>
      <c r="D2714" t="s">
        <v>29</v>
      </c>
      <c r="E2714" t="s">
        <v>30</v>
      </c>
      <c r="F2714" s="1">
        <v>139.88</v>
      </c>
      <c r="G2714" t="s">
        <v>19</v>
      </c>
      <c r="H2714" t="s">
        <v>15</v>
      </c>
      <c r="I2714" s="2">
        <v>4.3</v>
      </c>
      <c r="J2714" s="4">
        <v>6</v>
      </c>
      <c r="K2714" s="3">
        <v>3</v>
      </c>
      <c r="L2714" s="1">
        <f t="shared" si="126"/>
        <v>131.4872</v>
      </c>
      <c r="M2714" t="str" cm="1">
        <f t="array" ref="M2714">_xlfn.IFS(B2714&lt;18,"Under 18",B2714 &lt;=25,"18-25",B2714&lt;=35,"26-35",B2714&lt;=45,"36-45",B2714&lt;=60,"46-60",TRUE,"60+")</f>
        <v>36-45</v>
      </c>
      <c r="N2714" t="str">
        <f t="shared" si="127"/>
        <v>Discounted</v>
      </c>
      <c r="O2714" t="str">
        <f t="shared" si="128"/>
        <v>Returning</v>
      </c>
    </row>
    <row r="2715" spans="1:15" x14ac:dyDescent="0.25">
      <c r="A2715">
        <v>2714</v>
      </c>
      <c r="B2715">
        <v>46</v>
      </c>
      <c r="C2715" t="s">
        <v>11</v>
      </c>
      <c r="D2715" t="s">
        <v>12</v>
      </c>
      <c r="E2715" t="s">
        <v>50</v>
      </c>
      <c r="F2715" s="1">
        <v>39.06</v>
      </c>
      <c r="G2715" t="s">
        <v>24</v>
      </c>
      <c r="H2715" t="s">
        <v>37</v>
      </c>
      <c r="I2715" s="2">
        <v>3.2</v>
      </c>
      <c r="J2715" s="4">
        <v>12</v>
      </c>
      <c r="K2715" s="3">
        <v>6</v>
      </c>
      <c r="L2715" s="1">
        <f t="shared" si="126"/>
        <v>34.372800000000005</v>
      </c>
      <c r="M2715" t="str" cm="1">
        <f t="array" ref="M2715">_xlfn.IFS(B2715&lt;18,"Under 18",B2715 &lt;=25,"18-25",B2715&lt;=35,"26-35",B2715&lt;=45,"36-45",B2715&lt;=60,"46-60",TRUE,"60+")</f>
        <v>46-60</v>
      </c>
      <c r="N2715" t="str">
        <f t="shared" si="127"/>
        <v>Discounted</v>
      </c>
      <c r="O2715" t="str">
        <f t="shared" si="128"/>
        <v>Returning</v>
      </c>
    </row>
    <row r="2716" spans="1:15" x14ac:dyDescent="0.25">
      <c r="A2716">
        <v>2715</v>
      </c>
      <c r="B2716">
        <v>40</v>
      </c>
      <c r="C2716" t="s">
        <v>11</v>
      </c>
      <c r="D2716" t="s">
        <v>29</v>
      </c>
      <c r="E2716" t="s">
        <v>51</v>
      </c>
      <c r="F2716" s="1">
        <v>104.69</v>
      </c>
      <c r="G2716" t="s">
        <v>24</v>
      </c>
      <c r="H2716" t="s">
        <v>15</v>
      </c>
      <c r="I2716" s="2">
        <v>2.2000000000000002</v>
      </c>
      <c r="J2716" s="4">
        <v>17</v>
      </c>
      <c r="K2716" s="3">
        <v>6</v>
      </c>
      <c r="L2716" s="1">
        <f t="shared" si="126"/>
        <v>86.892699999999991</v>
      </c>
      <c r="M2716" t="str" cm="1">
        <f t="array" ref="M2716">_xlfn.IFS(B2716&lt;18,"Under 18",B2716 &lt;=25,"18-25",B2716&lt;=35,"26-35",B2716&lt;=45,"36-45",B2716&lt;=60,"46-60",TRUE,"60+")</f>
        <v>36-45</v>
      </c>
      <c r="N2716" t="str">
        <f t="shared" si="127"/>
        <v>Discounted</v>
      </c>
      <c r="O2716" t="str">
        <f t="shared" si="128"/>
        <v>Returning</v>
      </c>
    </row>
    <row r="2717" spans="1:15" x14ac:dyDescent="0.25">
      <c r="A2717">
        <v>2716</v>
      </c>
      <c r="B2717">
        <v>47</v>
      </c>
      <c r="C2717" t="s">
        <v>16</v>
      </c>
      <c r="D2717" t="s">
        <v>17</v>
      </c>
      <c r="E2717" t="s">
        <v>48</v>
      </c>
      <c r="F2717" s="1">
        <v>119.05</v>
      </c>
      <c r="G2717" t="s">
        <v>24</v>
      </c>
      <c r="H2717" t="s">
        <v>15</v>
      </c>
      <c r="I2717" s="2">
        <v>2.5</v>
      </c>
      <c r="J2717" s="4">
        <v>9</v>
      </c>
      <c r="K2717" s="3">
        <v>2</v>
      </c>
      <c r="L2717" s="1">
        <f t="shared" si="126"/>
        <v>108.3355</v>
      </c>
      <c r="M2717" t="str" cm="1">
        <f t="array" ref="M2717">_xlfn.IFS(B2717&lt;18,"Under 18",B2717 &lt;=25,"18-25",B2717&lt;=35,"26-35",B2717&lt;=45,"36-45",B2717&lt;=60,"46-60",TRUE,"60+")</f>
        <v>46-60</v>
      </c>
      <c r="N2717" t="str">
        <f t="shared" si="127"/>
        <v>Discounted</v>
      </c>
      <c r="O2717" t="str">
        <f t="shared" si="128"/>
        <v>Returning</v>
      </c>
    </row>
    <row r="2718" spans="1:15" x14ac:dyDescent="0.25">
      <c r="A2718">
        <v>2717</v>
      </c>
      <c r="B2718">
        <v>53</v>
      </c>
      <c r="C2718" t="s">
        <v>11</v>
      </c>
      <c r="D2718" t="s">
        <v>12</v>
      </c>
      <c r="E2718" t="s">
        <v>50</v>
      </c>
      <c r="F2718" s="1">
        <v>158.47</v>
      </c>
      <c r="G2718" t="s">
        <v>31</v>
      </c>
      <c r="H2718" t="s">
        <v>15</v>
      </c>
      <c r="I2718" s="2">
        <v>4.4000000000000004</v>
      </c>
      <c r="J2718" s="4">
        <v>22</v>
      </c>
      <c r="K2718" s="3">
        <v>6</v>
      </c>
      <c r="L2718" s="1">
        <f t="shared" si="126"/>
        <v>123.6066</v>
      </c>
      <c r="M2718" t="str" cm="1">
        <f t="array" ref="M2718">_xlfn.IFS(B2718&lt;18,"Under 18",B2718 &lt;=25,"18-25",B2718&lt;=35,"26-35",B2718&lt;=45,"36-45",B2718&lt;=60,"46-60",TRUE,"60+")</f>
        <v>46-60</v>
      </c>
      <c r="N2718" t="str">
        <f t="shared" si="127"/>
        <v>Discounted</v>
      </c>
      <c r="O2718" t="str">
        <f t="shared" si="128"/>
        <v>Returning</v>
      </c>
    </row>
    <row r="2719" spans="1:15" x14ac:dyDescent="0.25">
      <c r="A2719">
        <v>2718</v>
      </c>
      <c r="B2719">
        <v>34</v>
      </c>
      <c r="C2719" t="s">
        <v>16</v>
      </c>
      <c r="D2719" t="s">
        <v>17</v>
      </c>
      <c r="E2719" t="s">
        <v>42</v>
      </c>
      <c r="F2719" s="1">
        <v>111.49</v>
      </c>
      <c r="G2719" t="s">
        <v>19</v>
      </c>
      <c r="H2719" t="s">
        <v>15</v>
      </c>
      <c r="I2719" s="2">
        <v>4.5</v>
      </c>
      <c r="J2719" s="4">
        <v>18</v>
      </c>
      <c r="K2719" s="3">
        <v>4</v>
      </c>
      <c r="L2719" s="1">
        <f t="shared" si="126"/>
        <v>91.421800000000005</v>
      </c>
      <c r="M2719" t="str" cm="1">
        <f t="array" ref="M2719">_xlfn.IFS(B2719&lt;18,"Under 18",B2719 &lt;=25,"18-25",B2719&lt;=35,"26-35",B2719&lt;=45,"36-45",B2719&lt;=60,"46-60",TRUE,"60+")</f>
        <v>26-35</v>
      </c>
      <c r="N2719" t="str">
        <f t="shared" si="127"/>
        <v>Discounted</v>
      </c>
      <c r="O2719" t="str">
        <f t="shared" si="128"/>
        <v>Returning</v>
      </c>
    </row>
    <row r="2720" spans="1:15" x14ac:dyDescent="0.25">
      <c r="A2720">
        <v>2719</v>
      </c>
      <c r="B2720">
        <v>34</v>
      </c>
      <c r="C2720" t="s">
        <v>11</v>
      </c>
      <c r="D2720" t="s">
        <v>33</v>
      </c>
      <c r="E2720" t="s">
        <v>40</v>
      </c>
      <c r="F2720" s="1">
        <v>171.91</v>
      </c>
      <c r="G2720" t="s">
        <v>19</v>
      </c>
      <c r="H2720" t="s">
        <v>15</v>
      </c>
      <c r="I2720" s="2">
        <v>3.3</v>
      </c>
      <c r="J2720" s="4">
        <v>20</v>
      </c>
      <c r="K2720" s="3">
        <v>5</v>
      </c>
      <c r="L2720" s="1">
        <f t="shared" si="126"/>
        <v>137.52799999999999</v>
      </c>
      <c r="M2720" t="str" cm="1">
        <f t="array" ref="M2720">_xlfn.IFS(B2720&lt;18,"Under 18",B2720 &lt;=25,"18-25",B2720&lt;=35,"26-35",B2720&lt;=45,"36-45",B2720&lt;=60,"46-60",TRUE,"60+")</f>
        <v>26-35</v>
      </c>
      <c r="N2720" t="str">
        <f t="shared" si="127"/>
        <v>Discounted</v>
      </c>
      <c r="O2720" t="str">
        <f t="shared" si="128"/>
        <v>Returning</v>
      </c>
    </row>
    <row r="2721" spans="1:15" x14ac:dyDescent="0.25">
      <c r="A2721">
        <v>2720</v>
      </c>
      <c r="B2721">
        <v>61</v>
      </c>
      <c r="C2721" t="s">
        <v>11</v>
      </c>
      <c r="D2721" t="s">
        <v>41</v>
      </c>
      <c r="E2721" t="s">
        <v>42</v>
      </c>
      <c r="F2721" s="1">
        <v>199.45</v>
      </c>
      <c r="G2721" t="s">
        <v>19</v>
      </c>
      <c r="H2721" t="s">
        <v>15</v>
      </c>
      <c r="I2721" s="2">
        <v>3.2</v>
      </c>
      <c r="J2721" s="4">
        <v>24</v>
      </c>
      <c r="K2721" s="3">
        <v>7</v>
      </c>
      <c r="L2721" s="1">
        <f t="shared" si="126"/>
        <v>151.58199999999999</v>
      </c>
      <c r="M2721" t="str" cm="1">
        <f t="array" ref="M2721">_xlfn.IFS(B2721&lt;18,"Under 18",B2721 &lt;=25,"18-25",B2721&lt;=35,"26-35",B2721&lt;=45,"36-45",B2721&lt;=60,"46-60",TRUE,"60+")</f>
        <v>60+</v>
      </c>
      <c r="N2721" t="str">
        <f t="shared" si="127"/>
        <v>Discounted</v>
      </c>
      <c r="O2721" t="str">
        <f t="shared" si="128"/>
        <v>Returning</v>
      </c>
    </row>
    <row r="2722" spans="1:15" x14ac:dyDescent="0.25">
      <c r="A2722">
        <v>2721</v>
      </c>
      <c r="B2722">
        <v>29</v>
      </c>
      <c r="C2722" t="s">
        <v>16</v>
      </c>
      <c r="D2722" t="s">
        <v>33</v>
      </c>
      <c r="E2722" t="s">
        <v>40</v>
      </c>
      <c r="F2722" s="1">
        <v>201.67</v>
      </c>
      <c r="G2722" t="s">
        <v>31</v>
      </c>
      <c r="H2722" t="s">
        <v>15</v>
      </c>
      <c r="I2722" s="2">
        <v>4.0999999999999996</v>
      </c>
      <c r="J2722" s="4">
        <v>11</v>
      </c>
      <c r="K2722" s="3">
        <v>3</v>
      </c>
      <c r="L2722" s="1">
        <f t="shared" si="126"/>
        <v>179.4863</v>
      </c>
      <c r="M2722" t="str" cm="1">
        <f t="array" ref="M2722">_xlfn.IFS(B2722&lt;18,"Under 18",B2722 &lt;=25,"18-25",B2722&lt;=35,"26-35",B2722&lt;=45,"36-45",B2722&lt;=60,"46-60",TRUE,"60+")</f>
        <v>26-35</v>
      </c>
      <c r="N2722" t="str">
        <f t="shared" si="127"/>
        <v>Discounted</v>
      </c>
      <c r="O2722" t="str">
        <f t="shared" si="128"/>
        <v>Returning</v>
      </c>
    </row>
    <row r="2723" spans="1:15" x14ac:dyDescent="0.25">
      <c r="A2723">
        <v>2722</v>
      </c>
      <c r="B2723">
        <v>33</v>
      </c>
      <c r="C2723" t="s">
        <v>16</v>
      </c>
      <c r="D2723" t="s">
        <v>25</v>
      </c>
      <c r="E2723" t="s">
        <v>57</v>
      </c>
      <c r="F2723" s="1">
        <v>30.08</v>
      </c>
      <c r="G2723" t="s">
        <v>19</v>
      </c>
      <c r="H2723" t="s">
        <v>15</v>
      </c>
      <c r="I2723" s="2">
        <v>4.2</v>
      </c>
      <c r="J2723" s="4">
        <v>10</v>
      </c>
      <c r="K2723" s="3">
        <v>5</v>
      </c>
      <c r="L2723" s="1">
        <f t="shared" si="126"/>
        <v>27.071999999999999</v>
      </c>
      <c r="M2723" t="str" cm="1">
        <f t="array" ref="M2723">_xlfn.IFS(B2723&lt;18,"Under 18",B2723 &lt;=25,"18-25",B2723&lt;=35,"26-35",B2723&lt;=45,"36-45",B2723&lt;=60,"46-60",TRUE,"60+")</f>
        <v>26-35</v>
      </c>
      <c r="N2723" t="str">
        <f t="shared" si="127"/>
        <v>Discounted</v>
      </c>
      <c r="O2723" t="str">
        <f t="shared" si="128"/>
        <v>Returning</v>
      </c>
    </row>
    <row r="2724" spans="1:15" x14ac:dyDescent="0.25">
      <c r="A2724">
        <v>2723</v>
      </c>
      <c r="B2724">
        <v>70</v>
      </c>
      <c r="C2724" t="s">
        <v>11</v>
      </c>
      <c r="D2724" t="s">
        <v>33</v>
      </c>
      <c r="E2724" t="s">
        <v>38</v>
      </c>
      <c r="F2724" s="1">
        <v>173.77</v>
      </c>
      <c r="G2724" t="s">
        <v>19</v>
      </c>
      <c r="H2724" t="s">
        <v>15</v>
      </c>
      <c r="I2724" s="2">
        <v>4</v>
      </c>
      <c r="J2724" s="4">
        <v>12</v>
      </c>
      <c r="K2724" s="3">
        <v>6</v>
      </c>
      <c r="L2724" s="1">
        <f t="shared" si="126"/>
        <v>152.91760000000002</v>
      </c>
      <c r="M2724" t="str" cm="1">
        <f t="array" ref="M2724">_xlfn.IFS(B2724&lt;18,"Under 18",B2724 &lt;=25,"18-25",B2724&lt;=35,"26-35",B2724&lt;=45,"36-45",B2724&lt;=60,"46-60",TRUE,"60+")</f>
        <v>60+</v>
      </c>
      <c r="N2724" t="str">
        <f t="shared" si="127"/>
        <v>Discounted</v>
      </c>
      <c r="O2724" t="str">
        <f t="shared" si="128"/>
        <v>Returning</v>
      </c>
    </row>
    <row r="2725" spans="1:15" x14ac:dyDescent="0.25">
      <c r="A2725">
        <v>2724</v>
      </c>
      <c r="B2725">
        <v>51</v>
      </c>
      <c r="C2725" t="s">
        <v>16</v>
      </c>
      <c r="D2725" t="s">
        <v>20</v>
      </c>
      <c r="E2725" t="s">
        <v>39</v>
      </c>
      <c r="F2725" s="1">
        <v>26.65</v>
      </c>
      <c r="G2725" t="s">
        <v>24</v>
      </c>
      <c r="H2725" t="s">
        <v>15</v>
      </c>
      <c r="I2725" s="2">
        <v>3.5</v>
      </c>
      <c r="J2725" s="4">
        <v>12</v>
      </c>
      <c r="K2725" s="3">
        <v>6</v>
      </c>
      <c r="L2725" s="1">
        <f t="shared" si="126"/>
        <v>23.451999999999998</v>
      </c>
      <c r="M2725" t="str" cm="1">
        <f t="array" ref="M2725">_xlfn.IFS(B2725&lt;18,"Under 18",B2725 &lt;=25,"18-25",B2725&lt;=35,"26-35",B2725&lt;=45,"36-45",B2725&lt;=60,"46-60",TRUE,"60+")</f>
        <v>46-60</v>
      </c>
      <c r="N2725" t="str">
        <f t="shared" si="127"/>
        <v>Discounted</v>
      </c>
      <c r="O2725" t="str">
        <f t="shared" si="128"/>
        <v>Returning</v>
      </c>
    </row>
    <row r="2726" spans="1:15" x14ac:dyDescent="0.25">
      <c r="A2726">
        <v>2725</v>
      </c>
      <c r="B2726">
        <v>57</v>
      </c>
      <c r="C2726" t="s">
        <v>16</v>
      </c>
      <c r="D2726" t="s">
        <v>27</v>
      </c>
      <c r="E2726" t="s">
        <v>28</v>
      </c>
      <c r="F2726" s="1">
        <v>800.36</v>
      </c>
      <c r="G2726" t="s">
        <v>14</v>
      </c>
      <c r="H2726" t="s">
        <v>15</v>
      </c>
      <c r="I2726" s="2">
        <v>4</v>
      </c>
      <c r="J2726" s="4">
        <v>22</v>
      </c>
      <c r="K2726" s="3">
        <v>6</v>
      </c>
      <c r="L2726" s="1">
        <f t="shared" si="126"/>
        <v>624.2808</v>
      </c>
      <c r="M2726" t="str" cm="1">
        <f t="array" ref="M2726">_xlfn.IFS(B2726&lt;18,"Under 18",B2726 &lt;=25,"18-25",B2726&lt;=35,"26-35",B2726&lt;=45,"36-45",B2726&lt;=60,"46-60",TRUE,"60+")</f>
        <v>46-60</v>
      </c>
      <c r="N2726" t="str">
        <f t="shared" si="127"/>
        <v>Discounted</v>
      </c>
      <c r="O2726" t="str">
        <f t="shared" si="128"/>
        <v>Returning</v>
      </c>
    </row>
    <row r="2727" spans="1:15" x14ac:dyDescent="0.25">
      <c r="A2727">
        <v>2726</v>
      </c>
      <c r="B2727">
        <v>45</v>
      </c>
      <c r="C2727" t="s">
        <v>16</v>
      </c>
      <c r="D2727" t="s">
        <v>17</v>
      </c>
      <c r="E2727" t="s">
        <v>18</v>
      </c>
      <c r="F2727" s="1">
        <v>94.82</v>
      </c>
      <c r="G2727" t="s">
        <v>19</v>
      </c>
      <c r="H2727" t="s">
        <v>15</v>
      </c>
      <c r="I2727" s="2">
        <v>4.4000000000000004</v>
      </c>
      <c r="J2727" s="4">
        <v>19</v>
      </c>
      <c r="K2727" s="3">
        <v>7</v>
      </c>
      <c r="L2727" s="1">
        <f t="shared" si="126"/>
        <v>76.804199999999994</v>
      </c>
      <c r="M2727" t="str" cm="1">
        <f t="array" ref="M2727">_xlfn.IFS(B2727&lt;18,"Under 18",B2727 &lt;=25,"18-25",B2727&lt;=35,"26-35",B2727&lt;=45,"36-45",B2727&lt;=60,"46-60",TRUE,"60+")</f>
        <v>36-45</v>
      </c>
      <c r="N2727" t="str">
        <f t="shared" si="127"/>
        <v>Discounted</v>
      </c>
      <c r="O2727" t="str">
        <f t="shared" si="128"/>
        <v>Returning</v>
      </c>
    </row>
    <row r="2728" spans="1:15" x14ac:dyDescent="0.25">
      <c r="A2728">
        <v>2727</v>
      </c>
      <c r="B2728">
        <v>67</v>
      </c>
      <c r="C2728" t="s">
        <v>11</v>
      </c>
      <c r="D2728" t="s">
        <v>22</v>
      </c>
      <c r="E2728" t="s">
        <v>43</v>
      </c>
      <c r="F2728" s="1">
        <v>248.77</v>
      </c>
      <c r="G2728" t="s">
        <v>31</v>
      </c>
      <c r="H2728" t="s">
        <v>15</v>
      </c>
      <c r="I2728" s="2">
        <v>3.9</v>
      </c>
      <c r="J2728" s="4">
        <v>8</v>
      </c>
      <c r="K2728" s="3">
        <v>4</v>
      </c>
      <c r="L2728" s="1">
        <f t="shared" si="126"/>
        <v>228.86840000000001</v>
      </c>
      <c r="M2728" t="str" cm="1">
        <f t="array" ref="M2728">_xlfn.IFS(B2728&lt;18,"Under 18",B2728 &lt;=25,"18-25",B2728&lt;=35,"26-35",B2728&lt;=45,"36-45",B2728&lt;=60,"46-60",TRUE,"60+")</f>
        <v>60+</v>
      </c>
      <c r="N2728" t="str">
        <f t="shared" si="127"/>
        <v>Discounted</v>
      </c>
      <c r="O2728" t="str">
        <f t="shared" si="128"/>
        <v>Returning</v>
      </c>
    </row>
    <row r="2729" spans="1:15" x14ac:dyDescent="0.25">
      <c r="A2729">
        <v>2728</v>
      </c>
      <c r="B2729">
        <v>45</v>
      </c>
      <c r="C2729" t="s">
        <v>11</v>
      </c>
      <c r="D2729" t="s">
        <v>12</v>
      </c>
      <c r="E2729" t="s">
        <v>50</v>
      </c>
      <c r="F2729" s="1">
        <v>30.71</v>
      </c>
      <c r="G2729" t="s">
        <v>24</v>
      </c>
      <c r="H2729" t="s">
        <v>37</v>
      </c>
      <c r="I2729" s="2">
        <v>3.5</v>
      </c>
      <c r="J2729" s="4">
        <v>12</v>
      </c>
      <c r="K2729" s="3">
        <v>1</v>
      </c>
      <c r="L2729" s="1">
        <f t="shared" si="126"/>
        <v>27.024800000000003</v>
      </c>
      <c r="M2729" t="str" cm="1">
        <f t="array" ref="M2729">_xlfn.IFS(B2729&lt;18,"Under 18",B2729 &lt;=25,"18-25",B2729&lt;=35,"26-35",B2729&lt;=45,"36-45",B2729&lt;=60,"46-60",TRUE,"60+")</f>
        <v>36-45</v>
      </c>
      <c r="N2729" t="str">
        <f t="shared" si="127"/>
        <v>Discounted</v>
      </c>
      <c r="O2729" t="str">
        <f t="shared" si="128"/>
        <v>Returning</v>
      </c>
    </row>
    <row r="2730" spans="1:15" x14ac:dyDescent="0.25">
      <c r="A2730">
        <v>2729</v>
      </c>
      <c r="B2730">
        <v>60</v>
      </c>
      <c r="C2730" t="s">
        <v>16</v>
      </c>
      <c r="D2730" t="s">
        <v>20</v>
      </c>
      <c r="E2730" t="s">
        <v>39</v>
      </c>
      <c r="F2730" s="1">
        <v>165.51</v>
      </c>
      <c r="G2730" t="s">
        <v>24</v>
      </c>
      <c r="H2730" t="s">
        <v>15</v>
      </c>
      <c r="I2730" s="2">
        <v>2.6</v>
      </c>
      <c r="J2730" s="4">
        <v>8</v>
      </c>
      <c r="K2730" s="3">
        <v>4</v>
      </c>
      <c r="L2730" s="1">
        <f t="shared" si="126"/>
        <v>152.26920000000001</v>
      </c>
      <c r="M2730" t="str" cm="1">
        <f t="array" ref="M2730">_xlfn.IFS(B2730&lt;18,"Under 18",B2730 &lt;=25,"18-25",B2730&lt;=35,"26-35",B2730&lt;=45,"36-45",B2730&lt;=60,"46-60",TRUE,"60+")</f>
        <v>46-60</v>
      </c>
      <c r="N2730" t="str">
        <f t="shared" si="127"/>
        <v>Discounted</v>
      </c>
      <c r="O2730" t="str">
        <f t="shared" si="128"/>
        <v>Returning</v>
      </c>
    </row>
    <row r="2731" spans="1:15" x14ac:dyDescent="0.25">
      <c r="A2731">
        <v>2730</v>
      </c>
      <c r="B2731">
        <v>70</v>
      </c>
      <c r="C2731" t="s">
        <v>11</v>
      </c>
      <c r="D2731" t="s">
        <v>41</v>
      </c>
      <c r="E2731" t="s">
        <v>46</v>
      </c>
      <c r="F2731" s="1">
        <v>68.489999999999995</v>
      </c>
      <c r="G2731" t="s">
        <v>14</v>
      </c>
      <c r="H2731" t="s">
        <v>37</v>
      </c>
      <c r="I2731" s="2">
        <v>4.7</v>
      </c>
      <c r="J2731" s="4">
        <v>14</v>
      </c>
      <c r="K2731" s="3">
        <v>2</v>
      </c>
      <c r="L2731" s="1">
        <f t="shared" si="126"/>
        <v>58.901399999999995</v>
      </c>
      <c r="M2731" t="str" cm="1">
        <f t="array" ref="M2731">_xlfn.IFS(B2731&lt;18,"Under 18",B2731 &lt;=25,"18-25",B2731&lt;=35,"26-35",B2731&lt;=45,"36-45",B2731&lt;=60,"46-60",TRUE,"60+")</f>
        <v>60+</v>
      </c>
      <c r="N2731" t="str">
        <f t="shared" si="127"/>
        <v>Discounted</v>
      </c>
      <c r="O2731" t="str">
        <f t="shared" si="128"/>
        <v>Returning</v>
      </c>
    </row>
    <row r="2732" spans="1:15" x14ac:dyDescent="0.25">
      <c r="A2732">
        <v>2731</v>
      </c>
      <c r="B2732">
        <v>21</v>
      </c>
      <c r="C2732" t="s">
        <v>16</v>
      </c>
      <c r="D2732" t="s">
        <v>27</v>
      </c>
      <c r="E2732" t="s">
        <v>49</v>
      </c>
      <c r="F2732" s="1">
        <v>2061.36</v>
      </c>
      <c r="G2732" t="s">
        <v>19</v>
      </c>
      <c r="H2732" t="s">
        <v>15</v>
      </c>
      <c r="I2732" s="2">
        <v>4</v>
      </c>
      <c r="J2732" s="4">
        <v>20</v>
      </c>
      <c r="K2732" s="3">
        <v>5</v>
      </c>
      <c r="L2732" s="1">
        <f t="shared" si="126"/>
        <v>1649.0880000000002</v>
      </c>
      <c r="M2732" t="str" cm="1">
        <f t="array" ref="M2732">_xlfn.IFS(B2732&lt;18,"Under 18",B2732 &lt;=25,"18-25",B2732&lt;=35,"26-35",B2732&lt;=45,"36-45",B2732&lt;=60,"46-60",TRUE,"60+")</f>
        <v>18-25</v>
      </c>
      <c r="N2732" t="str">
        <f t="shared" si="127"/>
        <v>Discounted</v>
      </c>
      <c r="O2732" t="str">
        <f t="shared" si="128"/>
        <v>Returning</v>
      </c>
    </row>
    <row r="2733" spans="1:15" x14ac:dyDescent="0.25">
      <c r="A2733">
        <v>2732</v>
      </c>
      <c r="B2733">
        <v>42</v>
      </c>
      <c r="C2733" t="s">
        <v>11</v>
      </c>
      <c r="D2733" t="s">
        <v>33</v>
      </c>
      <c r="E2733" t="s">
        <v>38</v>
      </c>
      <c r="F2733" s="1">
        <v>45.4</v>
      </c>
      <c r="G2733" t="s">
        <v>24</v>
      </c>
      <c r="H2733" t="s">
        <v>15</v>
      </c>
      <c r="I2733" s="2">
        <v>3.5</v>
      </c>
      <c r="J2733" s="4">
        <v>19</v>
      </c>
      <c r="K2733" s="3">
        <v>7</v>
      </c>
      <c r="L2733" s="1">
        <f t="shared" si="126"/>
        <v>36.774000000000001</v>
      </c>
      <c r="M2733" t="str" cm="1">
        <f t="array" ref="M2733">_xlfn.IFS(B2733&lt;18,"Under 18",B2733 &lt;=25,"18-25",B2733&lt;=35,"26-35",B2733&lt;=45,"36-45",B2733&lt;=60,"46-60",TRUE,"60+")</f>
        <v>36-45</v>
      </c>
      <c r="N2733" t="str">
        <f t="shared" si="127"/>
        <v>Discounted</v>
      </c>
      <c r="O2733" t="str">
        <f t="shared" si="128"/>
        <v>Returning</v>
      </c>
    </row>
    <row r="2734" spans="1:15" x14ac:dyDescent="0.25">
      <c r="A2734">
        <v>2733</v>
      </c>
      <c r="B2734">
        <v>26</v>
      </c>
      <c r="C2734" t="s">
        <v>11</v>
      </c>
      <c r="D2734" t="s">
        <v>41</v>
      </c>
      <c r="E2734" t="s">
        <v>44</v>
      </c>
      <c r="F2734" s="1">
        <v>66.62</v>
      </c>
      <c r="G2734" t="s">
        <v>14</v>
      </c>
      <c r="H2734" t="s">
        <v>37</v>
      </c>
      <c r="I2734" s="2">
        <v>3.5</v>
      </c>
      <c r="J2734" s="4">
        <v>2</v>
      </c>
      <c r="K2734" s="3">
        <v>1</v>
      </c>
      <c r="L2734" s="1">
        <f t="shared" si="126"/>
        <v>65.287599999999998</v>
      </c>
      <c r="M2734" t="str" cm="1">
        <f t="array" ref="M2734">_xlfn.IFS(B2734&lt;18,"Under 18",B2734 &lt;=25,"18-25",B2734&lt;=35,"26-35",B2734&lt;=45,"36-45",B2734&lt;=60,"46-60",TRUE,"60+")</f>
        <v>26-35</v>
      </c>
      <c r="N2734" t="str">
        <f t="shared" si="127"/>
        <v>Discounted</v>
      </c>
      <c r="O2734" t="str">
        <f t="shared" si="128"/>
        <v>Returning</v>
      </c>
    </row>
    <row r="2735" spans="1:15" x14ac:dyDescent="0.25">
      <c r="A2735">
        <v>2734</v>
      </c>
      <c r="B2735">
        <v>69</v>
      </c>
      <c r="C2735" t="s">
        <v>11</v>
      </c>
      <c r="D2735" t="s">
        <v>33</v>
      </c>
      <c r="E2735" t="s">
        <v>38</v>
      </c>
      <c r="F2735" s="1">
        <v>43.11</v>
      </c>
      <c r="G2735" t="s">
        <v>14</v>
      </c>
      <c r="H2735" t="s">
        <v>37</v>
      </c>
      <c r="I2735" s="2">
        <v>3.4</v>
      </c>
      <c r="J2735" s="4">
        <v>2</v>
      </c>
      <c r="K2735" s="3">
        <v>1</v>
      </c>
      <c r="L2735" s="1">
        <f t="shared" si="126"/>
        <v>42.247799999999998</v>
      </c>
      <c r="M2735" t="str" cm="1">
        <f t="array" ref="M2735">_xlfn.IFS(B2735&lt;18,"Under 18",B2735 &lt;=25,"18-25",B2735&lt;=35,"26-35",B2735&lt;=45,"36-45",B2735&lt;=60,"46-60",TRUE,"60+")</f>
        <v>60+</v>
      </c>
      <c r="N2735" t="str">
        <f t="shared" si="127"/>
        <v>Discounted</v>
      </c>
      <c r="O2735" t="str">
        <f t="shared" si="128"/>
        <v>Returning</v>
      </c>
    </row>
    <row r="2736" spans="1:15" x14ac:dyDescent="0.25">
      <c r="A2736">
        <v>2735</v>
      </c>
      <c r="B2736">
        <v>49</v>
      </c>
      <c r="C2736" t="s">
        <v>16</v>
      </c>
      <c r="D2736" t="s">
        <v>27</v>
      </c>
      <c r="E2736" t="s">
        <v>28</v>
      </c>
      <c r="F2736" s="1">
        <v>519.78</v>
      </c>
      <c r="G2736" t="s">
        <v>19</v>
      </c>
      <c r="H2736" t="s">
        <v>15</v>
      </c>
      <c r="I2736" s="2">
        <v>3.7</v>
      </c>
      <c r="J2736" s="4">
        <v>22</v>
      </c>
      <c r="K2736" s="3">
        <v>6</v>
      </c>
      <c r="L2736" s="1">
        <f t="shared" si="126"/>
        <v>405.42840000000001</v>
      </c>
      <c r="M2736" t="str" cm="1">
        <f t="array" ref="M2736">_xlfn.IFS(B2736&lt;18,"Under 18",B2736 &lt;=25,"18-25",B2736&lt;=35,"26-35",B2736&lt;=45,"36-45",B2736&lt;=60,"46-60",TRUE,"60+")</f>
        <v>46-60</v>
      </c>
      <c r="N2736" t="str">
        <f t="shared" si="127"/>
        <v>Discounted</v>
      </c>
      <c r="O2736" t="str">
        <f t="shared" si="128"/>
        <v>Returning</v>
      </c>
    </row>
    <row r="2737" spans="1:15" x14ac:dyDescent="0.25">
      <c r="A2737">
        <v>2736</v>
      </c>
      <c r="B2737">
        <v>28</v>
      </c>
      <c r="C2737" t="s">
        <v>11</v>
      </c>
      <c r="D2737" t="s">
        <v>41</v>
      </c>
      <c r="E2737" t="s">
        <v>42</v>
      </c>
      <c r="F2737" s="1">
        <v>167.8</v>
      </c>
      <c r="G2737" t="s">
        <v>19</v>
      </c>
      <c r="H2737" t="s">
        <v>15</v>
      </c>
      <c r="I2737" s="2">
        <v>3.8</v>
      </c>
      <c r="J2737" s="4">
        <v>19</v>
      </c>
      <c r="K2737" s="3">
        <v>7</v>
      </c>
      <c r="L2737" s="1">
        <f t="shared" si="126"/>
        <v>135.91800000000001</v>
      </c>
      <c r="M2737" t="str" cm="1">
        <f t="array" ref="M2737">_xlfn.IFS(B2737&lt;18,"Under 18",B2737 &lt;=25,"18-25",B2737&lt;=35,"26-35",B2737&lt;=45,"36-45",B2737&lt;=60,"46-60",TRUE,"60+")</f>
        <v>26-35</v>
      </c>
      <c r="N2737" t="str">
        <f t="shared" si="127"/>
        <v>Discounted</v>
      </c>
      <c r="O2737" t="str">
        <f t="shared" si="128"/>
        <v>Returning</v>
      </c>
    </row>
    <row r="2738" spans="1:15" x14ac:dyDescent="0.25">
      <c r="A2738">
        <v>2737</v>
      </c>
      <c r="B2738">
        <v>59</v>
      </c>
      <c r="C2738" t="s">
        <v>16</v>
      </c>
      <c r="D2738" t="s">
        <v>22</v>
      </c>
      <c r="E2738" t="s">
        <v>23</v>
      </c>
      <c r="F2738" s="1">
        <v>57.56</v>
      </c>
      <c r="G2738" t="s">
        <v>14</v>
      </c>
      <c r="H2738" t="s">
        <v>15</v>
      </c>
      <c r="I2738" s="2">
        <v>4.7</v>
      </c>
      <c r="J2738" s="4">
        <v>17</v>
      </c>
      <c r="K2738" s="3">
        <v>6</v>
      </c>
      <c r="L2738" s="1">
        <f t="shared" si="126"/>
        <v>47.774799999999999</v>
      </c>
      <c r="M2738" t="str" cm="1">
        <f t="array" ref="M2738">_xlfn.IFS(B2738&lt;18,"Under 18",B2738 &lt;=25,"18-25",B2738&lt;=35,"26-35",B2738&lt;=45,"36-45",B2738&lt;=60,"46-60",TRUE,"60+")</f>
        <v>46-60</v>
      </c>
      <c r="N2738" t="str">
        <f t="shared" si="127"/>
        <v>Discounted</v>
      </c>
      <c r="O2738" t="str">
        <f t="shared" si="128"/>
        <v>Returning</v>
      </c>
    </row>
    <row r="2739" spans="1:15" x14ac:dyDescent="0.25">
      <c r="A2739">
        <v>2738</v>
      </c>
      <c r="B2739">
        <v>41</v>
      </c>
      <c r="C2739" t="s">
        <v>11</v>
      </c>
      <c r="D2739" t="s">
        <v>22</v>
      </c>
      <c r="E2739" t="s">
        <v>52</v>
      </c>
      <c r="F2739" s="1">
        <v>82.73</v>
      </c>
      <c r="G2739" t="s">
        <v>31</v>
      </c>
      <c r="H2739" t="s">
        <v>37</v>
      </c>
      <c r="I2739" s="2">
        <v>3.9</v>
      </c>
      <c r="J2739" s="4">
        <v>26</v>
      </c>
      <c r="K2739" s="3">
        <v>8</v>
      </c>
      <c r="L2739" s="1">
        <f t="shared" si="126"/>
        <v>61.220200000000006</v>
      </c>
      <c r="M2739" t="str" cm="1">
        <f t="array" ref="M2739">_xlfn.IFS(B2739&lt;18,"Under 18",B2739 &lt;=25,"18-25",B2739&lt;=35,"26-35",B2739&lt;=45,"36-45",B2739&lt;=60,"46-60",TRUE,"60+")</f>
        <v>36-45</v>
      </c>
      <c r="N2739" t="str">
        <f t="shared" si="127"/>
        <v>Discounted</v>
      </c>
      <c r="O2739" t="str">
        <f t="shared" si="128"/>
        <v>Returning</v>
      </c>
    </row>
    <row r="2740" spans="1:15" x14ac:dyDescent="0.25">
      <c r="A2740">
        <v>2739</v>
      </c>
      <c r="B2740">
        <v>30</v>
      </c>
      <c r="C2740" t="s">
        <v>16</v>
      </c>
      <c r="D2740" t="s">
        <v>27</v>
      </c>
      <c r="E2740" t="s">
        <v>28</v>
      </c>
      <c r="F2740" s="1">
        <v>578.64</v>
      </c>
      <c r="G2740" t="s">
        <v>24</v>
      </c>
      <c r="H2740" t="s">
        <v>15</v>
      </c>
      <c r="I2740" s="2">
        <v>3.2</v>
      </c>
      <c r="J2740" s="4">
        <v>21</v>
      </c>
      <c r="K2740" s="3">
        <v>8</v>
      </c>
      <c r="L2740" s="1">
        <f t="shared" si="126"/>
        <v>457.12560000000002</v>
      </c>
      <c r="M2740" t="str" cm="1">
        <f t="array" ref="M2740">_xlfn.IFS(B2740&lt;18,"Under 18",B2740 &lt;=25,"18-25",B2740&lt;=35,"26-35",B2740&lt;=45,"36-45",B2740&lt;=60,"46-60",TRUE,"60+")</f>
        <v>26-35</v>
      </c>
      <c r="N2740" t="str">
        <f t="shared" si="127"/>
        <v>Discounted</v>
      </c>
      <c r="O2740" t="str">
        <f t="shared" si="128"/>
        <v>Returning</v>
      </c>
    </row>
    <row r="2741" spans="1:15" x14ac:dyDescent="0.25">
      <c r="A2741">
        <v>2740</v>
      </c>
      <c r="B2741">
        <v>69</v>
      </c>
      <c r="C2741" t="s">
        <v>16</v>
      </c>
      <c r="D2741" t="s">
        <v>25</v>
      </c>
      <c r="E2741" t="s">
        <v>26</v>
      </c>
      <c r="F2741" s="1">
        <v>65.16</v>
      </c>
      <c r="G2741" t="s">
        <v>14</v>
      </c>
      <c r="H2741" t="s">
        <v>15</v>
      </c>
      <c r="I2741" s="2">
        <v>4.2</v>
      </c>
      <c r="J2741" s="4">
        <v>11</v>
      </c>
      <c r="K2741" s="3">
        <v>3</v>
      </c>
      <c r="L2741" s="1">
        <f t="shared" si="126"/>
        <v>57.992399999999996</v>
      </c>
      <c r="M2741" t="str" cm="1">
        <f t="array" ref="M2741">_xlfn.IFS(B2741&lt;18,"Under 18",B2741 &lt;=25,"18-25",B2741&lt;=35,"26-35",B2741&lt;=45,"36-45",B2741&lt;=60,"46-60",TRUE,"60+")</f>
        <v>60+</v>
      </c>
      <c r="N2741" t="str">
        <f t="shared" si="127"/>
        <v>Discounted</v>
      </c>
      <c r="O2741" t="str">
        <f t="shared" si="128"/>
        <v>Returning</v>
      </c>
    </row>
    <row r="2742" spans="1:15" x14ac:dyDescent="0.25">
      <c r="A2742">
        <v>2741</v>
      </c>
      <c r="B2742">
        <v>62</v>
      </c>
      <c r="C2742" t="s">
        <v>11</v>
      </c>
      <c r="D2742" t="s">
        <v>41</v>
      </c>
      <c r="E2742" t="s">
        <v>42</v>
      </c>
      <c r="F2742" s="1">
        <v>101.41</v>
      </c>
      <c r="G2742" t="s">
        <v>19</v>
      </c>
      <c r="H2742" t="s">
        <v>15</v>
      </c>
      <c r="I2742" s="2">
        <v>3.9</v>
      </c>
      <c r="J2742" s="4">
        <v>8</v>
      </c>
      <c r="K2742" s="3">
        <v>4</v>
      </c>
      <c r="L2742" s="1">
        <f t="shared" si="126"/>
        <v>93.297200000000004</v>
      </c>
      <c r="M2742" t="str" cm="1">
        <f t="array" ref="M2742">_xlfn.IFS(B2742&lt;18,"Under 18",B2742 &lt;=25,"18-25",B2742&lt;=35,"26-35",B2742&lt;=45,"36-45",B2742&lt;=60,"46-60",TRUE,"60+")</f>
        <v>60+</v>
      </c>
      <c r="N2742" t="str">
        <f t="shared" si="127"/>
        <v>Discounted</v>
      </c>
      <c r="O2742" t="str">
        <f t="shared" si="128"/>
        <v>Returning</v>
      </c>
    </row>
    <row r="2743" spans="1:15" x14ac:dyDescent="0.25">
      <c r="A2743">
        <v>2742</v>
      </c>
      <c r="B2743">
        <v>33</v>
      </c>
      <c r="C2743" t="s">
        <v>11</v>
      </c>
      <c r="D2743" t="s">
        <v>29</v>
      </c>
      <c r="E2743" t="s">
        <v>30</v>
      </c>
      <c r="F2743" s="1">
        <v>110.21</v>
      </c>
      <c r="G2743" t="s">
        <v>24</v>
      </c>
      <c r="H2743" t="s">
        <v>15</v>
      </c>
      <c r="I2743" s="2">
        <v>4.0999999999999996</v>
      </c>
      <c r="J2743" s="4">
        <v>14</v>
      </c>
      <c r="K2743" s="3">
        <v>2</v>
      </c>
      <c r="L2743" s="1">
        <f t="shared" si="126"/>
        <v>94.780599999999993</v>
      </c>
      <c r="M2743" t="str" cm="1">
        <f t="array" ref="M2743">_xlfn.IFS(B2743&lt;18,"Under 18",B2743 &lt;=25,"18-25",B2743&lt;=35,"26-35",B2743&lt;=45,"36-45",B2743&lt;=60,"46-60",TRUE,"60+")</f>
        <v>26-35</v>
      </c>
      <c r="N2743" t="str">
        <f t="shared" si="127"/>
        <v>Discounted</v>
      </c>
      <c r="O2743" t="str">
        <f t="shared" si="128"/>
        <v>Returning</v>
      </c>
    </row>
    <row r="2744" spans="1:15" x14ac:dyDescent="0.25">
      <c r="A2744">
        <v>2743</v>
      </c>
      <c r="B2744">
        <v>22</v>
      </c>
      <c r="C2744" t="s">
        <v>16</v>
      </c>
      <c r="D2744" t="s">
        <v>20</v>
      </c>
      <c r="E2744" t="s">
        <v>39</v>
      </c>
      <c r="F2744" s="1">
        <v>63.38</v>
      </c>
      <c r="G2744" t="s">
        <v>14</v>
      </c>
      <c r="H2744" t="s">
        <v>37</v>
      </c>
      <c r="I2744" s="2">
        <v>3</v>
      </c>
      <c r="J2744" s="4">
        <v>28</v>
      </c>
      <c r="K2744" s="3">
        <v>9</v>
      </c>
      <c r="L2744" s="1">
        <f t="shared" si="126"/>
        <v>45.633600000000001</v>
      </c>
      <c r="M2744" t="str" cm="1">
        <f t="array" ref="M2744">_xlfn.IFS(B2744&lt;18,"Under 18",B2744 &lt;=25,"18-25",B2744&lt;=35,"26-35",B2744&lt;=45,"36-45",B2744&lt;=60,"46-60",TRUE,"60+")</f>
        <v>18-25</v>
      </c>
      <c r="N2744" t="str">
        <f t="shared" si="127"/>
        <v>Discounted</v>
      </c>
      <c r="O2744" t="str">
        <f t="shared" si="128"/>
        <v>Returning</v>
      </c>
    </row>
    <row r="2745" spans="1:15" x14ac:dyDescent="0.25">
      <c r="A2745">
        <v>2744</v>
      </c>
      <c r="B2745">
        <v>56</v>
      </c>
      <c r="C2745" t="s">
        <v>16</v>
      </c>
      <c r="D2745" t="s">
        <v>17</v>
      </c>
      <c r="E2745" t="s">
        <v>48</v>
      </c>
      <c r="F2745" s="1">
        <v>144.24</v>
      </c>
      <c r="G2745" t="s">
        <v>14</v>
      </c>
      <c r="H2745" t="s">
        <v>15</v>
      </c>
      <c r="I2745" s="2">
        <v>3.8</v>
      </c>
      <c r="J2745" s="4">
        <v>28</v>
      </c>
      <c r="K2745" s="3">
        <v>9</v>
      </c>
      <c r="L2745" s="1">
        <f t="shared" si="126"/>
        <v>103.8528</v>
      </c>
      <c r="M2745" t="str" cm="1">
        <f t="array" ref="M2745">_xlfn.IFS(B2745&lt;18,"Under 18",B2745 &lt;=25,"18-25",B2745&lt;=35,"26-35",B2745&lt;=45,"36-45",B2745&lt;=60,"46-60",TRUE,"60+")</f>
        <v>46-60</v>
      </c>
      <c r="N2745" t="str">
        <f t="shared" si="127"/>
        <v>Discounted</v>
      </c>
      <c r="O2745" t="str">
        <f t="shared" si="128"/>
        <v>Returning</v>
      </c>
    </row>
    <row r="2746" spans="1:15" x14ac:dyDescent="0.25">
      <c r="A2746">
        <v>2745</v>
      </c>
      <c r="B2746">
        <v>37</v>
      </c>
      <c r="C2746" t="s">
        <v>16</v>
      </c>
      <c r="D2746" t="s">
        <v>33</v>
      </c>
      <c r="E2746" t="s">
        <v>38</v>
      </c>
      <c r="F2746" s="1">
        <v>235.76</v>
      </c>
      <c r="G2746" t="s">
        <v>24</v>
      </c>
      <c r="H2746" t="s">
        <v>15</v>
      </c>
      <c r="I2746" s="2">
        <v>4.5</v>
      </c>
      <c r="J2746" s="4">
        <v>28</v>
      </c>
      <c r="K2746" s="3">
        <v>9</v>
      </c>
      <c r="L2746" s="1">
        <f t="shared" si="126"/>
        <v>169.74719999999999</v>
      </c>
      <c r="M2746" t="str" cm="1">
        <f t="array" ref="M2746">_xlfn.IFS(B2746&lt;18,"Under 18",B2746 &lt;=25,"18-25",B2746&lt;=35,"26-35",B2746&lt;=45,"36-45",B2746&lt;=60,"46-60",TRUE,"60+")</f>
        <v>36-45</v>
      </c>
      <c r="N2746" t="str">
        <f t="shared" si="127"/>
        <v>Discounted</v>
      </c>
      <c r="O2746" t="str">
        <f t="shared" si="128"/>
        <v>Returning</v>
      </c>
    </row>
    <row r="2747" spans="1:15" x14ac:dyDescent="0.25">
      <c r="A2747">
        <v>2746</v>
      </c>
      <c r="B2747">
        <v>41</v>
      </c>
      <c r="C2747" t="s">
        <v>11</v>
      </c>
      <c r="D2747" t="s">
        <v>12</v>
      </c>
      <c r="E2747" t="s">
        <v>56</v>
      </c>
      <c r="F2747" s="1">
        <v>53.22</v>
      </c>
      <c r="G2747" t="s">
        <v>24</v>
      </c>
      <c r="H2747" t="s">
        <v>37</v>
      </c>
      <c r="I2747" s="2">
        <v>2.7</v>
      </c>
      <c r="J2747" s="4">
        <v>13</v>
      </c>
      <c r="K2747" s="3">
        <v>4</v>
      </c>
      <c r="L2747" s="1">
        <f t="shared" si="126"/>
        <v>46.301400000000001</v>
      </c>
      <c r="M2747" t="str" cm="1">
        <f t="array" ref="M2747">_xlfn.IFS(B2747&lt;18,"Under 18",B2747 &lt;=25,"18-25",B2747&lt;=35,"26-35",B2747&lt;=45,"36-45",B2747&lt;=60,"46-60",TRUE,"60+")</f>
        <v>36-45</v>
      </c>
      <c r="N2747" t="str">
        <f t="shared" si="127"/>
        <v>Discounted</v>
      </c>
      <c r="O2747" t="str">
        <f t="shared" si="128"/>
        <v>Returning</v>
      </c>
    </row>
    <row r="2748" spans="1:15" x14ac:dyDescent="0.25">
      <c r="A2748">
        <v>2747</v>
      </c>
      <c r="B2748">
        <v>66</v>
      </c>
      <c r="C2748" t="s">
        <v>16</v>
      </c>
      <c r="D2748" t="s">
        <v>20</v>
      </c>
      <c r="E2748" t="s">
        <v>36</v>
      </c>
      <c r="F2748" s="1">
        <v>50.31</v>
      </c>
      <c r="G2748" t="s">
        <v>19</v>
      </c>
      <c r="H2748" t="s">
        <v>37</v>
      </c>
      <c r="I2748" s="2">
        <v>2.6</v>
      </c>
      <c r="J2748" s="4">
        <v>18</v>
      </c>
      <c r="K2748" s="3">
        <v>4</v>
      </c>
      <c r="L2748" s="1">
        <f t="shared" si="126"/>
        <v>41.254200000000004</v>
      </c>
      <c r="M2748" t="str" cm="1">
        <f t="array" ref="M2748">_xlfn.IFS(B2748&lt;18,"Under 18",B2748 &lt;=25,"18-25",B2748&lt;=35,"26-35",B2748&lt;=45,"36-45",B2748&lt;=60,"46-60",TRUE,"60+")</f>
        <v>60+</v>
      </c>
      <c r="N2748" t="str">
        <f t="shared" si="127"/>
        <v>Discounted</v>
      </c>
      <c r="O2748" t="str">
        <f t="shared" si="128"/>
        <v>Returning</v>
      </c>
    </row>
    <row r="2749" spans="1:15" x14ac:dyDescent="0.25">
      <c r="A2749">
        <v>2748</v>
      </c>
      <c r="B2749">
        <v>22</v>
      </c>
      <c r="C2749" t="s">
        <v>16</v>
      </c>
      <c r="D2749" t="s">
        <v>27</v>
      </c>
      <c r="E2749" t="s">
        <v>32</v>
      </c>
      <c r="F2749" s="1">
        <v>1764.17</v>
      </c>
      <c r="G2749" t="s">
        <v>24</v>
      </c>
      <c r="H2749" t="s">
        <v>15</v>
      </c>
      <c r="I2749" s="2">
        <v>4.0999999999999996</v>
      </c>
      <c r="J2749" s="4">
        <v>16</v>
      </c>
      <c r="K2749" s="3">
        <v>8</v>
      </c>
      <c r="L2749" s="1">
        <f t="shared" si="126"/>
        <v>1481.9028000000001</v>
      </c>
      <c r="M2749" t="str" cm="1">
        <f t="array" ref="M2749">_xlfn.IFS(B2749&lt;18,"Under 18",B2749 &lt;=25,"18-25",B2749&lt;=35,"26-35",B2749&lt;=45,"36-45",B2749&lt;=60,"46-60",TRUE,"60+")</f>
        <v>18-25</v>
      </c>
      <c r="N2749" t="str">
        <f t="shared" si="127"/>
        <v>Discounted</v>
      </c>
      <c r="O2749" t="str">
        <f t="shared" si="128"/>
        <v>Returning</v>
      </c>
    </row>
    <row r="2750" spans="1:15" x14ac:dyDescent="0.25">
      <c r="A2750">
        <v>2749</v>
      </c>
      <c r="B2750">
        <v>50</v>
      </c>
      <c r="C2750" t="s">
        <v>11</v>
      </c>
      <c r="D2750" t="s">
        <v>29</v>
      </c>
      <c r="E2750" t="s">
        <v>55</v>
      </c>
      <c r="F2750" s="1">
        <v>78.25</v>
      </c>
      <c r="G2750" t="s">
        <v>24</v>
      </c>
      <c r="H2750" t="s">
        <v>37</v>
      </c>
      <c r="I2750" s="2">
        <v>4.8</v>
      </c>
      <c r="J2750" s="4">
        <v>18</v>
      </c>
      <c r="K2750" s="3">
        <v>4</v>
      </c>
      <c r="L2750" s="1">
        <f t="shared" si="126"/>
        <v>64.165000000000006</v>
      </c>
      <c r="M2750" t="str" cm="1">
        <f t="array" ref="M2750">_xlfn.IFS(B2750&lt;18,"Under 18",B2750 &lt;=25,"18-25",B2750&lt;=35,"26-35",B2750&lt;=45,"36-45",B2750&lt;=60,"46-60",TRUE,"60+")</f>
        <v>46-60</v>
      </c>
      <c r="N2750" t="str">
        <f t="shared" si="127"/>
        <v>Discounted</v>
      </c>
      <c r="O2750" t="str">
        <f t="shared" si="128"/>
        <v>Returning</v>
      </c>
    </row>
    <row r="2751" spans="1:15" x14ac:dyDescent="0.25">
      <c r="A2751">
        <v>2750</v>
      </c>
      <c r="B2751">
        <v>67</v>
      </c>
      <c r="C2751" t="s">
        <v>16</v>
      </c>
      <c r="D2751" t="s">
        <v>25</v>
      </c>
      <c r="E2751" t="s">
        <v>26</v>
      </c>
      <c r="F2751" s="1">
        <v>18.2</v>
      </c>
      <c r="G2751" t="s">
        <v>19</v>
      </c>
      <c r="H2751" t="s">
        <v>15</v>
      </c>
      <c r="I2751" s="2">
        <v>3</v>
      </c>
      <c r="J2751" s="4">
        <v>14</v>
      </c>
      <c r="K2751" s="3">
        <v>7</v>
      </c>
      <c r="L2751" s="1">
        <f t="shared" si="126"/>
        <v>15.651999999999999</v>
      </c>
      <c r="M2751" t="str" cm="1">
        <f t="array" ref="M2751">_xlfn.IFS(B2751&lt;18,"Under 18",B2751 &lt;=25,"18-25",B2751&lt;=35,"26-35",B2751&lt;=45,"36-45",B2751&lt;=60,"46-60",TRUE,"60+")</f>
        <v>60+</v>
      </c>
      <c r="N2751" t="str">
        <f t="shared" si="127"/>
        <v>Discounted</v>
      </c>
      <c r="O2751" t="str">
        <f t="shared" si="128"/>
        <v>Returning</v>
      </c>
    </row>
    <row r="2752" spans="1:15" x14ac:dyDescent="0.25">
      <c r="A2752">
        <v>2751</v>
      </c>
      <c r="B2752">
        <v>35</v>
      </c>
      <c r="C2752" t="s">
        <v>16</v>
      </c>
      <c r="D2752" t="s">
        <v>22</v>
      </c>
      <c r="E2752" t="s">
        <v>23</v>
      </c>
      <c r="F2752" s="1">
        <v>244.27</v>
      </c>
      <c r="G2752" t="s">
        <v>19</v>
      </c>
      <c r="H2752" t="s">
        <v>15</v>
      </c>
      <c r="I2752" s="2">
        <v>4.5999999999999996</v>
      </c>
      <c r="J2752" s="4">
        <v>12</v>
      </c>
      <c r="K2752" s="3">
        <v>1</v>
      </c>
      <c r="L2752" s="1">
        <f t="shared" si="126"/>
        <v>214.95760000000001</v>
      </c>
      <c r="M2752" t="str" cm="1">
        <f t="array" ref="M2752">_xlfn.IFS(B2752&lt;18,"Under 18",B2752 &lt;=25,"18-25",B2752&lt;=35,"26-35",B2752&lt;=45,"36-45",B2752&lt;=60,"46-60",TRUE,"60+")</f>
        <v>26-35</v>
      </c>
      <c r="N2752" t="str">
        <f t="shared" si="127"/>
        <v>Discounted</v>
      </c>
      <c r="O2752" t="str">
        <f t="shared" si="128"/>
        <v>Returning</v>
      </c>
    </row>
    <row r="2753" spans="1:15" x14ac:dyDescent="0.25">
      <c r="A2753">
        <v>2752</v>
      </c>
      <c r="B2753">
        <v>36</v>
      </c>
      <c r="C2753" t="s">
        <v>16</v>
      </c>
      <c r="D2753" t="s">
        <v>22</v>
      </c>
      <c r="E2753" t="s">
        <v>52</v>
      </c>
      <c r="F2753" s="1">
        <v>112.07</v>
      </c>
      <c r="G2753" t="s">
        <v>31</v>
      </c>
      <c r="H2753" t="s">
        <v>15</v>
      </c>
      <c r="I2753" s="2">
        <v>3.8</v>
      </c>
      <c r="J2753" s="4">
        <v>14</v>
      </c>
      <c r="K2753" s="3">
        <v>7</v>
      </c>
      <c r="L2753" s="1">
        <f t="shared" si="126"/>
        <v>96.380199999999988</v>
      </c>
      <c r="M2753" t="str" cm="1">
        <f t="array" ref="M2753">_xlfn.IFS(B2753&lt;18,"Under 18",B2753 &lt;=25,"18-25",B2753&lt;=35,"26-35",B2753&lt;=45,"36-45",B2753&lt;=60,"46-60",TRUE,"60+")</f>
        <v>36-45</v>
      </c>
      <c r="N2753" t="str">
        <f t="shared" si="127"/>
        <v>Discounted</v>
      </c>
      <c r="O2753" t="str">
        <f t="shared" si="128"/>
        <v>Returning</v>
      </c>
    </row>
    <row r="2754" spans="1:15" x14ac:dyDescent="0.25">
      <c r="A2754">
        <v>2753</v>
      </c>
      <c r="B2754">
        <v>22</v>
      </c>
      <c r="C2754" t="s">
        <v>16</v>
      </c>
      <c r="D2754" t="s">
        <v>17</v>
      </c>
      <c r="E2754" t="s">
        <v>48</v>
      </c>
      <c r="F2754" s="1">
        <v>116.68</v>
      </c>
      <c r="G2754" t="s">
        <v>31</v>
      </c>
      <c r="H2754" t="s">
        <v>15</v>
      </c>
      <c r="I2754" s="2">
        <v>5</v>
      </c>
      <c r="J2754" s="4">
        <v>15</v>
      </c>
      <c r="K2754" s="3">
        <v>5</v>
      </c>
      <c r="L2754" s="1">
        <f t="shared" si="126"/>
        <v>99.177999999999997</v>
      </c>
      <c r="M2754" t="str" cm="1">
        <f t="array" ref="M2754">_xlfn.IFS(B2754&lt;18,"Under 18",B2754 &lt;=25,"18-25",B2754&lt;=35,"26-35",B2754&lt;=45,"36-45",B2754&lt;=60,"46-60",TRUE,"60+")</f>
        <v>18-25</v>
      </c>
      <c r="N2754" t="str">
        <f t="shared" si="127"/>
        <v>Discounted</v>
      </c>
      <c r="O2754" t="str">
        <f t="shared" si="128"/>
        <v>Returning</v>
      </c>
    </row>
    <row r="2755" spans="1:15" x14ac:dyDescent="0.25">
      <c r="A2755">
        <v>2754</v>
      </c>
      <c r="B2755">
        <v>30</v>
      </c>
      <c r="C2755" t="s">
        <v>11</v>
      </c>
      <c r="D2755" t="s">
        <v>25</v>
      </c>
      <c r="E2755" t="s">
        <v>26</v>
      </c>
      <c r="F2755" s="1">
        <v>28.54</v>
      </c>
      <c r="G2755" t="s">
        <v>19</v>
      </c>
      <c r="H2755" t="s">
        <v>15</v>
      </c>
      <c r="I2755" s="2">
        <v>3.5</v>
      </c>
      <c r="J2755" s="4">
        <v>12</v>
      </c>
      <c r="K2755" s="3">
        <v>6</v>
      </c>
      <c r="L2755" s="1">
        <f t="shared" ref="L2755:L2818" si="129">F2755 * (1 - J2755 / 100)</f>
        <v>25.115199999999998</v>
      </c>
      <c r="M2755" t="str" cm="1">
        <f t="array" ref="M2755">_xlfn.IFS(B2755&lt;18,"Under 18",B2755 &lt;=25,"18-25",B2755&lt;=35,"26-35",B2755&lt;=45,"36-45",B2755&lt;=60,"46-60",TRUE,"60+")</f>
        <v>26-35</v>
      </c>
      <c r="N2755" t="str">
        <f t="shared" ref="N2755:N2818" si="130">IF(J2755&gt;0,"Discounted","No Discount")</f>
        <v>Discounted</v>
      </c>
      <c r="O2755" t="str">
        <f t="shared" ref="O2755:O2818" si="131">IF(K2755&gt;0,"Returning","New")</f>
        <v>Returning</v>
      </c>
    </row>
    <row r="2756" spans="1:15" x14ac:dyDescent="0.25">
      <c r="A2756">
        <v>2755</v>
      </c>
      <c r="B2756">
        <v>54</v>
      </c>
      <c r="C2756" t="s">
        <v>16</v>
      </c>
      <c r="D2756" t="s">
        <v>27</v>
      </c>
      <c r="E2756" t="s">
        <v>53</v>
      </c>
      <c r="F2756" s="1">
        <v>1263.5899999999999</v>
      </c>
      <c r="G2756" t="s">
        <v>24</v>
      </c>
      <c r="H2756" t="s">
        <v>15</v>
      </c>
      <c r="I2756" s="2">
        <v>3.3</v>
      </c>
      <c r="J2756" s="4">
        <v>8</v>
      </c>
      <c r="K2756" s="3">
        <v>4</v>
      </c>
      <c r="L2756" s="1">
        <f t="shared" si="129"/>
        <v>1162.5028</v>
      </c>
      <c r="M2756" t="str" cm="1">
        <f t="array" ref="M2756">_xlfn.IFS(B2756&lt;18,"Under 18",B2756 &lt;=25,"18-25",B2756&lt;=35,"26-35",B2756&lt;=45,"36-45",B2756&lt;=60,"46-60",TRUE,"60+")</f>
        <v>46-60</v>
      </c>
      <c r="N2756" t="str">
        <f t="shared" si="130"/>
        <v>Discounted</v>
      </c>
      <c r="O2756" t="str">
        <f t="shared" si="131"/>
        <v>Returning</v>
      </c>
    </row>
    <row r="2757" spans="1:15" x14ac:dyDescent="0.25">
      <c r="A2757">
        <v>2756</v>
      </c>
      <c r="B2757">
        <v>35</v>
      </c>
      <c r="C2757" t="s">
        <v>16</v>
      </c>
      <c r="D2757" t="s">
        <v>20</v>
      </c>
      <c r="E2757" t="s">
        <v>21</v>
      </c>
      <c r="F2757" s="1">
        <v>137.06</v>
      </c>
      <c r="G2757" t="s">
        <v>24</v>
      </c>
      <c r="H2757" t="s">
        <v>15</v>
      </c>
      <c r="I2757" s="2">
        <v>3.6</v>
      </c>
      <c r="J2757" s="4">
        <v>16</v>
      </c>
      <c r="K2757" s="3">
        <v>8</v>
      </c>
      <c r="L2757" s="1">
        <f t="shared" si="129"/>
        <v>115.13039999999999</v>
      </c>
      <c r="M2757" t="str" cm="1">
        <f t="array" ref="M2757">_xlfn.IFS(B2757&lt;18,"Under 18",B2757 &lt;=25,"18-25",B2757&lt;=35,"26-35",B2757&lt;=45,"36-45",B2757&lt;=60,"46-60",TRUE,"60+")</f>
        <v>26-35</v>
      </c>
      <c r="N2757" t="str">
        <f t="shared" si="130"/>
        <v>Discounted</v>
      </c>
      <c r="O2757" t="str">
        <f t="shared" si="131"/>
        <v>Returning</v>
      </c>
    </row>
    <row r="2758" spans="1:15" x14ac:dyDescent="0.25">
      <c r="A2758">
        <v>2757</v>
      </c>
      <c r="B2758">
        <v>21</v>
      </c>
      <c r="C2758" t="s">
        <v>16</v>
      </c>
      <c r="D2758" t="s">
        <v>25</v>
      </c>
      <c r="E2758" t="s">
        <v>54</v>
      </c>
      <c r="F2758" s="1">
        <v>49.98</v>
      </c>
      <c r="G2758" t="s">
        <v>19</v>
      </c>
      <c r="H2758" t="s">
        <v>15</v>
      </c>
      <c r="I2758" s="2">
        <v>3.2</v>
      </c>
      <c r="J2758" s="4">
        <v>13</v>
      </c>
      <c r="K2758" s="3">
        <v>4</v>
      </c>
      <c r="L2758" s="1">
        <f t="shared" si="129"/>
        <v>43.482599999999998</v>
      </c>
      <c r="M2758" t="str" cm="1">
        <f t="array" ref="M2758">_xlfn.IFS(B2758&lt;18,"Under 18",B2758 &lt;=25,"18-25",B2758&lt;=35,"26-35",B2758&lt;=45,"36-45",B2758&lt;=60,"46-60",TRUE,"60+")</f>
        <v>18-25</v>
      </c>
      <c r="N2758" t="str">
        <f t="shared" si="130"/>
        <v>Discounted</v>
      </c>
      <c r="O2758" t="str">
        <f t="shared" si="131"/>
        <v>Returning</v>
      </c>
    </row>
    <row r="2759" spans="1:15" x14ac:dyDescent="0.25">
      <c r="A2759">
        <v>2758</v>
      </c>
      <c r="B2759">
        <v>50</v>
      </c>
      <c r="C2759" t="s">
        <v>11</v>
      </c>
      <c r="D2759" t="s">
        <v>33</v>
      </c>
      <c r="E2759" t="s">
        <v>40</v>
      </c>
      <c r="F2759" s="1">
        <v>99.11</v>
      </c>
      <c r="G2759" t="s">
        <v>31</v>
      </c>
      <c r="H2759" t="s">
        <v>37</v>
      </c>
      <c r="I2759" s="2">
        <v>4.3</v>
      </c>
      <c r="J2759" s="4">
        <v>9</v>
      </c>
      <c r="K2759" s="3">
        <v>2</v>
      </c>
      <c r="L2759" s="1">
        <f t="shared" si="129"/>
        <v>90.190100000000001</v>
      </c>
      <c r="M2759" t="str" cm="1">
        <f t="array" ref="M2759">_xlfn.IFS(B2759&lt;18,"Under 18",B2759 &lt;=25,"18-25",B2759&lt;=35,"26-35",B2759&lt;=45,"36-45",B2759&lt;=60,"46-60",TRUE,"60+")</f>
        <v>46-60</v>
      </c>
      <c r="N2759" t="str">
        <f t="shared" si="130"/>
        <v>Discounted</v>
      </c>
      <c r="O2759" t="str">
        <f t="shared" si="131"/>
        <v>Returning</v>
      </c>
    </row>
    <row r="2760" spans="1:15" x14ac:dyDescent="0.25">
      <c r="A2760">
        <v>2759</v>
      </c>
      <c r="B2760">
        <v>30</v>
      </c>
      <c r="C2760" t="s">
        <v>16</v>
      </c>
      <c r="D2760" t="s">
        <v>27</v>
      </c>
      <c r="E2760" t="s">
        <v>28</v>
      </c>
      <c r="F2760" s="1">
        <v>1683.57</v>
      </c>
      <c r="G2760" t="s">
        <v>24</v>
      </c>
      <c r="H2760" t="s">
        <v>15</v>
      </c>
      <c r="I2760" s="2">
        <v>3.5</v>
      </c>
      <c r="J2760" s="4">
        <v>11</v>
      </c>
      <c r="K2760" s="3">
        <v>3</v>
      </c>
      <c r="L2760" s="1">
        <f t="shared" si="129"/>
        <v>1498.3772999999999</v>
      </c>
      <c r="M2760" t="str" cm="1">
        <f t="array" ref="M2760">_xlfn.IFS(B2760&lt;18,"Under 18",B2760 &lt;=25,"18-25",B2760&lt;=35,"26-35",B2760&lt;=45,"36-45",B2760&lt;=60,"46-60",TRUE,"60+")</f>
        <v>26-35</v>
      </c>
      <c r="N2760" t="str">
        <f t="shared" si="130"/>
        <v>Discounted</v>
      </c>
      <c r="O2760" t="str">
        <f t="shared" si="131"/>
        <v>Returning</v>
      </c>
    </row>
    <row r="2761" spans="1:15" x14ac:dyDescent="0.25">
      <c r="A2761">
        <v>2760</v>
      </c>
      <c r="B2761">
        <v>48</v>
      </c>
      <c r="C2761" t="s">
        <v>11</v>
      </c>
      <c r="D2761" t="s">
        <v>25</v>
      </c>
      <c r="E2761" t="s">
        <v>47</v>
      </c>
      <c r="F2761" s="1">
        <v>77.239999999999995</v>
      </c>
      <c r="G2761" t="s">
        <v>31</v>
      </c>
      <c r="H2761" t="s">
        <v>15</v>
      </c>
      <c r="I2761" s="2">
        <v>4.7</v>
      </c>
      <c r="J2761" s="4">
        <v>28</v>
      </c>
      <c r="K2761" s="3">
        <v>9</v>
      </c>
      <c r="L2761" s="1">
        <f t="shared" si="129"/>
        <v>55.612799999999993</v>
      </c>
      <c r="M2761" t="str" cm="1">
        <f t="array" ref="M2761">_xlfn.IFS(B2761&lt;18,"Under 18",B2761 &lt;=25,"18-25",B2761&lt;=35,"26-35",B2761&lt;=45,"36-45",B2761&lt;=60,"46-60",TRUE,"60+")</f>
        <v>46-60</v>
      </c>
      <c r="N2761" t="str">
        <f t="shared" si="130"/>
        <v>Discounted</v>
      </c>
      <c r="O2761" t="str">
        <f t="shared" si="131"/>
        <v>Returning</v>
      </c>
    </row>
    <row r="2762" spans="1:15" x14ac:dyDescent="0.25">
      <c r="A2762">
        <v>2761</v>
      </c>
      <c r="B2762">
        <v>38</v>
      </c>
      <c r="C2762" t="s">
        <v>11</v>
      </c>
      <c r="D2762" t="s">
        <v>25</v>
      </c>
      <c r="E2762" t="s">
        <v>54</v>
      </c>
      <c r="F2762" s="1">
        <v>15.14</v>
      </c>
      <c r="G2762" t="s">
        <v>19</v>
      </c>
      <c r="H2762" t="s">
        <v>15</v>
      </c>
      <c r="I2762" s="2">
        <v>3.2</v>
      </c>
      <c r="J2762" s="4">
        <v>18</v>
      </c>
      <c r="K2762" s="3">
        <v>4</v>
      </c>
      <c r="L2762" s="1">
        <f t="shared" si="129"/>
        <v>12.414800000000001</v>
      </c>
      <c r="M2762" t="str" cm="1">
        <f t="array" ref="M2762">_xlfn.IFS(B2762&lt;18,"Under 18",B2762 &lt;=25,"18-25",B2762&lt;=35,"26-35",B2762&lt;=45,"36-45",B2762&lt;=60,"46-60",TRUE,"60+")</f>
        <v>36-45</v>
      </c>
      <c r="N2762" t="str">
        <f t="shared" si="130"/>
        <v>Discounted</v>
      </c>
      <c r="O2762" t="str">
        <f t="shared" si="131"/>
        <v>Returning</v>
      </c>
    </row>
    <row r="2763" spans="1:15" x14ac:dyDescent="0.25">
      <c r="A2763">
        <v>2762</v>
      </c>
      <c r="B2763">
        <v>62</v>
      </c>
      <c r="C2763" t="s">
        <v>16</v>
      </c>
      <c r="D2763" t="s">
        <v>33</v>
      </c>
      <c r="E2763" t="s">
        <v>38</v>
      </c>
      <c r="F2763" s="1">
        <v>43.56</v>
      </c>
      <c r="G2763" t="s">
        <v>24</v>
      </c>
      <c r="H2763" t="s">
        <v>37</v>
      </c>
      <c r="I2763" s="2">
        <v>2.6</v>
      </c>
      <c r="J2763" s="4">
        <v>24</v>
      </c>
      <c r="K2763" s="3">
        <v>7</v>
      </c>
      <c r="L2763" s="1">
        <f t="shared" si="129"/>
        <v>33.105600000000003</v>
      </c>
      <c r="M2763" t="str" cm="1">
        <f t="array" ref="M2763">_xlfn.IFS(B2763&lt;18,"Under 18",B2763 &lt;=25,"18-25",B2763&lt;=35,"26-35",B2763&lt;=45,"36-45",B2763&lt;=60,"46-60",TRUE,"60+")</f>
        <v>60+</v>
      </c>
      <c r="N2763" t="str">
        <f t="shared" si="130"/>
        <v>Discounted</v>
      </c>
      <c r="O2763" t="str">
        <f t="shared" si="131"/>
        <v>Returning</v>
      </c>
    </row>
    <row r="2764" spans="1:15" x14ac:dyDescent="0.25">
      <c r="A2764">
        <v>2763</v>
      </c>
      <c r="B2764">
        <v>30</v>
      </c>
      <c r="C2764" t="s">
        <v>11</v>
      </c>
      <c r="D2764" t="s">
        <v>29</v>
      </c>
      <c r="E2764" t="s">
        <v>30</v>
      </c>
      <c r="F2764" s="1">
        <v>51</v>
      </c>
      <c r="G2764" t="s">
        <v>31</v>
      </c>
      <c r="H2764" t="s">
        <v>37</v>
      </c>
      <c r="I2764" s="2">
        <v>4.5</v>
      </c>
      <c r="J2764" s="4">
        <v>8</v>
      </c>
      <c r="K2764" s="3">
        <v>4</v>
      </c>
      <c r="L2764" s="1">
        <f t="shared" si="129"/>
        <v>46.92</v>
      </c>
      <c r="M2764" t="str" cm="1">
        <f t="array" ref="M2764">_xlfn.IFS(B2764&lt;18,"Under 18",B2764 &lt;=25,"18-25",B2764&lt;=35,"26-35",B2764&lt;=45,"36-45",B2764&lt;=60,"46-60",TRUE,"60+")</f>
        <v>26-35</v>
      </c>
      <c r="N2764" t="str">
        <f t="shared" si="130"/>
        <v>Discounted</v>
      </c>
      <c r="O2764" t="str">
        <f t="shared" si="131"/>
        <v>Returning</v>
      </c>
    </row>
    <row r="2765" spans="1:15" x14ac:dyDescent="0.25">
      <c r="A2765">
        <v>2764</v>
      </c>
      <c r="B2765">
        <v>24</v>
      </c>
      <c r="C2765" t="s">
        <v>11</v>
      </c>
      <c r="D2765" t="s">
        <v>20</v>
      </c>
      <c r="E2765" t="s">
        <v>39</v>
      </c>
      <c r="F2765" s="1">
        <v>232.42</v>
      </c>
      <c r="G2765" t="s">
        <v>31</v>
      </c>
      <c r="H2765" t="s">
        <v>15</v>
      </c>
      <c r="I2765" s="2">
        <v>2.7</v>
      </c>
      <c r="J2765" s="4">
        <v>9</v>
      </c>
      <c r="K2765" s="3">
        <v>2</v>
      </c>
      <c r="L2765" s="1">
        <f t="shared" si="129"/>
        <v>211.50219999999999</v>
      </c>
      <c r="M2765" t="str" cm="1">
        <f t="array" ref="M2765">_xlfn.IFS(B2765&lt;18,"Under 18",B2765 &lt;=25,"18-25",B2765&lt;=35,"26-35",B2765&lt;=45,"36-45",B2765&lt;=60,"46-60",TRUE,"60+")</f>
        <v>18-25</v>
      </c>
      <c r="N2765" t="str">
        <f t="shared" si="130"/>
        <v>Discounted</v>
      </c>
      <c r="O2765" t="str">
        <f t="shared" si="131"/>
        <v>Returning</v>
      </c>
    </row>
    <row r="2766" spans="1:15" x14ac:dyDescent="0.25">
      <c r="A2766">
        <v>2765</v>
      </c>
      <c r="B2766">
        <v>56</v>
      </c>
      <c r="C2766" t="s">
        <v>11</v>
      </c>
      <c r="D2766" t="s">
        <v>29</v>
      </c>
      <c r="E2766" t="s">
        <v>55</v>
      </c>
      <c r="F2766" s="1">
        <v>78.209999999999994</v>
      </c>
      <c r="G2766" t="s">
        <v>19</v>
      </c>
      <c r="H2766" t="s">
        <v>37</v>
      </c>
      <c r="I2766" s="2">
        <v>5</v>
      </c>
      <c r="J2766" s="4">
        <v>22</v>
      </c>
      <c r="K2766" s="3">
        <v>6</v>
      </c>
      <c r="L2766" s="1">
        <f t="shared" si="129"/>
        <v>61.003799999999998</v>
      </c>
      <c r="M2766" t="str" cm="1">
        <f t="array" ref="M2766">_xlfn.IFS(B2766&lt;18,"Under 18",B2766 &lt;=25,"18-25",B2766&lt;=35,"26-35",B2766&lt;=45,"36-45",B2766&lt;=60,"46-60",TRUE,"60+")</f>
        <v>46-60</v>
      </c>
      <c r="N2766" t="str">
        <f t="shared" si="130"/>
        <v>Discounted</v>
      </c>
      <c r="O2766" t="str">
        <f t="shared" si="131"/>
        <v>Returning</v>
      </c>
    </row>
    <row r="2767" spans="1:15" x14ac:dyDescent="0.25">
      <c r="A2767">
        <v>2766</v>
      </c>
      <c r="B2767">
        <v>70</v>
      </c>
      <c r="C2767" t="s">
        <v>11</v>
      </c>
      <c r="D2767" t="s">
        <v>25</v>
      </c>
      <c r="E2767" t="s">
        <v>57</v>
      </c>
      <c r="F2767" s="1">
        <v>26.36</v>
      </c>
      <c r="G2767" t="s">
        <v>19</v>
      </c>
      <c r="H2767" t="s">
        <v>37</v>
      </c>
      <c r="I2767" s="2">
        <v>4.4000000000000004</v>
      </c>
      <c r="J2767" s="4">
        <v>10</v>
      </c>
      <c r="K2767" s="3">
        <v>5</v>
      </c>
      <c r="L2767" s="1">
        <f t="shared" si="129"/>
        <v>23.724</v>
      </c>
      <c r="M2767" t="str" cm="1">
        <f t="array" ref="M2767">_xlfn.IFS(B2767&lt;18,"Under 18",B2767 &lt;=25,"18-25",B2767&lt;=35,"26-35",B2767&lt;=45,"36-45",B2767&lt;=60,"46-60",TRUE,"60+")</f>
        <v>60+</v>
      </c>
      <c r="N2767" t="str">
        <f t="shared" si="130"/>
        <v>Discounted</v>
      </c>
      <c r="O2767" t="str">
        <f t="shared" si="131"/>
        <v>Returning</v>
      </c>
    </row>
    <row r="2768" spans="1:15" x14ac:dyDescent="0.25">
      <c r="A2768">
        <v>2767</v>
      </c>
      <c r="B2768">
        <v>22</v>
      </c>
      <c r="C2768" t="s">
        <v>16</v>
      </c>
      <c r="D2768" t="s">
        <v>17</v>
      </c>
      <c r="E2768" t="s">
        <v>48</v>
      </c>
      <c r="F2768" s="1">
        <v>59.51</v>
      </c>
      <c r="G2768" t="s">
        <v>24</v>
      </c>
      <c r="H2768" t="s">
        <v>15</v>
      </c>
      <c r="I2768" s="2">
        <v>3.3</v>
      </c>
      <c r="J2768" s="4">
        <v>16</v>
      </c>
      <c r="K2768" s="3">
        <v>3</v>
      </c>
      <c r="L2768" s="1">
        <f t="shared" si="129"/>
        <v>49.988399999999999</v>
      </c>
      <c r="M2768" t="str" cm="1">
        <f t="array" ref="M2768">_xlfn.IFS(B2768&lt;18,"Under 18",B2768 &lt;=25,"18-25",B2768&lt;=35,"26-35",B2768&lt;=45,"36-45",B2768&lt;=60,"46-60",TRUE,"60+")</f>
        <v>18-25</v>
      </c>
      <c r="N2768" t="str">
        <f t="shared" si="130"/>
        <v>Discounted</v>
      </c>
      <c r="O2768" t="str">
        <f t="shared" si="131"/>
        <v>Returning</v>
      </c>
    </row>
    <row r="2769" spans="1:15" x14ac:dyDescent="0.25">
      <c r="A2769">
        <v>2768</v>
      </c>
      <c r="B2769">
        <v>36</v>
      </c>
      <c r="C2769" t="s">
        <v>11</v>
      </c>
      <c r="D2769" t="s">
        <v>41</v>
      </c>
      <c r="E2769" t="s">
        <v>42</v>
      </c>
      <c r="F2769" s="1">
        <v>150.91999999999999</v>
      </c>
      <c r="G2769" t="s">
        <v>31</v>
      </c>
      <c r="H2769" t="s">
        <v>15</v>
      </c>
      <c r="I2769" s="2">
        <v>4.0999999999999996</v>
      </c>
      <c r="J2769" s="4">
        <v>15</v>
      </c>
      <c r="K2769" s="3">
        <v>5</v>
      </c>
      <c r="L2769" s="1">
        <f t="shared" si="129"/>
        <v>128.28199999999998</v>
      </c>
      <c r="M2769" t="str" cm="1">
        <f t="array" ref="M2769">_xlfn.IFS(B2769&lt;18,"Under 18",B2769 &lt;=25,"18-25",B2769&lt;=35,"26-35",B2769&lt;=45,"36-45",B2769&lt;=60,"46-60",TRUE,"60+")</f>
        <v>36-45</v>
      </c>
      <c r="N2769" t="str">
        <f t="shared" si="130"/>
        <v>Discounted</v>
      </c>
      <c r="O2769" t="str">
        <f t="shared" si="131"/>
        <v>Returning</v>
      </c>
    </row>
    <row r="2770" spans="1:15" x14ac:dyDescent="0.25">
      <c r="A2770">
        <v>2769</v>
      </c>
      <c r="B2770">
        <v>47</v>
      </c>
      <c r="C2770" t="s">
        <v>11</v>
      </c>
      <c r="D2770" t="s">
        <v>41</v>
      </c>
      <c r="E2770" t="s">
        <v>45</v>
      </c>
      <c r="F2770" s="1">
        <v>148.25</v>
      </c>
      <c r="G2770" t="s">
        <v>19</v>
      </c>
      <c r="H2770" t="s">
        <v>15</v>
      </c>
      <c r="I2770" s="2">
        <v>4</v>
      </c>
      <c r="J2770" s="4">
        <v>16</v>
      </c>
      <c r="K2770" s="3">
        <v>3</v>
      </c>
      <c r="L2770" s="1">
        <f t="shared" si="129"/>
        <v>124.53</v>
      </c>
      <c r="M2770" t="str" cm="1">
        <f t="array" ref="M2770">_xlfn.IFS(B2770&lt;18,"Under 18",B2770 &lt;=25,"18-25",B2770&lt;=35,"26-35",B2770&lt;=45,"36-45",B2770&lt;=60,"46-60",TRUE,"60+")</f>
        <v>46-60</v>
      </c>
      <c r="N2770" t="str">
        <f t="shared" si="130"/>
        <v>Discounted</v>
      </c>
      <c r="O2770" t="str">
        <f t="shared" si="131"/>
        <v>Returning</v>
      </c>
    </row>
    <row r="2771" spans="1:15" x14ac:dyDescent="0.25">
      <c r="A2771">
        <v>2770</v>
      </c>
      <c r="B2771">
        <v>57</v>
      </c>
      <c r="C2771" t="s">
        <v>16</v>
      </c>
      <c r="D2771" t="s">
        <v>33</v>
      </c>
      <c r="E2771" t="s">
        <v>34</v>
      </c>
      <c r="F2771" s="1">
        <v>196.03</v>
      </c>
      <c r="G2771" t="s">
        <v>24</v>
      </c>
      <c r="H2771" t="s">
        <v>15</v>
      </c>
      <c r="I2771" s="2">
        <v>4.3</v>
      </c>
      <c r="J2771" s="4">
        <v>6</v>
      </c>
      <c r="K2771" s="3">
        <v>3</v>
      </c>
      <c r="L2771" s="1">
        <f t="shared" si="129"/>
        <v>184.26819999999998</v>
      </c>
      <c r="M2771" t="str" cm="1">
        <f t="array" ref="M2771">_xlfn.IFS(B2771&lt;18,"Under 18",B2771 &lt;=25,"18-25",B2771&lt;=35,"26-35",B2771&lt;=45,"36-45",B2771&lt;=60,"46-60",TRUE,"60+")</f>
        <v>46-60</v>
      </c>
      <c r="N2771" t="str">
        <f t="shared" si="130"/>
        <v>Discounted</v>
      </c>
      <c r="O2771" t="str">
        <f t="shared" si="131"/>
        <v>Returning</v>
      </c>
    </row>
    <row r="2772" spans="1:15" x14ac:dyDescent="0.25">
      <c r="A2772">
        <v>2771</v>
      </c>
      <c r="B2772">
        <v>46</v>
      </c>
      <c r="C2772" t="s">
        <v>16</v>
      </c>
      <c r="D2772" t="s">
        <v>27</v>
      </c>
      <c r="E2772" t="s">
        <v>49</v>
      </c>
      <c r="F2772" s="1">
        <v>853.51</v>
      </c>
      <c r="G2772" t="s">
        <v>19</v>
      </c>
      <c r="H2772" t="s">
        <v>15</v>
      </c>
      <c r="I2772" s="2">
        <v>2.7</v>
      </c>
      <c r="J2772" s="4">
        <v>11</v>
      </c>
      <c r="K2772" s="3">
        <v>3</v>
      </c>
      <c r="L2772" s="1">
        <f t="shared" si="129"/>
        <v>759.62390000000005</v>
      </c>
      <c r="M2772" t="str" cm="1">
        <f t="array" ref="M2772">_xlfn.IFS(B2772&lt;18,"Under 18",B2772 &lt;=25,"18-25",B2772&lt;=35,"26-35",B2772&lt;=45,"36-45",B2772&lt;=60,"46-60",TRUE,"60+")</f>
        <v>46-60</v>
      </c>
      <c r="N2772" t="str">
        <f t="shared" si="130"/>
        <v>Discounted</v>
      </c>
      <c r="O2772" t="str">
        <f t="shared" si="131"/>
        <v>Returning</v>
      </c>
    </row>
    <row r="2773" spans="1:15" x14ac:dyDescent="0.25">
      <c r="A2773">
        <v>2772</v>
      </c>
      <c r="B2773">
        <v>62</v>
      </c>
      <c r="C2773" t="s">
        <v>16</v>
      </c>
      <c r="D2773" t="s">
        <v>27</v>
      </c>
      <c r="E2773" t="s">
        <v>53</v>
      </c>
      <c r="F2773" s="1">
        <v>1899.51</v>
      </c>
      <c r="G2773" t="s">
        <v>14</v>
      </c>
      <c r="H2773" t="s">
        <v>15</v>
      </c>
      <c r="I2773" s="2">
        <v>4.2</v>
      </c>
      <c r="J2773" s="4">
        <v>24</v>
      </c>
      <c r="K2773" s="3">
        <v>7</v>
      </c>
      <c r="L2773" s="1">
        <f t="shared" si="129"/>
        <v>1443.6276</v>
      </c>
      <c r="M2773" t="str" cm="1">
        <f t="array" ref="M2773">_xlfn.IFS(B2773&lt;18,"Under 18",B2773 &lt;=25,"18-25",B2773&lt;=35,"26-35",B2773&lt;=45,"36-45",B2773&lt;=60,"46-60",TRUE,"60+")</f>
        <v>60+</v>
      </c>
      <c r="N2773" t="str">
        <f t="shared" si="130"/>
        <v>Discounted</v>
      </c>
      <c r="O2773" t="str">
        <f t="shared" si="131"/>
        <v>Returning</v>
      </c>
    </row>
    <row r="2774" spans="1:15" x14ac:dyDescent="0.25">
      <c r="A2774">
        <v>2773</v>
      </c>
      <c r="B2774">
        <v>20</v>
      </c>
      <c r="C2774" t="s">
        <v>16</v>
      </c>
      <c r="D2774" t="s">
        <v>17</v>
      </c>
      <c r="E2774" t="s">
        <v>35</v>
      </c>
      <c r="F2774" s="1">
        <v>89.5</v>
      </c>
      <c r="G2774" t="s">
        <v>14</v>
      </c>
      <c r="H2774" t="s">
        <v>15</v>
      </c>
      <c r="I2774" s="2">
        <v>4.3</v>
      </c>
      <c r="J2774" s="4">
        <v>28</v>
      </c>
      <c r="K2774" s="3">
        <v>9</v>
      </c>
      <c r="L2774" s="1">
        <f t="shared" si="129"/>
        <v>64.44</v>
      </c>
      <c r="M2774" t="str" cm="1">
        <f t="array" ref="M2774">_xlfn.IFS(B2774&lt;18,"Under 18",B2774 &lt;=25,"18-25",B2774&lt;=35,"26-35",B2774&lt;=45,"36-45",B2774&lt;=60,"46-60",TRUE,"60+")</f>
        <v>18-25</v>
      </c>
      <c r="N2774" t="str">
        <f t="shared" si="130"/>
        <v>Discounted</v>
      </c>
      <c r="O2774" t="str">
        <f t="shared" si="131"/>
        <v>Returning</v>
      </c>
    </row>
    <row r="2775" spans="1:15" x14ac:dyDescent="0.25">
      <c r="A2775">
        <v>2774</v>
      </c>
      <c r="B2775">
        <v>61</v>
      </c>
      <c r="C2775" t="s">
        <v>16</v>
      </c>
      <c r="D2775" t="s">
        <v>20</v>
      </c>
      <c r="E2775" t="s">
        <v>39</v>
      </c>
      <c r="F2775" s="1">
        <v>30.95</v>
      </c>
      <c r="G2775" t="s">
        <v>24</v>
      </c>
      <c r="H2775" t="s">
        <v>15</v>
      </c>
      <c r="I2775" s="2">
        <v>3.5</v>
      </c>
      <c r="J2775" s="4">
        <v>17</v>
      </c>
      <c r="K2775" s="3">
        <v>6</v>
      </c>
      <c r="L2775" s="1">
        <f t="shared" si="129"/>
        <v>25.688499999999998</v>
      </c>
      <c r="M2775" t="str" cm="1">
        <f t="array" ref="M2775">_xlfn.IFS(B2775&lt;18,"Under 18",B2775 &lt;=25,"18-25",B2775&lt;=35,"26-35",B2775&lt;=45,"36-45",B2775&lt;=60,"46-60",TRUE,"60+")</f>
        <v>60+</v>
      </c>
      <c r="N2775" t="str">
        <f t="shared" si="130"/>
        <v>Discounted</v>
      </c>
      <c r="O2775" t="str">
        <f t="shared" si="131"/>
        <v>Returning</v>
      </c>
    </row>
    <row r="2776" spans="1:15" x14ac:dyDescent="0.25">
      <c r="A2776">
        <v>2775</v>
      </c>
      <c r="B2776">
        <v>48</v>
      </c>
      <c r="C2776" t="s">
        <v>16</v>
      </c>
      <c r="D2776" t="s">
        <v>22</v>
      </c>
      <c r="E2776" t="s">
        <v>52</v>
      </c>
      <c r="F2776" s="1">
        <v>297.56</v>
      </c>
      <c r="G2776" t="s">
        <v>24</v>
      </c>
      <c r="H2776" t="s">
        <v>15</v>
      </c>
      <c r="I2776" s="2">
        <v>5</v>
      </c>
      <c r="J2776" s="4">
        <v>18</v>
      </c>
      <c r="K2776" s="3">
        <v>4</v>
      </c>
      <c r="L2776" s="1">
        <f t="shared" si="129"/>
        <v>243.99920000000003</v>
      </c>
      <c r="M2776" t="str" cm="1">
        <f t="array" ref="M2776">_xlfn.IFS(B2776&lt;18,"Under 18",B2776 &lt;=25,"18-25",B2776&lt;=35,"26-35",B2776&lt;=45,"36-45",B2776&lt;=60,"46-60",TRUE,"60+")</f>
        <v>46-60</v>
      </c>
      <c r="N2776" t="str">
        <f t="shared" si="130"/>
        <v>Discounted</v>
      </c>
      <c r="O2776" t="str">
        <f t="shared" si="131"/>
        <v>Returning</v>
      </c>
    </row>
    <row r="2777" spans="1:15" x14ac:dyDescent="0.25">
      <c r="A2777">
        <v>2776</v>
      </c>
      <c r="B2777">
        <v>52</v>
      </c>
      <c r="C2777" t="s">
        <v>16</v>
      </c>
      <c r="D2777" t="s">
        <v>17</v>
      </c>
      <c r="E2777" t="s">
        <v>42</v>
      </c>
      <c r="F2777" s="1">
        <v>169.71</v>
      </c>
      <c r="G2777" t="s">
        <v>24</v>
      </c>
      <c r="H2777" t="s">
        <v>15</v>
      </c>
      <c r="I2777" s="2">
        <v>4.3</v>
      </c>
      <c r="J2777" s="4">
        <v>19</v>
      </c>
      <c r="K2777" s="3">
        <v>7</v>
      </c>
      <c r="L2777" s="1">
        <f t="shared" si="129"/>
        <v>137.46510000000001</v>
      </c>
      <c r="M2777" t="str" cm="1">
        <f t="array" ref="M2777">_xlfn.IFS(B2777&lt;18,"Under 18",B2777 &lt;=25,"18-25",B2777&lt;=35,"26-35",B2777&lt;=45,"36-45",B2777&lt;=60,"46-60",TRUE,"60+")</f>
        <v>46-60</v>
      </c>
      <c r="N2777" t="str">
        <f t="shared" si="130"/>
        <v>Discounted</v>
      </c>
      <c r="O2777" t="str">
        <f t="shared" si="131"/>
        <v>Returning</v>
      </c>
    </row>
    <row r="2778" spans="1:15" x14ac:dyDescent="0.25">
      <c r="A2778">
        <v>2777</v>
      </c>
      <c r="B2778">
        <v>60</v>
      </c>
      <c r="C2778" t="s">
        <v>11</v>
      </c>
      <c r="D2778" t="s">
        <v>41</v>
      </c>
      <c r="E2778" t="s">
        <v>44</v>
      </c>
      <c r="F2778" s="1">
        <v>97.73</v>
      </c>
      <c r="G2778" t="s">
        <v>24</v>
      </c>
      <c r="H2778" t="s">
        <v>15</v>
      </c>
      <c r="I2778" s="2">
        <v>4</v>
      </c>
      <c r="J2778" s="4">
        <v>19</v>
      </c>
      <c r="K2778" s="3">
        <v>7</v>
      </c>
      <c r="L2778" s="1">
        <f t="shared" si="129"/>
        <v>79.161300000000011</v>
      </c>
      <c r="M2778" t="str" cm="1">
        <f t="array" ref="M2778">_xlfn.IFS(B2778&lt;18,"Under 18",B2778 &lt;=25,"18-25",B2778&lt;=35,"26-35",B2778&lt;=45,"36-45",B2778&lt;=60,"46-60",TRUE,"60+")</f>
        <v>46-60</v>
      </c>
      <c r="N2778" t="str">
        <f t="shared" si="130"/>
        <v>Discounted</v>
      </c>
      <c r="O2778" t="str">
        <f t="shared" si="131"/>
        <v>Returning</v>
      </c>
    </row>
    <row r="2779" spans="1:15" x14ac:dyDescent="0.25">
      <c r="A2779">
        <v>2778</v>
      </c>
      <c r="B2779">
        <v>23</v>
      </c>
      <c r="C2779" t="s">
        <v>16</v>
      </c>
      <c r="D2779" t="s">
        <v>22</v>
      </c>
      <c r="E2779" t="s">
        <v>43</v>
      </c>
      <c r="F2779" s="1">
        <v>92.52</v>
      </c>
      <c r="G2779" t="s">
        <v>14</v>
      </c>
      <c r="H2779" t="s">
        <v>15</v>
      </c>
      <c r="I2779" s="2">
        <v>3.3</v>
      </c>
      <c r="J2779" s="4">
        <v>8</v>
      </c>
      <c r="K2779" s="3">
        <v>4</v>
      </c>
      <c r="L2779" s="1">
        <f t="shared" si="129"/>
        <v>85.118399999999994</v>
      </c>
      <c r="M2779" t="str" cm="1">
        <f t="array" ref="M2779">_xlfn.IFS(B2779&lt;18,"Under 18",B2779 &lt;=25,"18-25",B2779&lt;=35,"26-35",B2779&lt;=45,"36-45",B2779&lt;=60,"46-60",TRUE,"60+")</f>
        <v>18-25</v>
      </c>
      <c r="N2779" t="str">
        <f t="shared" si="130"/>
        <v>Discounted</v>
      </c>
      <c r="O2779" t="str">
        <f t="shared" si="131"/>
        <v>Returning</v>
      </c>
    </row>
    <row r="2780" spans="1:15" x14ac:dyDescent="0.25">
      <c r="A2780">
        <v>2779</v>
      </c>
      <c r="B2780">
        <v>43</v>
      </c>
      <c r="C2780" t="s">
        <v>16</v>
      </c>
      <c r="D2780" t="s">
        <v>20</v>
      </c>
      <c r="E2780" t="s">
        <v>39</v>
      </c>
      <c r="F2780" s="1">
        <v>217.59</v>
      </c>
      <c r="G2780" t="s">
        <v>31</v>
      </c>
      <c r="H2780" t="s">
        <v>15</v>
      </c>
      <c r="I2780" s="2">
        <v>4.0999999999999996</v>
      </c>
      <c r="J2780" s="4">
        <v>10</v>
      </c>
      <c r="K2780" s="3">
        <v>5</v>
      </c>
      <c r="L2780" s="1">
        <f t="shared" si="129"/>
        <v>195.83100000000002</v>
      </c>
      <c r="M2780" t="str" cm="1">
        <f t="array" ref="M2780">_xlfn.IFS(B2780&lt;18,"Under 18",B2780 &lt;=25,"18-25",B2780&lt;=35,"26-35",B2780&lt;=45,"36-45",B2780&lt;=60,"46-60",TRUE,"60+")</f>
        <v>36-45</v>
      </c>
      <c r="N2780" t="str">
        <f t="shared" si="130"/>
        <v>Discounted</v>
      </c>
      <c r="O2780" t="str">
        <f t="shared" si="131"/>
        <v>Returning</v>
      </c>
    </row>
    <row r="2781" spans="1:15" x14ac:dyDescent="0.25">
      <c r="A2781">
        <v>2780</v>
      </c>
      <c r="B2781">
        <v>27</v>
      </c>
      <c r="C2781" t="s">
        <v>16</v>
      </c>
      <c r="D2781" t="s">
        <v>33</v>
      </c>
      <c r="E2781" t="s">
        <v>38</v>
      </c>
      <c r="F2781" s="1">
        <v>144.94999999999999</v>
      </c>
      <c r="G2781" t="s">
        <v>31</v>
      </c>
      <c r="H2781" t="s">
        <v>15</v>
      </c>
      <c r="I2781" s="2">
        <v>4.5999999999999996</v>
      </c>
      <c r="J2781" s="4">
        <v>13</v>
      </c>
      <c r="K2781" s="3">
        <v>4</v>
      </c>
      <c r="L2781" s="1">
        <f t="shared" si="129"/>
        <v>126.10649999999998</v>
      </c>
      <c r="M2781" t="str" cm="1">
        <f t="array" ref="M2781">_xlfn.IFS(B2781&lt;18,"Under 18",B2781 &lt;=25,"18-25",B2781&lt;=35,"26-35",B2781&lt;=45,"36-45",B2781&lt;=60,"46-60",TRUE,"60+")</f>
        <v>26-35</v>
      </c>
      <c r="N2781" t="str">
        <f t="shared" si="130"/>
        <v>Discounted</v>
      </c>
      <c r="O2781" t="str">
        <f t="shared" si="131"/>
        <v>Returning</v>
      </c>
    </row>
    <row r="2782" spans="1:15" x14ac:dyDescent="0.25">
      <c r="A2782">
        <v>2781</v>
      </c>
      <c r="B2782">
        <v>37</v>
      </c>
      <c r="C2782" t="s">
        <v>11</v>
      </c>
      <c r="D2782" t="s">
        <v>41</v>
      </c>
      <c r="E2782" t="s">
        <v>44</v>
      </c>
      <c r="F2782" s="1">
        <v>95.24</v>
      </c>
      <c r="G2782" t="s">
        <v>24</v>
      </c>
      <c r="H2782" t="s">
        <v>37</v>
      </c>
      <c r="I2782" s="2">
        <v>4.0999999999999996</v>
      </c>
      <c r="J2782" s="4">
        <v>17</v>
      </c>
      <c r="K2782" s="3">
        <v>6</v>
      </c>
      <c r="L2782" s="1">
        <f t="shared" si="129"/>
        <v>79.049199999999999</v>
      </c>
      <c r="M2782" t="str" cm="1">
        <f t="array" ref="M2782">_xlfn.IFS(B2782&lt;18,"Under 18",B2782 &lt;=25,"18-25",B2782&lt;=35,"26-35",B2782&lt;=45,"36-45",B2782&lt;=60,"46-60",TRUE,"60+")</f>
        <v>36-45</v>
      </c>
      <c r="N2782" t="str">
        <f t="shared" si="130"/>
        <v>Discounted</v>
      </c>
      <c r="O2782" t="str">
        <f t="shared" si="131"/>
        <v>Returning</v>
      </c>
    </row>
    <row r="2783" spans="1:15" x14ac:dyDescent="0.25">
      <c r="A2783">
        <v>2782</v>
      </c>
      <c r="B2783">
        <v>20</v>
      </c>
      <c r="C2783" t="s">
        <v>11</v>
      </c>
      <c r="D2783" t="s">
        <v>22</v>
      </c>
      <c r="E2783" t="s">
        <v>23</v>
      </c>
      <c r="F2783" s="1">
        <v>291.95</v>
      </c>
      <c r="G2783" t="s">
        <v>31</v>
      </c>
      <c r="H2783" t="s">
        <v>15</v>
      </c>
      <c r="I2783" s="2">
        <v>2.8</v>
      </c>
      <c r="J2783" s="4">
        <v>20</v>
      </c>
      <c r="K2783" s="3">
        <v>5</v>
      </c>
      <c r="L2783" s="1">
        <f t="shared" si="129"/>
        <v>233.56</v>
      </c>
      <c r="M2783" t="str" cm="1">
        <f t="array" ref="M2783">_xlfn.IFS(B2783&lt;18,"Under 18",B2783 &lt;=25,"18-25",B2783&lt;=35,"26-35",B2783&lt;=45,"36-45",B2783&lt;=60,"46-60",TRUE,"60+")</f>
        <v>18-25</v>
      </c>
      <c r="N2783" t="str">
        <f t="shared" si="130"/>
        <v>Discounted</v>
      </c>
      <c r="O2783" t="str">
        <f t="shared" si="131"/>
        <v>Returning</v>
      </c>
    </row>
    <row r="2784" spans="1:15" x14ac:dyDescent="0.25">
      <c r="A2784">
        <v>2783</v>
      </c>
      <c r="B2784">
        <v>44</v>
      </c>
      <c r="C2784" t="s">
        <v>16</v>
      </c>
      <c r="D2784" t="s">
        <v>17</v>
      </c>
      <c r="E2784" t="s">
        <v>35</v>
      </c>
      <c r="F2784" s="1">
        <v>154.18</v>
      </c>
      <c r="G2784" t="s">
        <v>31</v>
      </c>
      <c r="H2784" t="s">
        <v>15</v>
      </c>
      <c r="I2784" s="2">
        <v>4.5</v>
      </c>
      <c r="J2784" s="4">
        <v>16</v>
      </c>
      <c r="K2784" s="3">
        <v>8</v>
      </c>
      <c r="L2784" s="1">
        <f t="shared" si="129"/>
        <v>129.5112</v>
      </c>
      <c r="M2784" t="str" cm="1">
        <f t="array" ref="M2784">_xlfn.IFS(B2784&lt;18,"Under 18",B2784 &lt;=25,"18-25",B2784&lt;=35,"26-35",B2784&lt;=45,"36-45",B2784&lt;=60,"46-60",TRUE,"60+")</f>
        <v>36-45</v>
      </c>
      <c r="N2784" t="str">
        <f t="shared" si="130"/>
        <v>Discounted</v>
      </c>
      <c r="O2784" t="str">
        <f t="shared" si="131"/>
        <v>Returning</v>
      </c>
    </row>
    <row r="2785" spans="1:15" x14ac:dyDescent="0.25">
      <c r="A2785">
        <v>2784</v>
      </c>
      <c r="B2785">
        <v>20</v>
      </c>
      <c r="C2785" t="s">
        <v>11</v>
      </c>
      <c r="D2785" t="s">
        <v>29</v>
      </c>
      <c r="E2785" t="s">
        <v>51</v>
      </c>
      <c r="F2785" s="1">
        <v>51.67</v>
      </c>
      <c r="G2785" t="s">
        <v>19</v>
      </c>
      <c r="H2785" t="s">
        <v>37</v>
      </c>
      <c r="I2785" s="2">
        <v>3.5</v>
      </c>
      <c r="J2785" s="4">
        <v>12</v>
      </c>
      <c r="K2785" s="3">
        <v>6</v>
      </c>
      <c r="L2785" s="1">
        <f t="shared" si="129"/>
        <v>45.4696</v>
      </c>
      <c r="M2785" t="str" cm="1">
        <f t="array" ref="M2785">_xlfn.IFS(B2785&lt;18,"Under 18",B2785 &lt;=25,"18-25",B2785&lt;=35,"26-35",B2785&lt;=45,"36-45",B2785&lt;=60,"46-60",TRUE,"60+")</f>
        <v>18-25</v>
      </c>
      <c r="N2785" t="str">
        <f t="shared" si="130"/>
        <v>Discounted</v>
      </c>
      <c r="O2785" t="str">
        <f t="shared" si="131"/>
        <v>Returning</v>
      </c>
    </row>
    <row r="2786" spans="1:15" x14ac:dyDescent="0.25">
      <c r="A2786">
        <v>2785</v>
      </c>
      <c r="B2786">
        <v>43</v>
      </c>
      <c r="C2786" t="s">
        <v>11</v>
      </c>
      <c r="D2786" t="s">
        <v>29</v>
      </c>
      <c r="E2786" t="s">
        <v>55</v>
      </c>
      <c r="F2786" s="1">
        <v>137.75</v>
      </c>
      <c r="G2786" t="s">
        <v>19</v>
      </c>
      <c r="H2786" t="s">
        <v>15</v>
      </c>
      <c r="I2786" s="2">
        <v>4.0999999999999996</v>
      </c>
      <c r="J2786" s="4">
        <v>20</v>
      </c>
      <c r="K2786" s="3">
        <v>5</v>
      </c>
      <c r="L2786" s="1">
        <f t="shared" si="129"/>
        <v>110.2</v>
      </c>
      <c r="M2786" t="str" cm="1">
        <f t="array" ref="M2786">_xlfn.IFS(B2786&lt;18,"Under 18",B2786 &lt;=25,"18-25",B2786&lt;=35,"26-35",B2786&lt;=45,"36-45",B2786&lt;=60,"46-60",TRUE,"60+")</f>
        <v>36-45</v>
      </c>
      <c r="N2786" t="str">
        <f t="shared" si="130"/>
        <v>Discounted</v>
      </c>
      <c r="O2786" t="str">
        <f t="shared" si="131"/>
        <v>Returning</v>
      </c>
    </row>
    <row r="2787" spans="1:15" x14ac:dyDescent="0.25">
      <c r="A2787">
        <v>2786</v>
      </c>
      <c r="B2787">
        <v>46</v>
      </c>
      <c r="C2787" t="s">
        <v>11</v>
      </c>
      <c r="D2787" t="s">
        <v>33</v>
      </c>
      <c r="E2787" t="s">
        <v>40</v>
      </c>
      <c r="F2787" s="1">
        <v>106.59</v>
      </c>
      <c r="G2787" t="s">
        <v>24</v>
      </c>
      <c r="H2787" t="s">
        <v>15</v>
      </c>
      <c r="I2787" s="2">
        <v>4.9000000000000004</v>
      </c>
      <c r="J2787" s="4">
        <v>26</v>
      </c>
      <c r="K2787" s="3">
        <v>8</v>
      </c>
      <c r="L2787" s="1">
        <f t="shared" si="129"/>
        <v>78.876599999999996</v>
      </c>
      <c r="M2787" t="str" cm="1">
        <f t="array" ref="M2787">_xlfn.IFS(B2787&lt;18,"Under 18",B2787 &lt;=25,"18-25",B2787&lt;=35,"26-35",B2787&lt;=45,"36-45",B2787&lt;=60,"46-60",TRUE,"60+")</f>
        <v>46-60</v>
      </c>
      <c r="N2787" t="str">
        <f t="shared" si="130"/>
        <v>Discounted</v>
      </c>
      <c r="O2787" t="str">
        <f t="shared" si="131"/>
        <v>Returning</v>
      </c>
    </row>
    <row r="2788" spans="1:15" x14ac:dyDescent="0.25">
      <c r="A2788">
        <v>2787</v>
      </c>
      <c r="B2788">
        <v>30</v>
      </c>
      <c r="C2788" t="s">
        <v>11</v>
      </c>
      <c r="D2788" t="s">
        <v>12</v>
      </c>
      <c r="E2788" t="s">
        <v>56</v>
      </c>
      <c r="F2788" s="1">
        <v>119.64</v>
      </c>
      <c r="G2788" t="s">
        <v>19</v>
      </c>
      <c r="H2788" t="s">
        <v>15</v>
      </c>
      <c r="I2788" s="2">
        <v>3.8</v>
      </c>
      <c r="J2788" s="4">
        <v>13</v>
      </c>
      <c r="K2788" s="3">
        <v>4</v>
      </c>
      <c r="L2788" s="1">
        <f t="shared" si="129"/>
        <v>104.0868</v>
      </c>
      <c r="M2788" t="str" cm="1">
        <f t="array" ref="M2788">_xlfn.IFS(B2788&lt;18,"Under 18",B2788 &lt;=25,"18-25",B2788&lt;=35,"26-35",B2788&lt;=45,"36-45",B2788&lt;=60,"46-60",TRUE,"60+")</f>
        <v>26-35</v>
      </c>
      <c r="N2788" t="str">
        <f t="shared" si="130"/>
        <v>Discounted</v>
      </c>
      <c r="O2788" t="str">
        <f t="shared" si="131"/>
        <v>Returning</v>
      </c>
    </row>
    <row r="2789" spans="1:15" x14ac:dyDescent="0.25">
      <c r="A2789">
        <v>2788</v>
      </c>
      <c r="B2789">
        <v>22</v>
      </c>
      <c r="C2789" t="s">
        <v>11</v>
      </c>
      <c r="D2789" t="s">
        <v>29</v>
      </c>
      <c r="E2789" t="s">
        <v>51</v>
      </c>
      <c r="F2789" s="1">
        <v>90.97</v>
      </c>
      <c r="G2789" t="s">
        <v>19</v>
      </c>
      <c r="H2789" t="s">
        <v>15</v>
      </c>
      <c r="I2789" s="2">
        <v>4</v>
      </c>
      <c r="J2789" s="4">
        <v>14</v>
      </c>
      <c r="K2789" s="3">
        <v>2</v>
      </c>
      <c r="L2789" s="1">
        <f t="shared" si="129"/>
        <v>78.234200000000001</v>
      </c>
      <c r="M2789" t="str" cm="1">
        <f t="array" ref="M2789">_xlfn.IFS(B2789&lt;18,"Under 18",B2789 &lt;=25,"18-25",B2789&lt;=35,"26-35",B2789&lt;=45,"36-45",B2789&lt;=60,"46-60",TRUE,"60+")</f>
        <v>18-25</v>
      </c>
      <c r="N2789" t="str">
        <f t="shared" si="130"/>
        <v>Discounted</v>
      </c>
      <c r="O2789" t="str">
        <f t="shared" si="131"/>
        <v>Returning</v>
      </c>
    </row>
    <row r="2790" spans="1:15" x14ac:dyDescent="0.25">
      <c r="A2790">
        <v>2789</v>
      </c>
      <c r="B2790">
        <v>57</v>
      </c>
      <c r="C2790" t="s">
        <v>11</v>
      </c>
      <c r="D2790" t="s">
        <v>22</v>
      </c>
      <c r="E2790" t="s">
        <v>23</v>
      </c>
      <c r="F2790" s="1">
        <v>106.31</v>
      </c>
      <c r="G2790" t="s">
        <v>19</v>
      </c>
      <c r="H2790" t="s">
        <v>15</v>
      </c>
      <c r="I2790" s="2">
        <v>2.4</v>
      </c>
      <c r="J2790" s="4">
        <v>15</v>
      </c>
      <c r="K2790" s="3">
        <v>5</v>
      </c>
      <c r="L2790" s="1">
        <f t="shared" si="129"/>
        <v>90.363500000000002</v>
      </c>
      <c r="M2790" t="str" cm="1">
        <f t="array" ref="M2790">_xlfn.IFS(B2790&lt;18,"Under 18",B2790 &lt;=25,"18-25",B2790&lt;=35,"26-35",B2790&lt;=45,"36-45",B2790&lt;=60,"46-60",TRUE,"60+")</f>
        <v>46-60</v>
      </c>
      <c r="N2790" t="str">
        <f t="shared" si="130"/>
        <v>Discounted</v>
      </c>
      <c r="O2790" t="str">
        <f t="shared" si="131"/>
        <v>Returning</v>
      </c>
    </row>
    <row r="2791" spans="1:15" x14ac:dyDescent="0.25">
      <c r="A2791">
        <v>2790</v>
      </c>
      <c r="B2791">
        <v>50</v>
      </c>
      <c r="C2791" t="s">
        <v>16</v>
      </c>
      <c r="D2791" t="s">
        <v>33</v>
      </c>
      <c r="E2791" t="s">
        <v>38</v>
      </c>
      <c r="F2791" s="1">
        <v>116.45</v>
      </c>
      <c r="G2791" t="s">
        <v>31</v>
      </c>
      <c r="H2791" t="s">
        <v>15</v>
      </c>
      <c r="I2791" s="2">
        <v>3.7</v>
      </c>
      <c r="J2791" s="4">
        <v>18</v>
      </c>
      <c r="K2791" s="3">
        <v>9</v>
      </c>
      <c r="L2791" s="1">
        <f t="shared" si="129"/>
        <v>95.489000000000004</v>
      </c>
      <c r="M2791" t="str" cm="1">
        <f t="array" ref="M2791">_xlfn.IFS(B2791&lt;18,"Under 18",B2791 &lt;=25,"18-25",B2791&lt;=35,"26-35",B2791&lt;=45,"36-45",B2791&lt;=60,"46-60",TRUE,"60+")</f>
        <v>46-60</v>
      </c>
      <c r="N2791" t="str">
        <f t="shared" si="130"/>
        <v>Discounted</v>
      </c>
      <c r="O2791" t="str">
        <f t="shared" si="131"/>
        <v>Returning</v>
      </c>
    </row>
    <row r="2792" spans="1:15" x14ac:dyDescent="0.25">
      <c r="A2792">
        <v>2791</v>
      </c>
      <c r="B2792">
        <v>61</v>
      </c>
      <c r="C2792" t="s">
        <v>16</v>
      </c>
      <c r="D2792" t="s">
        <v>33</v>
      </c>
      <c r="E2792" t="s">
        <v>38</v>
      </c>
      <c r="F2792" s="1">
        <v>166.25</v>
      </c>
      <c r="G2792" t="s">
        <v>24</v>
      </c>
      <c r="H2792" t="s">
        <v>15</v>
      </c>
      <c r="I2792" s="2">
        <v>4.3</v>
      </c>
      <c r="J2792" s="4">
        <v>8</v>
      </c>
      <c r="K2792" s="3">
        <v>4</v>
      </c>
      <c r="L2792" s="1">
        <f t="shared" si="129"/>
        <v>152.95000000000002</v>
      </c>
      <c r="M2792" t="str" cm="1">
        <f t="array" ref="M2792">_xlfn.IFS(B2792&lt;18,"Under 18",B2792 &lt;=25,"18-25",B2792&lt;=35,"26-35",B2792&lt;=45,"36-45",B2792&lt;=60,"46-60",TRUE,"60+")</f>
        <v>60+</v>
      </c>
      <c r="N2792" t="str">
        <f t="shared" si="130"/>
        <v>Discounted</v>
      </c>
      <c r="O2792" t="str">
        <f t="shared" si="131"/>
        <v>Returning</v>
      </c>
    </row>
    <row r="2793" spans="1:15" x14ac:dyDescent="0.25">
      <c r="A2793">
        <v>2792</v>
      </c>
      <c r="B2793">
        <v>38</v>
      </c>
      <c r="C2793" t="s">
        <v>16</v>
      </c>
      <c r="D2793" t="s">
        <v>33</v>
      </c>
      <c r="E2793" t="s">
        <v>34</v>
      </c>
      <c r="F2793" s="1">
        <v>204.4</v>
      </c>
      <c r="G2793" t="s">
        <v>19</v>
      </c>
      <c r="H2793" t="s">
        <v>15</v>
      </c>
      <c r="I2793" s="2">
        <v>4.7</v>
      </c>
      <c r="J2793" s="4">
        <v>6</v>
      </c>
      <c r="K2793" s="3">
        <v>3</v>
      </c>
      <c r="L2793" s="1">
        <f t="shared" si="129"/>
        <v>192.136</v>
      </c>
      <c r="M2793" t="str" cm="1">
        <f t="array" ref="M2793">_xlfn.IFS(B2793&lt;18,"Under 18",B2793 &lt;=25,"18-25",B2793&lt;=35,"26-35",B2793&lt;=45,"36-45",B2793&lt;=60,"46-60",TRUE,"60+")</f>
        <v>36-45</v>
      </c>
      <c r="N2793" t="str">
        <f t="shared" si="130"/>
        <v>Discounted</v>
      </c>
      <c r="O2793" t="str">
        <f t="shared" si="131"/>
        <v>Returning</v>
      </c>
    </row>
    <row r="2794" spans="1:15" x14ac:dyDescent="0.25">
      <c r="A2794">
        <v>2793</v>
      </c>
      <c r="B2794">
        <v>37</v>
      </c>
      <c r="C2794" t="s">
        <v>16</v>
      </c>
      <c r="D2794" t="s">
        <v>20</v>
      </c>
      <c r="E2794" t="s">
        <v>39</v>
      </c>
      <c r="F2794" s="1">
        <v>239.14</v>
      </c>
      <c r="G2794" t="s">
        <v>24</v>
      </c>
      <c r="H2794" t="s">
        <v>15</v>
      </c>
      <c r="I2794" s="2">
        <v>2.2000000000000002</v>
      </c>
      <c r="J2794" s="4">
        <v>15</v>
      </c>
      <c r="K2794" s="3">
        <v>5</v>
      </c>
      <c r="L2794" s="1">
        <f t="shared" si="129"/>
        <v>203.26899999999998</v>
      </c>
      <c r="M2794" t="str" cm="1">
        <f t="array" ref="M2794">_xlfn.IFS(B2794&lt;18,"Under 18",B2794 &lt;=25,"18-25",B2794&lt;=35,"26-35",B2794&lt;=45,"36-45",B2794&lt;=60,"46-60",TRUE,"60+")</f>
        <v>36-45</v>
      </c>
      <c r="N2794" t="str">
        <f t="shared" si="130"/>
        <v>Discounted</v>
      </c>
      <c r="O2794" t="str">
        <f t="shared" si="131"/>
        <v>Returning</v>
      </c>
    </row>
    <row r="2795" spans="1:15" x14ac:dyDescent="0.25">
      <c r="A2795">
        <v>2794</v>
      </c>
      <c r="B2795">
        <v>37</v>
      </c>
      <c r="C2795" t="s">
        <v>16</v>
      </c>
      <c r="D2795" t="s">
        <v>33</v>
      </c>
      <c r="E2795" t="s">
        <v>38</v>
      </c>
      <c r="F2795" s="1">
        <v>174.28</v>
      </c>
      <c r="G2795" t="s">
        <v>19</v>
      </c>
      <c r="H2795" t="s">
        <v>15</v>
      </c>
      <c r="I2795" s="2">
        <v>3.2</v>
      </c>
      <c r="J2795" s="4">
        <v>15</v>
      </c>
      <c r="K2795" s="3">
        <v>5</v>
      </c>
      <c r="L2795" s="1">
        <f t="shared" si="129"/>
        <v>148.13800000000001</v>
      </c>
      <c r="M2795" t="str" cm="1">
        <f t="array" ref="M2795">_xlfn.IFS(B2795&lt;18,"Under 18",B2795 &lt;=25,"18-25",B2795&lt;=35,"26-35",B2795&lt;=45,"36-45",B2795&lt;=60,"46-60",TRUE,"60+")</f>
        <v>36-45</v>
      </c>
      <c r="N2795" t="str">
        <f t="shared" si="130"/>
        <v>Discounted</v>
      </c>
      <c r="O2795" t="str">
        <f t="shared" si="131"/>
        <v>Returning</v>
      </c>
    </row>
    <row r="2796" spans="1:15" x14ac:dyDescent="0.25">
      <c r="A2796">
        <v>2795</v>
      </c>
      <c r="B2796">
        <v>30</v>
      </c>
      <c r="C2796" t="s">
        <v>16</v>
      </c>
      <c r="D2796" t="s">
        <v>33</v>
      </c>
      <c r="E2796" t="s">
        <v>34</v>
      </c>
      <c r="F2796" s="1">
        <v>54.8</v>
      </c>
      <c r="G2796" t="s">
        <v>31</v>
      </c>
      <c r="H2796" t="s">
        <v>37</v>
      </c>
      <c r="I2796" s="2">
        <v>3.6</v>
      </c>
      <c r="J2796" s="4">
        <v>22</v>
      </c>
      <c r="K2796" s="3">
        <v>6</v>
      </c>
      <c r="L2796" s="1">
        <f t="shared" si="129"/>
        <v>42.744</v>
      </c>
      <c r="M2796" t="str" cm="1">
        <f t="array" ref="M2796">_xlfn.IFS(B2796&lt;18,"Under 18",B2796 &lt;=25,"18-25",B2796&lt;=35,"26-35",B2796&lt;=45,"36-45",B2796&lt;=60,"46-60",TRUE,"60+")</f>
        <v>26-35</v>
      </c>
      <c r="N2796" t="str">
        <f t="shared" si="130"/>
        <v>Discounted</v>
      </c>
      <c r="O2796" t="str">
        <f t="shared" si="131"/>
        <v>Returning</v>
      </c>
    </row>
    <row r="2797" spans="1:15" x14ac:dyDescent="0.25">
      <c r="A2797">
        <v>2796</v>
      </c>
      <c r="B2797">
        <v>32</v>
      </c>
      <c r="C2797" t="s">
        <v>11</v>
      </c>
      <c r="D2797" t="s">
        <v>20</v>
      </c>
      <c r="E2797" t="s">
        <v>39</v>
      </c>
      <c r="F2797" s="1">
        <v>65.040000000000006</v>
      </c>
      <c r="G2797" t="s">
        <v>31</v>
      </c>
      <c r="H2797" t="s">
        <v>37</v>
      </c>
      <c r="I2797" s="2">
        <v>4.9000000000000004</v>
      </c>
      <c r="J2797" s="4">
        <v>15</v>
      </c>
      <c r="K2797" s="3">
        <v>5</v>
      </c>
      <c r="L2797" s="1">
        <f t="shared" si="129"/>
        <v>55.284000000000006</v>
      </c>
      <c r="M2797" t="str" cm="1">
        <f t="array" ref="M2797">_xlfn.IFS(B2797&lt;18,"Under 18",B2797 &lt;=25,"18-25",B2797&lt;=35,"26-35",B2797&lt;=45,"36-45",B2797&lt;=60,"46-60",TRUE,"60+")</f>
        <v>26-35</v>
      </c>
      <c r="N2797" t="str">
        <f t="shared" si="130"/>
        <v>Discounted</v>
      </c>
      <c r="O2797" t="str">
        <f t="shared" si="131"/>
        <v>Returning</v>
      </c>
    </row>
    <row r="2798" spans="1:15" x14ac:dyDescent="0.25">
      <c r="A2798">
        <v>2797</v>
      </c>
      <c r="B2798">
        <v>29</v>
      </c>
      <c r="C2798" t="s">
        <v>16</v>
      </c>
      <c r="D2798" t="s">
        <v>20</v>
      </c>
      <c r="E2798" t="s">
        <v>36</v>
      </c>
      <c r="F2798" s="1">
        <v>121.15</v>
      </c>
      <c r="G2798" t="s">
        <v>19</v>
      </c>
      <c r="H2798" t="s">
        <v>15</v>
      </c>
      <c r="I2798" s="2">
        <v>3.4</v>
      </c>
      <c r="J2798" s="4">
        <v>4</v>
      </c>
      <c r="K2798" s="3">
        <v>2</v>
      </c>
      <c r="L2798" s="1">
        <f t="shared" si="129"/>
        <v>116.304</v>
      </c>
      <c r="M2798" t="str" cm="1">
        <f t="array" ref="M2798">_xlfn.IFS(B2798&lt;18,"Under 18",B2798 &lt;=25,"18-25",B2798&lt;=35,"26-35",B2798&lt;=45,"36-45",B2798&lt;=60,"46-60",TRUE,"60+")</f>
        <v>26-35</v>
      </c>
      <c r="N2798" t="str">
        <f t="shared" si="130"/>
        <v>Discounted</v>
      </c>
      <c r="O2798" t="str">
        <f t="shared" si="131"/>
        <v>Returning</v>
      </c>
    </row>
    <row r="2799" spans="1:15" x14ac:dyDescent="0.25">
      <c r="A2799">
        <v>2798</v>
      </c>
      <c r="B2799">
        <v>37</v>
      </c>
      <c r="C2799" t="s">
        <v>11</v>
      </c>
      <c r="D2799" t="s">
        <v>29</v>
      </c>
      <c r="E2799" t="s">
        <v>30</v>
      </c>
      <c r="F2799" s="1">
        <v>111.74</v>
      </c>
      <c r="G2799" t="s">
        <v>19</v>
      </c>
      <c r="H2799" t="s">
        <v>15</v>
      </c>
      <c r="I2799" s="2">
        <v>4.5999999999999996</v>
      </c>
      <c r="J2799" s="4">
        <v>11</v>
      </c>
      <c r="K2799" s="3">
        <v>3</v>
      </c>
      <c r="L2799" s="1">
        <f t="shared" si="129"/>
        <v>99.448599999999999</v>
      </c>
      <c r="M2799" t="str" cm="1">
        <f t="array" ref="M2799">_xlfn.IFS(B2799&lt;18,"Under 18",B2799 &lt;=25,"18-25",B2799&lt;=35,"26-35",B2799&lt;=45,"36-45",B2799&lt;=60,"46-60",TRUE,"60+")</f>
        <v>36-45</v>
      </c>
      <c r="N2799" t="str">
        <f t="shared" si="130"/>
        <v>Discounted</v>
      </c>
      <c r="O2799" t="str">
        <f t="shared" si="131"/>
        <v>Returning</v>
      </c>
    </row>
    <row r="2800" spans="1:15" x14ac:dyDescent="0.25">
      <c r="A2800">
        <v>2799</v>
      </c>
      <c r="B2800">
        <v>38</v>
      </c>
      <c r="C2800" t="s">
        <v>11</v>
      </c>
      <c r="D2800" t="s">
        <v>29</v>
      </c>
      <c r="E2800" t="s">
        <v>51</v>
      </c>
      <c r="F2800" s="1">
        <v>142.9</v>
      </c>
      <c r="G2800" t="s">
        <v>14</v>
      </c>
      <c r="H2800" t="s">
        <v>15</v>
      </c>
      <c r="I2800" s="2">
        <v>3.8</v>
      </c>
      <c r="J2800" s="4">
        <v>7</v>
      </c>
      <c r="K2800" s="3">
        <v>1</v>
      </c>
      <c r="L2800" s="1">
        <f t="shared" si="129"/>
        <v>132.89699999999999</v>
      </c>
      <c r="M2800" t="str" cm="1">
        <f t="array" ref="M2800">_xlfn.IFS(B2800&lt;18,"Under 18",B2800 &lt;=25,"18-25",B2800&lt;=35,"26-35",B2800&lt;=45,"36-45",B2800&lt;=60,"46-60",TRUE,"60+")</f>
        <v>36-45</v>
      </c>
      <c r="N2800" t="str">
        <f t="shared" si="130"/>
        <v>Discounted</v>
      </c>
      <c r="O2800" t="str">
        <f t="shared" si="131"/>
        <v>Returning</v>
      </c>
    </row>
    <row r="2801" spans="1:15" x14ac:dyDescent="0.25">
      <c r="A2801">
        <v>2800</v>
      </c>
      <c r="B2801">
        <v>61</v>
      </c>
      <c r="C2801" t="s">
        <v>16</v>
      </c>
      <c r="D2801" t="s">
        <v>20</v>
      </c>
      <c r="E2801" t="s">
        <v>39</v>
      </c>
      <c r="F2801" s="1">
        <v>85.18</v>
      </c>
      <c r="G2801" t="s">
        <v>24</v>
      </c>
      <c r="H2801" t="s">
        <v>37</v>
      </c>
      <c r="I2801" s="2">
        <v>2.7</v>
      </c>
      <c r="J2801" s="4">
        <v>4</v>
      </c>
      <c r="K2801" s="3">
        <v>2</v>
      </c>
      <c r="L2801" s="1">
        <f t="shared" si="129"/>
        <v>81.772800000000004</v>
      </c>
      <c r="M2801" t="str" cm="1">
        <f t="array" ref="M2801">_xlfn.IFS(B2801&lt;18,"Under 18",B2801 &lt;=25,"18-25",B2801&lt;=35,"26-35",B2801&lt;=45,"36-45",B2801&lt;=60,"46-60",TRUE,"60+")</f>
        <v>60+</v>
      </c>
      <c r="N2801" t="str">
        <f t="shared" si="130"/>
        <v>Discounted</v>
      </c>
      <c r="O2801" t="str">
        <f t="shared" si="131"/>
        <v>Returning</v>
      </c>
    </row>
    <row r="2802" spans="1:15" x14ac:dyDescent="0.25">
      <c r="A2802">
        <v>2801</v>
      </c>
      <c r="B2802">
        <v>25</v>
      </c>
      <c r="C2802" t="s">
        <v>11</v>
      </c>
      <c r="D2802" t="s">
        <v>12</v>
      </c>
      <c r="E2802" t="s">
        <v>56</v>
      </c>
      <c r="F2802" s="1">
        <v>137.33000000000001</v>
      </c>
      <c r="G2802" t="s">
        <v>31</v>
      </c>
      <c r="H2802" t="s">
        <v>15</v>
      </c>
      <c r="I2802" s="2">
        <v>4.7</v>
      </c>
      <c r="J2802" s="4">
        <v>20</v>
      </c>
      <c r="K2802" s="3">
        <v>10</v>
      </c>
      <c r="L2802" s="1">
        <f t="shared" si="129"/>
        <v>109.86400000000002</v>
      </c>
      <c r="M2802" t="str" cm="1">
        <f t="array" ref="M2802">_xlfn.IFS(B2802&lt;18,"Under 18",B2802 &lt;=25,"18-25",B2802&lt;=35,"26-35",B2802&lt;=45,"36-45",B2802&lt;=60,"46-60",TRUE,"60+")</f>
        <v>18-25</v>
      </c>
      <c r="N2802" t="str">
        <f t="shared" si="130"/>
        <v>Discounted</v>
      </c>
      <c r="O2802" t="str">
        <f t="shared" si="131"/>
        <v>Returning</v>
      </c>
    </row>
    <row r="2803" spans="1:15" x14ac:dyDescent="0.25">
      <c r="A2803">
        <v>2802</v>
      </c>
      <c r="B2803">
        <v>60</v>
      </c>
      <c r="C2803" t="s">
        <v>16</v>
      </c>
      <c r="D2803" t="s">
        <v>33</v>
      </c>
      <c r="E2803" t="s">
        <v>38</v>
      </c>
      <c r="F2803" s="1">
        <v>82.73</v>
      </c>
      <c r="G2803" t="s">
        <v>19</v>
      </c>
      <c r="H2803" t="s">
        <v>37</v>
      </c>
      <c r="I2803" s="2">
        <v>3.6</v>
      </c>
      <c r="J2803" s="4">
        <v>8</v>
      </c>
      <c r="K2803" s="3">
        <v>4</v>
      </c>
      <c r="L2803" s="1">
        <f t="shared" si="129"/>
        <v>76.11160000000001</v>
      </c>
      <c r="M2803" t="str" cm="1">
        <f t="array" ref="M2803">_xlfn.IFS(B2803&lt;18,"Under 18",B2803 &lt;=25,"18-25",B2803&lt;=35,"26-35",B2803&lt;=45,"36-45",B2803&lt;=60,"46-60",TRUE,"60+")</f>
        <v>46-60</v>
      </c>
      <c r="N2803" t="str">
        <f t="shared" si="130"/>
        <v>Discounted</v>
      </c>
      <c r="O2803" t="str">
        <f t="shared" si="131"/>
        <v>Returning</v>
      </c>
    </row>
    <row r="2804" spans="1:15" x14ac:dyDescent="0.25">
      <c r="A2804">
        <v>2803</v>
      </c>
      <c r="B2804">
        <v>25</v>
      </c>
      <c r="C2804" t="s">
        <v>16</v>
      </c>
      <c r="D2804" t="s">
        <v>17</v>
      </c>
      <c r="E2804" t="s">
        <v>48</v>
      </c>
      <c r="F2804" s="1">
        <v>186.21</v>
      </c>
      <c r="G2804" t="s">
        <v>14</v>
      </c>
      <c r="H2804" t="s">
        <v>15</v>
      </c>
      <c r="I2804" s="2">
        <v>3.8</v>
      </c>
      <c r="J2804" s="4">
        <v>9</v>
      </c>
      <c r="K2804" s="3">
        <v>2</v>
      </c>
      <c r="L2804" s="1">
        <f t="shared" si="129"/>
        <v>169.45110000000003</v>
      </c>
      <c r="M2804" t="str" cm="1">
        <f t="array" ref="M2804">_xlfn.IFS(B2804&lt;18,"Under 18",B2804 &lt;=25,"18-25",B2804&lt;=35,"26-35",B2804&lt;=45,"36-45",B2804&lt;=60,"46-60",TRUE,"60+")</f>
        <v>18-25</v>
      </c>
      <c r="N2804" t="str">
        <f t="shared" si="130"/>
        <v>Discounted</v>
      </c>
      <c r="O2804" t="str">
        <f t="shared" si="131"/>
        <v>Returning</v>
      </c>
    </row>
    <row r="2805" spans="1:15" x14ac:dyDescent="0.25">
      <c r="A2805">
        <v>2804</v>
      </c>
      <c r="B2805">
        <v>23</v>
      </c>
      <c r="C2805" t="s">
        <v>11</v>
      </c>
      <c r="D2805" t="s">
        <v>33</v>
      </c>
      <c r="E2805" t="s">
        <v>34</v>
      </c>
      <c r="F2805" s="1">
        <v>211.98</v>
      </c>
      <c r="G2805" t="s">
        <v>14</v>
      </c>
      <c r="H2805" t="s">
        <v>15</v>
      </c>
      <c r="I2805" s="2">
        <v>3.8</v>
      </c>
      <c r="J2805" s="4">
        <v>15</v>
      </c>
      <c r="K2805" s="3">
        <v>5</v>
      </c>
      <c r="L2805" s="1">
        <f t="shared" si="129"/>
        <v>180.18299999999999</v>
      </c>
      <c r="M2805" t="str" cm="1">
        <f t="array" ref="M2805">_xlfn.IFS(B2805&lt;18,"Under 18",B2805 &lt;=25,"18-25",B2805&lt;=35,"26-35",B2805&lt;=45,"36-45",B2805&lt;=60,"46-60",TRUE,"60+")</f>
        <v>18-25</v>
      </c>
      <c r="N2805" t="str">
        <f t="shared" si="130"/>
        <v>Discounted</v>
      </c>
      <c r="O2805" t="str">
        <f t="shared" si="131"/>
        <v>Returning</v>
      </c>
    </row>
    <row r="2806" spans="1:15" x14ac:dyDescent="0.25">
      <c r="A2806">
        <v>2805</v>
      </c>
      <c r="B2806">
        <v>48</v>
      </c>
      <c r="C2806" t="s">
        <v>11</v>
      </c>
      <c r="D2806" t="s">
        <v>29</v>
      </c>
      <c r="E2806" t="s">
        <v>30</v>
      </c>
      <c r="F2806" s="1">
        <v>36.46</v>
      </c>
      <c r="G2806" t="s">
        <v>24</v>
      </c>
      <c r="H2806" t="s">
        <v>15</v>
      </c>
      <c r="I2806" s="2">
        <v>4.5999999999999996</v>
      </c>
      <c r="J2806" s="4">
        <v>18</v>
      </c>
      <c r="K2806" s="3">
        <v>4</v>
      </c>
      <c r="L2806" s="1">
        <f t="shared" si="129"/>
        <v>29.897200000000002</v>
      </c>
      <c r="M2806" t="str" cm="1">
        <f t="array" ref="M2806">_xlfn.IFS(B2806&lt;18,"Under 18",B2806 &lt;=25,"18-25",B2806&lt;=35,"26-35",B2806&lt;=45,"36-45",B2806&lt;=60,"46-60",TRUE,"60+")</f>
        <v>46-60</v>
      </c>
      <c r="N2806" t="str">
        <f t="shared" si="130"/>
        <v>Discounted</v>
      </c>
      <c r="O2806" t="str">
        <f t="shared" si="131"/>
        <v>Returning</v>
      </c>
    </row>
    <row r="2807" spans="1:15" x14ac:dyDescent="0.25">
      <c r="A2807">
        <v>2806</v>
      </c>
      <c r="B2807">
        <v>41</v>
      </c>
      <c r="C2807" t="s">
        <v>11</v>
      </c>
      <c r="D2807" t="s">
        <v>29</v>
      </c>
      <c r="E2807" t="s">
        <v>51</v>
      </c>
      <c r="F2807" s="1">
        <v>120.18</v>
      </c>
      <c r="G2807" t="s">
        <v>19</v>
      </c>
      <c r="H2807" t="s">
        <v>15</v>
      </c>
      <c r="I2807" s="2">
        <v>4</v>
      </c>
      <c r="J2807" s="4">
        <v>14</v>
      </c>
      <c r="K2807" s="3">
        <v>7</v>
      </c>
      <c r="L2807" s="1">
        <f t="shared" si="129"/>
        <v>103.3548</v>
      </c>
      <c r="M2807" t="str" cm="1">
        <f t="array" ref="M2807">_xlfn.IFS(B2807&lt;18,"Under 18",B2807 &lt;=25,"18-25",B2807&lt;=35,"26-35",B2807&lt;=45,"36-45",B2807&lt;=60,"46-60",TRUE,"60+")</f>
        <v>36-45</v>
      </c>
      <c r="N2807" t="str">
        <f t="shared" si="130"/>
        <v>Discounted</v>
      </c>
      <c r="O2807" t="str">
        <f t="shared" si="131"/>
        <v>Returning</v>
      </c>
    </row>
    <row r="2808" spans="1:15" x14ac:dyDescent="0.25">
      <c r="A2808">
        <v>2807</v>
      </c>
      <c r="B2808">
        <v>44</v>
      </c>
      <c r="C2808" t="s">
        <v>16</v>
      </c>
      <c r="D2808" t="s">
        <v>17</v>
      </c>
      <c r="E2808" t="s">
        <v>42</v>
      </c>
      <c r="F2808" s="1">
        <v>133.57</v>
      </c>
      <c r="G2808" t="s">
        <v>19</v>
      </c>
      <c r="H2808" t="s">
        <v>15</v>
      </c>
      <c r="I2808" s="2">
        <v>4.0999999999999996</v>
      </c>
      <c r="J2808" s="4">
        <v>24</v>
      </c>
      <c r="K2808" s="3">
        <v>7</v>
      </c>
      <c r="L2808" s="1">
        <f t="shared" si="129"/>
        <v>101.5132</v>
      </c>
      <c r="M2808" t="str" cm="1">
        <f t="array" ref="M2808">_xlfn.IFS(B2808&lt;18,"Under 18",B2808 &lt;=25,"18-25",B2808&lt;=35,"26-35",B2808&lt;=45,"36-45",B2808&lt;=60,"46-60",TRUE,"60+")</f>
        <v>36-45</v>
      </c>
      <c r="N2808" t="str">
        <f t="shared" si="130"/>
        <v>Discounted</v>
      </c>
      <c r="O2808" t="str">
        <f t="shared" si="131"/>
        <v>Returning</v>
      </c>
    </row>
    <row r="2809" spans="1:15" x14ac:dyDescent="0.25">
      <c r="A2809">
        <v>2808</v>
      </c>
      <c r="B2809">
        <v>22</v>
      </c>
      <c r="C2809" t="s">
        <v>16</v>
      </c>
      <c r="D2809" t="s">
        <v>33</v>
      </c>
      <c r="E2809" t="s">
        <v>38</v>
      </c>
      <c r="F2809" s="1">
        <v>156.66</v>
      </c>
      <c r="G2809" t="s">
        <v>24</v>
      </c>
      <c r="H2809" t="s">
        <v>15</v>
      </c>
      <c r="I2809" s="2">
        <v>4</v>
      </c>
      <c r="J2809" s="4">
        <v>13</v>
      </c>
      <c r="K2809" s="3">
        <v>4</v>
      </c>
      <c r="L2809" s="1">
        <f t="shared" si="129"/>
        <v>136.29419999999999</v>
      </c>
      <c r="M2809" t="str" cm="1">
        <f t="array" ref="M2809">_xlfn.IFS(B2809&lt;18,"Under 18",B2809 &lt;=25,"18-25",B2809&lt;=35,"26-35",B2809&lt;=45,"36-45",B2809&lt;=60,"46-60",TRUE,"60+")</f>
        <v>18-25</v>
      </c>
      <c r="N2809" t="str">
        <f t="shared" si="130"/>
        <v>Discounted</v>
      </c>
      <c r="O2809" t="str">
        <f t="shared" si="131"/>
        <v>Returning</v>
      </c>
    </row>
    <row r="2810" spans="1:15" x14ac:dyDescent="0.25">
      <c r="A2810">
        <v>2809</v>
      </c>
      <c r="B2810">
        <v>28</v>
      </c>
      <c r="C2810" t="s">
        <v>11</v>
      </c>
      <c r="D2810" t="s">
        <v>12</v>
      </c>
      <c r="E2810" t="s">
        <v>13</v>
      </c>
      <c r="F2810" s="1">
        <v>28.16</v>
      </c>
      <c r="G2810" t="s">
        <v>24</v>
      </c>
      <c r="H2810" t="s">
        <v>37</v>
      </c>
      <c r="I2810" s="2">
        <v>4.4000000000000004</v>
      </c>
      <c r="J2810" s="4">
        <v>22</v>
      </c>
      <c r="K2810" s="3">
        <v>6</v>
      </c>
      <c r="L2810" s="1">
        <f t="shared" si="129"/>
        <v>21.9648</v>
      </c>
      <c r="M2810" t="str" cm="1">
        <f t="array" ref="M2810">_xlfn.IFS(B2810&lt;18,"Under 18",B2810 &lt;=25,"18-25",B2810&lt;=35,"26-35",B2810&lt;=45,"36-45",B2810&lt;=60,"46-60",TRUE,"60+")</f>
        <v>26-35</v>
      </c>
      <c r="N2810" t="str">
        <f t="shared" si="130"/>
        <v>Discounted</v>
      </c>
      <c r="O2810" t="str">
        <f t="shared" si="131"/>
        <v>Returning</v>
      </c>
    </row>
    <row r="2811" spans="1:15" x14ac:dyDescent="0.25">
      <c r="A2811">
        <v>2810</v>
      </c>
      <c r="B2811">
        <v>27</v>
      </c>
      <c r="C2811" t="s">
        <v>16</v>
      </c>
      <c r="D2811" t="s">
        <v>17</v>
      </c>
      <c r="E2811" t="s">
        <v>18</v>
      </c>
      <c r="F2811" s="1">
        <v>143.88999999999999</v>
      </c>
      <c r="G2811" t="s">
        <v>31</v>
      </c>
      <c r="H2811" t="s">
        <v>15</v>
      </c>
      <c r="I2811" s="2">
        <v>3.9</v>
      </c>
      <c r="J2811" s="4">
        <v>19</v>
      </c>
      <c r="K2811" s="3">
        <v>7</v>
      </c>
      <c r="L2811" s="1">
        <f t="shared" si="129"/>
        <v>116.5509</v>
      </c>
      <c r="M2811" t="str" cm="1">
        <f t="array" ref="M2811">_xlfn.IFS(B2811&lt;18,"Under 18",B2811 &lt;=25,"18-25",B2811&lt;=35,"26-35",B2811&lt;=45,"36-45",B2811&lt;=60,"46-60",TRUE,"60+")</f>
        <v>26-35</v>
      </c>
      <c r="N2811" t="str">
        <f t="shared" si="130"/>
        <v>Discounted</v>
      </c>
      <c r="O2811" t="str">
        <f t="shared" si="131"/>
        <v>Returning</v>
      </c>
    </row>
    <row r="2812" spans="1:15" x14ac:dyDescent="0.25">
      <c r="A2812">
        <v>2811</v>
      </c>
      <c r="B2812">
        <v>55</v>
      </c>
      <c r="C2812" t="s">
        <v>16</v>
      </c>
      <c r="D2812" t="s">
        <v>33</v>
      </c>
      <c r="E2812" t="s">
        <v>38</v>
      </c>
      <c r="F2812" s="1">
        <v>70.59</v>
      </c>
      <c r="G2812" t="s">
        <v>14</v>
      </c>
      <c r="H2812" t="s">
        <v>15</v>
      </c>
      <c r="I2812" s="2">
        <v>4.4000000000000004</v>
      </c>
      <c r="J2812" s="4">
        <v>16</v>
      </c>
      <c r="K2812" s="3">
        <v>3</v>
      </c>
      <c r="L2812" s="1">
        <f t="shared" si="129"/>
        <v>59.2956</v>
      </c>
      <c r="M2812" t="str" cm="1">
        <f t="array" ref="M2812">_xlfn.IFS(B2812&lt;18,"Under 18",B2812 &lt;=25,"18-25",B2812&lt;=35,"26-35",B2812&lt;=45,"36-45",B2812&lt;=60,"46-60",TRUE,"60+")</f>
        <v>46-60</v>
      </c>
      <c r="N2812" t="str">
        <f t="shared" si="130"/>
        <v>Discounted</v>
      </c>
      <c r="O2812" t="str">
        <f t="shared" si="131"/>
        <v>Returning</v>
      </c>
    </row>
    <row r="2813" spans="1:15" x14ac:dyDescent="0.25">
      <c r="A2813">
        <v>2812</v>
      </c>
      <c r="B2813">
        <v>52</v>
      </c>
      <c r="C2813" t="s">
        <v>11</v>
      </c>
      <c r="D2813" t="s">
        <v>20</v>
      </c>
      <c r="E2813" t="s">
        <v>21</v>
      </c>
      <c r="F2813" s="1">
        <v>172.51</v>
      </c>
      <c r="G2813" t="s">
        <v>19</v>
      </c>
      <c r="H2813" t="s">
        <v>15</v>
      </c>
      <c r="I2813" s="2">
        <v>3.3</v>
      </c>
      <c r="J2813" s="4">
        <v>12</v>
      </c>
      <c r="K2813" s="3">
        <v>6</v>
      </c>
      <c r="L2813" s="1">
        <f t="shared" si="129"/>
        <v>151.80879999999999</v>
      </c>
      <c r="M2813" t="str" cm="1">
        <f t="array" ref="M2813">_xlfn.IFS(B2813&lt;18,"Under 18",B2813 &lt;=25,"18-25",B2813&lt;=35,"26-35",B2813&lt;=45,"36-45",B2813&lt;=60,"46-60",TRUE,"60+")</f>
        <v>46-60</v>
      </c>
      <c r="N2813" t="str">
        <f t="shared" si="130"/>
        <v>Discounted</v>
      </c>
      <c r="O2813" t="str">
        <f t="shared" si="131"/>
        <v>Returning</v>
      </c>
    </row>
    <row r="2814" spans="1:15" x14ac:dyDescent="0.25">
      <c r="A2814">
        <v>2813</v>
      </c>
      <c r="B2814">
        <v>49</v>
      </c>
      <c r="C2814" t="s">
        <v>11</v>
      </c>
      <c r="D2814" t="s">
        <v>29</v>
      </c>
      <c r="E2814" t="s">
        <v>51</v>
      </c>
      <c r="F2814" s="1">
        <v>67.349999999999994</v>
      </c>
      <c r="G2814" t="s">
        <v>24</v>
      </c>
      <c r="H2814" t="s">
        <v>37</v>
      </c>
      <c r="I2814" s="2">
        <v>4.0999999999999996</v>
      </c>
      <c r="J2814" s="4">
        <v>4</v>
      </c>
      <c r="K2814" s="3">
        <v>2</v>
      </c>
      <c r="L2814" s="1">
        <f t="shared" si="129"/>
        <v>64.655999999999992</v>
      </c>
      <c r="M2814" t="str" cm="1">
        <f t="array" ref="M2814">_xlfn.IFS(B2814&lt;18,"Under 18",B2814 &lt;=25,"18-25",B2814&lt;=35,"26-35",B2814&lt;=45,"36-45",B2814&lt;=60,"46-60",TRUE,"60+")</f>
        <v>46-60</v>
      </c>
      <c r="N2814" t="str">
        <f t="shared" si="130"/>
        <v>Discounted</v>
      </c>
      <c r="O2814" t="str">
        <f t="shared" si="131"/>
        <v>Returning</v>
      </c>
    </row>
    <row r="2815" spans="1:15" x14ac:dyDescent="0.25">
      <c r="A2815">
        <v>2814</v>
      </c>
      <c r="B2815">
        <v>40</v>
      </c>
      <c r="C2815" t="s">
        <v>16</v>
      </c>
      <c r="D2815" t="s">
        <v>25</v>
      </c>
      <c r="E2815" t="s">
        <v>26</v>
      </c>
      <c r="F2815" s="1">
        <v>21.13</v>
      </c>
      <c r="G2815" t="s">
        <v>31</v>
      </c>
      <c r="H2815" t="s">
        <v>37</v>
      </c>
      <c r="I2815" s="2">
        <v>3</v>
      </c>
      <c r="J2815" s="4">
        <v>6</v>
      </c>
      <c r="K2815" s="3">
        <v>3</v>
      </c>
      <c r="L2815" s="1">
        <f t="shared" si="129"/>
        <v>19.862199999999998</v>
      </c>
      <c r="M2815" t="str" cm="1">
        <f t="array" ref="M2815">_xlfn.IFS(B2815&lt;18,"Under 18",B2815 &lt;=25,"18-25",B2815&lt;=35,"26-35",B2815&lt;=45,"36-45",B2815&lt;=60,"46-60",TRUE,"60+")</f>
        <v>36-45</v>
      </c>
      <c r="N2815" t="str">
        <f t="shared" si="130"/>
        <v>Discounted</v>
      </c>
      <c r="O2815" t="str">
        <f t="shared" si="131"/>
        <v>Returning</v>
      </c>
    </row>
    <row r="2816" spans="1:15" x14ac:dyDescent="0.25">
      <c r="A2816">
        <v>2815</v>
      </c>
      <c r="B2816">
        <v>39</v>
      </c>
      <c r="C2816" t="s">
        <v>11</v>
      </c>
      <c r="D2816" t="s">
        <v>29</v>
      </c>
      <c r="E2816" t="s">
        <v>30</v>
      </c>
      <c r="F2816" s="1">
        <v>63.42</v>
      </c>
      <c r="G2816" t="s">
        <v>14</v>
      </c>
      <c r="H2816" t="s">
        <v>15</v>
      </c>
      <c r="I2816" s="2">
        <v>3.7</v>
      </c>
      <c r="J2816" s="4">
        <v>13</v>
      </c>
      <c r="K2816" s="3">
        <v>4</v>
      </c>
      <c r="L2816" s="1">
        <f t="shared" si="129"/>
        <v>55.175400000000003</v>
      </c>
      <c r="M2816" t="str" cm="1">
        <f t="array" ref="M2816">_xlfn.IFS(B2816&lt;18,"Under 18",B2816 &lt;=25,"18-25",B2816&lt;=35,"26-35",B2816&lt;=45,"36-45",B2816&lt;=60,"46-60",TRUE,"60+")</f>
        <v>36-45</v>
      </c>
      <c r="N2816" t="str">
        <f t="shared" si="130"/>
        <v>Discounted</v>
      </c>
      <c r="O2816" t="str">
        <f t="shared" si="131"/>
        <v>Returning</v>
      </c>
    </row>
    <row r="2817" spans="1:15" x14ac:dyDescent="0.25">
      <c r="A2817">
        <v>2816</v>
      </c>
      <c r="B2817">
        <v>32</v>
      </c>
      <c r="C2817" t="s">
        <v>11</v>
      </c>
      <c r="D2817" t="s">
        <v>41</v>
      </c>
      <c r="E2817" t="s">
        <v>46</v>
      </c>
      <c r="F2817" s="1">
        <v>39.659999999999997</v>
      </c>
      <c r="G2817" t="s">
        <v>24</v>
      </c>
      <c r="H2817" t="s">
        <v>15</v>
      </c>
      <c r="I2817" s="2">
        <v>3.5</v>
      </c>
      <c r="J2817" s="4">
        <v>15</v>
      </c>
      <c r="K2817" s="3">
        <v>5</v>
      </c>
      <c r="L2817" s="1">
        <f t="shared" si="129"/>
        <v>33.710999999999999</v>
      </c>
      <c r="M2817" t="str" cm="1">
        <f t="array" ref="M2817">_xlfn.IFS(B2817&lt;18,"Under 18",B2817 &lt;=25,"18-25",B2817&lt;=35,"26-35",B2817&lt;=45,"36-45",B2817&lt;=60,"46-60",TRUE,"60+")</f>
        <v>26-35</v>
      </c>
      <c r="N2817" t="str">
        <f t="shared" si="130"/>
        <v>Discounted</v>
      </c>
      <c r="O2817" t="str">
        <f t="shared" si="131"/>
        <v>Returning</v>
      </c>
    </row>
    <row r="2818" spans="1:15" x14ac:dyDescent="0.25">
      <c r="A2818">
        <v>2817</v>
      </c>
      <c r="B2818">
        <v>63</v>
      </c>
      <c r="C2818" t="s">
        <v>11</v>
      </c>
      <c r="D2818" t="s">
        <v>41</v>
      </c>
      <c r="E2818" t="s">
        <v>44</v>
      </c>
      <c r="F2818" s="1">
        <v>81.34</v>
      </c>
      <c r="G2818" t="s">
        <v>31</v>
      </c>
      <c r="H2818" t="s">
        <v>15</v>
      </c>
      <c r="I2818" s="2">
        <v>5</v>
      </c>
      <c r="J2818" s="4">
        <v>24</v>
      </c>
      <c r="K2818" s="3">
        <v>7</v>
      </c>
      <c r="L2818" s="1">
        <f t="shared" si="129"/>
        <v>61.818400000000004</v>
      </c>
      <c r="M2818" t="str" cm="1">
        <f t="array" ref="M2818">_xlfn.IFS(B2818&lt;18,"Under 18",B2818 &lt;=25,"18-25",B2818&lt;=35,"26-35",B2818&lt;=45,"36-45",B2818&lt;=60,"46-60",TRUE,"60+")</f>
        <v>60+</v>
      </c>
      <c r="N2818" t="str">
        <f t="shared" si="130"/>
        <v>Discounted</v>
      </c>
      <c r="O2818" t="str">
        <f t="shared" si="131"/>
        <v>Returning</v>
      </c>
    </row>
    <row r="2819" spans="1:15" x14ac:dyDescent="0.25">
      <c r="A2819">
        <v>2818</v>
      </c>
      <c r="B2819">
        <v>43</v>
      </c>
      <c r="C2819" t="s">
        <v>16</v>
      </c>
      <c r="D2819" t="s">
        <v>25</v>
      </c>
      <c r="E2819" t="s">
        <v>54</v>
      </c>
      <c r="F2819" s="1">
        <v>41.52</v>
      </c>
      <c r="G2819" t="s">
        <v>19</v>
      </c>
      <c r="H2819" t="s">
        <v>15</v>
      </c>
      <c r="I2819" s="2">
        <v>4</v>
      </c>
      <c r="J2819" s="4">
        <v>16</v>
      </c>
      <c r="K2819" s="3">
        <v>3</v>
      </c>
      <c r="L2819" s="1">
        <f t="shared" ref="L2819:L2882" si="132">F2819 * (1 - J2819 / 100)</f>
        <v>34.876800000000003</v>
      </c>
      <c r="M2819" t="str" cm="1">
        <f t="array" ref="M2819">_xlfn.IFS(B2819&lt;18,"Under 18",B2819 &lt;=25,"18-25",B2819&lt;=35,"26-35",B2819&lt;=45,"36-45",B2819&lt;=60,"46-60",TRUE,"60+")</f>
        <v>36-45</v>
      </c>
      <c r="N2819" t="str">
        <f t="shared" ref="N2819:N2882" si="133">IF(J2819&gt;0,"Discounted","No Discount")</f>
        <v>Discounted</v>
      </c>
      <c r="O2819" t="str">
        <f t="shared" ref="O2819:O2882" si="134">IF(K2819&gt;0,"Returning","New")</f>
        <v>Returning</v>
      </c>
    </row>
    <row r="2820" spans="1:15" x14ac:dyDescent="0.25">
      <c r="A2820">
        <v>2819</v>
      </c>
      <c r="B2820">
        <v>22</v>
      </c>
      <c r="C2820" t="s">
        <v>16</v>
      </c>
      <c r="D2820" t="s">
        <v>17</v>
      </c>
      <c r="E2820" t="s">
        <v>18</v>
      </c>
      <c r="F2820" s="1">
        <v>148.99</v>
      </c>
      <c r="G2820" t="s">
        <v>14</v>
      </c>
      <c r="H2820" t="s">
        <v>15</v>
      </c>
      <c r="I2820" s="2">
        <v>3.8</v>
      </c>
      <c r="J2820" s="4">
        <v>0</v>
      </c>
      <c r="K2820" s="3">
        <v>0</v>
      </c>
      <c r="L2820" s="1">
        <f t="shared" si="132"/>
        <v>148.99</v>
      </c>
      <c r="M2820" t="str" cm="1">
        <f t="array" ref="M2820">_xlfn.IFS(B2820&lt;18,"Under 18",B2820 &lt;=25,"18-25",B2820&lt;=35,"26-35",B2820&lt;=45,"36-45",B2820&lt;=60,"46-60",TRUE,"60+")</f>
        <v>18-25</v>
      </c>
      <c r="N2820" t="str">
        <f t="shared" si="133"/>
        <v>No Discount</v>
      </c>
      <c r="O2820" t="str">
        <f t="shared" si="134"/>
        <v>New</v>
      </c>
    </row>
    <row r="2821" spans="1:15" x14ac:dyDescent="0.25">
      <c r="A2821">
        <v>2820</v>
      </c>
      <c r="B2821">
        <v>39</v>
      </c>
      <c r="C2821" t="s">
        <v>16</v>
      </c>
      <c r="D2821" t="s">
        <v>20</v>
      </c>
      <c r="E2821" t="s">
        <v>36</v>
      </c>
      <c r="F2821" s="1">
        <v>72.52</v>
      </c>
      <c r="G2821" t="s">
        <v>14</v>
      </c>
      <c r="H2821" t="s">
        <v>15</v>
      </c>
      <c r="I2821" s="2">
        <v>4.0999999999999996</v>
      </c>
      <c r="J2821" s="4">
        <v>32</v>
      </c>
      <c r="K2821" s="3">
        <v>11</v>
      </c>
      <c r="L2821" s="1">
        <f t="shared" si="132"/>
        <v>49.313599999999994</v>
      </c>
      <c r="M2821" t="str" cm="1">
        <f t="array" ref="M2821">_xlfn.IFS(B2821&lt;18,"Under 18",B2821 &lt;=25,"18-25",B2821&lt;=35,"26-35",B2821&lt;=45,"36-45",B2821&lt;=60,"46-60",TRUE,"60+")</f>
        <v>36-45</v>
      </c>
      <c r="N2821" t="str">
        <f t="shared" si="133"/>
        <v>Discounted</v>
      </c>
      <c r="O2821" t="str">
        <f t="shared" si="134"/>
        <v>Returning</v>
      </c>
    </row>
    <row r="2822" spans="1:15" x14ac:dyDescent="0.25">
      <c r="A2822">
        <v>2821</v>
      </c>
      <c r="B2822">
        <v>50</v>
      </c>
      <c r="C2822" t="s">
        <v>16</v>
      </c>
      <c r="D2822" t="s">
        <v>20</v>
      </c>
      <c r="E2822" t="s">
        <v>36</v>
      </c>
      <c r="F2822" s="1">
        <v>51.45</v>
      </c>
      <c r="G2822" t="s">
        <v>31</v>
      </c>
      <c r="H2822" t="s">
        <v>15</v>
      </c>
      <c r="I2822" s="2">
        <v>4.8</v>
      </c>
      <c r="J2822" s="4">
        <v>21</v>
      </c>
      <c r="K2822" s="3">
        <v>8</v>
      </c>
      <c r="L2822" s="1">
        <f t="shared" si="132"/>
        <v>40.645500000000006</v>
      </c>
      <c r="M2822" t="str" cm="1">
        <f t="array" ref="M2822">_xlfn.IFS(B2822&lt;18,"Under 18",B2822 &lt;=25,"18-25",B2822&lt;=35,"26-35",B2822&lt;=45,"36-45",B2822&lt;=60,"46-60",TRUE,"60+")</f>
        <v>46-60</v>
      </c>
      <c r="N2822" t="str">
        <f t="shared" si="133"/>
        <v>Discounted</v>
      </c>
      <c r="O2822" t="str">
        <f t="shared" si="134"/>
        <v>Returning</v>
      </c>
    </row>
    <row r="2823" spans="1:15" x14ac:dyDescent="0.25">
      <c r="A2823">
        <v>2822</v>
      </c>
      <c r="B2823">
        <v>62</v>
      </c>
      <c r="C2823" t="s">
        <v>11</v>
      </c>
      <c r="D2823" t="s">
        <v>22</v>
      </c>
      <c r="E2823" t="s">
        <v>23</v>
      </c>
      <c r="F2823" s="1">
        <v>267.63</v>
      </c>
      <c r="G2823" t="s">
        <v>31</v>
      </c>
      <c r="H2823" t="s">
        <v>15</v>
      </c>
      <c r="I2823" s="2">
        <v>4</v>
      </c>
      <c r="J2823" s="4">
        <v>15</v>
      </c>
      <c r="K2823" s="3">
        <v>5</v>
      </c>
      <c r="L2823" s="1">
        <f t="shared" si="132"/>
        <v>227.4855</v>
      </c>
      <c r="M2823" t="str" cm="1">
        <f t="array" ref="M2823">_xlfn.IFS(B2823&lt;18,"Under 18",B2823 &lt;=25,"18-25",B2823&lt;=35,"26-35",B2823&lt;=45,"36-45",B2823&lt;=60,"46-60",TRUE,"60+")</f>
        <v>60+</v>
      </c>
      <c r="N2823" t="str">
        <f t="shared" si="133"/>
        <v>Discounted</v>
      </c>
      <c r="O2823" t="str">
        <f t="shared" si="134"/>
        <v>Returning</v>
      </c>
    </row>
    <row r="2824" spans="1:15" x14ac:dyDescent="0.25">
      <c r="A2824">
        <v>2823</v>
      </c>
      <c r="B2824">
        <v>34</v>
      </c>
      <c r="C2824" t="s">
        <v>16</v>
      </c>
      <c r="D2824" t="s">
        <v>17</v>
      </c>
      <c r="E2824" t="s">
        <v>35</v>
      </c>
      <c r="F2824" s="1">
        <v>173.49</v>
      </c>
      <c r="G2824" t="s">
        <v>31</v>
      </c>
      <c r="H2824" t="s">
        <v>15</v>
      </c>
      <c r="I2824" s="2">
        <v>3.6</v>
      </c>
      <c r="J2824" s="4">
        <v>16</v>
      </c>
      <c r="K2824" s="3">
        <v>8</v>
      </c>
      <c r="L2824" s="1">
        <f t="shared" si="132"/>
        <v>145.73160000000001</v>
      </c>
      <c r="M2824" t="str" cm="1">
        <f t="array" ref="M2824">_xlfn.IFS(B2824&lt;18,"Under 18",B2824 &lt;=25,"18-25",B2824&lt;=35,"26-35",B2824&lt;=45,"36-45",B2824&lt;=60,"46-60",TRUE,"60+")</f>
        <v>26-35</v>
      </c>
      <c r="N2824" t="str">
        <f t="shared" si="133"/>
        <v>Discounted</v>
      </c>
      <c r="O2824" t="str">
        <f t="shared" si="134"/>
        <v>Returning</v>
      </c>
    </row>
    <row r="2825" spans="1:15" x14ac:dyDescent="0.25">
      <c r="A2825">
        <v>2824</v>
      </c>
      <c r="B2825">
        <v>58</v>
      </c>
      <c r="C2825" t="s">
        <v>16</v>
      </c>
      <c r="D2825" t="s">
        <v>25</v>
      </c>
      <c r="E2825" t="s">
        <v>26</v>
      </c>
      <c r="F2825" s="1">
        <v>27.45</v>
      </c>
      <c r="G2825" t="s">
        <v>14</v>
      </c>
      <c r="H2825" t="s">
        <v>15</v>
      </c>
      <c r="I2825" s="2">
        <v>3.3</v>
      </c>
      <c r="J2825" s="4">
        <v>18</v>
      </c>
      <c r="K2825" s="3">
        <v>4</v>
      </c>
      <c r="L2825" s="1">
        <f t="shared" si="132"/>
        <v>22.509</v>
      </c>
      <c r="M2825" t="str" cm="1">
        <f t="array" ref="M2825">_xlfn.IFS(B2825&lt;18,"Under 18",B2825 &lt;=25,"18-25",B2825&lt;=35,"26-35",B2825&lt;=45,"36-45",B2825&lt;=60,"46-60",TRUE,"60+")</f>
        <v>46-60</v>
      </c>
      <c r="N2825" t="str">
        <f t="shared" si="133"/>
        <v>Discounted</v>
      </c>
      <c r="O2825" t="str">
        <f t="shared" si="134"/>
        <v>Returning</v>
      </c>
    </row>
    <row r="2826" spans="1:15" x14ac:dyDescent="0.25">
      <c r="A2826">
        <v>2825</v>
      </c>
      <c r="B2826">
        <v>36</v>
      </c>
      <c r="C2826" t="s">
        <v>11</v>
      </c>
      <c r="D2826" t="s">
        <v>12</v>
      </c>
      <c r="E2826" t="s">
        <v>50</v>
      </c>
      <c r="F2826" s="1">
        <v>112.43</v>
      </c>
      <c r="G2826" t="s">
        <v>31</v>
      </c>
      <c r="H2826" t="s">
        <v>15</v>
      </c>
      <c r="I2826" s="2">
        <v>4.5</v>
      </c>
      <c r="J2826" s="4">
        <v>14</v>
      </c>
      <c r="K2826" s="3">
        <v>2</v>
      </c>
      <c r="L2826" s="1">
        <f t="shared" si="132"/>
        <v>96.689800000000005</v>
      </c>
      <c r="M2826" t="str" cm="1">
        <f t="array" ref="M2826">_xlfn.IFS(B2826&lt;18,"Under 18",B2826 &lt;=25,"18-25",B2826&lt;=35,"26-35",B2826&lt;=45,"36-45",B2826&lt;=60,"46-60",TRUE,"60+")</f>
        <v>36-45</v>
      </c>
      <c r="N2826" t="str">
        <f t="shared" si="133"/>
        <v>Discounted</v>
      </c>
      <c r="O2826" t="str">
        <f t="shared" si="134"/>
        <v>Returning</v>
      </c>
    </row>
    <row r="2827" spans="1:15" x14ac:dyDescent="0.25">
      <c r="A2827">
        <v>2826</v>
      </c>
      <c r="B2827">
        <v>30</v>
      </c>
      <c r="C2827" t="s">
        <v>16</v>
      </c>
      <c r="D2827" t="s">
        <v>20</v>
      </c>
      <c r="E2827" t="s">
        <v>21</v>
      </c>
      <c r="F2827" s="1">
        <v>78.09</v>
      </c>
      <c r="G2827" t="s">
        <v>24</v>
      </c>
      <c r="H2827" t="s">
        <v>15</v>
      </c>
      <c r="I2827" s="2">
        <v>4.7</v>
      </c>
      <c r="J2827" s="4">
        <v>15</v>
      </c>
      <c r="K2827" s="3">
        <v>5</v>
      </c>
      <c r="L2827" s="1">
        <f t="shared" si="132"/>
        <v>66.376500000000007</v>
      </c>
      <c r="M2827" t="str" cm="1">
        <f t="array" ref="M2827">_xlfn.IFS(B2827&lt;18,"Under 18",B2827 &lt;=25,"18-25",B2827&lt;=35,"26-35",B2827&lt;=45,"36-45",B2827&lt;=60,"46-60",TRUE,"60+")</f>
        <v>26-35</v>
      </c>
      <c r="N2827" t="str">
        <f t="shared" si="133"/>
        <v>Discounted</v>
      </c>
      <c r="O2827" t="str">
        <f t="shared" si="134"/>
        <v>Returning</v>
      </c>
    </row>
    <row r="2828" spans="1:15" x14ac:dyDescent="0.25">
      <c r="A2828">
        <v>2827</v>
      </c>
      <c r="B2828">
        <v>42</v>
      </c>
      <c r="C2828" t="s">
        <v>11</v>
      </c>
      <c r="D2828" t="s">
        <v>33</v>
      </c>
      <c r="E2828" t="s">
        <v>34</v>
      </c>
      <c r="F2828" s="1">
        <v>169.66</v>
      </c>
      <c r="G2828" t="s">
        <v>19</v>
      </c>
      <c r="H2828" t="s">
        <v>15</v>
      </c>
      <c r="I2828" s="2">
        <v>3.8</v>
      </c>
      <c r="J2828" s="4">
        <v>11</v>
      </c>
      <c r="K2828" s="3">
        <v>3</v>
      </c>
      <c r="L2828" s="1">
        <f t="shared" si="132"/>
        <v>150.9974</v>
      </c>
      <c r="M2828" t="str" cm="1">
        <f t="array" ref="M2828">_xlfn.IFS(B2828&lt;18,"Under 18",B2828 &lt;=25,"18-25",B2828&lt;=35,"26-35",B2828&lt;=45,"36-45",B2828&lt;=60,"46-60",TRUE,"60+")</f>
        <v>36-45</v>
      </c>
      <c r="N2828" t="str">
        <f t="shared" si="133"/>
        <v>Discounted</v>
      </c>
      <c r="O2828" t="str">
        <f t="shared" si="134"/>
        <v>Returning</v>
      </c>
    </row>
    <row r="2829" spans="1:15" x14ac:dyDescent="0.25">
      <c r="A2829">
        <v>2828</v>
      </c>
      <c r="B2829">
        <v>50</v>
      </c>
      <c r="C2829" t="s">
        <v>16</v>
      </c>
      <c r="D2829" t="s">
        <v>17</v>
      </c>
      <c r="E2829" t="s">
        <v>48</v>
      </c>
      <c r="F2829" s="1">
        <v>163.03</v>
      </c>
      <c r="G2829" t="s">
        <v>19</v>
      </c>
      <c r="H2829" t="s">
        <v>15</v>
      </c>
      <c r="I2829" s="2">
        <v>4.5999999999999996</v>
      </c>
      <c r="J2829" s="4">
        <v>14</v>
      </c>
      <c r="K2829" s="3">
        <v>2</v>
      </c>
      <c r="L2829" s="1">
        <f t="shared" si="132"/>
        <v>140.20580000000001</v>
      </c>
      <c r="M2829" t="str" cm="1">
        <f t="array" ref="M2829">_xlfn.IFS(B2829&lt;18,"Under 18",B2829 &lt;=25,"18-25",B2829&lt;=35,"26-35",B2829&lt;=45,"36-45",B2829&lt;=60,"46-60",TRUE,"60+")</f>
        <v>46-60</v>
      </c>
      <c r="N2829" t="str">
        <f t="shared" si="133"/>
        <v>Discounted</v>
      </c>
      <c r="O2829" t="str">
        <f t="shared" si="134"/>
        <v>Returning</v>
      </c>
    </row>
    <row r="2830" spans="1:15" x14ac:dyDescent="0.25">
      <c r="A2830">
        <v>2829</v>
      </c>
      <c r="B2830">
        <v>63</v>
      </c>
      <c r="C2830" t="s">
        <v>11</v>
      </c>
      <c r="D2830" t="s">
        <v>20</v>
      </c>
      <c r="E2830" t="s">
        <v>21</v>
      </c>
      <c r="F2830" s="1">
        <v>194.67</v>
      </c>
      <c r="G2830" t="s">
        <v>24</v>
      </c>
      <c r="H2830" t="s">
        <v>15</v>
      </c>
      <c r="I2830" s="2">
        <v>3.8</v>
      </c>
      <c r="J2830" s="4">
        <v>15</v>
      </c>
      <c r="K2830" s="3">
        <v>5</v>
      </c>
      <c r="L2830" s="1">
        <f t="shared" si="132"/>
        <v>165.46949999999998</v>
      </c>
      <c r="M2830" t="str" cm="1">
        <f t="array" ref="M2830">_xlfn.IFS(B2830&lt;18,"Under 18",B2830 &lt;=25,"18-25",B2830&lt;=35,"26-35",B2830&lt;=45,"36-45",B2830&lt;=60,"46-60",TRUE,"60+")</f>
        <v>60+</v>
      </c>
      <c r="N2830" t="str">
        <f t="shared" si="133"/>
        <v>Discounted</v>
      </c>
      <c r="O2830" t="str">
        <f t="shared" si="134"/>
        <v>Returning</v>
      </c>
    </row>
    <row r="2831" spans="1:15" x14ac:dyDescent="0.25">
      <c r="A2831">
        <v>2830</v>
      </c>
      <c r="B2831">
        <v>50</v>
      </c>
      <c r="C2831" t="s">
        <v>11</v>
      </c>
      <c r="D2831" t="s">
        <v>20</v>
      </c>
      <c r="E2831" t="s">
        <v>21</v>
      </c>
      <c r="F2831" s="1">
        <v>82.53</v>
      </c>
      <c r="G2831" t="s">
        <v>19</v>
      </c>
      <c r="H2831" t="s">
        <v>15</v>
      </c>
      <c r="I2831" s="2">
        <v>3.7</v>
      </c>
      <c r="J2831" s="4">
        <v>16</v>
      </c>
      <c r="K2831" s="3">
        <v>3</v>
      </c>
      <c r="L2831" s="1">
        <f t="shared" si="132"/>
        <v>69.325199999999995</v>
      </c>
      <c r="M2831" t="str" cm="1">
        <f t="array" ref="M2831">_xlfn.IFS(B2831&lt;18,"Under 18",B2831 &lt;=25,"18-25",B2831&lt;=35,"26-35",B2831&lt;=45,"36-45",B2831&lt;=60,"46-60",TRUE,"60+")</f>
        <v>46-60</v>
      </c>
      <c r="N2831" t="str">
        <f t="shared" si="133"/>
        <v>Discounted</v>
      </c>
      <c r="O2831" t="str">
        <f t="shared" si="134"/>
        <v>Returning</v>
      </c>
    </row>
    <row r="2832" spans="1:15" x14ac:dyDescent="0.25">
      <c r="A2832">
        <v>2831</v>
      </c>
      <c r="B2832">
        <v>49</v>
      </c>
      <c r="C2832" t="s">
        <v>11</v>
      </c>
      <c r="D2832" t="s">
        <v>41</v>
      </c>
      <c r="E2832" t="s">
        <v>45</v>
      </c>
      <c r="F2832" s="1">
        <v>146.27000000000001</v>
      </c>
      <c r="G2832" t="s">
        <v>24</v>
      </c>
      <c r="H2832" t="s">
        <v>15</v>
      </c>
      <c r="I2832" s="2">
        <v>2.9</v>
      </c>
      <c r="J2832" s="4">
        <v>10</v>
      </c>
      <c r="K2832" s="3">
        <v>5</v>
      </c>
      <c r="L2832" s="1">
        <f t="shared" si="132"/>
        <v>131.643</v>
      </c>
      <c r="M2832" t="str" cm="1">
        <f t="array" ref="M2832">_xlfn.IFS(B2832&lt;18,"Under 18",B2832 &lt;=25,"18-25",B2832&lt;=35,"26-35",B2832&lt;=45,"36-45",B2832&lt;=60,"46-60",TRUE,"60+")</f>
        <v>46-60</v>
      </c>
      <c r="N2832" t="str">
        <f t="shared" si="133"/>
        <v>Discounted</v>
      </c>
      <c r="O2832" t="str">
        <f t="shared" si="134"/>
        <v>Returning</v>
      </c>
    </row>
    <row r="2833" spans="1:15" x14ac:dyDescent="0.25">
      <c r="A2833">
        <v>2832</v>
      </c>
      <c r="B2833">
        <v>27</v>
      </c>
      <c r="C2833" t="s">
        <v>11</v>
      </c>
      <c r="D2833" t="s">
        <v>20</v>
      </c>
      <c r="E2833" t="s">
        <v>39</v>
      </c>
      <c r="F2833" s="1">
        <v>175.05</v>
      </c>
      <c r="G2833" t="s">
        <v>19</v>
      </c>
      <c r="H2833" t="s">
        <v>15</v>
      </c>
      <c r="I2833" s="2">
        <v>2.7</v>
      </c>
      <c r="J2833" s="4">
        <v>18</v>
      </c>
      <c r="K2833" s="3">
        <v>9</v>
      </c>
      <c r="L2833" s="1">
        <f t="shared" si="132"/>
        <v>143.54100000000003</v>
      </c>
      <c r="M2833" t="str" cm="1">
        <f t="array" ref="M2833">_xlfn.IFS(B2833&lt;18,"Under 18",B2833 &lt;=25,"18-25",B2833&lt;=35,"26-35",B2833&lt;=45,"36-45",B2833&lt;=60,"46-60",TRUE,"60+")</f>
        <v>26-35</v>
      </c>
      <c r="N2833" t="str">
        <f t="shared" si="133"/>
        <v>Discounted</v>
      </c>
      <c r="O2833" t="str">
        <f t="shared" si="134"/>
        <v>Returning</v>
      </c>
    </row>
    <row r="2834" spans="1:15" x14ac:dyDescent="0.25">
      <c r="A2834">
        <v>2833</v>
      </c>
      <c r="B2834">
        <v>21</v>
      </c>
      <c r="C2834" t="s">
        <v>11</v>
      </c>
      <c r="D2834" t="s">
        <v>41</v>
      </c>
      <c r="E2834" t="s">
        <v>46</v>
      </c>
      <c r="F2834" s="1">
        <v>170.15</v>
      </c>
      <c r="G2834" t="s">
        <v>19</v>
      </c>
      <c r="H2834" t="s">
        <v>15</v>
      </c>
      <c r="I2834" s="2">
        <v>3.3</v>
      </c>
      <c r="J2834" s="4">
        <v>14</v>
      </c>
      <c r="K2834" s="3">
        <v>7</v>
      </c>
      <c r="L2834" s="1">
        <f t="shared" si="132"/>
        <v>146.32900000000001</v>
      </c>
      <c r="M2834" t="str" cm="1">
        <f t="array" ref="M2834">_xlfn.IFS(B2834&lt;18,"Under 18",B2834 &lt;=25,"18-25",B2834&lt;=35,"26-35",B2834&lt;=45,"36-45",B2834&lt;=60,"46-60",TRUE,"60+")</f>
        <v>18-25</v>
      </c>
      <c r="N2834" t="str">
        <f t="shared" si="133"/>
        <v>Discounted</v>
      </c>
      <c r="O2834" t="str">
        <f t="shared" si="134"/>
        <v>Returning</v>
      </c>
    </row>
    <row r="2835" spans="1:15" x14ac:dyDescent="0.25">
      <c r="A2835">
        <v>2834</v>
      </c>
      <c r="B2835">
        <v>42</v>
      </c>
      <c r="C2835" t="s">
        <v>11</v>
      </c>
      <c r="D2835" t="s">
        <v>22</v>
      </c>
      <c r="E2835" t="s">
        <v>43</v>
      </c>
      <c r="F2835" s="1">
        <v>91.56</v>
      </c>
      <c r="G2835" t="s">
        <v>31</v>
      </c>
      <c r="H2835" t="s">
        <v>37</v>
      </c>
      <c r="I2835" s="2">
        <v>5</v>
      </c>
      <c r="J2835" s="4">
        <v>15</v>
      </c>
      <c r="K2835" s="3">
        <v>5</v>
      </c>
      <c r="L2835" s="1">
        <f t="shared" si="132"/>
        <v>77.825999999999993</v>
      </c>
      <c r="M2835" t="str" cm="1">
        <f t="array" ref="M2835">_xlfn.IFS(B2835&lt;18,"Under 18",B2835 &lt;=25,"18-25",B2835&lt;=35,"26-35",B2835&lt;=45,"36-45",B2835&lt;=60,"46-60",TRUE,"60+")</f>
        <v>36-45</v>
      </c>
      <c r="N2835" t="str">
        <f t="shared" si="133"/>
        <v>Discounted</v>
      </c>
      <c r="O2835" t="str">
        <f t="shared" si="134"/>
        <v>Returning</v>
      </c>
    </row>
    <row r="2836" spans="1:15" x14ac:dyDescent="0.25">
      <c r="A2836">
        <v>2835</v>
      </c>
      <c r="B2836">
        <v>54</v>
      </c>
      <c r="C2836" t="s">
        <v>16</v>
      </c>
      <c r="D2836" t="s">
        <v>20</v>
      </c>
      <c r="E2836" t="s">
        <v>36</v>
      </c>
      <c r="F2836" s="1">
        <v>188.44</v>
      </c>
      <c r="G2836" t="s">
        <v>19</v>
      </c>
      <c r="H2836" t="s">
        <v>15</v>
      </c>
      <c r="I2836" s="2">
        <v>4.8</v>
      </c>
      <c r="J2836" s="4">
        <v>24</v>
      </c>
      <c r="K2836" s="3">
        <v>7</v>
      </c>
      <c r="L2836" s="1">
        <f t="shared" si="132"/>
        <v>143.21440000000001</v>
      </c>
      <c r="M2836" t="str" cm="1">
        <f t="array" ref="M2836">_xlfn.IFS(B2836&lt;18,"Under 18",B2836 &lt;=25,"18-25",B2836&lt;=35,"26-35",B2836&lt;=45,"36-45",B2836&lt;=60,"46-60",TRUE,"60+")</f>
        <v>46-60</v>
      </c>
      <c r="N2836" t="str">
        <f t="shared" si="133"/>
        <v>Discounted</v>
      </c>
      <c r="O2836" t="str">
        <f t="shared" si="134"/>
        <v>Returning</v>
      </c>
    </row>
    <row r="2837" spans="1:15" x14ac:dyDescent="0.25">
      <c r="A2837">
        <v>2836</v>
      </c>
      <c r="B2837">
        <v>47</v>
      </c>
      <c r="C2837" t="s">
        <v>16</v>
      </c>
      <c r="D2837" t="s">
        <v>27</v>
      </c>
      <c r="E2837" t="s">
        <v>49</v>
      </c>
      <c r="F2837" s="1">
        <v>585.1</v>
      </c>
      <c r="G2837" t="s">
        <v>14</v>
      </c>
      <c r="H2837" t="s">
        <v>15</v>
      </c>
      <c r="I2837" s="2">
        <v>3.6</v>
      </c>
      <c r="J2837" s="4">
        <v>14</v>
      </c>
      <c r="K2837" s="3">
        <v>2</v>
      </c>
      <c r="L2837" s="1">
        <f t="shared" si="132"/>
        <v>503.18600000000004</v>
      </c>
      <c r="M2837" t="str" cm="1">
        <f t="array" ref="M2837">_xlfn.IFS(B2837&lt;18,"Under 18",B2837 &lt;=25,"18-25",B2837&lt;=35,"26-35",B2837&lt;=45,"36-45",B2837&lt;=60,"46-60",TRUE,"60+")</f>
        <v>46-60</v>
      </c>
      <c r="N2837" t="str">
        <f t="shared" si="133"/>
        <v>Discounted</v>
      </c>
      <c r="O2837" t="str">
        <f t="shared" si="134"/>
        <v>Returning</v>
      </c>
    </row>
    <row r="2838" spans="1:15" x14ac:dyDescent="0.25">
      <c r="A2838">
        <v>2837</v>
      </c>
      <c r="B2838">
        <v>62</v>
      </c>
      <c r="C2838" t="s">
        <v>16</v>
      </c>
      <c r="D2838" t="s">
        <v>25</v>
      </c>
      <c r="E2838" t="s">
        <v>47</v>
      </c>
      <c r="F2838" s="1">
        <v>72.41</v>
      </c>
      <c r="G2838" t="s">
        <v>31</v>
      </c>
      <c r="H2838" t="s">
        <v>37</v>
      </c>
      <c r="I2838" s="2">
        <v>2.8</v>
      </c>
      <c r="J2838" s="4">
        <v>14</v>
      </c>
      <c r="K2838" s="3">
        <v>7</v>
      </c>
      <c r="L2838" s="1">
        <f t="shared" si="132"/>
        <v>62.272599999999997</v>
      </c>
      <c r="M2838" t="str" cm="1">
        <f t="array" ref="M2838">_xlfn.IFS(B2838&lt;18,"Under 18",B2838 &lt;=25,"18-25",B2838&lt;=35,"26-35",B2838&lt;=45,"36-45",B2838&lt;=60,"46-60",TRUE,"60+")</f>
        <v>60+</v>
      </c>
      <c r="N2838" t="str">
        <f t="shared" si="133"/>
        <v>Discounted</v>
      </c>
      <c r="O2838" t="str">
        <f t="shared" si="134"/>
        <v>Returning</v>
      </c>
    </row>
    <row r="2839" spans="1:15" x14ac:dyDescent="0.25">
      <c r="A2839">
        <v>2838</v>
      </c>
      <c r="B2839">
        <v>55</v>
      </c>
      <c r="C2839" t="s">
        <v>11</v>
      </c>
      <c r="D2839" t="s">
        <v>41</v>
      </c>
      <c r="E2839" t="s">
        <v>45</v>
      </c>
      <c r="F2839" s="1">
        <v>148.16</v>
      </c>
      <c r="G2839" t="s">
        <v>14</v>
      </c>
      <c r="H2839" t="s">
        <v>15</v>
      </c>
      <c r="I2839" s="2">
        <v>3.8</v>
      </c>
      <c r="J2839" s="4">
        <v>14</v>
      </c>
      <c r="K2839" s="3">
        <v>7</v>
      </c>
      <c r="L2839" s="1">
        <f t="shared" si="132"/>
        <v>127.41759999999999</v>
      </c>
      <c r="M2839" t="str" cm="1">
        <f t="array" ref="M2839">_xlfn.IFS(B2839&lt;18,"Under 18",B2839 &lt;=25,"18-25",B2839&lt;=35,"26-35",B2839&lt;=45,"36-45",B2839&lt;=60,"46-60",TRUE,"60+")</f>
        <v>46-60</v>
      </c>
      <c r="N2839" t="str">
        <f t="shared" si="133"/>
        <v>Discounted</v>
      </c>
      <c r="O2839" t="str">
        <f t="shared" si="134"/>
        <v>Returning</v>
      </c>
    </row>
    <row r="2840" spans="1:15" x14ac:dyDescent="0.25">
      <c r="A2840">
        <v>2839</v>
      </c>
      <c r="B2840">
        <v>65</v>
      </c>
      <c r="C2840" t="s">
        <v>16</v>
      </c>
      <c r="D2840" t="s">
        <v>17</v>
      </c>
      <c r="E2840" t="s">
        <v>35</v>
      </c>
      <c r="F2840" s="1">
        <v>30.58</v>
      </c>
      <c r="G2840" t="s">
        <v>24</v>
      </c>
      <c r="H2840" t="s">
        <v>37</v>
      </c>
      <c r="I2840" s="2">
        <v>2.5</v>
      </c>
      <c r="J2840" s="4">
        <v>11</v>
      </c>
      <c r="K2840" s="3">
        <v>3</v>
      </c>
      <c r="L2840" s="1">
        <f t="shared" si="132"/>
        <v>27.216200000000001</v>
      </c>
      <c r="M2840" t="str" cm="1">
        <f t="array" ref="M2840">_xlfn.IFS(B2840&lt;18,"Under 18",B2840 &lt;=25,"18-25",B2840&lt;=35,"26-35",B2840&lt;=45,"36-45",B2840&lt;=60,"46-60",TRUE,"60+")</f>
        <v>60+</v>
      </c>
      <c r="N2840" t="str">
        <f t="shared" si="133"/>
        <v>Discounted</v>
      </c>
      <c r="O2840" t="str">
        <f t="shared" si="134"/>
        <v>Returning</v>
      </c>
    </row>
    <row r="2841" spans="1:15" x14ac:dyDescent="0.25">
      <c r="A2841">
        <v>2840</v>
      </c>
      <c r="B2841">
        <v>23</v>
      </c>
      <c r="C2841" t="s">
        <v>11</v>
      </c>
      <c r="D2841" t="s">
        <v>12</v>
      </c>
      <c r="E2841" t="s">
        <v>50</v>
      </c>
      <c r="F2841" s="1">
        <v>48.53</v>
      </c>
      <c r="G2841" t="s">
        <v>24</v>
      </c>
      <c r="H2841" t="s">
        <v>37</v>
      </c>
      <c r="I2841" s="2">
        <v>3.1</v>
      </c>
      <c r="J2841" s="4">
        <v>10</v>
      </c>
      <c r="K2841" s="3">
        <v>5</v>
      </c>
      <c r="L2841" s="1">
        <f t="shared" si="132"/>
        <v>43.677</v>
      </c>
      <c r="M2841" t="str" cm="1">
        <f t="array" ref="M2841">_xlfn.IFS(B2841&lt;18,"Under 18",B2841 &lt;=25,"18-25",B2841&lt;=35,"26-35",B2841&lt;=45,"36-45",B2841&lt;=60,"46-60",TRUE,"60+")</f>
        <v>18-25</v>
      </c>
      <c r="N2841" t="str">
        <f t="shared" si="133"/>
        <v>Discounted</v>
      </c>
      <c r="O2841" t="str">
        <f t="shared" si="134"/>
        <v>Returning</v>
      </c>
    </row>
    <row r="2842" spans="1:15" x14ac:dyDescent="0.25">
      <c r="A2842">
        <v>2841</v>
      </c>
      <c r="B2842">
        <v>49</v>
      </c>
      <c r="C2842" t="s">
        <v>11</v>
      </c>
      <c r="D2842" t="s">
        <v>41</v>
      </c>
      <c r="E2842" t="s">
        <v>44</v>
      </c>
      <c r="F2842" s="1">
        <v>72.069999999999993</v>
      </c>
      <c r="G2842" t="s">
        <v>19</v>
      </c>
      <c r="H2842" t="s">
        <v>37</v>
      </c>
      <c r="I2842" s="2">
        <v>2.7</v>
      </c>
      <c r="J2842" s="4">
        <v>6</v>
      </c>
      <c r="K2842" s="3">
        <v>3</v>
      </c>
      <c r="L2842" s="1">
        <f t="shared" si="132"/>
        <v>67.745799999999988</v>
      </c>
      <c r="M2842" t="str" cm="1">
        <f t="array" ref="M2842">_xlfn.IFS(B2842&lt;18,"Under 18",B2842 &lt;=25,"18-25",B2842&lt;=35,"26-35",B2842&lt;=45,"36-45",B2842&lt;=60,"46-60",TRUE,"60+")</f>
        <v>46-60</v>
      </c>
      <c r="N2842" t="str">
        <f t="shared" si="133"/>
        <v>Discounted</v>
      </c>
      <c r="O2842" t="str">
        <f t="shared" si="134"/>
        <v>Returning</v>
      </c>
    </row>
    <row r="2843" spans="1:15" x14ac:dyDescent="0.25">
      <c r="A2843">
        <v>2842</v>
      </c>
      <c r="B2843">
        <v>64</v>
      </c>
      <c r="C2843" t="s">
        <v>11</v>
      </c>
      <c r="D2843" t="s">
        <v>33</v>
      </c>
      <c r="E2843" t="s">
        <v>34</v>
      </c>
      <c r="F2843" s="1">
        <v>173.87</v>
      </c>
      <c r="G2843" t="s">
        <v>24</v>
      </c>
      <c r="H2843" t="s">
        <v>15</v>
      </c>
      <c r="I2843" s="2">
        <v>3.1</v>
      </c>
      <c r="J2843" s="4">
        <v>15</v>
      </c>
      <c r="K2843" s="3">
        <v>5</v>
      </c>
      <c r="L2843" s="1">
        <f t="shared" si="132"/>
        <v>147.7895</v>
      </c>
      <c r="M2843" t="str" cm="1">
        <f t="array" ref="M2843">_xlfn.IFS(B2843&lt;18,"Under 18",B2843 &lt;=25,"18-25",B2843&lt;=35,"26-35",B2843&lt;=45,"36-45",B2843&lt;=60,"46-60",TRUE,"60+")</f>
        <v>60+</v>
      </c>
      <c r="N2843" t="str">
        <f t="shared" si="133"/>
        <v>Discounted</v>
      </c>
      <c r="O2843" t="str">
        <f t="shared" si="134"/>
        <v>Returning</v>
      </c>
    </row>
    <row r="2844" spans="1:15" x14ac:dyDescent="0.25">
      <c r="A2844">
        <v>2843</v>
      </c>
      <c r="B2844">
        <v>20</v>
      </c>
      <c r="C2844" t="s">
        <v>11</v>
      </c>
      <c r="D2844" t="s">
        <v>41</v>
      </c>
      <c r="E2844" t="s">
        <v>45</v>
      </c>
      <c r="F2844" s="1">
        <v>167.76</v>
      </c>
      <c r="G2844" t="s">
        <v>19</v>
      </c>
      <c r="H2844" t="s">
        <v>15</v>
      </c>
      <c r="I2844" s="2">
        <v>4.2</v>
      </c>
      <c r="J2844" s="4">
        <v>20</v>
      </c>
      <c r="K2844" s="3">
        <v>5</v>
      </c>
      <c r="L2844" s="1">
        <f t="shared" si="132"/>
        <v>134.208</v>
      </c>
      <c r="M2844" t="str" cm="1">
        <f t="array" ref="M2844">_xlfn.IFS(B2844&lt;18,"Under 18",B2844 &lt;=25,"18-25",B2844&lt;=35,"26-35",B2844&lt;=45,"36-45",B2844&lt;=60,"46-60",TRUE,"60+")</f>
        <v>18-25</v>
      </c>
      <c r="N2844" t="str">
        <f t="shared" si="133"/>
        <v>Discounted</v>
      </c>
      <c r="O2844" t="str">
        <f t="shared" si="134"/>
        <v>Returning</v>
      </c>
    </row>
    <row r="2845" spans="1:15" x14ac:dyDescent="0.25">
      <c r="A2845">
        <v>2844</v>
      </c>
      <c r="B2845">
        <v>28</v>
      </c>
      <c r="C2845" t="s">
        <v>16</v>
      </c>
      <c r="D2845" t="s">
        <v>27</v>
      </c>
      <c r="E2845" t="s">
        <v>32</v>
      </c>
      <c r="F2845" s="1">
        <v>581.89</v>
      </c>
      <c r="G2845" t="s">
        <v>31</v>
      </c>
      <c r="H2845" t="s">
        <v>15</v>
      </c>
      <c r="I2845" s="2">
        <v>3</v>
      </c>
      <c r="J2845" s="4">
        <v>10</v>
      </c>
      <c r="K2845" s="3">
        <v>5</v>
      </c>
      <c r="L2845" s="1">
        <f t="shared" si="132"/>
        <v>523.70100000000002</v>
      </c>
      <c r="M2845" t="str" cm="1">
        <f t="array" ref="M2845">_xlfn.IFS(B2845&lt;18,"Under 18",B2845 &lt;=25,"18-25",B2845&lt;=35,"26-35",B2845&lt;=45,"36-45",B2845&lt;=60,"46-60",TRUE,"60+")</f>
        <v>26-35</v>
      </c>
      <c r="N2845" t="str">
        <f t="shared" si="133"/>
        <v>Discounted</v>
      </c>
      <c r="O2845" t="str">
        <f t="shared" si="134"/>
        <v>Returning</v>
      </c>
    </row>
    <row r="2846" spans="1:15" x14ac:dyDescent="0.25">
      <c r="A2846">
        <v>2845</v>
      </c>
      <c r="B2846">
        <v>66</v>
      </c>
      <c r="C2846" t="s">
        <v>11</v>
      </c>
      <c r="D2846" t="s">
        <v>33</v>
      </c>
      <c r="E2846" t="s">
        <v>38</v>
      </c>
      <c r="F2846" s="1">
        <v>100.1</v>
      </c>
      <c r="G2846" t="s">
        <v>14</v>
      </c>
      <c r="H2846" t="s">
        <v>15</v>
      </c>
      <c r="I2846" s="2">
        <v>3.6</v>
      </c>
      <c r="J2846" s="4">
        <v>11</v>
      </c>
      <c r="K2846" s="3">
        <v>3</v>
      </c>
      <c r="L2846" s="1">
        <f t="shared" si="132"/>
        <v>89.088999999999999</v>
      </c>
      <c r="M2846" t="str" cm="1">
        <f t="array" ref="M2846">_xlfn.IFS(B2846&lt;18,"Under 18",B2846 &lt;=25,"18-25",B2846&lt;=35,"26-35",B2846&lt;=45,"36-45",B2846&lt;=60,"46-60",TRUE,"60+")</f>
        <v>60+</v>
      </c>
      <c r="N2846" t="str">
        <f t="shared" si="133"/>
        <v>Discounted</v>
      </c>
      <c r="O2846" t="str">
        <f t="shared" si="134"/>
        <v>Returning</v>
      </c>
    </row>
    <row r="2847" spans="1:15" x14ac:dyDescent="0.25">
      <c r="A2847">
        <v>2846</v>
      </c>
      <c r="B2847">
        <v>57</v>
      </c>
      <c r="C2847" t="s">
        <v>11</v>
      </c>
      <c r="D2847" t="s">
        <v>29</v>
      </c>
      <c r="E2847" t="s">
        <v>51</v>
      </c>
      <c r="F2847" s="1">
        <v>28.82</v>
      </c>
      <c r="G2847" t="s">
        <v>24</v>
      </c>
      <c r="H2847" t="s">
        <v>37</v>
      </c>
      <c r="I2847" s="2">
        <v>3.3</v>
      </c>
      <c r="J2847" s="4">
        <v>16</v>
      </c>
      <c r="K2847" s="3">
        <v>3</v>
      </c>
      <c r="L2847" s="1">
        <f t="shared" si="132"/>
        <v>24.2088</v>
      </c>
      <c r="M2847" t="str" cm="1">
        <f t="array" ref="M2847">_xlfn.IFS(B2847&lt;18,"Under 18",B2847 &lt;=25,"18-25",B2847&lt;=35,"26-35",B2847&lt;=45,"36-45",B2847&lt;=60,"46-60",TRUE,"60+")</f>
        <v>46-60</v>
      </c>
      <c r="N2847" t="str">
        <f t="shared" si="133"/>
        <v>Discounted</v>
      </c>
      <c r="O2847" t="str">
        <f t="shared" si="134"/>
        <v>Returning</v>
      </c>
    </row>
    <row r="2848" spans="1:15" x14ac:dyDescent="0.25">
      <c r="A2848">
        <v>2847</v>
      </c>
      <c r="B2848">
        <v>48</v>
      </c>
      <c r="C2848" t="s">
        <v>16</v>
      </c>
      <c r="D2848" t="s">
        <v>17</v>
      </c>
      <c r="E2848" t="s">
        <v>35</v>
      </c>
      <c r="F2848" s="1">
        <v>150.38</v>
      </c>
      <c r="G2848" t="s">
        <v>24</v>
      </c>
      <c r="H2848" t="s">
        <v>15</v>
      </c>
      <c r="I2848" s="2">
        <v>3.7</v>
      </c>
      <c r="J2848" s="4">
        <v>24</v>
      </c>
      <c r="K2848" s="3">
        <v>7</v>
      </c>
      <c r="L2848" s="1">
        <f t="shared" si="132"/>
        <v>114.28879999999999</v>
      </c>
      <c r="M2848" t="str" cm="1">
        <f t="array" ref="M2848">_xlfn.IFS(B2848&lt;18,"Under 18",B2848 &lt;=25,"18-25",B2848&lt;=35,"26-35",B2848&lt;=45,"36-45",B2848&lt;=60,"46-60",TRUE,"60+")</f>
        <v>46-60</v>
      </c>
      <c r="N2848" t="str">
        <f t="shared" si="133"/>
        <v>Discounted</v>
      </c>
      <c r="O2848" t="str">
        <f t="shared" si="134"/>
        <v>Returning</v>
      </c>
    </row>
    <row r="2849" spans="1:15" x14ac:dyDescent="0.25">
      <c r="A2849">
        <v>2848</v>
      </c>
      <c r="B2849">
        <v>39</v>
      </c>
      <c r="C2849" t="s">
        <v>11</v>
      </c>
      <c r="D2849" t="s">
        <v>41</v>
      </c>
      <c r="E2849" t="s">
        <v>42</v>
      </c>
      <c r="F2849" s="1">
        <v>193.29</v>
      </c>
      <c r="G2849" t="s">
        <v>19</v>
      </c>
      <c r="H2849" t="s">
        <v>15</v>
      </c>
      <c r="I2849" s="2">
        <v>2.9</v>
      </c>
      <c r="J2849" s="4">
        <v>15</v>
      </c>
      <c r="K2849" s="3">
        <v>5</v>
      </c>
      <c r="L2849" s="1">
        <f t="shared" si="132"/>
        <v>164.29649999999998</v>
      </c>
      <c r="M2849" t="str" cm="1">
        <f t="array" ref="M2849">_xlfn.IFS(B2849&lt;18,"Under 18",B2849 &lt;=25,"18-25",B2849&lt;=35,"26-35",B2849&lt;=45,"36-45",B2849&lt;=60,"46-60",TRUE,"60+")</f>
        <v>36-45</v>
      </c>
      <c r="N2849" t="str">
        <f t="shared" si="133"/>
        <v>Discounted</v>
      </c>
      <c r="O2849" t="str">
        <f t="shared" si="134"/>
        <v>Returning</v>
      </c>
    </row>
    <row r="2850" spans="1:15" x14ac:dyDescent="0.25">
      <c r="A2850">
        <v>2849</v>
      </c>
      <c r="B2850">
        <v>58</v>
      </c>
      <c r="C2850" t="s">
        <v>16</v>
      </c>
      <c r="D2850" t="s">
        <v>33</v>
      </c>
      <c r="E2850" t="s">
        <v>40</v>
      </c>
      <c r="F2850" s="1">
        <v>80.52</v>
      </c>
      <c r="G2850" t="s">
        <v>31</v>
      </c>
      <c r="H2850" t="s">
        <v>37</v>
      </c>
      <c r="I2850" s="2">
        <v>3.7</v>
      </c>
      <c r="J2850" s="4">
        <v>15</v>
      </c>
      <c r="K2850" s="3">
        <v>5</v>
      </c>
      <c r="L2850" s="1">
        <f t="shared" si="132"/>
        <v>68.441999999999993</v>
      </c>
      <c r="M2850" t="str" cm="1">
        <f t="array" ref="M2850">_xlfn.IFS(B2850&lt;18,"Under 18",B2850 &lt;=25,"18-25",B2850&lt;=35,"26-35",B2850&lt;=45,"36-45",B2850&lt;=60,"46-60",TRUE,"60+")</f>
        <v>46-60</v>
      </c>
      <c r="N2850" t="str">
        <f t="shared" si="133"/>
        <v>Discounted</v>
      </c>
      <c r="O2850" t="str">
        <f t="shared" si="134"/>
        <v>Returning</v>
      </c>
    </row>
    <row r="2851" spans="1:15" x14ac:dyDescent="0.25">
      <c r="A2851">
        <v>2850</v>
      </c>
      <c r="B2851">
        <v>64</v>
      </c>
      <c r="C2851" t="s">
        <v>11</v>
      </c>
      <c r="D2851" t="s">
        <v>25</v>
      </c>
      <c r="E2851" t="s">
        <v>57</v>
      </c>
      <c r="F2851" s="1">
        <v>19.96</v>
      </c>
      <c r="G2851" t="s">
        <v>14</v>
      </c>
      <c r="H2851" t="s">
        <v>37</v>
      </c>
      <c r="I2851" s="2">
        <v>3</v>
      </c>
      <c r="J2851" s="4">
        <v>6</v>
      </c>
      <c r="K2851" s="3">
        <v>3</v>
      </c>
      <c r="L2851" s="1">
        <f t="shared" si="132"/>
        <v>18.7624</v>
      </c>
      <c r="M2851" t="str" cm="1">
        <f t="array" ref="M2851">_xlfn.IFS(B2851&lt;18,"Under 18",B2851 &lt;=25,"18-25",B2851&lt;=35,"26-35",B2851&lt;=45,"36-45",B2851&lt;=60,"46-60",TRUE,"60+")</f>
        <v>60+</v>
      </c>
      <c r="N2851" t="str">
        <f t="shared" si="133"/>
        <v>Discounted</v>
      </c>
      <c r="O2851" t="str">
        <f t="shared" si="134"/>
        <v>Returning</v>
      </c>
    </row>
    <row r="2852" spans="1:15" x14ac:dyDescent="0.25">
      <c r="A2852">
        <v>2851</v>
      </c>
      <c r="B2852">
        <v>38</v>
      </c>
      <c r="C2852" t="s">
        <v>11</v>
      </c>
      <c r="D2852" t="s">
        <v>29</v>
      </c>
      <c r="E2852" t="s">
        <v>55</v>
      </c>
      <c r="F2852" s="1">
        <v>81.760000000000005</v>
      </c>
      <c r="G2852" t="s">
        <v>31</v>
      </c>
      <c r="H2852" t="s">
        <v>37</v>
      </c>
      <c r="I2852" s="2">
        <v>4.0999999999999996</v>
      </c>
      <c r="J2852" s="4">
        <v>8</v>
      </c>
      <c r="K2852" s="3">
        <v>4</v>
      </c>
      <c r="L2852" s="1">
        <f t="shared" si="132"/>
        <v>75.219200000000015</v>
      </c>
      <c r="M2852" t="str" cm="1">
        <f t="array" ref="M2852">_xlfn.IFS(B2852&lt;18,"Under 18",B2852 &lt;=25,"18-25",B2852&lt;=35,"26-35",B2852&lt;=45,"36-45",B2852&lt;=60,"46-60",TRUE,"60+")</f>
        <v>36-45</v>
      </c>
      <c r="N2852" t="str">
        <f t="shared" si="133"/>
        <v>Discounted</v>
      </c>
      <c r="O2852" t="str">
        <f t="shared" si="134"/>
        <v>Returning</v>
      </c>
    </row>
    <row r="2853" spans="1:15" x14ac:dyDescent="0.25">
      <c r="A2853">
        <v>2852</v>
      </c>
      <c r="B2853">
        <v>47</v>
      </c>
      <c r="C2853" t="s">
        <v>16</v>
      </c>
      <c r="D2853" t="s">
        <v>25</v>
      </c>
      <c r="E2853" t="s">
        <v>47</v>
      </c>
      <c r="F2853" s="1">
        <v>19.760000000000002</v>
      </c>
      <c r="G2853" t="s">
        <v>31</v>
      </c>
      <c r="H2853" t="s">
        <v>37</v>
      </c>
      <c r="I2853" s="2">
        <v>3.8</v>
      </c>
      <c r="J2853" s="4">
        <v>9</v>
      </c>
      <c r="K2853" s="3">
        <v>2</v>
      </c>
      <c r="L2853" s="1">
        <f t="shared" si="132"/>
        <v>17.981600000000004</v>
      </c>
      <c r="M2853" t="str" cm="1">
        <f t="array" ref="M2853">_xlfn.IFS(B2853&lt;18,"Under 18",B2853 &lt;=25,"18-25",B2853&lt;=35,"26-35",B2853&lt;=45,"36-45",B2853&lt;=60,"46-60",TRUE,"60+")</f>
        <v>46-60</v>
      </c>
      <c r="N2853" t="str">
        <f t="shared" si="133"/>
        <v>Discounted</v>
      </c>
      <c r="O2853" t="str">
        <f t="shared" si="134"/>
        <v>Returning</v>
      </c>
    </row>
    <row r="2854" spans="1:15" x14ac:dyDescent="0.25">
      <c r="A2854">
        <v>2853</v>
      </c>
      <c r="B2854">
        <v>49</v>
      </c>
      <c r="C2854" t="s">
        <v>11</v>
      </c>
      <c r="D2854" t="s">
        <v>41</v>
      </c>
      <c r="E2854" t="s">
        <v>46</v>
      </c>
      <c r="F2854" s="1">
        <v>73.31</v>
      </c>
      <c r="G2854" t="s">
        <v>19</v>
      </c>
      <c r="H2854" t="s">
        <v>37</v>
      </c>
      <c r="I2854" s="2">
        <v>3.5</v>
      </c>
      <c r="J2854" s="4">
        <v>20</v>
      </c>
      <c r="K2854" s="3">
        <v>5</v>
      </c>
      <c r="L2854" s="1">
        <f t="shared" si="132"/>
        <v>58.648000000000003</v>
      </c>
      <c r="M2854" t="str" cm="1">
        <f t="array" ref="M2854">_xlfn.IFS(B2854&lt;18,"Under 18",B2854 &lt;=25,"18-25",B2854&lt;=35,"26-35",B2854&lt;=45,"36-45",B2854&lt;=60,"46-60",TRUE,"60+")</f>
        <v>46-60</v>
      </c>
      <c r="N2854" t="str">
        <f t="shared" si="133"/>
        <v>Discounted</v>
      </c>
      <c r="O2854" t="str">
        <f t="shared" si="134"/>
        <v>Returning</v>
      </c>
    </row>
    <row r="2855" spans="1:15" x14ac:dyDescent="0.25">
      <c r="A2855">
        <v>2854</v>
      </c>
      <c r="B2855">
        <v>30</v>
      </c>
      <c r="C2855" t="s">
        <v>16</v>
      </c>
      <c r="D2855" t="s">
        <v>20</v>
      </c>
      <c r="E2855" t="s">
        <v>36</v>
      </c>
      <c r="F2855" s="1">
        <v>95.37</v>
      </c>
      <c r="G2855" t="s">
        <v>31</v>
      </c>
      <c r="H2855" t="s">
        <v>37</v>
      </c>
      <c r="I2855" s="2">
        <v>4.2</v>
      </c>
      <c r="J2855" s="4">
        <v>17</v>
      </c>
      <c r="K2855" s="3">
        <v>6</v>
      </c>
      <c r="L2855" s="1">
        <f t="shared" si="132"/>
        <v>79.1571</v>
      </c>
      <c r="M2855" t="str" cm="1">
        <f t="array" ref="M2855">_xlfn.IFS(B2855&lt;18,"Under 18",B2855 &lt;=25,"18-25",B2855&lt;=35,"26-35",B2855&lt;=45,"36-45",B2855&lt;=60,"46-60",TRUE,"60+")</f>
        <v>26-35</v>
      </c>
      <c r="N2855" t="str">
        <f t="shared" si="133"/>
        <v>Discounted</v>
      </c>
      <c r="O2855" t="str">
        <f t="shared" si="134"/>
        <v>Returning</v>
      </c>
    </row>
    <row r="2856" spans="1:15" x14ac:dyDescent="0.25">
      <c r="A2856">
        <v>2855</v>
      </c>
      <c r="B2856">
        <v>24</v>
      </c>
      <c r="C2856" t="s">
        <v>11</v>
      </c>
      <c r="D2856" t="s">
        <v>12</v>
      </c>
      <c r="E2856" t="s">
        <v>13</v>
      </c>
      <c r="F2856" s="1">
        <v>105.91</v>
      </c>
      <c r="G2856" t="s">
        <v>14</v>
      </c>
      <c r="H2856" t="s">
        <v>15</v>
      </c>
      <c r="I2856" s="2">
        <v>3.9</v>
      </c>
      <c r="J2856" s="4">
        <v>19</v>
      </c>
      <c r="K2856" s="3">
        <v>7</v>
      </c>
      <c r="L2856" s="1">
        <f t="shared" si="132"/>
        <v>85.787100000000009</v>
      </c>
      <c r="M2856" t="str" cm="1">
        <f t="array" ref="M2856">_xlfn.IFS(B2856&lt;18,"Under 18",B2856 &lt;=25,"18-25",B2856&lt;=35,"26-35",B2856&lt;=45,"36-45",B2856&lt;=60,"46-60",TRUE,"60+")</f>
        <v>18-25</v>
      </c>
      <c r="N2856" t="str">
        <f t="shared" si="133"/>
        <v>Discounted</v>
      </c>
      <c r="O2856" t="str">
        <f t="shared" si="134"/>
        <v>Returning</v>
      </c>
    </row>
    <row r="2857" spans="1:15" x14ac:dyDescent="0.25">
      <c r="A2857">
        <v>2856</v>
      </c>
      <c r="B2857">
        <v>68</v>
      </c>
      <c r="C2857" t="s">
        <v>16</v>
      </c>
      <c r="D2857" t="s">
        <v>17</v>
      </c>
      <c r="E2857" t="s">
        <v>18</v>
      </c>
      <c r="F2857" s="1">
        <v>82.8</v>
      </c>
      <c r="G2857" t="s">
        <v>24</v>
      </c>
      <c r="H2857" t="s">
        <v>15</v>
      </c>
      <c r="I2857" s="2">
        <v>3.6</v>
      </c>
      <c r="J2857" s="4">
        <v>8</v>
      </c>
      <c r="K2857" s="3">
        <v>4</v>
      </c>
      <c r="L2857" s="1">
        <f t="shared" si="132"/>
        <v>76.176000000000002</v>
      </c>
      <c r="M2857" t="str" cm="1">
        <f t="array" ref="M2857">_xlfn.IFS(B2857&lt;18,"Under 18",B2857 &lt;=25,"18-25",B2857&lt;=35,"26-35",B2857&lt;=45,"36-45",B2857&lt;=60,"46-60",TRUE,"60+")</f>
        <v>60+</v>
      </c>
      <c r="N2857" t="str">
        <f t="shared" si="133"/>
        <v>Discounted</v>
      </c>
      <c r="O2857" t="str">
        <f t="shared" si="134"/>
        <v>Returning</v>
      </c>
    </row>
    <row r="2858" spans="1:15" x14ac:dyDescent="0.25">
      <c r="A2858">
        <v>2857</v>
      </c>
      <c r="B2858">
        <v>68</v>
      </c>
      <c r="C2858" t="s">
        <v>16</v>
      </c>
      <c r="D2858" t="s">
        <v>22</v>
      </c>
      <c r="E2858" t="s">
        <v>23</v>
      </c>
      <c r="F2858" s="1">
        <v>260.13</v>
      </c>
      <c r="G2858" t="s">
        <v>31</v>
      </c>
      <c r="H2858" t="s">
        <v>15</v>
      </c>
      <c r="I2858" s="2">
        <v>4</v>
      </c>
      <c r="J2858" s="4">
        <v>24</v>
      </c>
      <c r="K2858" s="3">
        <v>7</v>
      </c>
      <c r="L2858" s="1">
        <f t="shared" si="132"/>
        <v>197.69880000000001</v>
      </c>
      <c r="M2858" t="str" cm="1">
        <f t="array" ref="M2858">_xlfn.IFS(B2858&lt;18,"Under 18",B2858 &lt;=25,"18-25",B2858&lt;=35,"26-35",B2858&lt;=45,"36-45",B2858&lt;=60,"46-60",TRUE,"60+")</f>
        <v>60+</v>
      </c>
      <c r="N2858" t="str">
        <f t="shared" si="133"/>
        <v>Discounted</v>
      </c>
      <c r="O2858" t="str">
        <f t="shared" si="134"/>
        <v>Returning</v>
      </c>
    </row>
    <row r="2859" spans="1:15" x14ac:dyDescent="0.25">
      <c r="A2859">
        <v>2858</v>
      </c>
      <c r="B2859">
        <v>55</v>
      </c>
      <c r="C2859" t="s">
        <v>11</v>
      </c>
      <c r="D2859" t="s">
        <v>33</v>
      </c>
      <c r="E2859" t="s">
        <v>40</v>
      </c>
      <c r="F2859" s="1">
        <v>196.79</v>
      </c>
      <c r="G2859" t="s">
        <v>31</v>
      </c>
      <c r="H2859" t="s">
        <v>15</v>
      </c>
      <c r="I2859" s="2">
        <v>3.7</v>
      </c>
      <c r="J2859" s="4">
        <v>10</v>
      </c>
      <c r="K2859" s="3">
        <v>5</v>
      </c>
      <c r="L2859" s="1">
        <f t="shared" si="132"/>
        <v>177.11099999999999</v>
      </c>
      <c r="M2859" t="str" cm="1">
        <f t="array" ref="M2859">_xlfn.IFS(B2859&lt;18,"Under 18",B2859 &lt;=25,"18-25",B2859&lt;=35,"26-35",B2859&lt;=45,"36-45",B2859&lt;=60,"46-60",TRUE,"60+")</f>
        <v>46-60</v>
      </c>
      <c r="N2859" t="str">
        <f t="shared" si="133"/>
        <v>Discounted</v>
      </c>
      <c r="O2859" t="str">
        <f t="shared" si="134"/>
        <v>Returning</v>
      </c>
    </row>
    <row r="2860" spans="1:15" x14ac:dyDescent="0.25">
      <c r="A2860">
        <v>2859</v>
      </c>
      <c r="B2860">
        <v>47</v>
      </c>
      <c r="C2860" t="s">
        <v>11</v>
      </c>
      <c r="D2860" t="s">
        <v>29</v>
      </c>
      <c r="E2860" t="s">
        <v>30</v>
      </c>
      <c r="F2860" s="1">
        <v>137.02000000000001</v>
      </c>
      <c r="G2860" t="s">
        <v>31</v>
      </c>
      <c r="H2860" t="s">
        <v>15</v>
      </c>
      <c r="I2860" s="2">
        <v>3.7</v>
      </c>
      <c r="J2860" s="4">
        <v>14</v>
      </c>
      <c r="K2860" s="3">
        <v>7</v>
      </c>
      <c r="L2860" s="1">
        <f t="shared" si="132"/>
        <v>117.83720000000001</v>
      </c>
      <c r="M2860" t="str" cm="1">
        <f t="array" ref="M2860">_xlfn.IFS(B2860&lt;18,"Under 18",B2860 &lt;=25,"18-25",B2860&lt;=35,"26-35",B2860&lt;=45,"36-45",B2860&lt;=60,"46-60",TRUE,"60+")</f>
        <v>46-60</v>
      </c>
      <c r="N2860" t="str">
        <f t="shared" si="133"/>
        <v>Discounted</v>
      </c>
      <c r="O2860" t="str">
        <f t="shared" si="134"/>
        <v>Returning</v>
      </c>
    </row>
    <row r="2861" spans="1:15" x14ac:dyDescent="0.25">
      <c r="A2861">
        <v>2860</v>
      </c>
      <c r="B2861">
        <v>31</v>
      </c>
      <c r="C2861" t="s">
        <v>16</v>
      </c>
      <c r="D2861" t="s">
        <v>25</v>
      </c>
      <c r="E2861" t="s">
        <v>47</v>
      </c>
      <c r="F2861" s="1">
        <v>61.33</v>
      </c>
      <c r="G2861" t="s">
        <v>19</v>
      </c>
      <c r="H2861" t="s">
        <v>15</v>
      </c>
      <c r="I2861" s="2">
        <v>3.6</v>
      </c>
      <c r="J2861" s="4">
        <v>16</v>
      </c>
      <c r="K2861" s="3">
        <v>3</v>
      </c>
      <c r="L2861" s="1">
        <f t="shared" si="132"/>
        <v>51.517199999999995</v>
      </c>
      <c r="M2861" t="str" cm="1">
        <f t="array" ref="M2861">_xlfn.IFS(B2861&lt;18,"Under 18",B2861 &lt;=25,"18-25",B2861&lt;=35,"26-35",B2861&lt;=45,"36-45",B2861&lt;=60,"46-60",TRUE,"60+")</f>
        <v>26-35</v>
      </c>
      <c r="N2861" t="str">
        <f t="shared" si="133"/>
        <v>Discounted</v>
      </c>
      <c r="O2861" t="str">
        <f t="shared" si="134"/>
        <v>Returning</v>
      </c>
    </row>
    <row r="2862" spans="1:15" x14ac:dyDescent="0.25">
      <c r="A2862">
        <v>2861</v>
      </c>
      <c r="B2862">
        <v>38</v>
      </c>
      <c r="C2862" t="s">
        <v>16</v>
      </c>
      <c r="D2862" t="s">
        <v>20</v>
      </c>
      <c r="E2862" t="s">
        <v>21</v>
      </c>
      <c r="F2862" s="1">
        <v>152.38999999999999</v>
      </c>
      <c r="G2862" t="s">
        <v>24</v>
      </c>
      <c r="H2862" t="s">
        <v>15</v>
      </c>
      <c r="I2862" s="2">
        <v>5</v>
      </c>
      <c r="J2862" s="4">
        <v>18</v>
      </c>
      <c r="K2862" s="3">
        <v>9</v>
      </c>
      <c r="L2862" s="1">
        <f t="shared" si="132"/>
        <v>124.9598</v>
      </c>
      <c r="M2862" t="str" cm="1">
        <f t="array" ref="M2862">_xlfn.IFS(B2862&lt;18,"Under 18",B2862 &lt;=25,"18-25",B2862&lt;=35,"26-35",B2862&lt;=45,"36-45",B2862&lt;=60,"46-60",TRUE,"60+")</f>
        <v>36-45</v>
      </c>
      <c r="N2862" t="str">
        <f t="shared" si="133"/>
        <v>Discounted</v>
      </c>
      <c r="O2862" t="str">
        <f t="shared" si="134"/>
        <v>Returning</v>
      </c>
    </row>
    <row r="2863" spans="1:15" x14ac:dyDescent="0.25">
      <c r="A2863">
        <v>2862</v>
      </c>
      <c r="B2863">
        <v>50</v>
      </c>
      <c r="C2863" t="s">
        <v>11</v>
      </c>
      <c r="D2863" t="s">
        <v>41</v>
      </c>
      <c r="E2863" t="s">
        <v>46</v>
      </c>
      <c r="F2863" s="1">
        <v>35.770000000000003</v>
      </c>
      <c r="G2863" t="s">
        <v>14</v>
      </c>
      <c r="H2863" t="s">
        <v>37</v>
      </c>
      <c r="I2863" s="2">
        <v>3.8</v>
      </c>
      <c r="J2863" s="4">
        <v>10</v>
      </c>
      <c r="K2863" s="3">
        <v>5</v>
      </c>
      <c r="L2863" s="1">
        <f t="shared" si="132"/>
        <v>32.193000000000005</v>
      </c>
      <c r="M2863" t="str" cm="1">
        <f t="array" ref="M2863">_xlfn.IFS(B2863&lt;18,"Under 18",B2863 &lt;=25,"18-25",B2863&lt;=35,"26-35",B2863&lt;=45,"36-45",B2863&lt;=60,"46-60",TRUE,"60+")</f>
        <v>46-60</v>
      </c>
      <c r="N2863" t="str">
        <f t="shared" si="133"/>
        <v>Discounted</v>
      </c>
      <c r="O2863" t="str">
        <f t="shared" si="134"/>
        <v>Returning</v>
      </c>
    </row>
    <row r="2864" spans="1:15" x14ac:dyDescent="0.25">
      <c r="A2864">
        <v>2863</v>
      </c>
      <c r="B2864">
        <v>33</v>
      </c>
      <c r="C2864" t="s">
        <v>11</v>
      </c>
      <c r="D2864" t="s">
        <v>25</v>
      </c>
      <c r="E2864" t="s">
        <v>57</v>
      </c>
      <c r="F2864" s="1">
        <v>46.73</v>
      </c>
      <c r="G2864" t="s">
        <v>31</v>
      </c>
      <c r="H2864" t="s">
        <v>15</v>
      </c>
      <c r="I2864" s="2">
        <v>3.5</v>
      </c>
      <c r="J2864" s="4">
        <v>11</v>
      </c>
      <c r="K2864" s="3">
        <v>3</v>
      </c>
      <c r="L2864" s="1">
        <f t="shared" si="132"/>
        <v>41.589700000000001</v>
      </c>
      <c r="M2864" t="str" cm="1">
        <f t="array" ref="M2864">_xlfn.IFS(B2864&lt;18,"Under 18",B2864 &lt;=25,"18-25",B2864&lt;=35,"26-35",B2864&lt;=45,"36-45",B2864&lt;=60,"46-60",TRUE,"60+")</f>
        <v>26-35</v>
      </c>
      <c r="N2864" t="str">
        <f t="shared" si="133"/>
        <v>Discounted</v>
      </c>
      <c r="O2864" t="str">
        <f t="shared" si="134"/>
        <v>Returning</v>
      </c>
    </row>
    <row r="2865" spans="1:15" x14ac:dyDescent="0.25">
      <c r="A2865">
        <v>2864</v>
      </c>
      <c r="B2865">
        <v>35</v>
      </c>
      <c r="C2865" t="s">
        <v>16</v>
      </c>
      <c r="D2865" t="s">
        <v>17</v>
      </c>
      <c r="E2865" t="s">
        <v>18</v>
      </c>
      <c r="F2865" s="1">
        <v>129.83000000000001</v>
      </c>
      <c r="G2865" t="s">
        <v>19</v>
      </c>
      <c r="H2865" t="s">
        <v>15</v>
      </c>
      <c r="I2865" s="2">
        <v>4</v>
      </c>
      <c r="J2865" s="4">
        <v>21</v>
      </c>
      <c r="K2865" s="3">
        <v>8</v>
      </c>
      <c r="L2865" s="1">
        <f t="shared" si="132"/>
        <v>102.56570000000002</v>
      </c>
      <c r="M2865" t="str" cm="1">
        <f t="array" ref="M2865">_xlfn.IFS(B2865&lt;18,"Under 18",B2865 &lt;=25,"18-25",B2865&lt;=35,"26-35",B2865&lt;=45,"36-45",B2865&lt;=60,"46-60",TRUE,"60+")</f>
        <v>26-35</v>
      </c>
      <c r="N2865" t="str">
        <f t="shared" si="133"/>
        <v>Discounted</v>
      </c>
      <c r="O2865" t="str">
        <f t="shared" si="134"/>
        <v>Returning</v>
      </c>
    </row>
    <row r="2866" spans="1:15" x14ac:dyDescent="0.25">
      <c r="A2866">
        <v>2865</v>
      </c>
      <c r="B2866">
        <v>47</v>
      </c>
      <c r="C2866" t="s">
        <v>16</v>
      </c>
      <c r="D2866" t="s">
        <v>20</v>
      </c>
      <c r="E2866" t="s">
        <v>36</v>
      </c>
      <c r="F2866" s="1">
        <v>223.95</v>
      </c>
      <c r="G2866" t="s">
        <v>24</v>
      </c>
      <c r="H2866" t="s">
        <v>15</v>
      </c>
      <c r="I2866" s="2">
        <v>4.8</v>
      </c>
      <c r="J2866" s="4">
        <v>24</v>
      </c>
      <c r="K2866" s="3">
        <v>7</v>
      </c>
      <c r="L2866" s="1">
        <f t="shared" si="132"/>
        <v>170.202</v>
      </c>
      <c r="M2866" t="str" cm="1">
        <f t="array" ref="M2866">_xlfn.IFS(B2866&lt;18,"Under 18",B2866 &lt;=25,"18-25",B2866&lt;=35,"26-35",B2866&lt;=45,"36-45",B2866&lt;=60,"46-60",TRUE,"60+")</f>
        <v>46-60</v>
      </c>
      <c r="N2866" t="str">
        <f t="shared" si="133"/>
        <v>Discounted</v>
      </c>
      <c r="O2866" t="str">
        <f t="shared" si="134"/>
        <v>Returning</v>
      </c>
    </row>
    <row r="2867" spans="1:15" x14ac:dyDescent="0.25">
      <c r="A2867">
        <v>2866</v>
      </c>
      <c r="B2867">
        <v>28</v>
      </c>
      <c r="C2867" t="s">
        <v>11</v>
      </c>
      <c r="D2867" t="s">
        <v>29</v>
      </c>
      <c r="E2867" t="s">
        <v>55</v>
      </c>
      <c r="F2867" s="1">
        <v>30.28</v>
      </c>
      <c r="G2867" t="s">
        <v>19</v>
      </c>
      <c r="H2867" t="s">
        <v>37</v>
      </c>
      <c r="I2867" s="2">
        <v>5</v>
      </c>
      <c r="J2867" s="4">
        <v>17</v>
      </c>
      <c r="K2867" s="3">
        <v>6</v>
      </c>
      <c r="L2867" s="1">
        <f t="shared" si="132"/>
        <v>25.132400000000001</v>
      </c>
      <c r="M2867" t="str" cm="1">
        <f t="array" ref="M2867">_xlfn.IFS(B2867&lt;18,"Under 18",B2867 &lt;=25,"18-25",B2867&lt;=35,"26-35",B2867&lt;=45,"36-45",B2867&lt;=60,"46-60",TRUE,"60+")</f>
        <v>26-35</v>
      </c>
      <c r="N2867" t="str">
        <f t="shared" si="133"/>
        <v>Discounted</v>
      </c>
      <c r="O2867" t="str">
        <f t="shared" si="134"/>
        <v>Returning</v>
      </c>
    </row>
    <row r="2868" spans="1:15" x14ac:dyDescent="0.25">
      <c r="A2868">
        <v>2867</v>
      </c>
      <c r="B2868">
        <v>55</v>
      </c>
      <c r="C2868" t="s">
        <v>16</v>
      </c>
      <c r="D2868" t="s">
        <v>20</v>
      </c>
      <c r="E2868" t="s">
        <v>39</v>
      </c>
      <c r="F2868" s="1">
        <v>228.55</v>
      </c>
      <c r="G2868" t="s">
        <v>31</v>
      </c>
      <c r="H2868" t="s">
        <v>15</v>
      </c>
      <c r="I2868" s="2">
        <v>4.9000000000000004</v>
      </c>
      <c r="J2868" s="4">
        <v>28</v>
      </c>
      <c r="K2868" s="3">
        <v>9</v>
      </c>
      <c r="L2868" s="1">
        <f t="shared" si="132"/>
        <v>164.55600000000001</v>
      </c>
      <c r="M2868" t="str" cm="1">
        <f t="array" ref="M2868">_xlfn.IFS(B2868&lt;18,"Under 18",B2868 &lt;=25,"18-25",B2868&lt;=35,"26-35",B2868&lt;=45,"36-45",B2868&lt;=60,"46-60",TRUE,"60+")</f>
        <v>46-60</v>
      </c>
      <c r="N2868" t="str">
        <f t="shared" si="133"/>
        <v>Discounted</v>
      </c>
      <c r="O2868" t="str">
        <f t="shared" si="134"/>
        <v>Returning</v>
      </c>
    </row>
    <row r="2869" spans="1:15" x14ac:dyDescent="0.25">
      <c r="A2869">
        <v>2868</v>
      </c>
      <c r="B2869">
        <v>57</v>
      </c>
      <c r="C2869" t="s">
        <v>16</v>
      </c>
      <c r="D2869" t="s">
        <v>20</v>
      </c>
      <c r="E2869" t="s">
        <v>39</v>
      </c>
      <c r="F2869" s="1">
        <v>195.53</v>
      </c>
      <c r="G2869" t="s">
        <v>24</v>
      </c>
      <c r="H2869" t="s">
        <v>15</v>
      </c>
      <c r="I2869" s="2">
        <v>3.4</v>
      </c>
      <c r="J2869" s="4">
        <v>10</v>
      </c>
      <c r="K2869" s="3">
        <v>5</v>
      </c>
      <c r="L2869" s="1">
        <f t="shared" si="132"/>
        <v>175.977</v>
      </c>
      <c r="M2869" t="str" cm="1">
        <f t="array" ref="M2869">_xlfn.IFS(B2869&lt;18,"Under 18",B2869 &lt;=25,"18-25",B2869&lt;=35,"26-35",B2869&lt;=45,"36-45",B2869&lt;=60,"46-60",TRUE,"60+")</f>
        <v>46-60</v>
      </c>
      <c r="N2869" t="str">
        <f t="shared" si="133"/>
        <v>Discounted</v>
      </c>
      <c r="O2869" t="str">
        <f t="shared" si="134"/>
        <v>Returning</v>
      </c>
    </row>
    <row r="2870" spans="1:15" x14ac:dyDescent="0.25">
      <c r="A2870">
        <v>2869</v>
      </c>
      <c r="B2870">
        <v>59</v>
      </c>
      <c r="C2870" t="s">
        <v>16</v>
      </c>
      <c r="D2870" t="s">
        <v>33</v>
      </c>
      <c r="E2870" t="s">
        <v>34</v>
      </c>
      <c r="F2870" s="1">
        <v>131.44</v>
      </c>
      <c r="G2870" t="s">
        <v>14</v>
      </c>
      <c r="H2870" t="s">
        <v>15</v>
      </c>
      <c r="I2870" s="2">
        <v>3.2</v>
      </c>
      <c r="J2870" s="4">
        <v>15</v>
      </c>
      <c r="K2870" s="3">
        <v>5</v>
      </c>
      <c r="L2870" s="1">
        <f t="shared" si="132"/>
        <v>111.72399999999999</v>
      </c>
      <c r="M2870" t="str" cm="1">
        <f t="array" ref="M2870">_xlfn.IFS(B2870&lt;18,"Under 18",B2870 &lt;=25,"18-25",B2870&lt;=35,"26-35",B2870&lt;=45,"36-45",B2870&lt;=60,"46-60",TRUE,"60+")</f>
        <v>46-60</v>
      </c>
      <c r="N2870" t="str">
        <f t="shared" si="133"/>
        <v>Discounted</v>
      </c>
      <c r="O2870" t="str">
        <f t="shared" si="134"/>
        <v>Returning</v>
      </c>
    </row>
    <row r="2871" spans="1:15" x14ac:dyDescent="0.25">
      <c r="A2871">
        <v>2870</v>
      </c>
      <c r="B2871">
        <v>27</v>
      </c>
      <c r="C2871" t="s">
        <v>16</v>
      </c>
      <c r="D2871" t="s">
        <v>20</v>
      </c>
      <c r="E2871" t="s">
        <v>36</v>
      </c>
      <c r="F2871" s="1">
        <v>118.81</v>
      </c>
      <c r="G2871" t="s">
        <v>14</v>
      </c>
      <c r="H2871" t="s">
        <v>15</v>
      </c>
      <c r="I2871" s="2">
        <v>2.2000000000000002</v>
      </c>
      <c r="J2871" s="4">
        <v>8</v>
      </c>
      <c r="K2871" s="3">
        <v>4</v>
      </c>
      <c r="L2871" s="1">
        <f t="shared" si="132"/>
        <v>109.30520000000001</v>
      </c>
      <c r="M2871" t="str" cm="1">
        <f t="array" ref="M2871">_xlfn.IFS(B2871&lt;18,"Under 18",B2871 &lt;=25,"18-25",B2871&lt;=35,"26-35",B2871&lt;=45,"36-45",B2871&lt;=60,"46-60",TRUE,"60+")</f>
        <v>26-35</v>
      </c>
      <c r="N2871" t="str">
        <f t="shared" si="133"/>
        <v>Discounted</v>
      </c>
      <c r="O2871" t="str">
        <f t="shared" si="134"/>
        <v>Returning</v>
      </c>
    </row>
    <row r="2872" spans="1:15" x14ac:dyDescent="0.25">
      <c r="A2872">
        <v>2871</v>
      </c>
      <c r="B2872">
        <v>62</v>
      </c>
      <c r="C2872" t="s">
        <v>11</v>
      </c>
      <c r="D2872" t="s">
        <v>41</v>
      </c>
      <c r="E2872" t="s">
        <v>45</v>
      </c>
      <c r="F2872" s="1">
        <v>117.38</v>
      </c>
      <c r="G2872" t="s">
        <v>24</v>
      </c>
      <c r="H2872" t="s">
        <v>15</v>
      </c>
      <c r="I2872" s="2">
        <v>4.5</v>
      </c>
      <c r="J2872" s="4">
        <v>10</v>
      </c>
      <c r="K2872" s="3">
        <v>5</v>
      </c>
      <c r="L2872" s="1">
        <f t="shared" si="132"/>
        <v>105.642</v>
      </c>
      <c r="M2872" t="str" cm="1">
        <f t="array" ref="M2872">_xlfn.IFS(B2872&lt;18,"Under 18",B2872 &lt;=25,"18-25",B2872&lt;=35,"26-35",B2872&lt;=45,"36-45",B2872&lt;=60,"46-60",TRUE,"60+")</f>
        <v>60+</v>
      </c>
      <c r="N2872" t="str">
        <f t="shared" si="133"/>
        <v>Discounted</v>
      </c>
      <c r="O2872" t="str">
        <f t="shared" si="134"/>
        <v>Returning</v>
      </c>
    </row>
    <row r="2873" spans="1:15" x14ac:dyDescent="0.25">
      <c r="A2873">
        <v>2872</v>
      </c>
      <c r="B2873">
        <v>58</v>
      </c>
      <c r="C2873" t="s">
        <v>11</v>
      </c>
      <c r="D2873" t="s">
        <v>33</v>
      </c>
      <c r="E2873" t="s">
        <v>34</v>
      </c>
      <c r="F2873" s="1">
        <v>143.71</v>
      </c>
      <c r="G2873" t="s">
        <v>24</v>
      </c>
      <c r="H2873" t="s">
        <v>15</v>
      </c>
      <c r="I2873" s="2">
        <v>2.8</v>
      </c>
      <c r="J2873" s="4">
        <v>14</v>
      </c>
      <c r="K2873" s="3">
        <v>2</v>
      </c>
      <c r="L2873" s="1">
        <f t="shared" si="132"/>
        <v>123.59060000000001</v>
      </c>
      <c r="M2873" t="str" cm="1">
        <f t="array" ref="M2873">_xlfn.IFS(B2873&lt;18,"Under 18",B2873 &lt;=25,"18-25",B2873&lt;=35,"26-35",B2873&lt;=45,"36-45",B2873&lt;=60,"46-60",TRUE,"60+")</f>
        <v>46-60</v>
      </c>
      <c r="N2873" t="str">
        <f t="shared" si="133"/>
        <v>Discounted</v>
      </c>
      <c r="O2873" t="str">
        <f t="shared" si="134"/>
        <v>Returning</v>
      </c>
    </row>
    <row r="2874" spans="1:15" x14ac:dyDescent="0.25">
      <c r="A2874">
        <v>2873</v>
      </c>
      <c r="B2874">
        <v>21</v>
      </c>
      <c r="C2874" t="s">
        <v>16</v>
      </c>
      <c r="D2874" t="s">
        <v>20</v>
      </c>
      <c r="E2874" t="s">
        <v>21</v>
      </c>
      <c r="F2874" s="1">
        <v>85.22</v>
      </c>
      <c r="G2874" t="s">
        <v>19</v>
      </c>
      <c r="H2874" t="s">
        <v>37</v>
      </c>
      <c r="I2874" s="2">
        <v>4.5999999999999996</v>
      </c>
      <c r="J2874" s="4">
        <v>28</v>
      </c>
      <c r="K2874" s="3">
        <v>9</v>
      </c>
      <c r="L2874" s="1">
        <f t="shared" si="132"/>
        <v>61.358399999999996</v>
      </c>
      <c r="M2874" t="str" cm="1">
        <f t="array" ref="M2874">_xlfn.IFS(B2874&lt;18,"Under 18",B2874 &lt;=25,"18-25",B2874&lt;=35,"26-35",B2874&lt;=45,"36-45",B2874&lt;=60,"46-60",TRUE,"60+")</f>
        <v>18-25</v>
      </c>
      <c r="N2874" t="str">
        <f t="shared" si="133"/>
        <v>Discounted</v>
      </c>
      <c r="O2874" t="str">
        <f t="shared" si="134"/>
        <v>Returning</v>
      </c>
    </row>
    <row r="2875" spans="1:15" x14ac:dyDescent="0.25">
      <c r="A2875">
        <v>2874</v>
      </c>
      <c r="B2875">
        <v>48</v>
      </c>
      <c r="C2875" t="s">
        <v>11</v>
      </c>
      <c r="D2875" t="s">
        <v>41</v>
      </c>
      <c r="E2875" t="s">
        <v>46</v>
      </c>
      <c r="F2875" s="1">
        <v>135.59</v>
      </c>
      <c r="G2875" t="s">
        <v>19</v>
      </c>
      <c r="H2875" t="s">
        <v>15</v>
      </c>
      <c r="I2875" s="2">
        <v>4.2</v>
      </c>
      <c r="J2875" s="4">
        <v>21</v>
      </c>
      <c r="K2875" s="3">
        <v>8</v>
      </c>
      <c r="L2875" s="1">
        <f t="shared" si="132"/>
        <v>107.1161</v>
      </c>
      <c r="M2875" t="str" cm="1">
        <f t="array" ref="M2875">_xlfn.IFS(B2875&lt;18,"Under 18",B2875 &lt;=25,"18-25",B2875&lt;=35,"26-35",B2875&lt;=45,"36-45",B2875&lt;=60,"46-60",TRUE,"60+")</f>
        <v>46-60</v>
      </c>
      <c r="N2875" t="str">
        <f t="shared" si="133"/>
        <v>Discounted</v>
      </c>
      <c r="O2875" t="str">
        <f t="shared" si="134"/>
        <v>Returning</v>
      </c>
    </row>
    <row r="2876" spans="1:15" x14ac:dyDescent="0.25">
      <c r="A2876">
        <v>2875</v>
      </c>
      <c r="B2876">
        <v>33</v>
      </c>
      <c r="C2876" t="s">
        <v>11</v>
      </c>
      <c r="D2876" t="s">
        <v>20</v>
      </c>
      <c r="E2876" t="s">
        <v>39</v>
      </c>
      <c r="F2876" s="1">
        <v>249.24</v>
      </c>
      <c r="G2876" t="s">
        <v>24</v>
      </c>
      <c r="H2876" t="s">
        <v>15</v>
      </c>
      <c r="I2876" s="2">
        <v>4.3</v>
      </c>
      <c r="J2876" s="4">
        <v>6</v>
      </c>
      <c r="K2876" s="3">
        <v>3</v>
      </c>
      <c r="L2876" s="1">
        <f t="shared" si="132"/>
        <v>234.28559999999999</v>
      </c>
      <c r="M2876" t="str" cm="1">
        <f t="array" ref="M2876">_xlfn.IFS(B2876&lt;18,"Under 18",B2876 &lt;=25,"18-25",B2876&lt;=35,"26-35",B2876&lt;=45,"36-45",B2876&lt;=60,"46-60",TRUE,"60+")</f>
        <v>26-35</v>
      </c>
      <c r="N2876" t="str">
        <f t="shared" si="133"/>
        <v>Discounted</v>
      </c>
      <c r="O2876" t="str">
        <f t="shared" si="134"/>
        <v>Returning</v>
      </c>
    </row>
    <row r="2877" spans="1:15" x14ac:dyDescent="0.25">
      <c r="A2877">
        <v>2876</v>
      </c>
      <c r="B2877">
        <v>41</v>
      </c>
      <c r="C2877" t="s">
        <v>16</v>
      </c>
      <c r="D2877" t="s">
        <v>17</v>
      </c>
      <c r="E2877" t="s">
        <v>35</v>
      </c>
      <c r="F2877" s="1">
        <v>127.61</v>
      </c>
      <c r="G2877" t="s">
        <v>31</v>
      </c>
      <c r="H2877" t="s">
        <v>15</v>
      </c>
      <c r="I2877" s="2">
        <v>4</v>
      </c>
      <c r="J2877" s="4">
        <v>14</v>
      </c>
      <c r="K2877" s="3">
        <v>2</v>
      </c>
      <c r="L2877" s="1">
        <f t="shared" si="132"/>
        <v>109.74459999999999</v>
      </c>
      <c r="M2877" t="str" cm="1">
        <f t="array" ref="M2877">_xlfn.IFS(B2877&lt;18,"Under 18",B2877 &lt;=25,"18-25",B2877&lt;=35,"26-35",B2877&lt;=45,"36-45",B2877&lt;=60,"46-60",TRUE,"60+")</f>
        <v>36-45</v>
      </c>
      <c r="N2877" t="str">
        <f t="shared" si="133"/>
        <v>Discounted</v>
      </c>
      <c r="O2877" t="str">
        <f t="shared" si="134"/>
        <v>Returning</v>
      </c>
    </row>
    <row r="2878" spans="1:15" x14ac:dyDescent="0.25">
      <c r="A2878">
        <v>2877</v>
      </c>
      <c r="B2878">
        <v>68</v>
      </c>
      <c r="C2878" t="s">
        <v>16</v>
      </c>
      <c r="D2878" t="s">
        <v>27</v>
      </c>
      <c r="E2878" t="s">
        <v>28</v>
      </c>
      <c r="F2878" s="1">
        <v>2121.4</v>
      </c>
      <c r="G2878" t="s">
        <v>19</v>
      </c>
      <c r="H2878" t="s">
        <v>15</v>
      </c>
      <c r="I2878" s="2">
        <v>3.6</v>
      </c>
      <c r="J2878" s="4">
        <v>4</v>
      </c>
      <c r="K2878" s="3">
        <v>2</v>
      </c>
      <c r="L2878" s="1">
        <f t="shared" si="132"/>
        <v>2036.5440000000001</v>
      </c>
      <c r="M2878" t="str" cm="1">
        <f t="array" ref="M2878">_xlfn.IFS(B2878&lt;18,"Under 18",B2878 &lt;=25,"18-25",B2878&lt;=35,"26-35",B2878&lt;=45,"36-45",B2878&lt;=60,"46-60",TRUE,"60+")</f>
        <v>60+</v>
      </c>
      <c r="N2878" t="str">
        <f t="shared" si="133"/>
        <v>Discounted</v>
      </c>
      <c r="O2878" t="str">
        <f t="shared" si="134"/>
        <v>Returning</v>
      </c>
    </row>
    <row r="2879" spans="1:15" x14ac:dyDescent="0.25">
      <c r="A2879">
        <v>2878</v>
      </c>
      <c r="B2879">
        <v>64</v>
      </c>
      <c r="C2879" t="s">
        <v>16</v>
      </c>
      <c r="D2879" t="s">
        <v>17</v>
      </c>
      <c r="E2879" t="s">
        <v>42</v>
      </c>
      <c r="F2879" s="1">
        <v>129.65</v>
      </c>
      <c r="G2879" t="s">
        <v>31</v>
      </c>
      <c r="H2879" t="s">
        <v>15</v>
      </c>
      <c r="I2879" s="2">
        <v>3.5</v>
      </c>
      <c r="J2879" s="4">
        <v>16</v>
      </c>
      <c r="K2879" s="3">
        <v>3</v>
      </c>
      <c r="L2879" s="1">
        <f t="shared" si="132"/>
        <v>108.90600000000001</v>
      </c>
      <c r="M2879" t="str" cm="1">
        <f t="array" ref="M2879">_xlfn.IFS(B2879&lt;18,"Under 18",B2879 &lt;=25,"18-25",B2879&lt;=35,"26-35",B2879&lt;=45,"36-45",B2879&lt;=60,"46-60",TRUE,"60+")</f>
        <v>60+</v>
      </c>
      <c r="N2879" t="str">
        <f t="shared" si="133"/>
        <v>Discounted</v>
      </c>
      <c r="O2879" t="str">
        <f t="shared" si="134"/>
        <v>Returning</v>
      </c>
    </row>
    <row r="2880" spans="1:15" x14ac:dyDescent="0.25">
      <c r="A2880">
        <v>2879</v>
      </c>
      <c r="B2880">
        <v>54</v>
      </c>
      <c r="C2880" t="s">
        <v>16</v>
      </c>
      <c r="D2880" t="s">
        <v>33</v>
      </c>
      <c r="E2880" t="s">
        <v>34</v>
      </c>
      <c r="F2880" s="1">
        <v>67.94</v>
      </c>
      <c r="G2880" t="s">
        <v>14</v>
      </c>
      <c r="H2880" t="s">
        <v>37</v>
      </c>
      <c r="I2880" s="2">
        <v>3.7</v>
      </c>
      <c r="J2880" s="4">
        <v>18</v>
      </c>
      <c r="K2880" s="3">
        <v>9</v>
      </c>
      <c r="L2880" s="1">
        <f t="shared" si="132"/>
        <v>55.710799999999999</v>
      </c>
      <c r="M2880" t="str" cm="1">
        <f t="array" ref="M2880">_xlfn.IFS(B2880&lt;18,"Under 18",B2880 &lt;=25,"18-25",B2880&lt;=35,"26-35",B2880&lt;=45,"36-45",B2880&lt;=60,"46-60",TRUE,"60+")</f>
        <v>46-60</v>
      </c>
      <c r="N2880" t="str">
        <f t="shared" si="133"/>
        <v>Discounted</v>
      </c>
      <c r="O2880" t="str">
        <f t="shared" si="134"/>
        <v>Returning</v>
      </c>
    </row>
    <row r="2881" spans="1:15" x14ac:dyDescent="0.25">
      <c r="A2881">
        <v>2880</v>
      </c>
      <c r="B2881">
        <v>55</v>
      </c>
      <c r="C2881" t="s">
        <v>16</v>
      </c>
      <c r="D2881" t="s">
        <v>20</v>
      </c>
      <c r="E2881" t="s">
        <v>21</v>
      </c>
      <c r="F2881" s="1">
        <v>236.33</v>
      </c>
      <c r="G2881" t="s">
        <v>31</v>
      </c>
      <c r="H2881" t="s">
        <v>15</v>
      </c>
      <c r="I2881" s="2">
        <v>2.6</v>
      </c>
      <c r="J2881" s="4">
        <v>13</v>
      </c>
      <c r="K2881" s="3">
        <v>4</v>
      </c>
      <c r="L2881" s="1">
        <f t="shared" si="132"/>
        <v>205.6071</v>
      </c>
      <c r="M2881" t="str" cm="1">
        <f t="array" ref="M2881">_xlfn.IFS(B2881&lt;18,"Under 18",B2881 &lt;=25,"18-25",B2881&lt;=35,"26-35",B2881&lt;=45,"36-45",B2881&lt;=60,"46-60",TRUE,"60+")</f>
        <v>46-60</v>
      </c>
      <c r="N2881" t="str">
        <f t="shared" si="133"/>
        <v>Discounted</v>
      </c>
      <c r="O2881" t="str">
        <f t="shared" si="134"/>
        <v>Returning</v>
      </c>
    </row>
    <row r="2882" spans="1:15" x14ac:dyDescent="0.25">
      <c r="A2882">
        <v>2881</v>
      </c>
      <c r="B2882">
        <v>49</v>
      </c>
      <c r="C2882" t="s">
        <v>16</v>
      </c>
      <c r="D2882" t="s">
        <v>27</v>
      </c>
      <c r="E2882" t="s">
        <v>53</v>
      </c>
      <c r="F2882" s="1">
        <v>2447.8000000000002</v>
      </c>
      <c r="G2882" t="s">
        <v>14</v>
      </c>
      <c r="H2882" t="s">
        <v>15</v>
      </c>
      <c r="I2882" s="2">
        <v>2.8</v>
      </c>
      <c r="J2882" s="4">
        <v>13</v>
      </c>
      <c r="K2882" s="3">
        <v>4</v>
      </c>
      <c r="L2882" s="1">
        <f t="shared" si="132"/>
        <v>2129.5860000000002</v>
      </c>
      <c r="M2882" t="str" cm="1">
        <f t="array" ref="M2882">_xlfn.IFS(B2882&lt;18,"Under 18",B2882 &lt;=25,"18-25",B2882&lt;=35,"26-35",B2882&lt;=45,"36-45",B2882&lt;=60,"46-60",TRUE,"60+")</f>
        <v>46-60</v>
      </c>
      <c r="N2882" t="str">
        <f t="shared" si="133"/>
        <v>Discounted</v>
      </c>
      <c r="O2882" t="str">
        <f t="shared" si="134"/>
        <v>Returning</v>
      </c>
    </row>
    <row r="2883" spans="1:15" x14ac:dyDescent="0.25">
      <c r="A2883">
        <v>2882</v>
      </c>
      <c r="B2883">
        <v>26</v>
      </c>
      <c r="C2883" t="s">
        <v>16</v>
      </c>
      <c r="D2883" t="s">
        <v>27</v>
      </c>
      <c r="E2883" t="s">
        <v>28</v>
      </c>
      <c r="F2883" s="1">
        <v>1922.9</v>
      </c>
      <c r="G2883" t="s">
        <v>14</v>
      </c>
      <c r="H2883" t="s">
        <v>15</v>
      </c>
      <c r="I2883" s="2">
        <v>2.9</v>
      </c>
      <c r="J2883" s="4">
        <v>8</v>
      </c>
      <c r="K2883" s="3">
        <v>4</v>
      </c>
      <c r="L2883" s="1">
        <f t="shared" ref="L2883:L2946" si="135">F2883 * (1 - J2883 / 100)</f>
        <v>1769.0680000000002</v>
      </c>
      <c r="M2883" t="str" cm="1">
        <f t="array" ref="M2883">_xlfn.IFS(B2883&lt;18,"Under 18",B2883 &lt;=25,"18-25",B2883&lt;=35,"26-35",B2883&lt;=45,"36-45",B2883&lt;=60,"46-60",TRUE,"60+")</f>
        <v>26-35</v>
      </c>
      <c r="N2883" t="str">
        <f t="shared" ref="N2883:N2946" si="136">IF(J2883&gt;0,"Discounted","No Discount")</f>
        <v>Discounted</v>
      </c>
      <c r="O2883" t="str">
        <f t="shared" ref="O2883:O2946" si="137">IF(K2883&gt;0,"Returning","New")</f>
        <v>Returning</v>
      </c>
    </row>
    <row r="2884" spans="1:15" x14ac:dyDescent="0.25">
      <c r="A2884">
        <v>2883</v>
      </c>
      <c r="B2884">
        <v>54</v>
      </c>
      <c r="C2884" t="s">
        <v>16</v>
      </c>
      <c r="D2884" t="s">
        <v>27</v>
      </c>
      <c r="E2884" t="s">
        <v>32</v>
      </c>
      <c r="F2884" s="1">
        <v>1252.53</v>
      </c>
      <c r="G2884" t="s">
        <v>31</v>
      </c>
      <c r="H2884" t="s">
        <v>15</v>
      </c>
      <c r="I2884" s="2">
        <v>3.9</v>
      </c>
      <c r="J2884" s="4">
        <v>2</v>
      </c>
      <c r="K2884" s="3">
        <v>1</v>
      </c>
      <c r="L2884" s="1">
        <f t="shared" si="135"/>
        <v>1227.4793999999999</v>
      </c>
      <c r="M2884" t="str" cm="1">
        <f t="array" ref="M2884">_xlfn.IFS(B2884&lt;18,"Under 18",B2884 &lt;=25,"18-25",B2884&lt;=35,"26-35",B2884&lt;=45,"36-45",B2884&lt;=60,"46-60",TRUE,"60+")</f>
        <v>46-60</v>
      </c>
      <c r="N2884" t="str">
        <f t="shared" si="136"/>
        <v>Discounted</v>
      </c>
      <c r="O2884" t="str">
        <f t="shared" si="137"/>
        <v>Returning</v>
      </c>
    </row>
    <row r="2885" spans="1:15" x14ac:dyDescent="0.25">
      <c r="A2885">
        <v>2884</v>
      </c>
      <c r="B2885">
        <v>40</v>
      </c>
      <c r="C2885" t="s">
        <v>11</v>
      </c>
      <c r="D2885" t="s">
        <v>41</v>
      </c>
      <c r="E2885" t="s">
        <v>46</v>
      </c>
      <c r="F2885" s="1">
        <v>144.26</v>
      </c>
      <c r="G2885" t="s">
        <v>31</v>
      </c>
      <c r="H2885" t="s">
        <v>15</v>
      </c>
      <c r="I2885" s="2">
        <v>3.9</v>
      </c>
      <c r="J2885" s="4">
        <v>10</v>
      </c>
      <c r="K2885" s="3">
        <v>5</v>
      </c>
      <c r="L2885" s="1">
        <f t="shared" si="135"/>
        <v>129.834</v>
      </c>
      <c r="M2885" t="str" cm="1">
        <f t="array" ref="M2885">_xlfn.IFS(B2885&lt;18,"Under 18",B2885 &lt;=25,"18-25",B2885&lt;=35,"26-35",B2885&lt;=45,"36-45",B2885&lt;=60,"46-60",TRUE,"60+")</f>
        <v>36-45</v>
      </c>
      <c r="N2885" t="str">
        <f t="shared" si="136"/>
        <v>Discounted</v>
      </c>
      <c r="O2885" t="str">
        <f t="shared" si="137"/>
        <v>Returning</v>
      </c>
    </row>
    <row r="2886" spans="1:15" x14ac:dyDescent="0.25">
      <c r="A2886">
        <v>2885</v>
      </c>
      <c r="B2886">
        <v>42</v>
      </c>
      <c r="C2886" t="s">
        <v>16</v>
      </c>
      <c r="D2886" t="s">
        <v>33</v>
      </c>
      <c r="E2886" t="s">
        <v>40</v>
      </c>
      <c r="F2886" s="1">
        <v>227.07</v>
      </c>
      <c r="G2886" t="s">
        <v>14</v>
      </c>
      <c r="H2886" t="s">
        <v>15</v>
      </c>
      <c r="I2886" s="2">
        <v>2.8</v>
      </c>
      <c r="J2886" s="4">
        <v>13</v>
      </c>
      <c r="K2886" s="3">
        <v>4</v>
      </c>
      <c r="L2886" s="1">
        <f t="shared" si="135"/>
        <v>197.55089999999998</v>
      </c>
      <c r="M2886" t="str" cm="1">
        <f t="array" ref="M2886">_xlfn.IFS(B2886&lt;18,"Under 18",B2886 &lt;=25,"18-25",B2886&lt;=35,"26-35",B2886&lt;=45,"36-45",B2886&lt;=60,"46-60",TRUE,"60+")</f>
        <v>36-45</v>
      </c>
      <c r="N2886" t="str">
        <f t="shared" si="136"/>
        <v>Discounted</v>
      </c>
      <c r="O2886" t="str">
        <f t="shared" si="137"/>
        <v>Returning</v>
      </c>
    </row>
    <row r="2887" spans="1:15" x14ac:dyDescent="0.25">
      <c r="A2887">
        <v>2886</v>
      </c>
      <c r="B2887">
        <v>20</v>
      </c>
      <c r="C2887" t="s">
        <v>11</v>
      </c>
      <c r="D2887" t="s">
        <v>12</v>
      </c>
      <c r="E2887" t="s">
        <v>50</v>
      </c>
      <c r="F2887" s="1">
        <v>104.38</v>
      </c>
      <c r="G2887" t="s">
        <v>31</v>
      </c>
      <c r="H2887" t="s">
        <v>15</v>
      </c>
      <c r="I2887" s="2">
        <v>5</v>
      </c>
      <c r="J2887" s="4">
        <v>21</v>
      </c>
      <c r="K2887" s="3">
        <v>8</v>
      </c>
      <c r="L2887" s="1">
        <f t="shared" si="135"/>
        <v>82.4602</v>
      </c>
      <c r="M2887" t="str" cm="1">
        <f t="array" ref="M2887">_xlfn.IFS(B2887&lt;18,"Under 18",B2887 &lt;=25,"18-25",B2887&lt;=35,"26-35",B2887&lt;=45,"36-45",B2887&lt;=60,"46-60",TRUE,"60+")</f>
        <v>18-25</v>
      </c>
      <c r="N2887" t="str">
        <f t="shared" si="136"/>
        <v>Discounted</v>
      </c>
      <c r="O2887" t="str">
        <f t="shared" si="137"/>
        <v>Returning</v>
      </c>
    </row>
    <row r="2888" spans="1:15" x14ac:dyDescent="0.25">
      <c r="A2888">
        <v>2887</v>
      </c>
      <c r="B2888">
        <v>51</v>
      </c>
      <c r="C2888" t="s">
        <v>16</v>
      </c>
      <c r="D2888" t="s">
        <v>17</v>
      </c>
      <c r="E2888" t="s">
        <v>18</v>
      </c>
      <c r="F2888" s="1">
        <v>168.21</v>
      </c>
      <c r="G2888" t="s">
        <v>19</v>
      </c>
      <c r="H2888" t="s">
        <v>15</v>
      </c>
      <c r="I2888" s="2">
        <v>3.3</v>
      </c>
      <c r="J2888" s="4">
        <v>13</v>
      </c>
      <c r="K2888" s="3">
        <v>4</v>
      </c>
      <c r="L2888" s="1">
        <f t="shared" si="135"/>
        <v>146.34270000000001</v>
      </c>
      <c r="M2888" t="str" cm="1">
        <f t="array" ref="M2888">_xlfn.IFS(B2888&lt;18,"Under 18",B2888 &lt;=25,"18-25",B2888&lt;=35,"26-35",B2888&lt;=45,"36-45",B2888&lt;=60,"46-60",TRUE,"60+")</f>
        <v>46-60</v>
      </c>
      <c r="N2888" t="str">
        <f t="shared" si="136"/>
        <v>Discounted</v>
      </c>
      <c r="O2888" t="str">
        <f t="shared" si="137"/>
        <v>Returning</v>
      </c>
    </row>
    <row r="2889" spans="1:15" x14ac:dyDescent="0.25">
      <c r="A2889">
        <v>2888</v>
      </c>
      <c r="B2889">
        <v>37</v>
      </c>
      <c r="C2889" t="s">
        <v>11</v>
      </c>
      <c r="D2889" t="s">
        <v>29</v>
      </c>
      <c r="E2889" t="s">
        <v>30</v>
      </c>
      <c r="F2889" s="1">
        <v>95.35</v>
      </c>
      <c r="G2889" t="s">
        <v>14</v>
      </c>
      <c r="H2889" t="s">
        <v>15</v>
      </c>
      <c r="I2889" s="2">
        <v>4.4000000000000004</v>
      </c>
      <c r="J2889" s="4">
        <v>12</v>
      </c>
      <c r="K2889" s="3">
        <v>6</v>
      </c>
      <c r="L2889" s="1">
        <f t="shared" si="135"/>
        <v>83.908000000000001</v>
      </c>
      <c r="M2889" t="str" cm="1">
        <f t="array" ref="M2889">_xlfn.IFS(B2889&lt;18,"Under 18",B2889 &lt;=25,"18-25",B2889&lt;=35,"26-35",B2889&lt;=45,"36-45",B2889&lt;=60,"46-60",TRUE,"60+")</f>
        <v>36-45</v>
      </c>
      <c r="N2889" t="str">
        <f t="shared" si="136"/>
        <v>Discounted</v>
      </c>
      <c r="O2889" t="str">
        <f t="shared" si="137"/>
        <v>Returning</v>
      </c>
    </row>
    <row r="2890" spans="1:15" x14ac:dyDescent="0.25">
      <c r="A2890">
        <v>2889</v>
      </c>
      <c r="B2890">
        <v>45</v>
      </c>
      <c r="C2890" t="s">
        <v>11</v>
      </c>
      <c r="D2890" t="s">
        <v>41</v>
      </c>
      <c r="E2890" t="s">
        <v>45</v>
      </c>
      <c r="F2890" s="1">
        <v>30.38</v>
      </c>
      <c r="G2890" t="s">
        <v>19</v>
      </c>
      <c r="H2890" t="s">
        <v>37</v>
      </c>
      <c r="I2890" s="2">
        <v>4.2</v>
      </c>
      <c r="J2890" s="4">
        <v>30</v>
      </c>
      <c r="K2890" s="3">
        <v>10</v>
      </c>
      <c r="L2890" s="1">
        <f t="shared" si="135"/>
        <v>21.265999999999998</v>
      </c>
      <c r="M2890" t="str" cm="1">
        <f t="array" ref="M2890">_xlfn.IFS(B2890&lt;18,"Under 18",B2890 &lt;=25,"18-25",B2890&lt;=35,"26-35",B2890&lt;=45,"36-45",B2890&lt;=60,"46-60",TRUE,"60+")</f>
        <v>36-45</v>
      </c>
      <c r="N2890" t="str">
        <f t="shared" si="136"/>
        <v>Discounted</v>
      </c>
      <c r="O2890" t="str">
        <f t="shared" si="137"/>
        <v>Returning</v>
      </c>
    </row>
    <row r="2891" spans="1:15" x14ac:dyDescent="0.25">
      <c r="A2891">
        <v>2890</v>
      </c>
      <c r="B2891">
        <v>57</v>
      </c>
      <c r="C2891" t="s">
        <v>16</v>
      </c>
      <c r="D2891" t="s">
        <v>20</v>
      </c>
      <c r="E2891" t="s">
        <v>36</v>
      </c>
      <c r="F2891" s="1">
        <v>197.01</v>
      </c>
      <c r="G2891" t="s">
        <v>14</v>
      </c>
      <c r="H2891" t="s">
        <v>15</v>
      </c>
      <c r="I2891" s="2">
        <v>3.8</v>
      </c>
      <c r="J2891" s="4">
        <v>11</v>
      </c>
      <c r="K2891" s="3">
        <v>3</v>
      </c>
      <c r="L2891" s="1">
        <f t="shared" si="135"/>
        <v>175.3389</v>
      </c>
      <c r="M2891" t="str" cm="1">
        <f t="array" ref="M2891">_xlfn.IFS(B2891&lt;18,"Under 18",B2891 &lt;=25,"18-25",B2891&lt;=35,"26-35",B2891&lt;=45,"36-45",B2891&lt;=60,"46-60",TRUE,"60+")</f>
        <v>46-60</v>
      </c>
      <c r="N2891" t="str">
        <f t="shared" si="136"/>
        <v>Discounted</v>
      </c>
      <c r="O2891" t="str">
        <f t="shared" si="137"/>
        <v>Returning</v>
      </c>
    </row>
    <row r="2892" spans="1:15" x14ac:dyDescent="0.25">
      <c r="A2892">
        <v>2891</v>
      </c>
      <c r="B2892">
        <v>33</v>
      </c>
      <c r="C2892" t="s">
        <v>11</v>
      </c>
      <c r="D2892" t="s">
        <v>12</v>
      </c>
      <c r="E2892" t="s">
        <v>50</v>
      </c>
      <c r="F2892" s="1">
        <v>136.04</v>
      </c>
      <c r="G2892" t="s">
        <v>19</v>
      </c>
      <c r="H2892" t="s">
        <v>15</v>
      </c>
      <c r="I2892" s="2">
        <v>3.6</v>
      </c>
      <c r="J2892" s="4">
        <v>12</v>
      </c>
      <c r="K2892" s="3">
        <v>1</v>
      </c>
      <c r="L2892" s="1">
        <f t="shared" si="135"/>
        <v>119.7152</v>
      </c>
      <c r="M2892" t="str" cm="1">
        <f t="array" ref="M2892">_xlfn.IFS(B2892&lt;18,"Under 18",B2892 &lt;=25,"18-25",B2892&lt;=35,"26-35",B2892&lt;=45,"36-45",B2892&lt;=60,"46-60",TRUE,"60+")</f>
        <v>26-35</v>
      </c>
      <c r="N2892" t="str">
        <f t="shared" si="136"/>
        <v>Discounted</v>
      </c>
      <c r="O2892" t="str">
        <f t="shared" si="137"/>
        <v>Returning</v>
      </c>
    </row>
    <row r="2893" spans="1:15" x14ac:dyDescent="0.25">
      <c r="A2893">
        <v>2892</v>
      </c>
      <c r="B2893">
        <v>41</v>
      </c>
      <c r="C2893" t="s">
        <v>11</v>
      </c>
      <c r="D2893" t="s">
        <v>29</v>
      </c>
      <c r="E2893" t="s">
        <v>55</v>
      </c>
      <c r="F2893" s="1">
        <v>110.69</v>
      </c>
      <c r="G2893" t="s">
        <v>31</v>
      </c>
      <c r="H2893" t="s">
        <v>15</v>
      </c>
      <c r="I2893" s="2">
        <v>3.6</v>
      </c>
      <c r="J2893" s="4">
        <v>13</v>
      </c>
      <c r="K2893" s="3">
        <v>4</v>
      </c>
      <c r="L2893" s="1">
        <f t="shared" si="135"/>
        <v>96.300299999999993</v>
      </c>
      <c r="M2893" t="str" cm="1">
        <f t="array" ref="M2893">_xlfn.IFS(B2893&lt;18,"Under 18",B2893 &lt;=25,"18-25",B2893&lt;=35,"26-35",B2893&lt;=45,"36-45",B2893&lt;=60,"46-60",TRUE,"60+")</f>
        <v>36-45</v>
      </c>
      <c r="N2893" t="str">
        <f t="shared" si="136"/>
        <v>Discounted</v>
      </c>
      <c r="O2893" t="str">
        <f t="shared" si="137"/>
        <v>Returning</v>
      </c>
    </row>
    <row r="2894" spans="1:15" x14ac:dyDescent="0.25">
      <c r="A2894">
        <v>2893</v>
      </c>
      <c r="B2894">
        <v>21</v>
      </c>
      <c r="C2894" t="s">
        <v>11</v>
      </c>
      <c r="D2894" t="s">
        <v>12</v>
      </c>
      <c r="E2894" t="s">
        <v>50</v>
      </c>
      <c r="F2894" s="1">
        <v>49.93</v>
      </c>
      <c r="G2894" t="s">
        <v>14</v>
      </c>
      <c r="H2894" t="s">
        <v>37</v>
      </c>
      <c r="I2894" s="2">
        <v>4.3</v>
      </c>
      <c r="J2894" s="4">
        <v>14</v>
      </c>
      <c r="K2894" s="3">
        <v>2</v>
      </c>
      <c r="L2894" s="1">
        <f t="shared" si="135"/>
        <v>42.939799999999998</v>
      </c>
      <c r="M2894" t="str" cm="1">
        <f t="array" ref="M2894">_xlfn.IFS(B2894&lt;18,"Under 18",B2894 &lt;=25,"18-25",B2894&lt;=35,"26-35",B2894&lt;=45,"36-45",B2894&lt;=60,"46-60",TRUE,"60+")</f>
        <v>18-25</v>
      </c>
      <c r="N2894" t="str">
        <f t="shared" si="136"/>
        <v>Discounted</v>
      </c>
      <c r="O2894" t="str">
        <f t="shared" si="137"/>
        <v>Returning</v>
      </c>
    </row>
    <row r="2895" spans="1:15" x14ac:dyDescent="0.25">
      <c r="A2895">
        <v>2894</v>
      </c>
      <c r="B2895">
        <v>49</v>
      </c>
      <c r="C2895" t="s">
        <v>11</v>
      </c>
      <c r="D2895" t="s">
        <v>12</v>
      </c>
      <c r="E2895" t="s">
        <v>13</v>
      </c>
      <c r="F2895" s="1">
        <v>143.66999999999999</v>
      </c>
      <c r="G2895" t="s">
        <v>24</v>
      </c>
      <c r="H2895" t="s">
        <v>15</v>
      </c>
      <c r="I2895" s="2">
        <v>3.2</v>
      </c>
      <c r="J2895" s="4">
        <v>6</v>
      </c>
      <c r="K2895" s="3">
        <v>3</v>
      </c>
      <c r="L2895" s="1">
        <f t="shared" si="135"/>
        <v>135.04979999999998</v>
      </c>
      <c r="M2895" t="str" cm="1">
        <f t="array" ref="M2895">_xlfn.IFS(B2895&lt;18,"Under 18",B2895 &lt;=25,"18-25",B2895&lt;=35,"26-35",B2895&lt;=45,"36-45",B2895&lt;=60,"46-60",TRUE,"60+")</f>
        <v>46-60</v>
      </c>
      <c r="N2895" t="str">
        <f t="shared" si="136"/>
        <v>Discounted</v>
      </c>
      <c r="O2895" t="str">
        <f t="shared" si="137"/>
        <v>Returning</v>
      </c>
    </row>
    <row r="2896" spans="1:15" x14ac:dyDescent="0.25">
      <c r="A2896">
        <v>2895</v>
      </c>
      <c r="B2896">
        <v>65</v>
      </c>
      <c r="C2896" t="s">
        <v>16</v>
      </c>
      <c r="D2896" t="s">
        <v>22</v>
      </c>
      <c r="E2896" t="s">
        <v>23</v>
      </c>
      <c r="F2896" s="1">
        <v>107.46</v>
      </c>
      <c r="G2896" t="s">
        <v>31</v>
      </c>
      <c r="H2896" t="s">
        <v>15</v>
      </c>
      <c r="I2896" s="2">
        <v>3.7</v>
      </c>
      <c r="J2896" s="4">
        <v>10</v>
      </c>
      <c r="K2896" s="3">
        <v>5</v>
      </c>
      <c r="L2896" s="1">
        <f t="shared" si="135"/>
        <v>96.713999999999999</v>
      </c>
      <c r="M2896" t="str" cm="1">
        <f t="array" ref="M2896">_xlfn.IFS(B2896&lt;18,"Under 18",B2896 &lt;=25,"18-25",B2896&lt;=35,"26-35",B2896&lt;=45,"36-45",B2896&lt;=60,"46-60",TRUE,"60+")</f>
        <v>60+</v>
      </c>
      <c r="N2896" t="str">
        <f t="shared" si="136"/>
        <v>Discounted</v>
      </c>
      <c r="O2896" t="str">
        <f t="shared" si="137"/>
        <v>Returning</v>
      </c>
    </row>
    <row r="2897" spans="1:15" x14ac:dyDescent="0.25">
      <c r="A2897">
        <v>2896</v>
      </c>
      <c r="B2897">
        <v>55</v>
      </c>
      <c r="C2897" t="s">
        <v>16</v>
      </c>
      <c r="D2897" t="s">
        <v>20</v>
      </c>
      <c r="E2897" t="s">
        <v>36</v>
      </c>
      <c r="F2897" s="1">
        <v>206.53</v>
      </c>
      <c r="G2897" t="s">
        <v>14</v>
      </c>
      <c r="H2897" t="s">
        <v>15</v>
      </c>
      <c r="I2897" s="2">
        <v>4.8</v>
      </c>
      <c r="J2897" s="4">
        <v>16</v>
      </c>
      <c r="K2897" s="3">
        <v>3</v>
      </c>
      <c r="L2897" s="1">
        <f t="shared" si="135"/>
        <v>173.48519999999999</v>
      </c>
      <c r="M2897" t="str" cm="1">
        <f t="array" ref="M2897">_xlfn.IFS(B2897&lt;18,"Under 18",B2897 &lt;=25,"18-25",B2897&lt;=35,"26-35",B2897&lt;=45,"36-45",B2897&lt;=60,"46-60",TRUE,"60+")</f>
        <v>46-60</v>
      </c>
      <c r="N2897" t="str">
        <f t="shared" si="136"/>
        <v>Discounted</v>
      </c>
      <c r="O2897" t="str">
        <f t="shared" si="137"/>
        <v>Returning</v>
      </c>
    </row>
    <row r="2898" spans="1:15" x14ac:dyDescent="0.25">
      <c r="A2898">
        <v>2897</v>
      </c>
      <c r="B2898">
        <v>59</v>
      </c>
      <c r="C2898" t="s">
        <v>16</v>
      </c>
      <c r="D2898" t="s">
        <v>27</v>
      </c>
      <c r="E2898" t="s">
        <v>32</v>
      </c>
      <c r="F2898" s="1">
        <v>1202.92</v>
      </c>
      <c r="G2898" t="s">
        <v>24</v>
      </c>
      <c r="H2898" t="s">
        <v>15</v>
      </c>
      <c r="I2898" s="2">
        <v>3.1</v>
      </c>
      <c r="J2898" s="4">
        <v>18</v>
      </c>
      <c r="K2898" s="3">
        <v>4</v>
      </c>
      <c r="L2898" s="1">
        <f t="shared" si="135"/>
        <v>986.39440000000013</v>
      </c>
      <c r="M2898" t="str" cm="1">
        <f t="array" ref="M2898">_xlfn.IFS(B2898&lt;18,"Under 18",B2898 &lt;=25,"18-25",B2898&lt;=35,"26-35",B2898&lt;=45,"36-45",B2898&lt;=60,"46-60",TRUE,"60+")</f>
        <v>46-60</v>
      </c>
      <c r="N2898" t="str">
        <f t="shared" si="136"/>
        <v>Discounted</v>
      </c>
      <c r="O2898" t="str">
        <f t="shared" si="137"/>
        <v>Returning</v>
      </c>
    </row>
    <row r="2899" spans="1:15" x14ac:dyDescent="0.25">
      <c r="A2899">
        <v>2898</v>
      </c>
      <c r="B2899">
        <v>56</v>
      </c>
      <c r="C2899" t="s">
        <v>11</v>
      </c>
      <c r="D2899" t="s">
        <v>29</v>
      </c>
      <c r="E2899" t="s">
        <v>30</v>
      </c>
      <c r="F2899" s="1">
        <v>137.71</v>
      </c>
      <c r="G2899" t="s">
        <v>24</v>
      </c>
      <c r="H2899" t="s">
        <v>15</v>
      </c>
      <c r="I2899" s="2">
        <v>3.7</v>
      </c>
      <c r="J2899" s="4">
        <v>7</v>
      </c>
      <c r="K2899" s="3">
        <v>1</v>
      </c>
      <c r="L2899" s="1">
        <f t="shared" si="135"/>
        <v>128.0703</v>
      </c>
      <c r="M2899" t="str" cm="1">
        <f t="array" ref="M2899">_xlfn.IFS(B2899&lt;18,"Under 18",B2899 &lt;=25,"18-25",B2899&lt;=35,"26-35",B2899&lt;=45,"36-45",B2899&lt;=60,"46-60",TRUE,"60+")</f>
        <v>46-60</v>
      </c>
      <c r="N2899" t="str">
        <f t="shared" si="136"/>
        <v>Discounted</v>
      </c>
      <c r="O2899" t="str">
        <f t="shared" si="137"/>
        <v>Returning</v>
      </c>
    </row>
    <row r="2900" spans="1:15" x14ac:dyDescent="0.25">
      <c r="A2900">
        <v>2899</v>
      </c>
      <c r="B2900">
        <v>40</v>
      </c>
      <c r="C2900" t="s">
        <v>11</v>
      </c>
      <c r="D2900" t="s">
        <v>33</v>
      </c>
      <c r="E2900" t="s">
        <v>34</v>
      </c>
      <c r="F2900" s="1">
        <v>208.5</v>
      </c>
      <c r="G2900" t="s">
        <v>31</v>
      </c>
      <c r="H2900" t="s">
        <v>15</v>
      </c>
      <c r="I2900" s="2">
        <v>4.3</v>
      </c>
      <c r="J2900" s="4">
        <v>30</v>
      </c>
      <c r="K2900" s="3">
        <v>10</v>
      </c>
      <c r="L2900" s="1">
        <f t="shared" si="135"/>
        <v>145.94999999999999</v>
      </c>
      <c r="M2900" t="str" cm="1">
        <f t="array" ref="M2900">_xlfn.IFS(B2900&lt;18,"Under 18",B2900 &lt;=25,"18-25",B2900&lt;=35,"26-35",B2900&lt;=45,"36-45",B2900&lt;=60,"46-60",TRUE,"60+")</f>
        <v>36-45</v>
      </c>
      <c r="N2900" t="str">
        <f t="shared" si="136"/>
        <v>Discounted</v>
      </c>
      <c r="O2900" t="str">
        <f t="shared" si="137"/>
        <v>Returning</v>
      </c>
    </row>
    <row r="2901" spans="1:15" x14ac:dyDescent="0.25">
      <c r="A2901">
        <v>2900</v>
      </c>
      <c r="B2901">
        <v>48</v>
      </c>
      <c r="C2901" t="s">
        <v>16</v>
      </c>
      <c r="D2901" t="s">
        <v>17</v>
      </c>
      <c r="E2901" t="s">
        <v>48</v>
      </c>
      <c r="F2901" s="1">
        <v>188.32</v>
      </c>
      <c r="G2901" t="s">
        <v>14</v>
      </c>
      <c r="H2901" t="s">
        <v>15</v>
      </c>
      <c r="I2901" s="2">
        <v>4.0999999999999996</v>
      </c>
      <c r="J2901" s="4">
        <v>24</v>
      </c>
      <c r="K2901" s="3">
        <v>12</v>
      </c>
      <c r="L2901" s="1">
        <f t="shared" si="135"/>
        <v>143.1232</v>
      </c>
      <c r="M2901" t="str" cm="1">
        <f t="array" ref="M2901">_xlfn.IFS(B2901&lt;18,"Under 18",B2901 &lt;=25,"18-25",B2901&lt;=35,"26-35",B2901&lt;=45,"36-45",B2901&lt;=60,"46-60",TRUE,"60+")</f>
        <v>46-60</v>
      </c>
      <c r="N2901" t="str">
        <f t="shared" si="136"/>
        <v>Discounted</v>
      </c>
      <c r="O2901" t="str">
        <f t="shared" si="137"/>
        <v>Returning</v>
      </c>
    </row>
    <row r="2902" spans="1:15" x14ac:dyDescent="0.25">
      <c r="A2902">
        <v>2901</v>
      </c>
      <c r="B2902">
        <v>30</v>
      </c>
      <c r="C2902" t="s">
        <v>16</v>
      </c>
      <c r="D2902" t="s">
        <v>22</v>
      </c>
      <c r="E2902" t="s">
        <v>52</v>
      </c>
      <c r="F2902" s="1">
        <v>38.31</v>
      </c>
      <c r="G2902" t="s">
        <v>31</v>
      </c>
      <c r="H2902" t="s">
        <v>15</v>
      </c>
      <c r="I2902" s="2">
        <v>3.2</v>
      </c>
      <c r="J2902" s="4">
        <v>14</v>
      </c>
      <c r="K2902" s="3">
        <v>7</v>
      </c>
      <c r="L2902" s="1">
        <f t="shared" si="135"/>
        <v>32.946600000000004</v>
      </c>
      <c r="M2902" t="str" cm="1">
        <f t="array" ref="M2902">_xlfn.IFS(B2902&lt;18,"Under 18",B2902 &lt;=25,"18-25",B2902&lt;=35,"26-35",B2902&lt;=45,"36-45",B2902&lt;=60,"46-60",TRUE,"60+")</f>
        <v>26-35</v>
      </c>
      <c r="N2902" t="str">
        <f t="shared" si="136"/>
        <v>Discounted</v>
      </c>
      <c r="O2902" t="str">
        <f t="shared" si="137"/>
        <v>Returning</v>
      </c>
    </row>
    <row r="2903" spans="1:15" x14ac:dyDescent="0.25">
      <c r="A2903">
        <v>2902</v>
      </c>
      <c r="B2903">
        <v>41</v>
      </c>
      <c r="C2903" t="s">
        <v>11</v>
      </c>
      <c r="D2903" t="s">
        <v>25</v>
      </c>
      <c r="E2903" t="s">
        <v>54</v>
      </c>
      <c r="F2903" s="1">
        <v>58.38</v>
      </c>
      <c r="G2903" t="s">
        <v>31</v>
      </c>
      <c r="H2903" t="s">
        <v>37</v>
      </c>
      <c r="I2903" s="2">
        <v>2.2999999999999998</v>
      </c>
      <c r="J2903" s="4">
        <v>10</v>
      </c>
      <c r="K2903" s="3">
        <v>5</v>
      </c>
      <c r="L2903" s="1">
        <f t="shared" si="135"/>
        <v>52.542000000000002</v>
      </c>
      <c r="M2903" t="str" cm="1">
        <f t="array" ref="M2903">_xlfn.IFS(B2903&lt;18,"Under 18",B2903 &lt;=25,"18-25",B2903&lt;=35,"26-35",B2903&lt;=45,"36-45",B2903&lt;=60,"46-60",TRUE,"60+")</f>
        <v>36-45</v>
      </c>
      <c r="N2903" t="str">
        <f t="shared" si="136"/>
        <v>Discounted</v>
      </c>
      <c r="O2903" t="str">
        <f t="shared" si="137"/>
        <v>Returning</v>
      </c>
    </row>
    <row r="2904" spans="1:15" x14ac:dyDescent="0.25">
      <c r="A2904">
        <v>2903</v>
      </c>
      <c r="B2904">
        <v>58</v>
      </c>
      <c r="C2904" t="s">
        <v>16</v>
      </c>
      <c r="D2904" t="s">
        <v>27</v>
      </c>
      <c r="E2904" t="s">
        <v>53</v>
      </c>
      <c r="F2904" s="1">
        <v>824.07</v>
      </c>
      <c r="G2904" t="s">
        <v>19</v>
      </c>
      <c r="H2904" t="s">
        <v>15</v>
      </c>
      <c r="I2904" s="2">
        <v>3.8</v>
      </c>
      <c r="J2904" s="4">
        <v>10</v>
      </c>
      <c r="K2904" s="3">
        <v>5</v>
      </c>
      <c r="L2904" s="1">
        <f t="shared" si="135"/>
        <v>741.66300000000001</v>
      </c>
      <c r="M2904" t="str" cm="1">
        <f t="array" ref="M2904">_xlfn.IFS(B2904&lt;18,"Under 18",B2904 &lt;=25,"18-25",B2904&lt;=35,"26-35",B2904&lt;=45,"36-45",B2904&lt;=60,"46-60",TRUE,"60+")</f>
        <v>46-60</v>
      </c>
      <c r="N2904" t="str">
        <f t="shared" si="136"/>
        <v>Discounted</v>
      </c>
      <c r="O2904" t="str">
        <f t="shared" si="137"/>
        <v>Returning</v>
      </c>
    </row>
    <row r="2905" spans="1:15" x14ac:dyDescent="0.25">
      <c r="A2905">
        <v>2904</v>
      </c>
      <c r="B2905">
        <v>47</v>
      </c>
      <c r="C2905" t="s">
        <v>11</v>
      </c>
      <c r="D2905" t="s">
        <v>22</v>
      </c>
      <c r="E2905" t="s">
        <v>23</v>
      </c>
      <c r="F2905" s="1">
        <v>123.62</v>
      </c>
      <c r="G2905" t="s">
        <v>14</v>
      </c>
      <c r="H2905" t="s">
        <v>15</v>
      </c>
      <c r="I2905" s="2">
        <v>3</v>
      </c>
      <c r="J2905" s="4">
        <v>6</v>
      </c>
      <c r="K2905" s="3">
        <v>3</v>
      </c>
      <c r="L2905" s="1">
        <f t="shared" si="135"/>
        <v>116.2028</v>
      </c>
      <c r="M2905" t="str" cm="1">
        <f t="array" ref="M2905">_xlfn.IFS(B2905&lt;18,"Under 18",B2905 &lt;=25,"18-25",B2905&lt;=35,"26-35",B2905&lt;=45,"36-45",B2905&lt;=60,"46-60",TRUE,"60+")</f>
        <v>46-60</v>
      </c>
      <c r="N2905" t="str">
        <f t="shared" si="136"/>
        <v>Discounted</v>
      </c>
      <c r="O2905" t="str">
        <f t="shared" si="137"/>
        <v>Returning</v>
      </c>
    </row>
    <row r="2906" spans="1:15" x14ac:dyDescent="0.25">
      <c r="A2906">
        <v>2905</v>
      </c>
      <c r="B2906">
        <v>61</v>
      </c>
      <c r="C2906" t="s">
        <v>16</v>
      </c>
      <c r="D2906" t="s">
        <v>27</v>
      </c>
      <c r="E2906" t="s">
        <v>53</v>
      </c>
      <c r="F2906" s="1">
        <v>1368.88</v>
      </c>
      <c r="G2906" t="s">
        <v>24</v>
      </c>
      <c r="H2906" t="s">
        <v>15</v>
      </c>
      <c r="I2906" s="2">
        <v>2.8</v>
      </c>
      <c r="J2906" s="4">
        <v>4</v>
      </c>
      <c r="K2906" s="3">
        <v>2</v>
      </c>
      <c r="L2906" s="1">
        <f t="shared" si="135"/>
        <v>1314.1248000000001</v>
      </c>
      <c r="M2906" t="str" cm="1">
        <f t="array" ref="M2906">_xlfn.IFS(B2906&lt;18,"Under 18",B2906 &lt;=25,"18-25",B2906&lt;=35,"26-35",B2906&lt;=45,"36-45",B2906&lt;=60,"46-60",TRUE,"60+")</f>
        <v>60+</v>
      </c>
      <c r="N2906" t="str">
        <f t="shared" si="136"/>
        <v>Discounted</v>
      </c>
      <c r="O2906" t="str">
        <f t="shared" si="137"/>
        <v>Returning</v>
      </c>
    </row>
    <row r="2907" spans="1:15" x14ac:dyDescent="0.25">
      <c r="A2907">
        <v>2906</v>
      </c>
      <c r="B2907">
        <v>50</v>
      </c>
      <c r="C2907" t="s">
        <v>16</v>
      </c>
      <c r="D2907" t="s">
        <v>25</v>
      </c>
      <c r="E2907" t="s">
        <v>54</v>
      </c>
      <c r="F2907" s="1">
        <v>58.24</v>
      </c>
      <c r="G2907" t="s">
        <v>19</v>
      </c>
      <c r="H2907" t="s">
        <v>15</v>
      </c>
      <c r="I2907" s="2">
        <v>3.1</v>
      </c>
      <c r="J2907" s="4">
        <v>16</v>
      </c>
      <c r="K2907" s="3">
        <v>3</v>
      </c>
      <c r="L2907" s="1">
        <f t="shared" si="135"/>
        <v>48.921599999999998</v>
      </c>
      <c r="M2907" t="str" cm="1">
        <f t="array" ref="M2907">_xlfn.IFS(B2907&lt;18,"Under 18",B2907 &lt;=25,"18-25",B2907&lt;=35,"26-35",B2907&lt;=45,"36-45",B2907&lt;=60,"46-60",TRUE,"60+")</f>
        <v>46-60</v>
      </c>
      <c r="N2907" t="str">
        <f t="shared" si="136"/>
        <v>Discounted</v>
      </c>
      <c r="O2907" t="str">
        <f t="shared" si="137"/>
        <v>Returning</v>
      </c>
    </row>
    <row r="2908" spans="1:15" x14ac:dyDescent="0.25">
      <c r="A2908">
        <v>2907</v>
      </c>
      <c r="B2908">
        <v>69</v>
      </c>
      <c r="C2908" t="s">
        <v>16</v>
      </c>
      <c r="D2908" t="s">
        <v>20</v>
      </c>
      <c r="E2908" t="s">
        <v>39</v>
      </c>
      <c r="F2908" s="1">
        <v>168.81</v>
      </c>
      <c r="G2908" t="s">
        <v>19</v>
      </c>
      <c r="H2908" t="s">
        <v>15</v>
      </c>
      <c r="I2908" s="2">
        <v>3.2</v>
      </c>
      <c r="J2908" s="4">
        <v>36</v>
      </c>
      <c r="K2908" s="3">
        <v>13</v>
      </c>
      <c r="L2908" s="1">
        <f t="shared" si="135"/>
        <v>108.03840000000001</v>
      </c>
      <c r="M2908" t="str" cm="1">
        <f t="array" ref="M2908">_xlfn.IFS(B2908&lt;18,"Under 18",B2908 &lt;=25,"18-25",B2908&lt;=35,"26-35",B2908&lt;=45,"36-45",B2908&lt;=60,"46-60",TRUE,"60+")</f>
        <v>60+</v>
      </c>
      <c r="N2908" t="str">
        <f t="shared" si="136"/>
        <v>Discounted</v>
      </c>
      <c r="O2908" t="str">
        <f t="shared" si="137"/>
        <v>Returning</v>
      </c>
    </row>
    <row r="2909" spans="1:15" x14ac:dyDescent="0.25">
      <c r="A2909">
        <v>2908</v>
      </c>
      <c r="B2909">
        <v>48</v>
      </c>
      <c r="C2909" t="s">
        <v>11</v>
      </c>
      <c r="D2909" t="s">
        <v>41</v>
      </c>
      <c r="E2909" t="s">
        <v>42</v>
      </c>
      <c r="F2909" s="1">
        <v>146.69</v>
      </c>
      <c r="G2909" t="s">
        <v>24</v>
      </c>
      <c r="H2909" t="s">
        <v>15</v>
      </c>
      <c r="I2909" s="2">
        <v>3.5</v>
      </c>
      <c r="J2909" s="4">
        <v>20</v>
      </c>
      <c r="K2909" s="3">
        <v>5</v>
      </c>
      <c r="L2909" s="1">
        <f t="shared" si="135"/>
        <v>117.352</v>
      </c>
      <c r="M2909" t="str" cm="1">
        <f t="array" ref="M2909">_xlfn.IFS(B2909&lt;18,"Under 18",B2909 &lt;=25,"18-25",B2909&lt;=35,"26-35",B2909&lt;=45,"36-45",B2909&lt;=60,"46-60",TRUE,"60+")</f>
        <v>46-60</v>
      </c>
      <c r="N2909" t="str">
        <f t="shared" si="136"/>
        <v>Discounted</v>
      </c>
      <c r="O2909" t="str">
        <f t="shared" si="137"/>
        <v>Returning</v>
      </c>
    </row>
    <row r="2910" spans="1:15" x14ac:dyDescent="0.25">
      <c r="A2910">
        <v>2909</v>
      </c>
      <c r="B2910">
        <v>40</v>
      </c>
      <c r="C2910" t="s">
        <v>16</v>
      </c>
      <c r="D2910" t="s">
        <v>22</v>
      </c>
      <c r="E2910" t="s">
        <v>43</v>
      </c>
      <c r="F2910" s="1">
        <v>155.94999999999999</v>
      </c>
      <c r="G2910" t="s">
        <v>24</v>
      </c>
      <c r="H2910" t="s">
        <v>15</v>
      </c>
      <c r="I2910" s="2">
        <v>3.3</v>
      </c>
      <c r="J2910" s="4">
        <v>16</v>
      </c>
      <c r="K2910" s="3">
        <v>3</v>
      </c>
      <c r="L2910" s="1">
        <f t="shared" si="135"/>
        <v>130.99799999999999</v>
      </c>
      <c r="M2910" t="str" cm="1">
        <f t="array" ref="M2910">_xlfn.IFS(B2910&lt;18,"Under 18",B2910 &lt;=25,"18-25",B2910&lt;=35,"26-35",B2910&lt;=45,"36-45",B2910&lt;=60,"46-60",TRUE,"60+")</f>
        <v>36-45</v>
      </c>
      <c r="N2910" t="str">
        <f t="shared" si="136"/>
        <v>Discounted</v>
      </c>
      <c r="O2910" t="str">
        <f t="shared" si="137"/>
        <v>Returning</v>
      </c>
    </row>
    <row r="2911" spans="1:15" x14ac:dyDescent="0.25">
      <c r="A2911">
        <v>2910</v>
      </c>
      <c r="B2911">
        <v>29</v>
      </c>
      <c r="C2911" t="s">
        <v>11</v>
      </c>
      <c r="D2911" t="s">
        <v>22</v>
      </c>
      <c r="E2911" t="s">
        <v>43</v>
      </c>
      <c r="F2911" s="1">
        <v>243.83</v>
      </c>
      <c r="G2911" t="s">
        <v>19</v>
      </c>
      <c r="H2911" t="s">
        <v>15</v>
      </c>
      <c r="I2911" s="2">
        <v>4.5</v>
      </c>
      <c r="J2911" s="4">
        <v>12</v>
      </c>
      <c r="K2911" s="3">
        <v>6</v>
      </c>
      <c r="L2911" s="1">
        <f t="shared" si="135"/>
        <v>214.57040000000001</v>
      </c>
      <c r="M2911" t="str" cm="1">
        <f t="array" ref="M2911">_xlfn.IFS(B2911&lt;18,"Under 18",B2911 &lt;=25,"18-25",B2911&lt;=35,"26-35",B2911&lt;=45,"36-45",B2911&lt;=60,"46-60",TRUE,"60+")</f>
        <v>26-35</v>
      </c>
      <c r="N2911" t="str">
        <f t="shared" si="136"/>
        <v>Discounted</v>
      </c>
      <c r="O2911" t="str">
        <f t="shared" si="137"/>
        <v>Returning</v>
      </c>
    </row>
    <row r="2912" spans="1:15" x14ac:dyDescent="0.25">
      <c r="A2912">
        <v>2911</v>
      </c>
      <c r="B2912">
        <v>67</v>
      </c>
      <c r="C2912" t="s">
        <v>16</v>
      </c>
      <c r="D2912" t="s">
        <v>27</v>
      </c>
      <c r="E2912" t="s">
        <v>53</v>
      </c>
      <c r="F2912" s="1">
        <v>1908.28</v>
      </c>
      <c r="G2912" t="s">
        <v>19</v>
      </c>
      <c r="H2912" t="s">
        <v>15</v>
      </c>
      <c r="I2912" s="2">
        <v>4</v>
      </c>
      <c r="J2912" s="4">
        <v>24</v>
      </c>
      <c r="K2912" s="3">
        <v>7</v>
      </c>
      <c r="L2912" s="1">
        <f t="shared" si="135"/>
        <v>1450.2927999999999</v>
      </c>
      <c r="M2912" t="str" cm="1">
        <f t="array" ref="M2912">_xlfn.IFS(B2912&lt;18,"Under 18",B2912 &lt;=25,"18-25",B2912&lt;=35,"26-35",B2912&lt;=45,"36-45",B2912&lt;=60,"46-60",TRUE,"60+")</f>
        <v>60+</v>
      </c>
      <c r="N2912" t="str">
        <f t="shared" si="136"/>
        <v>Discounted</v>
      </c>
      <c r="O2912" t="str">
        <f t="shared" si="137"/>
        <v>Returning</v>
      </c>
    </row>
    <row r="2913" spans="1:15" x14ac:dyDescent="0.25">
      <c r="A2913">
        <v>2912</v>
      </c>
      <c r="B2913">
        <v>70</v>
      </c>
      <c r="C2913" t="s">
        <v>16</v>
      </c>
      <c r="D2913" t="s">
        <v>33</v>
      </c>
      <c r="E2913" t="s">
        <v>38</v>
      </c>
      <c r="F2913" s="1">
        <v>73.739999999999995</v>
      </c>
      <c r="G2913" t="s">
        <v>31</v>
      </c>
      <c r="H2913" t="s">
        <v>15</v>
      </c>
      <c r="I2913" s="2">
        <v>3.4</v>
      </c>
      <c r="J2913" s="4">
        <v>20</v>
      </c>
      <c r="K2913" s="3">
        <v>5</v>
      </c>
      <c r="L2913" s="1">
        <f t="shared" si="135"/>
        <v>58.991999999999997</v>
      </c>
      <c r="M2913" t="str" cm="1">
        <f t="array" ref="M2913">_xlfn.IFS(B2913&lt;18,"Under 18",B2913 &lt;=25,"18-25",B2913&lt;=35,"26-35",B2913&lt;=45,"36-45",B2913&lt;=60,"46-60",TRUE,"60+")</f>
        <v>60+</v>
      </c>
      <c r="N2913" t="str">
        <f t="shared" si="136"/>
        <v>Discounted</v>
      </c>
      <c r="O2913" t="str">
        <f t="shared" si="137"/>
        <v>Returning</v>
      </c>
    </row>
    <row r="2914" spans="1:15" x14ac:dyDescent="0.25">
      <c r="A2914">
        <v>2913</v>
      </c>
      <c r="B2914">
        <v>38</v>
      </c>
      <c r="C2914" t="s">
        <v>11</v>
      </c>
      <c r="D2914" t="s">
        <v>41</v>
      </c>
      <c r="E2914" t="s">
        <v>44</v>
      </c>
      <c r="F2914" s="1">
        <v>74.12</v>
      </c>
      <c r="G2914" t="s">
        <v>31</v>
      </c>
      <c r="H2914" t="s">
        <v>37</v>
      </c>
      <c r="I2914" s="2">
        <v>4.3</v>
      </c>
      <c r="J2914" s="4">
        <v>18</v>
      </c>
      <c r="K2914" s="3">
        <v>4</v>
      </c>
      <c r="L2914" s="1">
        <f t="shared" si="135"/>
        <v>60.778400000000005</v>
      </c>
      <c r="M2914" t="str" cm="1">
        <f t="array" ref="M2914">_xlfn.IFS(B2914&lt;18,"Under 18",B2914 &lt;=25,"18-25",B2914&lt;=35,"26-35",B2914&lt;=45,"36-45",B2914&lt;=60,"46-60",TRUE,"60+")</f>
        <v>36-45</v>
      </c>
      <c r="N2914" t="str">
        <f t="shared" si="136"/>
        <v>Discounted</v>
      </c>
      <c r="O2914" t="str">
        <f t="shared" si="137"/>
        <v>Returning</v>
      </c>
    </row>
    <row r="2915" spans="1:15" x14ac:dyDescent="0.25">
      <c r="A2915">
        <v>2914</v>
      </c>
      <c r="B2915">
        <v>23</v>
      </c>
      <c r="C2915" t="s">
        <v>11</v>
      </c>
      <c r="D2915" t="s">
        <v>41</v>
      </c>
      <c r="E2915" t="s">
        <v>45</v>
      </c>
      <c r="F2915" s="1">
        <v>44.28</v>
      </c>
      <c r="G2915" t="s">
        <v>31</v>
      </c>
      <c r="H2915" t="s">
        <v>37</v>
      </c>
      <c r="I2915" s="2">
        <v>4.9000000000000004</v>
      </c>
      <c r="J2915" s="4">
        <v>15</v>
      </c>
      <c r="K2915" s="3">
        <v>5</v>
      </c>
      <c r="L2915" s="1">
        <f t="shared" si="135"/>
        <v>37.637999999999998</v>
      </c>
      <c r="M2915" t="str" cm="1">
        <f t="array" ref="M2915">_xlfn.IFS(B2915&lt;18,"Under 18",B2915 &lt;=25,"18-25",B2915&lt;=35,"26-35",B2915&lt;=45,"36-45",B2915&lt;=60,"46-60",TRUE,"60+")</f>
        <v>18-25</v>
      </c>
      <c r="N2915" t="str">
        <f t="shared" si="136"/>
        <v>Discounted</v>
      </c>
      <c r="O2915" t="str">
        <f t="shared" si="137"/>
        <v>Returning</v>
      </c>
    </row>
    <row r="2916" spans="1:15" x14ac:dyDescent="0.25">
      <c r="A2916">
        <v>2915</v>
      </c>
      <c r="B2916">
        <v>47</v>
      </c>
      <c r="C2916" t="s">
        <v>16</v>
      </c>
      <c r="D2916" t="s">
        <v>33</v>
      </c>
      <c r="E2916" t="s">
        <v>34</v>
      </c>
      <c r="F2916" s="1">
        <v>174.96</v>
      </c>
      <c r="G2916" t="s">
        <v>14</v>
      </c>
      <c r="H2916" t="s">
        <v>15</v>
      </c>
      <c r="I2916" s="2">
        <v>5</v>
      </c>
      <c r="J2916" s="4">
        <v>9</v>
      </c>
      <c r="K2916" s="3">
        <v>2</v>
      </c>
      <c r="L2916" s="1">
        <f t="shared" si="135"/>
        <v>159.21360000000001</v>
      </c>
      <c r="M2916" t="str" cm="1">
        <f t="array" ref="M2916">_xlfn.IFS(B2916&lt;18,"Under 18",B2916 &lt;=25,"18-25",B2916&lt;=35,"26-35",B2916&lt;=45,"36-45",B2916&lt;=60,"46-60",TRUE,"60+")</f>
        <v>46-60</v>
      </c>
      <c r="N2916" t="str">
        <f t="shared" si="136"/>
        <v>Discounted</v>
      </c>
      <c r="O2916" t="str">
        <f t="shared" si="137"/>
        <v>Returning</v>
      </c>
    </row>
    <row r="2917" spans="1:15" x14ac:dyDescent="0.25">
      <c r="A2917">
        <v>2916</v>
      </c>
      <c r="B2917">
        <v>42</v>
      </c>
      <c r="C2917" t="s">
        <v>11</v>
      </c>
      <c r="D2917" t="s">
        <v>12</v>
      </c>
      <c r="E2917" t="s">
        <v>50</v>
      </c>
      <c r="F2917" s="1">
        <v>137.86000000000001</v>
      </c>
      <c r="G2917" t="s">
        <v>31</v>
      </c>
      <c r="H2917" t="s">
        <v>15</v>
      </c>
      <c r="I2917" s="2">
        <v>5</v>
      </c>
      <c r="J2917" s="4">
        <v>12</v>
      </c>
      <c r="K2917" s="3">
        <v>1</v>
      </c>
      <c r="L2917" s="1">
        <f t="shared" si="135"/>
        <v>121.31680000000001</v>
      </c>
      <c r="M2917" t="str" cm="1">
        <f t="array" ref="M2917">_xlfn.IFS(B2917&lt;18,"Under 18",B2917 &lt;=25,"18-25",B2917&lt;=35,"26-35",B2917&lt;=45,"36-45",B2917&lt;=60,"46-60",TRUE,"60+")</f>
        <v>36-45</v>
      </c>
      <c r="N2917" t="str">
        <f t="shared" si="136"/>
        <v>Discounted</v>
      </c>
      <c r="O2917" t="str">
        <f t="shared" si="137"/>
        <v>Returning</v>
      </c>
    </row>
    <row r="2918" spans="1:15" x14ac:dyDescent="0.25">
      <c r="A2918">
        <v>2917</v>
      </c>
      <c r="B2918">
        <v>69</v>
      </c>
      <c r="C2918" t="s">
        <v>16</v>
      </c>
      <c r="D2918" t="s">
        <v>17</v>
      </c>
      <c r="E2918" t="s">
        <v>35</v>
      </c>
      <c r="F2918" s="1">
        <v>172.24</v>
      </c>
      <c r="G2918" t="s">
        <v>14</v>
      </c>
      <c r="H2918" t="s">
        <v>15</v>
      </c>
      <c r="I2918" s="2">
        <v>4.3</v>
      </c>
      <c r="J2918" s="4">
        <v>18</v>
      </c>
      <c r="K2918" s="3">
        <v>9</v>
      </c>
      <c r="L2918" s="1">
        <f t="shared" si="135"/>
        <v>141.23680000000002</v>
      </c>
      <c r="M2918" t="str" cm="1">
        <f t="array" ref="M2918">_xlfn.IFS(B2918&lt;18,"Under 18",B2918 &lt;=25,"18-25",B2918&lt;=35,"26-35",B2918&lt;=45,"36-45",B2918&lt;=60,"46-60",TRUE,"60+")</f>
        <v>60+</v>
      </c>
      <c r="N2918" t="str">
        <f t="shared" si="136"/>
        <v>Discounted</v>
      </c>
      <c r="O2918" t="str">
        <f t="shared" si="137"/>
        <v>Returning</v>
      </c>
    </row>
    <row r="2919" spans="1:15" x14ac:dyDescent="0.25">
      <c r="A2919">
        <v>2918</v>
      </c>
      <c r="B2919">
        <v>59</v>
      </c>
      <c r="C2919" t="s">
        <v>11</v>
      </c>
      <c r="D2919" t="s">
        <v>12</v>
      </c>
      <c r="E2919" t="s">
        <v>56</v>
      </c>
      <c r="F2919" s="1">
        <v>99.13</v>
      </c>
      <c r="G2919" t="s">
        <v>24</v>
      </c>
      <c r="H2919" t="s">
        <v>15</v>
      </c>
      <c r="I2919" s="2">
        <v>3.5</v>
      </c>
      <c r="J2919" s="4">
        <v>18</v>
      </c>
      <c r="K2919" s="3">
        <v>4</v>
      </c>
      <c r="L2919" s="1">
        <f t="shared" si="135"/>
        <v>81.286600000000007</v>
      </c>
      <c r="M2919" t="str" cm="1">
        <f t="array" ref="M2919">_xlfn.IFS(B2919&lt;18,"Under 18",B2919 &lt;=25,"18-25",B2919&lt;=35,"26-35",B2919&lt;=45,"36-45",B2919&lt;=60,"46-60",TRUE,"60+")</f>
        <v>46-60</v>
      </c>
      <c r="N2919" t="str">
        <f t="shared" si="136"/>
        <v>Discounted</v>
      </c>
      <c r="O2919" t="str">
        <f t="shared" si="137"/>
        <v>Returning</v>
      </c>
    </row>
    <row r="2920" spans="1:15" x14ac:dyDescent="0.25">
      <c r="A2920">
        <v>2919</v>
      </c>
      <c r="B2920">
        <v>67</v>
      </c>
      <c r="C2920" t="s">
        <v>11</v>
      </c>
      <c r="D2920" t="s">
        <v>41</v>
      </c>
      <c r="E2920" t="s">
        <v>44</v>
      </c>
      <c r="F2920" s="1">
        <v>149.36000000000001</v>
      </c>
      <c r="G2920" t="s">
        <v>14</v>
      </c>
      <c r="H2920" t="s">
        <v>15</v>
      </c>
      <c r="I2920" s="2">
        <v>3.8</v>
      </c>
      <c r="J2920" s="4">
        <v>20</v>
      </c>
      <c r="K2920" s="3">
        <v>10</v>
      </c>
      <c r="L2920" s="1">
        <f t="shared" si="135"/>
        <v>119.48800000000001</v>
      </c>
      <c r="M2920" t="str" cm="1">
        <f t="array" ref="M2920">_xlfn.IFS(B2920&lt;18,"Under 18",B2920 &lt;=25,"18-25",B2920&lt;=35,"26-35",B2920&lt;=45,"36-45",B2920&lt;=60,"46-60",TRUE,"60+")</f>
        <v>60+</v>
      </c>
      <c r="N2920" t="str">
        <f t="shared" si="136"/>
        <v>Discounted</v>
      </c>
      <c r="O2920" t="str">
        <f t="shared" si="137"/>
        <v>Returning</v>
      </c>
    </row>
    <row r="2921" spans="1:15" x14ac:dyDescent="0.25">
      <c r="A2921">
        <v>2920</v>
      </c>
      <c r="B2921">
        <v>47</v>
      </c>
      <c r="C2921" t="s">
        <v>11</v>
      </c>
      <c r="D2921" t="s">
        <v>33</v>
      </c>
      <c r="E2921" t="s">
        <v>34</v>
      </c>
      <c r="F2921" s="1">
        <v>58.36</v>
      </c>
      <c r="G2921" t="s">
        <v>14</v>
      </c>
      <c r="H2921" t="s">
        <v>37</v>
      </c>
      <c r="I2921" s="2">
        <v>3.1</v>
      </c>
      <c r="J2921" s="4">
        <v>16</v>
      </c>
      <c r="K2921" s="3">
        <v>3</v>
      </c>
      <c r="L2921" s="1">
        <f t="shared" si="135"/>
        <v>49.022399999999998</v>
      </c>
      <c r="M2921" t="str" cm="1">
        <f t="array" ref="M2921">_xlfn.IFS(B2921&lt;18,"Under 18",B2921 &lt;=25,"18-25",B2921&lt;=35,"26-35",B2921&lt;=45,"36-45",B2921&lt;=60,"46-60",TRUE,"60+")</f>
        <v>46-60</v>
      </c>
      <c r="N2921" t="str">
        <f t="shared" si="136"/>
        <v>Discounted</v>
      </c>
      <c r="O2921" t="str">
        <f t="shared" si="137"/>
        <v>Returning</v>
      </c>
    </row>
    <row r="2922" spans="1:15" x14ac:dyDescent="0.25">
      <c r="A2922">
        <v>2921</v>
      </c>
      <c r="B2922">
        <v>40</v>
      </c>
      <c r="C2922" t="s">
        <v>16</v>
      </c>
      <c r="D2922" t="s">
        <v>20</v>
      </c>
      <c r="E2922" t="s">
        <v>36</v>
      </c>
      <c r="F2922" s="1">
        <v>108.91</v>
      </c>
      <c r="G2922" t="s">
        <v>19</v>
      </c>
      <c r="H2922" t="s">
        <v>15</v>
      </c>
      <c r="I2922" s="2">
        <v>3.6</v>
      </c>
      <c r="J2922" s="4">
        <v>12</v>
      </c>
      <c r="K2922" s="3">
        <v>6</v>
      </c>
      <c r="L2922" s="1">
        <f t="shared" si="135"/>
        <v>95.840800000000002</v>
      </c>
      <c r="M2922" t="str" cm="1">
        <f t="array" ref="M2922">_xlfn.IFS(B2922&lt;18,"Under 18",B2922 &lt;=25,"18-25",B2922&lt;=35,"26-35",B2922&lt;=45,"36-45",B2922&lt;=60,"46-60",TRUE,"60+")</f>
        <v>36-45</v>
      </c>
      <c r="N2922" t="str">
        <f t="shared" si="136"/>
        <v>Discounted</v>
      </c>
      <c r="O2922" t="str">
        <f t="shared" si="137"/>
        <v>Returning</v>
      </c>
    </row>
    <row r="2923" spans="1:15" x14ac:dyDescent="0.25">
      <c r="A2923">
        <v>2922</v>
      </c>
      <c r="B2923">
        <v>42</v>
      </c>
      <c r="C2923" t="s">
        <v>16</v>
      </c>
      <c r="D2923" t="s">
        <v>20</v>
      </c>
      <c r="E2923" t="s">
        <v>39</v>
      </c>
      <c r="F2923" s="1">
        <v>74.2</v>
      </c>
      <c r="G2923" t="s">
        <v>19</v>
      </c>
      <c r="H2923" t="s">
        <v>15</v>
      </c>
      <c r="I2923" s="2">
        <v>2.7</v>
      </c>
      <c r="J2923" s="4">
        <v>8</v>
      </c>
      <c r="K2923" s="3">
        <v>4</v>
      </c>
      <c r="L2923" s="1">
        <f t="shared" si="135"/>
        <v>68.26400000000001</v>
      </c>
      <c r="M2923" t="str" cm="1">
        <f t="array" ref="M2923">_xlfn.IFS(B2923&lt;18,"Under 18",B2923 &lt;=25,"18-25",B2923&lt;=35,"26-35",B2923&lt;=45,"36-45",B2923&lt;=60,"46-60",TRUE,"60+")</f>
        <v>36-45</v>
      </c>
      <c r="N2923" t="str">
        <f t="shared" si="136"/>
        <v>Discounted</v>
      </c>
      <c r="O2923" t="str">
        <f t="shared" si="137"/>
        <v>Returning</v>
      </c>
    </row>
    <row r="2924" spans="1:15" x14ac:dyDescent="0.25">
      <c r="A2924">
        <v>2923</v>
      </c>
      <c r="B2924">
        <v>63</v>
      </c>
      <c r="C2924" t="s">
        <v>11</v>
      </c>
      <c r="D2924" t="s">
        <v>25</v>
      </c>
      <c r="E2924" t="s">
        <v>26</v>
      </c>
      <c r="F2924" s="1">
        <v>35.58</v>
      </c>
      <c r="G2924" t="s">
        <v>14</v>
      </c>
      <c r="H2924" t="s">
        <v>15</v>
      </c>
      <c r="I2924" s="2">
        <v>2.9</v>
      </c>
      <c r="J2924" s="4">
        <v>19</v>
      </c>
      <c r="K2924" s="3">
        <v>7</v>
      </c>
      <c r="L2924" s="1">
        <f t="shared" si="135"/>
        <v>28.819800000000001</v>
      </c>
      <c r="M2924" t="str" cm="1">
        <f t="array" ref="M2924">_xlfn.IFS(B2924&lt;18,"Under 18",B2924 &lt;=25,"18-25",B2924&lt;=35,"26-35",B2924&lt;=45,"36-45",B2924&lt;=60,"46-60",TRUE,"60+")</f>
        <v>60+</v>
      </c>
      <c r="N2924" t="str">
        <f t="shared" si="136"/>
        <v>Discounted</v>
      </c>
      <c r="O2924" t="str">
        <f t="shared" si="137"/>
        <v>Returning</v>
      </c>
    </row>
    <row r="2925" spans="1:15" x14ac:dyDescent="0.25">
      <c r="A2925">
        <v>2924</v>
      </c>
      <c r="B2925">
        <v>45</v>
      </c>
      <c r="C2925" t="s">
        <v>16</v>
      </c>
      <c r="D2925" t="s">
        <v>20</v>
      </c>
      <c r="E2925" t="s">
        <v>39</v>
      </c>
      <c r="F2925" s="1">
        <v>56.1</v>
      </c>
      <c r="G2925" t="s">
        <v>24</v>
      </c>
      <c r="H2925" t="s">
        <v>15</v>
      </c>
      <c r="I2925" s="2">
        <v>3.4</v>
      </c>
      <c r="J2925" s="4">
        <v>15</v>
      </c>
      <c r="K2925" s="3">
        <v>5</v>
      </c>
      <c r="L2925" s="1">
        <f t="shared" si="135"/>
        <v>47.685000000000002</v>
      </c>
      <c r="M2925" t="str" cm="1">
        <f t="array" ref="M2925">_xlfn.IFS(B2925&lt;18,"Under 18",B2925 &lt;=25,"18-25",B2925&lt;=35,"26-35",B2925&lt;=45,"36-45",B2925&lt;=60,"46-60",TRUE,"60+")</f>
        <v>36-45</v>
      </c>
      <c r="N2925" t="str">
        <f t="shared" si="136"/>
        <v>Discounted</v>
      </c>
      <c r="O2925" t="str">
        <f t="shared" si="137"/>
        <v>Returning</v>
      </c>
    </row>
    <row r="2926" spans="1:15" x14ac:dyDescent="0.25">
      <c r="A2926">
        <v>2925</v>
      </c>
      <c r="B2926">
        <v>51</v>
      </c>
      <c r="C2926" t="s">
        <v>16</v>
      </c>
      <c r="D2926" t="s">
        <v>33</v>
      </c>
      <c r="E2926" t="s">
        <v>34</v>
      </c>
      <c r="F2926" s="1">
        <v>67.650000000000006</v>
      </c>
      <c r="G2926" t="s">
        <v>24</v>
      </c>
      <c r="H2926" t="s">
        <v>15</v>
      </c>
      <c r="I2926" s="2">
        <v>4.3</v>
      </c>
      <c r="J2926" s="4">
        <v>13</v>
      </c>
      <c r="K2926" s="3">
        <v>4</v>
      </c>
      <c r="L2926" s="1">
        <f t="shared" si="135"/>
        <v>58.855500000000006</v>
      </c>
      <c r="M2926" t="str" cm="1">
        <f t="array" ref="M2926">_xlfn.IFS(B2926&lt;18,"Under 18",B2926 &lt;=25,"18-25",B2926&lt;=35,"26-35",B2926&lt;=45,"36-45",B2926&lt;=60,"46-60",TRUE,"60+")</f>
        <v>46-60</v>
      </c>
      <c r="N2926" t="str">
        <f t="shared" si="136"/>
        <v>Discounted</v>
      </c>
      <c r="O2926" t="str">
        <f t="shared" si="137"/>
        <v>Returning</v>
      </c>
    </row>
    <row r="2927" spans="1:15" x14ac:dyDescent="0.25">
      <c r="A2927">
        <v>2926</v>
      </c>
      <c r="B2927">
        <v>66</v>
      </c>
      <c r="C2927" t="s">
        <v>16</v>
      </c>
      <c r="D2927" t="s">
        <v>27</v>
      </c>
      <c r="E2927" t="s">
        <v>28</v>
      </c>
      <c r="F2927" s="1">
        <v>2242.8000000000002</v>
      </c>
      <c r="G2927" t="s">
        <v>19</v>
      </c>
      <c r="H2927" t="s">
        <v>15</v>
      </c>
      <c r="I2927" s="2">
        <v>4.4000000000000004</v>
      </c>
      <c r="J2927" s="4">
        <v>12</v>
      </c>
      <c r="K2927" s="3">
        <v>1</v>
      </c>
      <c r="L2927" s="1">
        <f t="shared" si="135"/>
        <v>1973.6640000000002</v>
      </c>
      <c r="M2927" t="str" cm="1">
        <f t="array" ref="M2927">_xlfn.IFS(B2927&lt;18,"Under 18",B2927 &lt;=25,"18-25",B2927&lt;=35,"26-35",B2927&lt;=45,"36-45",B2927&lt;=60,"46-60",TRUE,"60+")</f>
        <v>60+</v>
      </c>
      <c r="N2927" t="str">
        <f t="shared" si="136"/>
        <v>Discounted</v>
      </c>
      <c r="O2927" t="str">
        <f t="shared" si="137"/>
        <v>Returning</v>
      </c>
    </row>
    <row r="2928" spans="1:15" x14ac:dyDescent="0.25">
      <c r="A2928">
        <v>2927</v>
      </c>
      <c r="B2928">
        <v>25</v>
      </c>
      <c r="C2928" t="s">
        <v>16</v>
      </c>
      <c r="D2928" t="s">
        <v>17</v>
      </c>
      <c r="E2928" t="s">
        <v>42</v>
      </c>
      <c r="F2928" s="1">
        <v>135.66999999999999</v>
      </c>
      <c r="G2928" t="s">
        <v>19</v>
      </c>
      <c r="H2928" t="s">
        <v>15</v>
      </c>
      <c r="I2928" s="2">
        <v>4.5</v>
      </c>
      <c r="J2928" s="4">
        <v>8</v>
      </c>
      <c r="K2928" s="3">
        <v>4</v>
      </c>
      <c r="L2928" s="1">
        <f t="shared" si="135"/>
        <v>124.81639999999999</v>
      </c>
      <c r="M2928" t="str" cm="1">
        <f t="array" ref="M2928">_xlfn.IFS(B2928&lt;18,"Under 18",B2928 &lt;=25,"18-25",B2928&lt;=35,"26-35",B2928&lt;=45,"36-45",B2928&lt;=60,"46-60",TRUE,"60+")</f>
        <v>18-25</v>
      </c>
      <c r="N2928" t="str">
        <f t="shared" si="136"/>
        <v>Discounted</v>
      </c>
      <c r="O2928" t="str">
        <f t="shared" si="137"/>
        <v>Returning</v>
      </c>
    </row>
    <row r="2929" spans="1:15" x14ac:dyDescent="0.25">
      <c r="A2929">
        <v>2928</v>
      </c>
      <c r="B2929">
        <v>55</v>
      </c>
      <c r="C2929" t="s">
        <v>16</v>
      </c>
      <c r="D2929" t="s">
        <v>20</v>
      </c>
      <c r="E2929" t="s">
        <v>21</v>
      </c>
      <c r="F2929" s="1">
        <v>96.63</v>
      </c>
      <c r="G2929" t="s">
        <v>24</v>
      </c>
      <c r="H2929" t="s">
        <v>15</v>
      </c>
      <c r="I2929" s="2">
        <v>3.9</v>
      </c>
      <c r="J2929" s="4">
        <v>6</v>
      </c>
      <c r="K2929" s="3">
        <v>3</v>
      </c>
      <c r="L2929" s="1">
        <f t="shared" si="135"/>
        <v>90.832199999999986</v>
      </c>
      <c r="M2929" t="str" cm="1">
        <f t="array" ref="M2929">_xlfn.IFS(B2929&lt;18,"Under 18",B2929 &lt;=25,"18-25",B2929&lt;=35,"26-35",B2929&lt;=45,"36-45",B2929&lt;=60,"46-60",TRUE,"60+")</f>
        <v>46-60</v>
      </c>
      <c r="N2929" t="str">
        <f t="shared" si="136"/>
        <v>Discounted</v>
      </c>
      <c r="O2929" t="str">
        <f t="shared" si="137"/>
        <v>Returning</v>
      </c>
    </row>
    <row r="2930" spans="1:15" x14ac:dyDescent="0.25">
      <c r="A2930">
        <v>2929</v>
      </c>
      <c r="B2930">
        <v>41</v>
      </c>
      <c r="C2930" t="s">
        <v>11</v>
      </c>
      <c r="D2930" t="s">
        <v>29</v>
      </c>
      <c r="E2930" t="s">
        <v>30</v>
      </c>
      <c r="F2930" s="1">
        <v>34.42</v>
      </c>
      <c r="G2930" t="s">
        <v>19</v>
      </c>
      <c r="H2930" t="s">
        <v>37</v>
      </c>
      <c r="I2930" s="2">
        <v>4.3</v>
      </c>
      <c r="J2930" s="4">
        <v>26</v>
      </c>
      <c r="K2930" s="3">
        <v>8</v>
      </c>
      <c r="L2930" s="1">
        <f t="shared" si="135"/>
        <v>25.470800000000001</v>
      </c>
      <c r="M2930" t="str" cm="1">
        <f t="array" ref="M2930">_xlfn.IFS(B2930&lt;18,"Under 18",B2930 &lt;=25,"18-25",B2930&lt;=35,"26-35",B2930&lt;=45,"36-45",B2930&lt;=60,"46-60",TRUE,"60+")</f>
        <v>36-45</v>
      </c>
      <c r="N2930" t="str">
        <f t="shared" si="136"/>
        <v>Discounted</v>
      </c>
      <c r="O2930" t="str">
        <f t="shared" si="137"/>
        <v>Returning</v>
      </c>
    </row>
    <row r="2931" spans="1:15" x14ac:dyDescent="0.25">
      <c r="A2931">
        <v>2930</v>
      </c>
      <c r="B2931">
        <v>64</v>
      </c>
      <c r="C2931" t="s">
        <v>11</v>
      </c>
      <c r="D2931" t="s">
        <v>12</v>
      </c>
      <c r="E2931" t="s">
        <v>56</v>
      </c>
      <c r="F2931" s="1">
        <v>108.39</v>
      </c>
      <c r="G2931" t="s">
        <v>24</v>
      </c>
      <c r="H2931" t="s">
        <v>15</v>
      </c>
      <c r="I2931" s="2">
        <v>3.3</v>
      </c>
      <c r="J2931" s="4">
        <v>10</v>
      </c>
      <c r="K2931" s="3">
        <v>5</v>
      </c>
      <c r="L2931" s="1">
        <f t="shared" si="135"/>
        <v>97.551000000000002</v>
      </c>
      <c r="M2931" t="str" cm="1">
        <f t="array" ref="M2931">_xlfn.IFS(B2931&lt;18,"Under 18",B2931 &lt;=25,"18-25",B2931&lt;=35,"26-35",B2931&lt;=45,"36-45",B2931&lt;=60,"46-60",TRUE,"60+")</f>
        <v>60+</v>
      </c>
      <c r="N2931" t="str">
        <f t="shared" si="136"/>
        <v>Discounted</v>
      </c>
      <c r="O2931" t="str">
        <f t="shared" si="137"/>
        <v>Returning</v>
      </c>
    </row>
    <row r="2932" spans="1:15" x14ac:dyDescent="0.25">
      <c r="A2932">
        <v>2931</v>
      </c>
      <c r="B2932">
        <v>67</v>
      </c>
      <c r="C2932" t="s">
        <v>16</v>
      </c>
      <c r="D2932" t="s">
        <v>33</v>
      </c>
      <c r="E2932" t="s">
        <v>38</v>
      </c>
      <c r="F2932" s="1">
        <v>96.2</v>
      </c>
      <c r="G2932" t="s">
        <v>19</v>
      </c>
      <c r="H2932" t="s">
        <v>15</v>
      </c>
      <c r="I2932" s="2">
        <v>3.1</v>
      </c>
      <c r="J2932" s="4">
        <v>5</v>
      </c>
      <c r="K2932" s="3">
        <v>0</v>
      </c>
      <c r="L2932" s="1">
        <f t="shared" si="135"/>
        <v>91.39</v>
      </c>
      <c r="M2932" t="str" cm="1">
        <f t="array" ref="M2932">_xlfn.IFS(B2932&lt;18,"Under 18",B2932 &lt;=25,"18-25",B2932&lt;=35,"26-35",B2932&lt;=45,"36-45",B2932&lt;=60,"46-60",TRUE,"60+")</f>
        <v>60+</v>
      </c>
      <c r="N2932" t="str">
        <f t="shared" si="136"/>
        <v>Discounted</v>
      </c>
      <c r="O2932" t="str">
        <f t="shared" si="137"/>
        <v>New</v>
      </c>
    </row>
    <row r="2933" spans="1:15" x14ac:dyDescent="0.25">
      <c r="A2933">
        <v>2932</v>
      </c>
      <c r="B2933">
        <v>23</v>
      </c>
      <c r="C2933" t="s">
        <v>11</v>
      </c>
      <c r="D2933" t="s">
        <v>29</v>
      </c>
      <c r="E2933" t="s">
        <v>55</v>
      </c>
      <c r="F2933" s="1">
        <v>50.94</v>
      </c>
      <c r="G2933" t="s">
        <v>14</v>
      </c>
      <c r="H2933" t="s">
        <v>37</v>
      </c>
      <c r="I2933" s="2">
        <v>1.9</v>
      </c>
      <c r="J2933" s="4">
        <v>14</v>
      </c>
      <c r="K2933" s="3">
        <v>2</v>
      </c>
      <c r="L2933" s="1">
        <f t="shared" si="135"/>
        <v>43.808399999999999</v>
      </c>
      <c r="M2933" t="str" cm="1">
        <f t="array" ref="M2933">_xlfn.IFS(B2933&lt;18,"Under 18",B2933 &lt;=25,"18-25",B2933&lt;=35,"26-35",B2933&lt;=45,"36-45",B2933&lt;=60,"46-60",TRUE,"60+")</f>
        <v>18-25</v>
      </c>
      <c r="N2933" t="str">
        <f t="shared" si="136"/>
        <v>Discounted</v>
      </c>
      <c r="O2933" t="str">
        <f t="shared" si="137"/>
        <v>Returning</v>
      </c>
    </row>
    <row r="2934" spans="1:15" x14ac:dyDescent="0.25">
      <c r="A2934">
        <v>2933</v>
      </c>
      <c r="B2934">
        <v>49</v>
      </c>
      <c r="C2934" t="s">
        <v>16</v>
      </c>
      <c r="D2934" t="s">
        <v>33</v>
      </c>
      <c r="E2934" t="s">
        <v>40</v>
      </c>
      <c r="F2934" s="1">
        <v>122.8</v>
      </c>
      <c r="G2934" t="s">
        <v>19</v>
      </c>
      <c r="H2934" t="s">
        <v>15</v>
      </c>
      <c r="I2934" s="2">
        <v>2.8</v>
      </c>
      <c r="J2934" s="4">
        <v>21</v>
      </c>
      <c r="K2934" s="3">
        <v>8</v>
      </c>
      <c r="L2934" s="1">
        <f t="shared" si="135"/>
        <v>97.012</v>
      </c>
      <c r="M2934" t="str" cm="1">
        <f t="array" ref="M2934">_xlfn.IFS(B2934&lt;18,"Under 18",B2934 &lt;=25,"18-25",B2934&lt;=35,"26-35",B2934&lt;=45,"36-45",B2934&lt;=60,"46-60",TRUE,"60+")</f>
        <v>46-60</v>
      </c>
      <c r="N2934" t="str">
        <f t="shared" si="136"/>
        <v>Discounted</v>
      </c>
      <c r="O2934" t="str">
        <f t="shared" si="137"/>
        <v>Returning</v>
      </c>
    </row>
    <row r="2935" spans="1:15" x14ac:dyDescent="0.25">
      <c r="A2935">
        <v>2934</v>
      </c>
      <c r="B2935">
        <v>53</v>
      </c>
      <c r="C2935" t="s">
        <v>16</v>
      </c>
      <c r="D2935" t="s">
        <v>17</v>
      </c>
      <c r="E2935" t="s">
        <v>48</v>
      </c>
      <c r="F2935" s="1">
        <v>198.47</v>
      </c>
      <c r="G2935" t="s">
        <v>19</v>
      </c>
      <c r="H2935" t="s">
        <v>15</v>
      </c>
      <c r="I2935" s="2">
        <v>3.4</v>
      </c>
      <c r="J2935" s="4">
        <v>9</v>
      </c>
      <c r="K2935" s="3">
        <v>2</v>
      </c>
      <c r="L2935" s="1">
        <f t="shared" si="135"/>
        <v>180.60769999999999</v>
      </c>
      <c r="M2935" t="str" cm="1">
        <f t="array" ref="M2935">_xlfn.IFS(B2935&lt;18,"Under 18",B2935 &lt;=25,"18-25",B2935&lt;=35,"26-35",B2935&lt;=45,"36-45",B2935&lt;=60,"46-60",TRUE,"60+")</f>
        <v>46-60</v>
      </c>
      <c r="N2935" t="str">
        <f t="shared" si="136"/>
        <v>Discounted</v>
      </c>
      <c r="O2935" t="str">
        <f t="shared" si="137"/>
        <v>Returning</v>
      </c>
    </row>
    <row r="2936" spans="1:15" x14ac:dyDescent="0.25">
      <c r="A2936">
        <v>2935</v>
      </c>
      <c r="B2936">
        <v>58</v>
      </c>
      <c r="C2936" t="s">
        <v>16</v>
      </c>
      <c r="D2936" t="s">
        <v>27</v>
      </c>
      <c r="E2936" t="s">
        <v>53</v>
      </c>
      <c r="F2936" s="1">
        <v>1495.44</v>
      </c>
      <c r="G2936" t="s">
        <v>14</v>
      </c>
      <c r="H2936" t="s">
        <v>15</v>
      </c>
      <c r="I2936" s="2">
        <v>3.8</v>
      </c>
      <c r="J2936" s="4">
        <v>6</v>
      </c>
      <c r="K2936" s="3">
        <v>3</v>
      </c>
      <c r="L2936" s="1">
        <f t="shared" si="135"/>
        <v>1405.7136</v>
      </c>
      <c r="M2936" t="str" cm="1">
        <f t="array" ref="M2936">_xlfn.IFS(B2936&lt;18,"Under 18",B2936 &lt;=25,"18-25",B2936&lt;=35,"26-35",B2936&lt;=45,"36-45",B2936&lt;=60,"46-60",TRUE,"60+")</f>
        <v>46-60</v>
      </c>
      <c r="N2936" t="str">
        <f t="shared" si="136"/>
        <v>Discounted</v>
      </c>
      <c r="O2936" t="str">
        <f t="shared" si="137"/>
        <v>Returning</v>
      </c>
    </row>
    <row r="2937" spans="1:15" x14ac:dyDescent="0.25">
      <c r="A2937">
        <v>2936</v>
      </c>
      <c r="B2937">
        <v>37</v>
      </c>
      <c r="C2937" t="s">
        <v>11</v>
      </c>
      <c r="D2937" t="s">
        <v>29</v>
      </c>
      <c r="E2937" t="s">
        <v>30</v>
      </c>
      <c r="F2937" s="1">
        <v>91.16</v>
      </c>
      <c r="G2937" t="s">
        <v>14</v>
      </c>
      <c r="H2937" t="s">
        <v>37</v>
      </c>
      <c r="I2937" s="2">
        <v>4.5</v>
      </c>
      <c r="J2937" s="4">
        <v>12</v>
      </c>
      <c r="K2937" s="3">
        <v>6</v>
      </c>
      <c r="L2937" s="1">
        <f t="shared" si="135"/>
        <v>80.220799999999997</v>
      </c>
      <c r="M2937" t="str" cm="1">
        <f t="array" ref="M2937">_xlfn.IFS(B2937&lt;18,"Under 18",B2937 &lt;=25,"18-25",B2937&lt;=35,"26-35",B2937&lt;=45,"36-45",B2937&lt;=60,"46-60",TRUE,"60+")</f>
        <v>36-45</v>
      </c>
      <c r="N2937" t="str">
        <f t="shared" si="136"/>
        <v>Discounted</v>
      </c>
      <c r="O2937" t="str">
        <f t="shared" si="137"/>
        <v>Returning</v>
      </c>
    </row>
    <row r="2938" spans="1:15" x14ac:dyDescent="0.25">
      <c r="A2938">
        <v>2937</v>
      </c>
      <c r="B2938">
        <v>64</v>
      </c>
      <c r="C2938" t="s">
        <v>16</v>
      </c>
      <c r="D2938" t="s">
        <v>22</v>
      </c>
      <c r="E2938" t="s">
        <v>52</v>
      </c>
      <c r="F2938" s="1">
        <v>145.24</v>
      </c>
      <c r="G2938" t="s">
        <v>19</v>
      </c>
      <c r="H2938" t="s">
        <v>15</v>
      </c>
      <c r="I2938" s="2">
        <v>3.4</v>
      </c>
      <c r="J2938" s="4">
        <v>19</v>
      </c>
      <c r="K2938" s="3">
        <v>7</v>
      </c>
      <c r="L2938" s="1">
        <f t="shared" si="135"/>
        <v>117.64440000000002</v>
      </c>
      <c r="M2938" t="str" cm="1">
        <f t="array" ref="M2938">_xlfn.IFS(B2938&lt;18,"Under 18",B2938 &lt;=25,"18-25",B2938&lt;=35,"26-35",B2938&lt;=45,"36-45",B2938&lt;=60,"46-60",TRUE,"60+")</f>
        <v>60+</v>
      </c>
      <c r="N2938" t="str">
        <f t="shared" si="136"/>
        <v>Discounted</v>
      </c>
      <c r="O2938" t="str">
        <f t="shared" si="137"/>
        <v>Returning</v>
      </c>
    </row>
    <row r="2939" spans="1:15" x14ac:dyDescent="0.25">
      <c r="A2939">
        <v>2938</v>
      </c>
      <c r="B2939">
        <v>21</v>
      </c>
      <c r="C2939" t="s">
        <v>11</v>
      </c>
      <c r="D2939" t="s">
        <v>29</v>
      </c>
      <c r="E2939" t="s">
        <v>51</v>
      </c>
      <c r="F2939" s="1">
        <v>31.76</v>
      </c>
      <c r="G2939" t="s">
        <v>14</v>
      </c>
      <c r="H2939" t="s">
        <v>37</v>
      </c>
      <c r="I2939" s="2">
        <v>4.0999999999999996</v>
      </c>
      <c r="J2939" s="4">
        <v>19</v>
      </c>
      <c r="K2939" s="3">
        <v>7</v>
      </c>
      <c r="L2939" s="1">
        <f t="shared" si="135"/>
        <v>25.725600000000004</v>
      </c>
      <c r="M2939" t="str" cm="1">
        <f t="array" ref="M2939">_xlfn.IFS(B2939&lt;18,"Under 18",B2939 &lt;=25,"18-25",B2939&lt;=35,"26-35",B2939&lt;=45,"36-45",B2939&lt;=60,"46-60",TRUE,"60+")</f>
        <v>18-25</v>
      </c>
      <c r="N2939" t="str">
        <f t="shared" si="136"/>
        <v>Discounted</v>
      </c>
      <c r="O2939" t="str">
        <f t="shared" si="137"/>
        <v>Returning</v>
      </c>
    </row>
    <row r="2940" spans="1:15" x14ac:dyDescent="0.25">
      <c r="A2940">
        <v>2939</v>
      </c>
      <c r="B2940">
        <v>50</v>
      </c>
      <c r="C2940" t="s">
        <v>16</v>
      </c>
      <c r="D2940" t="s">
        <v>27</v>
      </c>
      <c r="E2940" t="s">
        <v>28</v>
      </c>
      <c r="F2940" s="1">
        <v>1363.84</v>
      </c>
      <c r="G2940" t="s">
        <v>14</v>
      </c>
      <c r="H2940" t="s">
        <v>15</v>
      </c>
      <c r="I2940" s="2">
        <v>4.2</v>
      </c>
      <c r="J2940" s="4">
        <v>20</v>
      </c>
      <c r="K2940" s="3">
        <v>10</v>
      </c>
      <c r="L2940" s="1">
        <f t="shared" si="135"/>
        <v>1091.0719999999999</v>
      </c>
      <c r="M2940" t="str" cm="1">
        <f t="array" ref="M2940">_xlfn.IFS(B2940&lt;18,"Under 18",B2940 &lt;=25,"18-25",B2940&lt;=35,"26-35",B2940&lt;=45,"36-45",B2940&lt;=60,"46-60",TRUE,"60+")</f>
        <v>46-60</v>
      </c>
      <c r="N2940" t="str">
        <f t="shared" si="136"/>
        <v>Discounted</v>
      </c>
      <c r="O2940" t="str">
        <f t="shared" si="137"/>
        <v>Returning</v>
      </c>
    </row>
    <row r="2941" spans="1:15" x14ac:dyDescent="0.25">
      <c r="A2941">
        <v>2940</v>
      </c>
      <c r="B2941">
        <v>27</v>
      </c>
      <c r="C2941" t="s">
        <v>11</v>
      </c>
      <c r="D2941" t="s">
        <v>41</v>
      </c>
      <c r="E2941" t="s">
        <v>45</v>
      </c>
      <c r="F2941" s="1">
        <v>49.97</v>
      </c>
      <c r="G2941" t="s">
        <v>14</v>
      </c>
      <c r="H2941" t="s">
        <v>37</v>
      </c>
      <c r="I2941" s="2">
        <v>3.7</v>
      </c>
      <c r="J2941" s="4">
        <v>13</v>
      </c>
      <c r="K2941" s="3">
        <v>4</v>
      </c>
      <c r="L2941" s="1">
        <f t="shared" si="135"/>
        <v>43.4739</v>
      </c>
      <c r="M2941" t="str" cm="1">
        <f t="array" ref="M2941">_xlfn.IFS(B2941&lt;18,"Under 18",B2941 &lt;=25,"18-25",B2941&lt;=35,"26-35",B2941&lt;=45,"36-45",B2941&lt;=60,"46-60",TRUE,"60+")</f>
        <v>26-35</v>
      </c>
      <c r="N2941" t="str">
        <f t="shared" si="136"/>
        <v>Discounted</v>
      </c>
      <c r="O2941" t="str">
        <f t="shared" si="137"/>
        <v>Returning</v>
      </c>
    </row>
    <row r="2942" spans="1:15" x14ac:dyDescent="0.25">
      <c r="A2942">
        <v>2941</v>
      </c>
      <c r="B2942">
        <v>22</v>
      </c>
      <c r="C2942" t="s">
        <v>16</v>
      </c>
      <c r="D2942" t="s">
        <v>27</v>
      </c>
      <c r="E2942" t="s">
        <v>28</v>
      </c>
      <c r="F2942" s="1">
        <v>1428.39</v>
      </c>
      <c r="G2942" t="s">
        <v>31</v>
      </c>
      <c r="H2942" t="s">
        <v>15</v>
      </c>
      <c r="I2942" s="2">
        <v>3.6</v>
      </c>
      <c r="J2942" s="4">
        <v>24</v>
      </c>
      <c r="K2942" s="3">
        <v>7</v>
      </c>
      <c r="L2942" s="1">
        <f t="shared" si="135"/>
        <v>1085.5764000000001</v>
      </c>
      <c r="M2942" t="str" cm="1">
        <f t="array" ref="M2942">_xlfn.IFS(B2942&lt;18,"Under 18",B2942 &lt;=25,"18-25",B2942&lt;=35,"26-35",B2942&lt;=45,"36-45",B2942&lt;=60,"46-60",TRUE,"60+")</f>
        <v>18-25</v>
      </c>
      <c r="N2942" t="str">
        <f t="shared" si="136"/>
        <v>Discounted</v>
      </c>
      <c r="O2942" t="str">
        <f t="shared" si="137"/>
        <v>Returning</v>
      </c>
    </row>
    <row r="2943" spans="1:15" x14ac:dyDescent="0.25">
      <c r="A2943">
        <v>2942</v>
      </c>
      <c r="B2943">
        <v>63</v>
      </c>
      <c r="C2943" t="s">
        <v>16</v>
      </c>
      <c r="D2943" t="s">
        <v>22</v>
      </c>
      <c r="E2943" t="s">
        <v>23</v>
      </c>
      <c r="F2943" s="1">
        <v>208.41</v>
      </c>
      <c r="G2943" t="s">
        <v>14</v>
      </c>
      <c r="H2943" t="s">
        <v>15</v>
      </c>
      <c r="I2943" s="2">
        <v>4.2</v>
      </c>
      <c r="J2943" s="4">
        <v>30</v>
      </c>
      <c r="K2943" s="3">
        <v>10</v>
      </c>
      <c r="L2943" s="1">
        <f t="shared" si="135"/>
        <v>145.887</v>
      </c>
      <c r="M2943" t="str" cm="1">
        <f t="array" ref="M2943">_xlfn.IFS(B2943&lt;18,"Under 18",B2943 &lt;=25,"18-25",B2943&lt;=35,"26-35",B2943&lt;=45,"36-45",B2943&lt;=60,"46-60",TRUE,"60+")</f>
        <v>60+</v>
      </c>
      <c r="N2943" t="str">
        <f t="shared" si="136"/>
        <v>Discounted</v>
      </c>
      <c r="O2943" t="str">
        <f t="shared" si="137"/>
        <v>Returning</v>
      </c>
    </row>
    <row r="2944" spans="1:15" x14ac:dyDescent="0.25">
      <c r="A2944">
        <v>2943</v>
      </c>
      <c r="B2944">
        <v>28</v>
      </c>
      <c r="C2944" t="s">
        <v>11</v>
      </c>
      <c r="D2944" t="s">
        <v>33</v>
      </c>
      <c r="E2944" t="s">
        <v>40</v>
      </c>
      <c r="F2944" s="1">
        <v>220.01</v>
      </c>
      <c r="G2944" t="s">
        <v>19</v>
      </c>
      <c r="H2944" t="s">
        <v>15</v>
      </c>
      <c r="I2944" s="2">
        <v>2.7</v>
      </c>
      <c r="J2944" s="4">
        <v>15</v>
      </c>
      <c r="K2944" s="3">
        <v>5</v>
      </c>
      <c r="L2944" s="1">
        <f t="shared" si="135"/>
        <v>187.0085</v>
      </c>
      <c r="M2944" t="str" cm="1">
        <f t="array" ref="M2944">_xlfn.IFS(B2944&lt;18,"Under 18",B2944 &lt;=25,"18-25",B2944&lt;=35,"26-35",B2944&lt;=45,"36-45",B2944&lt;=60,"46-60",TRUE,"60+")</f>
        <v>26-35</v>
      </c>
      <c r="N2944" t="str">
        <f t="shared" si="136"/>
        <v>Discounted</v>
      </c>
      <c r="O2944" t="str">
        <f t="shared" si="137"/>
        <v>Returning</v>
      </c>
    </row>
    <row r="2945" spans="1:15" x14ac:dyDescent="0.25">
      <c r="A2945">
        <v>2944</v>
      </c>
      <c r="B2945">
        <v>48</v>
      </c>
      <c r="C2945" t="s">
        <v>16</v>
      </c>
      <c r="D2945" t="s">
        <v>27</v>
      </c>
      <c r="E2945" t="s">
        <v>28</v>
      </c>
      <c r="F2945" s="1">
        <v>1710.27</v>
      </c>
      <c r="G2945" t="s">
        <v>24</v>
      </c>
      <c r="H2945" t="s">
        <v>15</v>
      </c>
      <c r="I2945" s="2">
        <v>3.9</v>
      </c>
      <c r="J2945" s="4">
        <v>11</v>
      </c>
      <c r="K2945" s="3">
        <v>3</v>
      </c>
      <c r="L2945" s="1">
        <f t="shared" si="135"/>
        <v>1522.1403</v>
      </c>
      <c r="M2945" t="str" cm="1">
        <f t="array" ref="M2945">_xlfn.IFS(B2945&lt;18,"Under 18",B2945 &lt;=25,"18-25",B2945&lt;=35,"26-35",B2945&lt;=45,"36-45",B2945&lt;=60,"46-60",TRUE,"60+")</f>
        <v>46-60</v>
      </c>
      <c r="N2945" t="str">
        <f t="shared" si="136"/>
        <v>Discounted</v>
      </c>
      <c r="O2945" t="str">
        <f t="shared" si="137"/>
        <v>Returning</v>
      </c>
    </row>
    <row r="2946" spans="1:15" x14ac:dyDescent="0.25">
      <c r="A2946">
        <v>2945</v>
      </c>
      <c r="B2946">
        <v>31</v>
      </c>
      <c r="C2946" t="s">
        <v>16</v>
      </c>
      <c r="D2946" t="s">
        <v>20</v>
      </c>
      <c r="E2946" t="s">
        <v>36</v>
      </c>
      <c r="F2946" s="1">
        <v>234.56</v>
      </c>
      <c r="G2946" t="s">
        <v>24</v>
      </c>
      <c r="H2946" t="s">
        <v>15</v>
      </c>
      <c r="I2946" s="2">
        <v>4.3</v>
      </c>
      <c r="J2946" s="4">
        <v>18</v>
      </c>
      <c r="K2946" s="3">
        <v>4</v>
      </c>
      <c r="L2946" s="1">
        <f t="shared" si="135"/>
        <v>192.33920000000001</v>
      </c>
      <c r="M2946" t="str" cm="1">
        <f t="array" ref="M2946">_xlfn.IFS(B2946&lt;18,"Under 18",B2946 &lt;=25,"18-25",B2946&lt;=35,"26-35",B2946&lt;=45,"36-45",B2946&lt;=60,"46-60",TRUE,"60+")</f>
        <v>26-35</v>
      </c>
      <c r="N2946" t="str">
        <f t="shared" si="136"/>
        <v>Discounted</v>
      </c>
      <c r="O2946" t="str">
        <f t="shared" si="137"/>
        <v>Returning</v>
      </c>
    </row>
    <row r="2947" spans="1:15" x14ac:dyDescent="0.25">
      <c r="A2947">
        <v>2946</v>
      </c>
      <c r="B2947">
        <v>29</v>
      </c>
      <c r="C2947" t="s">
        <v>11</v>
      </c>
      <c r="D2947" t="s">
        <v>33</v>
      </c>
      <c r="E2947" t="s">
        <v>34</v>
      </c>
      <c r="F2947" s="1">
        <v>146.87</v>
      </c>
      <c r="G2947" t="s">
        <v>14</v>
      </c>
      <c r="H2947" t="s">
        <v>15</v>
      </c>
      <c r="I2947" s="2">
        <v>3.4</v>
      </c>
      <c r="J2947" s="4">
        <v>6</v>
      </c>
      <c r="K2947" s="3">
        <v>3</v>
      </c>
      <c r="L2947" s="1">
        <f t="shared" ref="L2947:L3010" si="138">F2947 * (1 - J2947 / 100)</f>
        <v>138.05779999999999</v>
      </c>
      <c r="M2947" t="str" cm="1">
        <f t="array" ref="M2947">_xlfn.IFS(B2947&lt;18,"Under 18",B2947 &lt;=25,"18-25",B2947&lt;=35,"26-35",B2947&lt;=45,"36-45",B2947&lt;=60,"46-60",TRUE,"60+")</f>
        <v>26-35</v>
      </c>
      <c r="N2947" t="str">
        <f t="shared" ref="N2947:N3010" si="139">IF(J2947&gt;0,"Discounted","No Discount")</f>
        <v>Discounted</v>
      </c>
      <c r="O2947" t="str">
        <f t="shared" ref="O2947:O3010" si="140">IF(K2947&gt;0,"Returning","New")</f>
        <v>Returning</v>
      </c>
    </row>
    <row r="2948" spans="1:15" x14ac:dyDescent="0.25">
      <c r="A2948">
        <v>2947</v>
      </c>
      <c r="B2948">
        <v>62</v>
      </c>
      <c r="C2948" t="s">
        <v>11</v>
      </c>
      <c r="D2948" t="s">
        <v>12</v>
      </c>
      <c r="E2948" t="s">
        <v>13</v>
      </c>
      <c r="F2948" s="1">
        <v>20.66</v>
      </c>
      <c r="G2948" t="s">
        <v>19</v>
      </c>
      <c r="H2948" t="s">
        <v>15</v>
      </c>
      <c r="I2948" s="2">
        <v>4.7</v>
      </c>
      <c r="J2948" s="4">
        <v>10</v>
      </c>
      <c r="K2948" s="3">
        <v>5</v>
      </c>
      <c r="L2948" s="1">
        <f t="shared" si="138"/>
        <v>18.594000000000001</v>
      </c>
      <c r="M2948" t="str" cm="1">
        <f t="array" ref="M2948">_xlfn.IFS(B2948&lt;18,"Under 18",B2948 &lt;=25,"18-25",B2948&lt;=35,"26-35",B2948&lt;=45,"36-45",B2948&lt;=60,"46-60",TRUE,"60+")</f>
        <v>60+</v>
      </c>
      <c r="N2948" t="str">
        <f t="shared" si="139"/>
        <v>Discounted</v>
      </c>
      <c r="O2948" t="str">
        <f t="shared" si="140"/>
        <v>Returning</v>
      </c>
    </row>
    <row r="2949" spans="1:15" x14ac:dyDescent="0.25">
      <c r="A2949">
        <v>2948</v>
      </c>
      <c r="B2949">
        <v>37</v>
      </c>
      <c r="C2949" t="s">
        <v>11</v>
      </c>
      <c r="D2949" t="s">
        <v>29</v>
      </c>
      <c r="E2949" t="s">
        <v>30</v>
      </c>
      <c r="F2949" s="1">
        <v>97.9</v>
      </c>
      <c r="G2949" t="s">
        <v>14</v>
      </c>
      <c r="H2949" t="s">
        <v>15</v>
      </c>
      <c r="I2949" s="2">
        <v>4.2</v>
      </c>
      <c r="J2949" s="4">
        <v>14</v>
      </c>
      <c r="K2949" s="3">
        <v>7</v>
      </c>
      <c r="L2949" s="1">
        <f t="shared" si="138"/>
        <v>84.194000000000003</v>
      </c>
      <c r="M2949" t="str" cm="1">
        <f t="array" ref="M2949">_xlfn.IFS(B2949&lt;18,"Under 18",B2949 &lt;=25,"18-25",B2949&lt;=35,"26-35",B2949&lt;=45,"36-45",B2949&lt;=60,"46-60",TRUE,"60+")</f>
        <v>36-45</v>
      </c>
      <c r="N2949" t="str">
        <f t="shared" si="139"/>
        <v>Discounted</v>
      </c>
      <c r="O2949" t="str">
        <f t="shared" si="140"/>
        <v>Returning</v>
      </c>
    </row>
    <row r="2950" spans="1:15" x14ac:dyDescent="0.25">
      <c r="A2950">
        <v>2949</v>
      </c>
      <c r="B2950">
        <v>51</v>
      </c>
      <c r="C2950" t="s">
        <v>16</v>
      </c>
      <c r="D2950" t="s">
        <v>27</v>
      </c>
      <c r="E2950" t="s">
        <v>28</v>
      </c>
      <c r="F2950" s="1">
        <v>1172.28</v>
      </c>
      <c r="G2950" t="s">
        <v>24</v>
      </c>
      <c r="H2950" t="s">
        <v>15</v>
      </c>
      <c r="I2950" s="2">
        <v>4.0999999999999996</v>
      </c>
      <c r="J2950" s="4">
        <v>6</v>
      </c>
      <c r="K2950" s="3">
        <v>3</v>
      </c>
      <c r="L2950" s="1">
        <f t="shared" si="138"/>
        <v>1101.9431999999999</v>
      </c>
      <c r="M2950" t="str" cm="1">
        <f t="array" ref="M2950">_xlfn.IFS(B2950&lt;18,"Under 18",B2950 &lt;=25,"18-25",B2950&lt;=35,"26-35",B2950&lt;=45,"36-45",B2950&lt;=60,"46-60",TRUE,"60+")</f>
        <v>46-60</v>
      </c>
      <c r="N2950" t="str">
        <f t="shared" si="139"/>
        <v>Discounted</v>
      </c>
      <c r="O2950" t="str">
        <f t="shared" si="140"/>
        <v>Returning</v>
      </c>
    </row>
    <row r="2951" spans="1:15" x14ac:dyDescent="0.25">
      <c r="A2951">
        <v>2950</v>
      </c>
      <c r="B2951">
        <v>52</v>
      </c>
      <c r="C2951" t="s">
        <v>11</v>
      </c>
      <c r="D2951" t="s">
        <v>12</v>
      </c>
      <c r="E2951" t="s">
        <v>56</v>
      </c>
      <c r="F2951" s="1">
        <v>48.23</v>
      </c>
      <c r="G2951" t="s">
        <v>31</v>
      </c>
      <c r="H2951" t="s">
        <v>15</v>
      </c>
      <c r="I2951" s="2">
        <v>3.4</v>
      </c>
      <c r="J2951" s="4">
        <v>4</v>
      </c>
      <c r="K2951" s="3">
        <v>2</v>
      </c>
      <c r="L2951" s="1">
        <f t="shared" si="138"/>
        <v>46.300799999999995</v>
      </c>
      <c r="M2951" t="str" cm="1">
        <f t="array" ref="M2951">_xlfn.IFS(B2951&lt;18,"Under 18",B2951 &lt;=25,"18-25",B2951&lt;=35,"26-35",B2951&lt;=45,"36-45",B2951&lt;=60,"46-60",TRUE,"60+")</f>
        <v>46-60</v>
      </c>
      <c r="N2951" t="str">
        <f t="shared" si="139"/>
        <v>Discounted</v>
      </c>
      <c r="O2951" t="str">
        <f t="shared" si="140"/>
        <v>Returning</v>
      </c>
    </row>
    <row r="2952" spans="1:15" x14ac:dyDescent="0.25">
      <c r="A2952">
        <v>2951</v>
      </c>
      <c r="B2952">
        <v>53</v>
      </c>
      <c r="C2952" t="s">
        <v>11</v>
      </c>
      <c r="D2952" t="s">
        <v>12</v>
      </c>
      <c r="E2952" t="s">
        <v>56</v>
      </c>
      <c r="F2952" s="1">
        <v>60.58</v>
      </c>
      <c r="G2952" t="s">
        <v>31</v>
      </c>
      <c r="H2952" t="s">
        <v>15</v>
      </c>
      <c r="I2952" s="2">
        <v>4.5999999999999996</v>
      </c>
      <c r="J2952" s="4">
        <v>11</v>
      </c>
      <c r="K2952" s="3">
        <v>3</v>
      </c>
      <c r="L2952" s="1">
        <f t="shared" si="138"/>
        <v>53.916199999999996</v>
      </c>
      <c r="M2952" t="str" cm="1">
        <f t="array" ref="M2952">_xlfn.IFS(B2952&lt;18,"Under 18",B2952 &lt;=25,"18-25",B2952&lt;=35,"26-35",B2952&lt;=45,"36-45",B2952&lt;=60,"46-60",TRUE,"60+")</f>
        <v>46-60</v>
      </c>
      <c r="N2952" t="str">
        <f t="shared" si="139"/>
        <v>Discounted</v>
      </c>
      <c r="O2952" t="str">
        <f t="shared" si="140"/>
        <v>Returning</v>
      </c>
    </row>
    <row r="2953" spans="1:15" x14ac:dyDescent="0.25">
      <c r="A2953">
        <v>2952</v>
      </c>
      <c r="B2953">
        <v>67</v>
      </c>
      <c r="C2953" t="s">
        <v>11</v>
      </c>
      <c r="D2953" t="s">
        <v>41</v>
      </c>
      <c r="E2953" t="s">
        <v>46</v>
      </c>
      <c r="F2953" s="1">
        <v>153.51</v>
      </c>
      <c r="G2953" t="s">
        <v>24</v>
      </c>
      <c r="H2953" t="s">
        <v>15</v>
      </c>
      <c r="I2953" s="2">
        <v>4</v>
      </c>
      <c r="J2953" s="4">
        <v>8</v>
      </c>
      <c r="K2953" s="3">
        <v>4</v>
      </c>
      <c r="L2953" s="1">
        <f t="shared" si="138"/>
        <v>141.22919999999999</v>
      </c>
      <c r="M2953" t="str" cm="1">
        <f t="array" ref="M2953">_xlfn.IFS(B2953&lt;18,"Under 18",B2953 &lt;=25,"18-25",B2953&lt;=35,"26-35",B2953&lt;=45,"36-45",B2953&lt;=60,"46-60",TRUE,"60+")</f>
        <v>60+</v>
      </c>
      <c r="N2953" t="str">
        <f t="shared" si="139"/>
        <v>Discounted</v>
      </c>
      <c r="O2953" t="str">
        <f t="shared" si="140"/>
        <v>Returning</v>
      </c>
    </row>
    <row r="2954" spans="1:15" x14ac:dyDescent="0.25">
      <c r="A2954">
        <v>2953</v>
      </c>
      <c r="B2954">
        <v>70</v>
      </c>
      <c r="C2954" t="s">
        <v>11</v>
      </c>
      <c r="D2954" t="s">
        <v>33</v>
      </c>
      <c r="E2954" t="s">
        <v>40</v>
      </c>
      <c r="F2954" s="1">
        <v>116.7</v>
      </c>
      <c r="G2954" t="s">
        <v>19</v>
      </c>
      <c r="H2954" t="s">
        <v>15</v>
      </c>
      <c r="I2954" s="2">
        <v>4.5999999999999996</v>
      </c>
      <c r="J2954" s="4">
        <v>18</v>
      </c>
      <c r="K2954" s="3">
        <v>4</v>
      </c>
      <c r="L2954" s="1">
        <f t="shared" si="138"/>
        <v>95.694000000000003</v>
      </c>
      <c r="M2954" t="str" cm="1">
        <f t="array" ref="M2954">_xlfn.IFS(B2954&lt;18,"Under 18",B2954 &lt;=25,"18-25",B2954&lt;=35,"26-35",B2954&lt;=45,"36-45",B2954&lt;=60,"46-60",TRUE,"60+")</f>
        <v>60+</v>
      </c>
      <c r="N2954" t="str">
        <f t="shared" si="139"/>
        <v>Discounted</v>
      </c>
      <c r="O2954" t="str">
        <f t="shared" si="140"/>
        <v>Returning</v>
      </c>
    </row>
    <row r="2955" spans="1:15" x14ac:dyDescent="0.25">
      <c r="A2955">
        <v>2954</v>
      </c>
      <c r="B2955">
        <v>37</v>
      </c>
      <c r="C2955" t="s">
        <v>16</v>
      </c>
      <c r="D2955" t="s">
        <v>20</v>
      </c>
      <c r="E2955" t="s">
        <v>36</v>
      </c>
      <c r="F2955" s="1">
        <v>41.88</v>
      </c>
      <c r="G2955" t="s">
        <v>31</v>
      </c>
      <c r="H2955" t="s">
        <v>37</v>
      </c>
      <c r="I2955" s="2">
        <v>3.6</v>
      </c>
      <c r="J2955" s="4">
        <v>15</v>
      </c>
      <c r="K2955" s="3">
        <v>5</v>
      </c>
      <c r="L2955" s="1">
        <f t="shared" si="138"/>
        <v>35.597999999999999</v>
      </c>
      <c r="M2955" t="str" cm="1">
        <f t="array" ref="M2955">_xlfn.IFS(B2955&lt;18,"Under 18",B2955 &lt;=25,"18-25",B2955&lt;=35,"26-35",B2955&lt;=45,"36-45",B2955&lt;=60,"46-60",TRUE,"60+")</f>
        <v>36-45</v>
      </c>
      <c r="N2955" t="str">
        <f t="shared" si="139"/>
        <v>Discounted</v>
      </c>
      <c r="O2955" t="str">
        <f t="shared" si="140"/>
        <v>Returning</v>
      </c>
    </row>
    <row r="2956" spans="1:15" x14ac:dyDescent="0.25">
      <c r="A2956">
        <v>2955</v>
      </c>
      <c r="B2956">
        <v>44</v>
      </c>
      <c r="C2956" t="s">
        <v>11</v>
      </c>
      <c r="D2956" t="s">
        <v>25</v>
      </c>
      <c r="E2956" t="s">
        <v>47</v>
      </c>
      <c r="F2956" s="1">
        <v>43.31</v>
      </c>
      <c r="G2956" t="s">
        <v>14</v>
      </c>
      <c r="H2956" t="s">
        <v>37</v>
      </c>
      <c r="I2956" s="2">
        <v>3.9</v>
      </c>
      <c r="J2956" s="4">
        <v>20</v>
      </c>
      <c r="K2956" s="3">
        <v>10</v>
      </c>
      <c r="L2956" s="1">
        <f t="shared" si="138"/>
        <v>34.648000000000003</v>
      </c>
      <c r="M2956" t="str" cm="1">
        <f t="array" ref="M2956">_xlfn.IFS(B2956&lt;18,"Under 18",B2956 &lt;=25,"18-25",B2956&lt;=35,"26-35",B2956&lt;=45,"36-45",B2956&lt;=60,"46-60",TRUE,"60+")</f>
        <v>36-45</v>
      </c>
      <c r="N2956" t="str">
        <f t="shared" si="139"/>
        <v>Discounted</v>
      </c>
      <c r="O2956" t="str">
        <f t="shared" si="140"/>
        <v>Returning</v>
      </c>
    </row>
    <row r="2957" spans="1:15" x14ac:dyDescent="0.25">
      <c r="A2957">
        <v>2956</v>
      </c>
      <c r="B2957">
        <v>57</v>
      </c>
      <c r="C2957" t="s">
        <v>11</v>
      </c>
      <c r="D2957" t="s">
        <v>41</v>
      </c>
      <c r="E2957" t="s">
        <v>46</v>
      </c>
      <c r="F2957" s="1">
        <v>186.86</v>
      </c>
      <c r="G2957" t="s">
        <v>14</v>
      </c>
      <c r="H2957" t="s">
        <v>15</v>
      </c>
      <c r="I2957" s="2">
        <v>2.9</v>
      </c>
      <c r="J2957" s="4">
        <v>9</v>
      </c>
      <c r="K2957" s="3">
        <v>2</v>
      </c>
      <c r="L2957" s="1">
        <f t="shared" si="138"/>
        <v>170.04260000000002</v>
      </c>
      <c r="M2957" t="str" cm="1">
        <f t="array" ref="M2957">_xlfn.IFS(B2957&lt;18,"Under 18",B2957 &lt;=25,"18-25",B2957&lt;=35,"26-35",B2957&lt;=45,"36-45",B2957&lt;=60,"46-60",TRUE,"60+")</f>
        <v>46-60</v>
      </c>
      <c r="N2957" t="str">
        <f t="shared" si="139"/>
        <v>Discounted</v>
      </c>
      <c r="O2957" t="str">
        <f t="shared" si="140"/>
        <v>Returning</v>
      </c>
    </row>
    <row r="2958" spans="1:15" x14ac:dyDescent="0.25">
      <c r="A2958">
        <v>2957</v>
      </c>
      <c r="B2958">
        <v>61</v>
      </c>
      <c r="C2958" t="s">
        <v>16</v>
      </c>
      <c r="D2958" t="s">
        <v>22</v>
      </c>
      <c r="E2958" t="s">
        <v>23</v>
      </c>
      <c r="F2958" s="1">
        <v>151.26</v>
      </c>
      <c r="G2958" t="s">
        <v>24</v>
      </c>
      <c r="H2958" t="s">
        <v>15</v>
      </c>
      <c r="I2958" s="2">
        <v>4.4000000000000004</v>
      </c>
      <c r="J2958" s="4">
        <v>11</v>
      </c>
      <c r="K2958" s="3">
        <v>3</v>
      </c>
      <c r="L2958" s="1">
        <f t="shared" si="138"/>
        <v>134.62139999999999</v>
      </c>
      <c r="M2958" t="str" cm="1">
        <f t="array" ref="M2958">_xlfn.IFS(B2958&lt;18,"Under 18",B2958 &lt;=25,"18-25",B2958&lt;=35,"26-35",B2958&lt;=45,"36-45",B2958&lt;=60,"46-60",TRUE,"60+")</f>
        <v>60+</v>
      </c>
      <c r="N2958" t="str">
        <f t="shared" si="139"/>
        <v>Discounted</v>
      </c>
      <c r="O2958" t="str">
        <f t="shared" si="140"/>
        <v>Returning</v>
      </c>
    </row>
    <row r="2959" spans="1:15" x14ac:dyDescent="0.25">
      <c r="A2959">
        <v>2958</v>
      </c>
      <c r="B2959">
        <v>66</v>
      </c>
      <c r="C2959" t="s">
        <v>11</v>
      </c>
      <c r="D2959" t="s">
        <v>29</v>
      </c>
      <c r="E2959" t="s">
        <v>30</v>
      </c>
      <c r="F2959" s="1">
        <v>130.44999999999999</v>
      </c>
      <c r="G2959" t="s">
        <v>14</v>
      </c>
      <c r="H2959" t="s">
        <v>15</v>
      </c>
      <c r="I2959" s="2">
        <v>3.5</v>
      </c>
      <c r="J2959" s="4">
        <v>14</v>
      </c>
      <c r="K2959" s="3">
        <v>7</v>
      </c>
      <c r="L2959" s="1">
        <f t="shared" si="138"/>
        <v>112.18699999999998</v>
      </c>
      <c r="M2959" t="str" cm="1">
        <f t="array" ref="M2959">_xlfn.IFS(B2959&lt;18,"Under 18",B2959 &lt;=25,"18-25",B2959&lt;=35,"26-35",B2959&lt;=45,"36-45",B2959&lt;=60,"46-60",TRUE,"60+")</f>
        <v>60+</v>
      </c>
      <c r="N2959" t="str">
        <f t="shared" si="139"/>
        <v>Discounted</v>
      </c>
      <c r="O2959" t="str">
        <f t="shared" si="140"/>
        <v>Returning</v>
      </c>
    </row>
    <row r="2960" spans="1:15" x14ac:dyDescent="0.25">
      <c r="A2960">
        <v>2959</v>
      </c>
      <c r="B2960">
        <v>28</v>
      </c>
      <c r="C2960" t="s">
        <v>16</v>
      </c>
      <c r="D2960" t="s">
        <v>17</v>
      </c>
      <c r="E2960" t="s">
        <v>48</v>
      </c>
      <c r="F2960" s="1">
        <v>172.56</v>
      </c>
      <c r="G2960" t="s">
        <v>24</v>
      </c>
      <c r="H2960" t="s">
        <v>15</v>
      </c>
      <c r="I2960" s="2">
        <v>4.2</v>
      </c>
      <c r="J2960" s="4">
        <v>20</v>
      </c>
      <c r="K2960" s="3">
        <v>5</v>
      </c>
      <c r="L2960" s="1">
        <f t="shared" si="138"/>
        <v>138.048</v>
      </c>
      <c r="M2960" t="str" cm="1">
        <f t="array" ref="M2960">_xlfn.IFS(B2960&lt;18,"Under 18",B2960 &lt;=25,"18-25",B2960&lt;=35,"26-35",B2960&lt;=45,"36-45",B2960&lt;=60,"46-60",TRUE,"60+")</f>
        <v>26-35</v>
      </c>
      <c r="N2960" t="str">
        <f t="shared" si="139"/>
        <v>Discounted</v>
      </c>
      <c r="O2960" t="str">
        <f t="shared" si="140"/>
        <v>Returning</v>
      </c>
    </row>
    <row r="2961" spans="1:15" x14ac:dyDescent="0.25">
      <c r="A2961">
        <v>2960</v>
      </c>
      <c r="B2961">
        <v>44</v>
      </c>
      <c r="C2961" t="s">
        <v>11</v>
      </c>
      <c r="D2961" t="s">
        <v>25</v>
      </c>
      <c r="E2961" t="s">
        <v>47</v>
      </c>
      <c r="F2961" s="1">
        <v>65.95</v>
      </c>
      <c r="G2961" t="s">
        <v>19</v>
      </c>
      <c r="H2961" t="s">
        <v>37</v>
      </c>
      <c r="I2961" s="2">
        <v>2.7</v>
      </c>
      <c r="J2961" s="4">
        <v>10</v>
      </c>
      <c r="K2961" s="3">
        <v>5</v>
      </c>
      <c r="L2961" s="1">
        <f t="shared" si="138"/>
        <v>59.355000000000004</v>
      </c>
      <c r="M2961" t="str" cm="1">
        <f t="array" ref="M2961">_xlfn.IFS(B2961&lt;18,"Under 18",B2961 &lt;=25,"18-25",B2961&lt;=35,"26-35",B2961&lt;=45,"36-45",B2961&lt;=60,"46-60",TRUE,"60+")</f>
        <v>36-45</v>
      </c>
      <c r="N2961" t="str">
        <f t="shared" si="139"/>
        <v>Discounted</v>
      </c>
      <c r="O2961" t="str">
        <f t="shared" si="140"/>
        <v>Returning</v>
      </c>
    </row>
    <row r="2962" spans="1:15" x14ac:dyDescent="0.25">
      <c r="A2962">
        <v>2961</v>
      </c>
      <c r="B2962">
        <v>61</v>
      </c>
      <c r="C2962" t="s">
        <v>11</v>
      </c>
      <c r="D2962" t="s">
        <v>41</v>
      </c>
      <c r="E2962" t="s">
        <v>46</v>
      </c>
      <c r="F2962" s="1">
        <v>87.4</v>
      </c>
      <c r="G2962" t="s">
        <v>31</v>
      </c>
      <c r="H2962" t="s">
        <v>37</v>
      </c>
      <c r="I2962" s="2">
        <v>3</v>
      </c>
      <c r="J2962" s="4">
        <v>20</v>
      </c>
      <c r="K2962" s="3">
        <v>5</v>
      </c>
      <c r="L2962" s="1">
        <f t="shared" si="138"/>
        <v>69.92</v>
      </c>
      <c r="M2962" t="str" cm="1">
        <f t="array" ref="M2962">_xlfn.IFS(B2962&lt;18,"Under 18",B2962 &lt;=25,"18-25",B2962&lt;=35,"26-35",B2962&lt;=45,"36-45",B2962&lt;=60,"46-60",TRUE,"60+")</f>
        <v>60+</v>
      </c>
      <c r="N2962" t="str">
        <f t="shared" si="139"/>
        <v>Discounted</v>
      </c>
      <c r="O2962" t="str">
        <f t="shared" si="140"/>
        <v>Returning</v>
      </c>
    </row>
    <row r="2963" spans="1:15" x14ac:dyDescent="0.25">
      <c r="A2963">
        <v>2962</v>
      </c>
      <c r="B2963">
        <v>38</v>
      </c>
      <c r="C2963" t="s">
        <v>16</v>
      </c>
      <c r="D2963" t="s">
        <v>17</v>
      </c>
      <c r="E2963" t="s">
        <v>18</v>
      </c>
      <c r="F2963" s="1">
        <v>186.66</v>
      </c>
      <c r="G2963" t="s">
        <v>31</v>
      </c>
      <c r="H2963" t="s">
        <v>15</v>
      </c>
      <c r="I2963" s="2">
        <v>4.5999999999999996</v>
      </c>
      <c r="J2963" s="4">
        <v>16</v>
      </c>
      <c r="K2963" s="3">
        <v>3</v>
      </c>
      <c r="L2963" s="1">
        <f t="shared" si="138"/>
        <v>156.7944</v>
      </c>
      <c r="M2963" t="str" cm="1">
        <f t="array" ref="M2963">_xlfn.IFS(B2963&lt;18,"Under 18",B2963 &lt;=25,"18-25",B2963&lt;=35,"26-35",B2963&lt;=45,"36-45",B2963&lt;=60,"46-60",TRUE,"60+")</f>
        <v>36-45</v>
      </c>
      <c r="N2963" t="str">
        <f t="shared" si="139"/>
        <v>Discounted</v>
      </c>
      <c r="O2963" t="str">
        <f t="shared" si="140"/>
        <v>Returning</v>
      </c>
    </row>
    <row r="2964" spans="1:15" x14ac:dyDescent="0.25">
      <c r="A2964">
        <v>2963</v>
      </c>
      <c r="B2964">
        <v>40</v>
      </c>
      <c r="C2964" t="s">
        <v>11</v>
      </c>
      <c r="D2964" t="s">
        <v>12</v>
      </c>
      <c r="E2964" t="s">
        <v>13</v>
      </c>
      <c r="F2964" s="1">
        <v>41.27</v>
      </c>
      <c r="G2964" t="s">
        <v>24</v>
      </c>
      <c r="H2964" t="s">
        <v>15</v>
      </c>
      <c r="I2964" s="2">
        <v>3.4</v>
      </c>
      <c r="J2964" s="4">
        <v>4</v>
      </c>
      <c r="K2964" s="3">
        <v>2</v>
      </c>
      <c r="L2964" s="1">
        <f t="shared" si="138"/>
        <v>39.619199999999999</v>
      </c>
      <c r="M2964" t="str" cm="1">
        <f t="array" ref="M2964">_xlfn.IFS(B2964&lt;18,"Under 18",B2964 &lt;=25,"18-25",B2964&lt;=35,"26-35",B2964&lt;=45,"36-45",B2964&lt;=60,"46-60",TRUE,"60+")</f>
        <v>36-45</v>
      </c>
      <c r="N2964" t="str">
        <f t="shared" si="139"/>
        <v>Discounted</v>
      </c>
      <c r="O2964" t="str">
        <f t="shared" si="140"/>
        <v>Returning</v>
      </c>
    </row>
    <row r="2965" spans="1:15" x14ac:dyDescent="0.25">
      <c r="A2965">
        <v>2964</v>
      </c>
      <c r="B2965">
        <v>36</v>
      </c>
      <c r="C2965" t="s">
        <v>11</v>
      </c>
      <c r="D2965" t="s">
        <v>29</v>
      </c>
      <c r="E2965" t="s">
        <v>30</v>
      </c>
      <c r="F2965" s="1">
        <v>131.26</v>
      </c>
      <c r="G2965" t="s">
        <v>24</v>
      </c>
      <c r="H2965" t="s">
        <v>15</v>
      </c>
      <c r="I2965" s="2">
        <v>2.9</v>
      </c>
      <c r="J2965" s="4">
        <v>16</v>
      </c>
      <c r="K2965" s="3">
        <v>3</v>
      </c>
      <c r="L2965" s="1">
        <f t="shared" si="138"/>
        <v>110.25839999999999</v>
      </c>
      <c r="M2965" t="str" cm="1">
        <f t="array" ref="M2965">_xlfn.IFS(B2965&lt;18,"Under 18",B2965 &lt;=25,"18-25",B2965&lt;=35,"26-35",B2965&lt;=45,"36-45",B2965&lt;=60,"46-60",TRUE,"60+")</f>
        <v>36-45</v>
      </c>
      <c r="N2965" t="str">
        <f t="shared" si="139"/>
        <v>Discounted</v>
      </c>
      <c r="O2965" t="str">
        <f t="shared" si="140"/>
        <v>Returning</v>
      </c>
    </row>
    <row r="2966" spans="1:15" x14ac:dyDescent="0.25">
      <c r="A2966">
        <v>2965</v>
      </c>
      <c r="B2966">
        <v>68</v>
      </c>
      <c r="C2966" t="s">
        <v>11</v>
      </c>
      <c r="D2966" t="s">
        <v>29</v>
      </c>
      <c r="E2966" t="s">
        <v>51</v>
      </c>
      <c r="F2966" s="1">
        <v>57.54</v>
      </c>
      <c r="G2966" t="s">
        <v>14</v>
      </c>
      <c r="H2966" t="s">
        <v>15</v>
      </c>
      <c r="I2966" s="2">
        <v>4</v>
      </c>
      <c r="J2966" s="4">
        <v>22</v>
      </c>
      <c r="K2966" s="3">
        <v>6</v>
      </c>
      <c r="L2966" s="1">
        <f t="shared" si="138"/>
        <v>44.8812</v>
      </c>
      <c r="M2966" t="str" cm="1">
        <f t="array" ref="M2966">_xlfn.IFS(B2966&lt;18,"Under 18",B2966 &lt;=25,"18-25",B2966&lt;=35,"26-35",B2966&lt;=45,"36-45",B2966&lt;=60,"46-60",TRUE,"60+")</f>
        <v>60+</v>
      </c>
      <c r="N2966" t="str">
        <f t="shared" si="139"/>
        <v>Discounted</v>
      </c>
      <c r="O2966" t="str">
        <f t="shared" si="140"/>
        <v>Returning</v>
      </c>
    </row>
    <row r="2967" spans="1:15" x14ac:dyDescent="0.25">
      <c r="A2967">
        <v>2966</v>
      </c>
      <c r="B2967">
        <v>59</v>
      </c>
      <c r="C2967" t="s">
        <v>16</v>
      </c>
      <c r="D2967" t="s">
        <v>20</v>
      </c>
      <c r="E2967" t="s">
        <v>39</v>
      </c>
      <c r="F2967" s="1">
        <v>51.46</v>
      </c>
      <c r="G2967" t="s">
        <v>31</v>
      </c>
      <c r="H2967" t="s">
        <v>15</v>
      </c>
      <c r="I2967" s="2">
        <v>4.4000000000000004</v>
      </c>
      <c r="J2967" s="4">
        <v>11</v>
      </c>
      <c r="K2967" s="3">
        <v>3</v>
      </c>
      <c r="L2967" s="1">
        <f t="shared" si="138"/>
        <v>45.799399999999999</v>
      </c>
      <c r="M2967" t="str" cm="1">
        <f t="array" ref="M2967">_xlfn.IFS(B2967&lt;18,"Under 18",B2967 &lt;=25,"18-25",B2967&lt;=35,"26-35",B2967&lt;=45,"36-45",B2967&lt;=60,"46-60",TRUE,"60+")</f>
        <v>46-60</v>
      </c>
      <c r="N2967" t="str">
        <f t="shared" si="139"/>
        <v>Discounted</v>
      </c>
      <c r="O2967" t="str">
        <f t="shared" si="140"/>
        <v>Returning</v>
      </c>
    </row>
    <row r="2968" spans="1:15" x14ac:dyDescent="0.25">
      <c r="A2968">
        <v>2967</v>
      </c>
      <c r="B2968">
        <v>34</v>
      </c>
      <c r="C2968" t="s">
        <v>16</v>
      </c>
      <c r="D2968" t="s">
        <v>20</v>
      </c>
      <c r="E2968" t="s">
        <v>21</v>
      </c>
      <c r="F2968" s="1">
        <v>73.63</v>
      </c>
      <c r="G2968" t="s">
        <v>19</v>
      </c>
      <c r="H2968" t="s">
        <v>37</v>
      </c>
      <c r="I2968" s="2">
        <v>4.5</v>
      </c>
      <c r="J2968" s="4">
        <v>34</v>
      </c>
      <c r="K2968" s="3">
        <v>12</v>
      </c>
      <c r="L2968" s="1">
        <f t="shared" si="138"/>
        <v>48.59579999999999</v>
      </c>
      <c r="M2968" t="str" cm="1">
        <f t="array" ref="M2968">_xlfn.IFS(B2968&lt;18,"Under 18",B2968 &lt;=25,"18-25",B2968&lt;=35,"26-35",B2968&lt;=45,"36-45",B2968&lt;=60,"46-60",TRUE,"60+")</f>
        <v>26-35</v>
      </c>
      <c r="N2968" t="str">
        <f t="shared" si="139"/>
        <v>Discounted</v>
      </c>
      <c r="O2968" t="str">
        <f t="shared" si="140"/>
        <v>Returning</v>
      </c>
    </row>
    <row r="2969" spans="1:15" x14ac:dyDescent="0.25">
      <c r="A2969">
        <v>2968</v>
      </c>
      <c r="B2969">
        <v>40</v>
      </c>
      <c r="C2969" t="s">
        <v>11</v>
      </c>
      <c r="D2969" t="s">
        <v>33</v>
      </c>
      <c r="E2969" t="s">
        <v>38</v>
      </c>
      <c r="F2969" s="1">
        <v>169.28</v>
      </c>
      <c r="G2969" t="s">
        <v>19</v>
      </c>
      <c r="H2969" t="s">
        <v>15</v>
      </c>
      <c r="I2969" s="2">
        <v>4.7</v>
      </c>
      <c r="J2969" s="4">
        <v>11</v>
      </c>
      <c r="K2969" s="3">
        <v>3</v>
      </c>
      <c r="L2969" s="1">
        <f t="shared" si="138"/>
        <v>150.6592</v>
      </c>
      <c r="M2969" t="str" cm="1">
        <f t="array" ref="M2969">_xlfn.IFS(B2969&lt;18,"Under 18",B2969 &lt;=25,"18-25",B2969&lt;=35,"26-35",B2969&lt;=45,"36-45",B2969&lt;=60,"46-60",TRUE,"60+")</f>
        <v>36-45</v>
      </c>
      <c r="N2969" t="str">
        <f t="shared" si="139"/>
        <v>Discounted</v>
      </c>
      <c r="O2969" t="str">
        <f t="shared" si="140"/>
        <v>Returning</v>
      </c>
    </row>
    <row r="2970" spans="1:15" x14ac:dyDescent="0.25">
      <c r="A2970">
        <v>2969</v>
      </c>
      <c r="B2970">
        <v>67</v>
      </c>
      <c r="C2970" t="s">
        <v>16</v>
      </c>
      <c r="D2970" t="s">
        <v>17</v>
      </c>
      <c r="E2970" t="s">
        <v>42</v>
      </c>
      <c r="F2970" s="1">
        <v>168.33</v>
      </c>
      <c r="G2970" t="s">
        <v>14</v>
      </c>
      <c r="H2970" t="s">
        <v>15</v>
      </c>
      <c r="I2970" s="2">
        <v>3.3</v>
      </c>
      <c r="J2970" s="4">
        <v>20</v>
      </c>
      <c r="K2970" s="3">
        <v>5</v>
      </c>
      <c r="L2970" s="1">
        <f t="shared" si="138"/>
        <v>134.66400000000002</v>
      </c>
      <c r="M2970" t="str" cm="1">
        <f t="array" ref="M2970">_xlfn.IFS(B2970&lt;18,"Under 18",B2970 &lt;=25,"18-25",B2970&lt;=35,"26-35",B2970&lt;=45,"36-45",B2970&lt;=60,"46-60",TRUE,"60+")</f>
        <v>60+</v>
      </c>
      <c r="N2970" t="str">
        <f t="shared" si="139"/>
        <v>Discounted</v>
      </c>
      <c r="O2970" t="str">
        <f t="shared" si="140"/>
        <v>Returning</v>
      </c>
    </row>
    <row r="2971" spans="1:15" x14ac:dyDescent="0.25">
      <c r="A2971">
        <v>2970</v>
      </c>
      <c r="B2971">
        <v>63</v>
      </c>
      <c r="C2971" t="s">
        <v>11</v>
      </c>
      <c r="D2971" t="s">
        <v>12</v>
      </c>
      <c r="E2971" t="s">
        <v>13</v>
      </c>
      <c r="F2971" s="1">
        <v>45.25</v>
      </c>
      <c r="G2971" t="s">
        <v>31</v>
      </c>
      <c r="H2971" t="s">
        <v>37</v>
      </c>
      <c r="I2971" s="2">
        <v>4.4000000000000004</v>
      </c>
      <c r="J2971" s="4">
        <v>13</v>
      </c>
      <c r="K2971" s="3">
        <v>4</v>
      </c>
      <c r="L2971" s="1">
        <f t="shared" si="138"/>
        <v>39.3675</v>
      </c>
      <c r="M2971" t="str" cm="1">
        <f t="array" ref="M2971">_xlfn.IFS(B2971&lt;18,"Under 18",B2971 &lt;=25,"18-25",B2971&lt;=35,"26-35",B2971&lt;=45,"36-45",B2971&lt;=60,"46-60",TRUE,"60+")</f>
        <v>60+</v>
      </c>
      <c r="N2971" t="str">
        <f t="shared" si="139"/>
        <v>Discounted</v>
      </c>
      <c r="O2971" t="str">
        <f t="shared" si="140"/>
        <v>Returning</v>
      </c>
    </row>
    <row r="2972" spans="1:15" x14ac:dyDescent="0.25">
      <c r="A2972">
        <v>2971</v>
      </c>
      <c r="B2972">
        <v>39</v>
      </c>
      <c r="C2972" t="s">
        <v>16</v>
      </c>
      <c r="D2972" t="s">
        <v>33</v>
      </c>
      <c r="E2972" t="s">
        <v>40</v>
      </c>
      <c r="F2972" s="1">
        <v>213.65</v>
      </c>
      <c r="G2972" t="s">
        <v>19</v>
      </c>
      <c r="H2972" t="s">
        <v>15</v>
      </c>
      <c r="I2972" s="2">
        <v>3.3</v>
      </c>
      <c r="J2972" s="4">
        <v>8</v>
      </c>
      <c r="K2972" s="3">
        <v>4</v>
      </c>
      <c r="L2972" s="1">
        <f t="shared" si="138"/>
        <v>196.55800000000002</v>
      </c>
      <c r="M2972" t="str" cm="1">
        <f t="array" ref="M2972">_xlfn.IFS(B2972&lt;18,"Under 18",B2972 &lt;=25,"18-25",B2972&lt;=35,"26-35",B2972&lt;=45,"36-45",B2972&lt;=60,"46-60",TRUE,"60+")</f>
        <v>36-45</v>
      </c>
      <c r="N2972" t="str">
        <f t="shared" si="139"/>
        <v>Discounted</v>
      </c>
      <c r="O2972" t="str">
        <f t="shared" si="140"/>
        <v>Returning</v>
      </c>
    </row>
    <row r="2973" spans="1:15" x14ac:dyDescent="0.25">
      <c r="A2973">
        <v>2972</v>
      </c>
      <c r="B2973">
        <v>55</v>
      </c>
      <c r="C2973" t="s">
        <v>11</v>
      </c>
      <c r="D2973" t="s">
        <v>12</v>
      </c>
      <c r="E2973" t="s">
        <v>50</v>
      </c>
      <c r="F2973" s="1">
        <v>33.590000000000003</v>
      </c>
      <c r="G2973" t="s">
        <v>31</v>
      </c>
      <c r="H2973" t="s">
        <v>15</v>
      </c>
      <c r="I2973" s="2">
        <v>3.1</v>
      </c>
      <c r="J2973" s="4">
        <v>20</v>
      </c>
      <c r="K2973" s="3">
        <v>5</v>
      </c>
      <c r="L2973" s="1">
        <f t="shared" si="138"/>
        <v>26.872000000000003</v>
      </c>
      <c r="M2973" t="str" cm="1">
        <f t="array" ref="M2973">_xlfn.IFS(B2973&lt;18,"Under 18",B2973 &lt;=25,"18-25",B2973&lt;=35,"26-35",B2973&lt;=45,"36-45",B2973&lt;=60,"46-60",TRUE,"60+")</f>
        <v>46-60</v>
      </c>
      <c r="N2973" t="str">
        <f t="shared" si="139"/>
        <v>Discounted</v>
      </c>
      <c r="O2973" t="str">
        <f t="shared" si="140"/>
        <v>Returning</v>
      </c>
    </row>
    <row r="2974" spans="1:15" x14ac:dyDescent="0.25">
      <c r="A2974">
        <v>2973</v>
      </c>
      <c r="B2974">
        <v>27</v>
      </c>
      <c r="C2974" t="s">
        <v>16</v>
      </c>
      <c r="D2974" t="s">
        <v>17</v>
      </c>
      <c r="E2974" t="s">
        <v>48</v>
      </c>
      <c r="F2974" s="1">
        <v>163.62</v>
      </c>
      <c r="G2974" t="s">
        <v>24</v>
      </c>
      <c r="H2974" t="s">
        <v>15</v>
      </c>
      <c r="I2974" s="2">
        <v>4.0999999999999996</v>
      </c>
      <c r="J2974" s="4">
        <v>10</v>
      </c>
      <c r="K2974" s="3">
        <v>5</v>
      </c>
      <c r="L2974" s="1">
        <f t="shared" si="138"/>
        <v>147.25800000000001</v>
      </c>
      <c r="M2974" t="str" cm="1">
        <f t="array" ref="M2974">_xlfn.IFS(B2974&lt;18,"Under 18",B2974 &lt;=25,"18-25",B2974&lt;=35,"26-35",B2974&lt;=45,"36-45",B2974&lt;=60,"46-60",TRUE,"60+")</f>
        <v>26-35</v>
      </c>
      <c r="N2974" t="str">
        <f t="shared" si="139"/>
        <v>Discounted</v>
      </c>
      <c r="O2974" t="str">
        <f t="shared" si="140"/>
        <v>Returning</v>
      </c>
    </row>
    <row r="2975" spans="1:15" x14ac:dyDescent="0.25">
      <c r="A2975">
        <v>2974</v>
      </c>
      <c r="B2975">
        <v>49</v>
      </c>
      <c r="C2975" t="s">
        <v>11</v>
      </c>
      <c r="D2975" t="s">
        <v>29</v>
      </c>
      <c r="E2975" t="s">
        <v>51</v>
      </c>
      <c r="F2975" s="1">
        <v>56.06</v>
      </c>
      <c r="G2975" t="s">
        <v>24</v>
      </c>
      <c r="H2975" t="s">
        <v>15</v>
      </c>
      <c r="I2975" s="2">
        <v>2.8</v>
      </c>
      <c r="J2975" s="4">
        <v>18</v>
      </c>
      <c r="K2975" s="3">
        <v>4</v>
      </c>
      <c r="L2975" s="1">
        <f t="shared" si="138"/>
        <v>45.969200000000008</v>
      </c>
      <c r="M2975" t="str" cm="1">
        <f t="array" ref="M2975">_xlfn.IFS(B2975&lt;18,"Under 18",B2975 &lt;=25,"18-25",B2975&lt;=35,"26-35",B2975&lt;=45,"36-45",B2975&lt;=60,"46-60",TRUE,"60+")</f>
        <v>46-60</v>
      </c>
      <c r="N2975" t="str">
        <f t="shared" si="139"/>
        <v>Discounted</v>
      </c>
      <c r="O2975" t="str">
        <f t="shared" si="140"/>
        <v>Returning</v>
      </c>
    </row>
    <row r="2976" spans="1:15" x14ac:dyDescent="0.25">
      <c r="A2976">
        <v>2975</v>
      </c>
      <c r="B2976">
        <v>54</v>
      </c>
      <c r="C2976" t="s">
        <v>11</v>
      </c>
      <c r="D2976" t="s">
        <v>41</v>
      </c>
      <c r="E2976" t="s">
        <v>45</v>
      </c>
      <c r="F2976" s="1">
        <v>131.24</v>
      </c>
      <c r="G2976" t="s">
        <v>24</v>
      </c>
      <c r="H2976" t="s">
        <v>15</v>
      </c>
      <c r="I2976" s="2">
        <v>3.5</v>
      </c>
      <c r="J2976" s="4">
        <v>24</v>
      </c>
      <c r="K2976" s="3">
        <v>7</v>
      </c>
      <c r="L2976" s="1">
        <f t="shared" si="138"/>
        <v>99.742400000000004</v>
      </c>
      <c r="M2976" t="str" cm="1">
        <f t="array" ref="M2976">_xlfn.IFS(B2976&lt;18,"Under 18",B2976 &lt;=25,"18-25",B2976&lt;=35,"26-35",B2976&lt;=45,"36-45",B2976&lt;=60,"46-60",TRUE,"60+")</f>
        <v>46-60</v>
      </c>
      <c r="N2976" t="str">
        <f t="shared" si="139"/>
        <v>Discounted</v>
      </c>
      <c r="O2976" t="str">
        <f t="shared" si="140"/>
        <v>Returning</v>
      </c>
    </row>
    <row r="2977" spans="1:15" x14ac:dyDescent="0.25">
      <c r="A2977">
        <v>2976</v>
      </c>
      <c r="B2977">
        <v>64</v>
      </c>
      <c r="C2977" t="s">
        <v>16</v>
      </c>
      <c r="D2977" t="s">
        <v>20</v>
      </c>
      <c r="E2977" t="s">
        <v>36</v>
      </c>
      <c r="F2977" s="1">
        <v>118.46</v>
      </c>
      <c r="G2977" t="s">
        <v>14</v>
      </c>
      <c r="H2977" t="s">
        <v>15</v>
      </c>
      <c r="I2977" s="2">
        <v>2.9</v>
      </c>
      <c r="J2977" s="4">
        <v>13</v>
      </c>
      <c r="K2977" s="3">
        <v>4</v>
      </c>
      <c r="L2977" s="1">
        <f t="shared" si="138"/>
        <v>103.06019999999999</v>
      </c>
      <c r="M2977" t="str" cm="1">
        <f t="array" ref="M2977">_xlfn.IFS(B2977&lt;18,"Under 18",B2977 &lt;=25,"18-25",B2977&lt;=35,"26-35",B2977&lt;=45,"36-45",B2977&lt;=60,"46-60",TRUE,"60+")</f>
        <v>60+</v>
      </c>
      <c r="N2977" t="str">
        <f t="shared" si="139"/>
        <v>Discounted</v>
      </c>
      <c r="O2977" t="str">
        <f t="shared" si="140"/>
        <v>Returning</v>
      </c>
    </row>
    <row r="2978" spans="1:15" x14ac:dyDescent="0.25">
      <c r="A2978">
        <v>2977</v>
      </c>
      <c r="B2978">
        <v>24</v>
      </c>
      <c r="C2978" t="s">
        <v>16</v>
      </c>
      <c r="D2978" t="s">
        <v>20</v>
      </c>
      <c r="E2978" t="s">
        <v>36</v>
      </c>
      <c r="F2978" s="1">
        <v>153.78</v>
      </c>
      <c r="G2978" t="s">
        <v>14</v>
      </c>
      <c r="H2978" t="s">
        <v>15</v>
      </c>
      <c r="I2978" s="2">
        <v>3.5</v>
      </c>
      <c r="J2978" s="4">
        <v>24</v>
      </c>
      <c r="K2978" s="3">
        <v>7</v>
      </c>
      <c r="L2978" s="1">
        <f t="shared" si="138"/>
        <v>116.8728</v>
      </c>
      <c r="M2978" t="str" cm="1">
        <f t="array" ref="M2978">_xlfn.IFS(B2978&lt;18,"Under 18",B2978 &lt;=25,"18-25",B2978&lt;=35,"26-35",B2978&lt;=45,"36-45",B2978&lt;=60,"46-60",TRUE,"60+")</f>
        <v>18-25</v>
      </c>
      <c r="N2978" t="str">
        <f t="shared" si="139"/>
        <v>Discounted</v>
      </c>
      <c r="O2978" t="str">
        <f t="shared" si="140"/>
        <v>Returning</v>
      </c>
    </row>
    <row r="2979" spans="1:15" x14ac:dyDescent="0.25">
      <c r="A2979">
        <v>2978</v>
      </c>
      <c r="B2979">
        <v>58</v>
      </c>
      <c r="C2979" t="s">
        <v>16</v>
      </c>
      <c r="D2979" t="s">
        <v>27</v>
      </c>
      <c r="E2979" t="s">
        <v>53</v>
      </c>
      <c r="F2979" s="1">
        <v>2236.23</v>
      </c>
      <c r="G2979" t="s">
        <v>19</v>
      </c>
      <c r="H2979" t="s">
        <v>15</v>
      </c>
      <c r="I2979" s="2">
        <v>3.1</v>
      </c>
      <c r="J2979" s="4">
        <v>22</v>
      </c>
      <c r="K2979" s="3">
        <v>6</v>
      </c>
      <c r="L2979" s="1">
        <f t="shared" si="138"/>
        <v>1744.2594000000001</v>
      </c>
      <c r="M2979" t="str" cm="1">
        <f t="array" ref="M2979">_xlfn.IFS(B2979&lt;18,"Under 18",B2979 &lt;=25,"18-25",B2979&lt;=35,"26-35",B2979&lt;=45,"36-45",B2979&lt;=60,"46-60",TRUE,"60+")</f>
        <v>46-60</v>
      </c>
      <c r="N2979" t="str">
        <f t="shared" si="139"/>
        <v>Discounted</v>
      </c>
      <c r="O2979" t="str">
        <f t="shared" si="140"/>
        <v>Returning</v>
      </c>
    </row>
    <row r="2980" spans="1:15" x14ac:dyDescent="0.25">
      <c r="A2980">
        <v>2979</v>
      </c>
      <c r="B2980">
        <v>33</v>
      </c>
      <c r="C2980" t="s">
        <v>11</v>
      </c>
      <c r="D2980" t="s">
        <v>33</v>
      </c>
      <c r="E2980" t="s">
        <v>38</v>
      </c>
      <c r="F2980" s="1">
        <v>64.489999999999995</v>
      </c>
      <c r="G2980" t="s">
        <v>31</v>
      </c>
      <c r="H2980" t="s">
        <v>37</v>
      </c>
      <c r="I2980" s="2">
        <v>4.2</v>
      </c>
      <c r="J2980" s="4">
        <v>2</v>
      </c>
      <c r="K2980" s="3">
        <v>1</v>
      </c>
      <c r="L2980" s="1">
        <f t="shared" si="138"/>
        <v>63.200199999999995</v>
      </c>
      <c r="M2980" t="str" cm="1">
        <f t="array" ref="M2980">_xlfn.IFS(B2980&lt;18,"Under 18",B2980 &lt;=25,"18-25",B2980&lt;=35,"26-35",B2980&lt;=45,"36-45",B2980&lt;=60,"46-60",TRUE,"60+")</f>
        <v>26-35</v>
      </c>
      <c r="N2980" t="str">
        <f t="shared" si="139"/>
        <v>Discounted</v>
      </c>
      <c r="O2980" t="str">
        <f t="shared" si="140"/>
        <v>Returning</v>
      </c>
    </row>
    <row r="2981" spans="1:15" x14ac:dyDescent="0.25">
      <c r="A2981">
        <v>2980</v>
      </c>
      <c r="B2981">
        <v>66</v>
      </c>
      <c r="C2981" t="s">
        <v>11</v>
      </c>
      <c r="D2981" t="s">
        <v>33</v>
      </c>
      <c r="E2981" t="s">
        <v>38</v>
      </c>
      <c r="F2981" s="1">
        <v>228.23</v>
      </c>
      <c r="G2981" t="s">
        <v>24</v>
      </c>
      <c r="H2981" t="s">
        <v>15</v>
      </c>
      <c r="I2981" s="2">
        <v>3.3</v>
      </c>
      <c r="J2981" s="4">
        <v>26</v>
      </c>
      <c r="K2981" s="3">
        <v>8</v>
      </c>
      <c r="L2981" s="1">
        <f t="shared" si="138"/>
        <v>168.89019999999999</v>
      </c>
      <c r="M2981" t="str" cm="1">
        <f t="array" ref="M2981">_xlfn.IFS(B2981&lt;18,"Under 18",B2981 &lt;=25,"18-25",B2981&lt;=35,"26-35",B2981&lt;=45,"36-45",B2981&lt;=60,"46-60",TRUE,"60+")</f>
        <v>60+</v>
      </c>
      <c r="N2981" t="str">
        <f t="shared" si="139"/>
        <v>Discounted</v>
      </c>
      <c r="O2981" t="str">
        <f t="shared" si="140"/>
        <v>Returning</v>
      </c>
    </row>
    <row r="2982" spans="1:15" x14ac:dyDescent="0.25">
      <c r="A2982">
        <v>2981</v>
      </c>
      <c r="B2982">
        <v>50</v>
      </c>
      <c r="C2982" t="s">
        <v>11</v>
      </c>
      <c r="D2982" t="s">
        <v>12</v>
      </c>
      <c r="E2982" t="s">
        <v>13</v>
      </c>
      <c r="F2982" s="1">
        <v>30.91</v>
      </c>
      <c r="G2982" t="s">
        <v>31</v>
      </c>
      <c r="H2982" t="s">
        <v>15</v>
      </c>
      <c r="I2982" s="2">
        <v>3.9</v>
      </c>
      <c r="J2982" s="4">
        <v>26</v>
      </c>
      <c r="K2982" s="3">
        <v>8</v>
      </c>
      <c r="L2982" s="1">
        <f t="shared" si="138"/>
        <v>22.8734</v>
      </c>
      <c r="M2982" t="str" cm="1">
        <f t="array" ref="M2982">_xlfn.IFS(B2982&lt;18,"Under 18",B2982 &lt;=25,"18-25",B2982&lt;=35,"26-35",B2982&lt;=45,"36-45",B2982&lt;=60,"46-60",TRUE,"60+")</f>
        <v>46-60</v>
      </c>
      <c r="N2982" t="str">
        <f t="shared" si="139"/>
        <v>Discounted</v>
      </c>
      <c r="O2982" t="str">
        <f t="shared" si="140"/>
        <v>Returning</v>
      </c>
    </row>
    <row r="2983" spans="1:15" x14ac:dyDescent="0.25">
      <c r="A2983">
        <v>2982</v>
      </c>
      <c r="B2983">
        <v>39</v>
      </c>
      <c r="C2983" t="s">
        <v>11</v>
      </c>
      <c r="D2983" t="s">
        <v>33</v>
      </c>
      <c r="E2983" t="s">
        <v>34</v>
      </c>
      <c r="F2983" s="1">
        <v>113.51</v>
      </c>
      <c r="G2983" t="s">
        <v>19</v>
      </c>
      <c r="H2983" t="s">
        <v>15</v>
      </c>
      <c r="I2983" s="2">
        <v>3.4</v>
      </c>
      <c r="J2983" s="4">
        <v>8</v>
      </c>
      <c r="K2983" s="3">
        <v>4</v>
      </c>
      <c r="L2983" s="1">
        <f t="shared" si="138"/>
        <v>104.42920000000001</v>
      </c>
      <c r="M2983" t="str" cm="1">
        <f t="array" ref="M2983">_xlfn.IFS(B2983&lt;18,"Under 18",B2983 &lt;=25,"18-25",B2983&lt;=35,"26-35",B2983&lt;=45,"36-45",B2983&lt;=60,"46-60",TRUE,"60+")</f>
        <v>36-45</v>
      </c>
      <c r="N2983" t="str">
        <f t="shared" si="139"/>
        <v>Discounted</v>
      </c>
      <c r="O2983" t="str">
        <f t="shared" si="140"/>
        <v>Returning</v>
      </c>
    </row>
    <row r="2984" spans="1:15" x14ac:dyDescent="0.25">
      <c r="A2984">
        <v>2983</v>
      </c>
      <c r="B2984">
        <v>43</v>
      </c>
      <c r="C2984" t="s">
        <v>16</v>
      </c>
      <c r="D2984" t="s">
        <v>17</v>
      </c>
      <c r="E2984" t="s">
        <v>42</v>
      </c>
      <c r="F2984" s="1">
        <v>144.69999999999999</v>
      </c>
      <c r="G2984" t="s">
        <v>24</v>
      </c>
      <c r="H2984" t="s">
        <v>15</v>
      </c>
      <c r="I2984" s="2">
        <v>5</v>
      </c>
      <c r="J2984" s="4">
        <v>16</v>
      </c>
      <c r="K2984" s="3">
        <v>3</v>
      </c>
      <c r="L2984" s="1">
        <f t="shared" si="138"/>
        <v>121.54799999999999</v>
      </c>
      <c r="M2984" t="str" cm="1">
        <f t="array" ref="M2984">_xlfn.IFS(B2984&lt;18,"Under 18",B2984 &lt;=25,"18-25",B2984&lt;=35,"26-35",B2984&lt;=45,"36-45",B2984&lt;=60,"46-60",TRUE,"60+")</f>
        <v>36-45</v>
      </c>
      <c r="N2984" t="str">
        <f t="shared" si="139"/>
        <v>Discounted</v>
      </c>
      <c r="O2984" t="str">
        <f t="shared" si="140"/>
        <v>Returning</v>
      </c>
    </row>
    <row r="2985" spans="1:15" x14ac:dyDescent="0.25">
      <c r="A2985">
        <v>2984</v>
      </c>
      <c r="B2985">
        <v>64</v>
      </c>
      <c r="C2985" t="s">
        <v>16</v>
      </c>
      <c r="D2985" t="s">
        <v>33</v>
      </c>
      <c r="E2985" t="s">
        <v>40</v>
      </c>
      <c r="F2985" s="1">
        <v>52.88</v>
      </c>
      <c r="G2985" t="s">
        <v>24</v>
      </c>
      <c r="H2985" t="s">
        <v>15</v>
      </c>
      <c r="I2985" s="2">
        <v>3.1</v>
      </c>
      <c r="J2985" s="4">
        <v>6</v>
      </c>
      <c r="K2985" s="3">
        <v>3</v>
      </c>
      <c r="L2985" s="1">
        <f t="shared" si="138"/>
        <v>49.7072</v>
      </c>
      <c r="M2985" t="str" cm="1">
        <f t="array" ref="M2985">_xlfn.IFS(B2985&lt;18,"Under 18",B2985 &lt;=25,"18-25",B2985&lt;=35,"26-35",B2985&lt;=45,"36-45",B2985&lt;=60,"46-60",TRUE,"60+")</f>
        <v>60+</v>
      </c>
      <c r="N2985" t="str">
        <f t="shared" si="139"/>
        <v>Discounted</v>
      </c>
      <c r="O2985" t="str">
        <f t="shared" si="140"/>
        <v>Returning</v>
      </c>
    </row>
    <row r="2986" spans="1:15" x14ac:dyDescent="0.25">
      <c r="A2986">
        <v>2985</v>
      </c>
      <c r="B2986">
        <v>47</v>
      </c>
      <c r="C2986" t="s">
        <v>11</v>
      </c>
      <c r="D2986" t="s">
        <v>33</v>
      </c>
      <c r="E2986" t="s">
        <v>40</v>
      </c>
      <c r="F2986" s="1">
        <v>68.52</v>
      </c>
      <c r="G2986" t="s">
        <v>14</v>
      </c>
      <c r="H2986" t="s">
        <v>37</v>
      </c>
      <c r="I2986" s="2">
        <v>3.4</v>
      </c>
      <c r="J2986" s="4">
        <v>21</v>
      </c>
      <c r="K2986" s="3">
        <v>8</v>
      </c>
      <c r="L2986" s="1">
        <f t="shared" si="138"/>
        <v>54.130800000000001</v>
      </c>
      <c r="M2986" t="str" cm="1">
        <f t="array" ref="M2986">_xlfn.IFS(B2986&lt;18,"Under 18",B2986 &lt;=25,"18-25",B2986&lt;=35,"26-35",B2986&lt;=45,"36-45",B2986&lt;=60,"46-60",TRUE,"60+")</f>
        <v>46-60</v>
      </c>
      <c r="N2986" t="str">
        <f t="shared" si="139"/>
        <v>Discounted</v>
      </c>
      <c r="O2986" t="str">
        <f t="shared" si="140"/>
        <v>Returning</v>
      </c>
    </row>
    <row r="2987" spans="1:15" x14ac:dyDescent="0.25">
      <c r="A2987">
        <v>2986</v>
      </c>
      <c r="B2987">
        <v>26</v>
      </c>
      <c r="C2987" t="s">
        <v>16</v>
      </c>
      <c r="D2987" t="s">
        <v>25</v>
      </c>
      <c r="E2987" t="s">
        <v>54</v>
      </c>
      <c r="F2987" s="1">
        <v>48.19</v>
      </c>
      <c r="G2987" t="s">
        <v>19</v>
      </c>
      <c r="H2987" t="s">
        <v>37</v>
      </c>
      <c r="I2987" s="2">
        <v>3.5</v>
      </c>
      <c r="J2987" s="4">
        <v>12</v>
      </c>
      <c r="K2987" s="3">
        <v>6</v>
      </c>
      <c r="L2987" s="1">
        <f t="shared" si="138"/>
        <v>42.407199999999996</v>
      </c>
      <c r="M2987" t="str" cm="1">
        <f t="array" ref="M2987">_xlfn.IFS(B2987&lt;18,"Under 18",B2987 &lt;=25,"18-25",B2987&lt;=35,"26-35",B2987&lt;=45,"36-45",B2987&lt;=60,"46-60",TRUE,"60+")</f>
        <v>26-35</v>
      </c>
      <c r="N2987" t="str">
        <f t="shared" si="139"/>
        <v>Discounted</v>
      </c>
      <c r="O2987" t="str">
        <f t="shared" si="140"/>
        <v>Returning</v>
      </c>
    </row>
    <row r="2988" spans="1:15" x14ac:dyDescent="0.25">
      <c r="A2988">
        <v>2987</v>
      </c>
      <c r="B2988">
        <v>60</v>
      </c>
      <c r="C2988" t="s">
        <v>16</v>
      </c>
      <c r="D2988" t="s">
        <v>17</v>
      </c>
      <c r="E2988" t="s">
        <v>35</v>
      </c>
      <c r="F2988" s="1">
        <v>33.909999999999997</v>
      </c>
      <c r="G2988" t="s">
        <v>24</v>
      </c>
      <c r="H2988" t="s">
        <v>15</v>
      </c>
      <c r="I2988" s="2">
        <v>4.5999999999999996</v>
      </c>
      <c r="J2988" s="4">
        <v>26</v>
      </c>
      <c r="K2988" s="3">
        <v>8</v>
      </c>
      <c r="L2988" s="1">
        <f t="shared" si="138"/>
        <v>25.093399999999995</v>
      </c>
      <c r="M2988" t="str" cm="1">
        <f t="array" ref="M2988">_xlfn.IFS(B2988&lt;18,"Under 18",B2988 &lt;=25,"18-25",B2988&lt;=35,"26-35",B2988&lt;=45,"36-45",B2988&lt;=60,"46-60",TRUE,"60+")</f>
        <v>46-60</v>
      </c>
      <c r="N2988" t="str">
        <f t="shared" si="139"/>
        <v>Discounted</v>
      </c>
      <c r="O2988" t="str">
        <f t="shared" si="140"/>
        <v>Returning</v>
      </c>
    </row>
    <row r="2989" spans="1:15" x14ac:dyDescent="0.25">
      <c r="A2989">
        <v>2988</v>
      </c>
      <c r="B2989">
        <v>35</v>
      </c>
      <c r="C2989" t="s">
        <v>11</v>
      </c>
      <c r="D2989" t="s">
        <v>41</v>
      </c>
      <c r="E2989" t="s">
        <v>42</v>
      </c>
      <c r="F2989" s="1">
        <v>59.43</v>
      </c>
      <c r="G2989" t="s">
        <v>14</v>
      </c>
      <c r="H2989" t="s">
        <v>37</v>
      </c>
      <c r="I2989" s="2">
        <v>2.9</v>
      </c>
      <c r="J2989" s="4">
        <v>10</v>
      </c>
      <c r="K2989" s="3">
        <v>5</v>
      </c>
      <c r="L2989" s="1">
        <f t="shared" si="138"/>
        <v>53.487000000000002</v>
      </c>
      <c r="M2989" t="str" cm="1">
        <f t="array" ref="M2989">_xlfn.IFS(B2989&lt;18,"Under 18",B2989 &lt;=25,"18-25",B2989&lt;=35,"26-35",B2989&lt;=45,"36-45",B2989&lt;=60,"46-60",TRUE,"60+")</f>
        <v>26-35</v>
      </c>
      <c r="N2989" t="str">
        <f t="shared" si="139"/>
        <v>Discounted</v>
      </c>
      <c r="O2989" t="str">
        <f t="shared" si="140"/>
        <v>Returning</v>
      </c>
    </row>
    <row r="2990" spans="1:15" x14ac:dyDescent="0.25">
      <c r="A2990">
        <v>2989</v>
      </c>
      <c r="B2990">
        <v>32</v>
      </c>
      <c r="C2990" t="s">
        <v>11</v>
      </c>
      <c r="D2990" t="s">
        <v>12</v>
      </c>
      <c r="E2990" t="s">
        <v>50</v>
      </c>
      <c r="F2990" s="1">
        <v>65.63</v>
      </c>
      <c r="G2990" t="s">
        <v>24</v>
      </c>
      <c r="H2990" t="s">
        <v>15</v>
      </c>
      <c r="I2990" s="2">
        <v>3.7</v>
      </c>
      <c r="J2990" s="4">
        <v>15</v>
      </c>
      <c r="K2990" s="3">
        <v>5</v>
      </c>
      <c r="L2990" s="1">
        <f t="shared" si="138"/>
        <v>55.785499999999992</v>
      </c>
      <c r="M2990" t="str" cm="1">
        <f t="array" ref="M2990">_xlfn.IFS(B2990&lt;18,"Under 18",B2990 &lt;=25,"18-25",B2990&lt;=35,"26-35",B2990&lt;=45,"36-45",B2990&lt;=60,"46-60",TRUE,"60+")</f>
        <v>26-35</v>
      </c>
      <c r="N2990" t="str">
        <f t="shared" si="139"/>
        <v>Discounted</v>
      </c>
      <c r="O2990" t="str">
        <f t="shared" si="140"/>
        <v>Returning</v>
      </c>
    </row>
    <row r="2991" spans="1:15" x14ac:dyDescent="0.25">
      <c r="A2991">
        <v>2990</v>
      </c>
      <c r="B2991">
        <v>33</v>
      </c>
      <c r="C2991" t="s">
        <v>11</v>
      </c>
      <c r="D2991" t="s">
        <v>41</v>
      </c>
      <c r="E2991" t="s">
        <v>46</v>
      </c>
      <c r="F2991" s="1">
        <v>57.6</v>
      </c>
      <c r="G2991" t="s">
        <v>24</v>
      </c>
      <c r="H2991" t="s">
        <v>15</v>
      </c>
      <c r="I2991" s="2">
        <v>3.6</v>
      </c>
      <c r="J2991" s="4">
        <v>6</v>
      </c>
      <c r="K2991" s="3">
        <v>3</v>
      </c>
      <c r="L2991" s="1">
        <f t="shared" si="138"/>
        <v>54.143999999999998</v>
      </c>
      <c r="M2991" t="str" cm="1">
        <f t="array" ref="M2991">_xlfn.IFS(B2991&lt;18,"Under 18",B2991 &lt;=25,"18-25",B2991&lt;=35,"26-35",B2991&lt;=45,"36-45",B2991&lt;=60,"46-60",TRUE,"60+")</f>
        <v>26-35</v>
      </c>
      <c r="N2991" t="str">
        <f t="shared" si="139"/>
        <v>Discounted</v>
      </c>
      <c r="O2991" t="str">
        <f t="shared" si="140"/>
        <v>Returning</v>
      </c>
    </row>
    <row r="2992" spans="1:15" x14ac:dyDescent="0.25">
      <c r="A2992">
        <v>2991</v>
      </c>
      <c r="B2992">
        <v>36</v>
      </c>
      <c r="C2992" t="s">
        <v>11</v>
      </c>
      <c r="D2992" t="s">
        <v>12</v>
      </c>
      <c r="E2992" t="s">
        <v>13</v>
      </c>
      <c r="F2992" s="1">
        <v>128.58000000000001</v>
      </c>
      <c r="G2992" t="s">
        <v>14</v>
      </c>
      <c r="H2992" t="s">
        <v>15</v>
      </c>
      <c r="I2992" s="2">
        <v>3.6</v>
      </c>
      <c r="J2992" s="4">
        <v>8</v>
      </c>
      <c r="K2992" s="3">
        <v>4</v>
      </c>
      <c r="L2992" s="1">
        <f t="shared" si="138"/>
        <v>118.29360000000001</v>
      </c>
      <c r="M2992" t="str" cm="1">
        <f t="array" ref="M2992">_xlfn.IFS(B2992&lt;18,"Under 18",B2992 &lt;=25,"18-25",B2992&lt;=35,"26-35",B2992&lt;=45,"36-45",B2992&lt;=60,"46-60",TRUE,"60+")</f>
        <v>36-45</v>
      </c>
      <c r="N2992" t="str">
        <f t="shared" si="139"/>
        <v>Discounted</v>
      </c>
      <c r="O2992" t="str">
        <f t="shared" si="140"/>
        <v>Returning</v>
      </c>
    </row>
    <row r="2993" spans="1:15" x14ac:dyDescent="0.25">
      <c r="A2993">
        <v>2992</v>
      </c>
      <c r="B2993">
        <v>31</v>
      </c>
      <c r="C2993" t="s">
        <v>16</v>
      </c>
      <c r="D2993" t="s">
        <v>33</v>
      </c>
      <c r="E2993" t="s">
        <v>38</v>
      </c>
      <c r="F2993" s="1">
        <v>162.09</v>
      </c>
      <c r="G2993" t="s">
        <v>14</v>
      </c>
      <c r="H2993" t="s">
        <v>15</v>
      </c>
      <c r="I2993" s="2">
        <v>4.0999999999999996</v>
      </c>
      <c r="J2993" s="4">
        <v>12</v>
      </c>
      <c r="K2993" s="3">
        <v>6</v>
      </c>
      <c r="L2993" s="1">
        <f t="shared" si="138"/>
        <v>142.63920000000002</v>
      </c>
      <c r="M2993" t="str" cm="1">
        <f t="array" ref="M2993">_xlfn.IFS(B2993&lt;18,"Under 18",B2993 &lt;=25,"18-25",B2993&lt;=35,"26-35",B2993&lt;=45,"36-45",B2993&lt;=60,"46-60",TRUE,"60+")</f>
        <v>26-35</v>
      </c>
      <c r="N2993" t="str">
        <f t="shared" si="139"/>
        <v>Discounted</v>
      </c>
      <c r="O2993" t="str">
        <f t="shared" si="140"/>
        <v>Returning</v>
      </c>
    </row>
    <row r="2994" spans="1:15" x14ac:dyDescent="0.25">
      <c r="A2994">
        <v>2993</v>
      </c>
      <c r="B2994">
        <v>38</v>
      </c>
      <c r="C2994" t="s">
        <v>11</v>
      </c>
      <c r="D2994" t="s">
        <v>12</v>
      </c>
      <c r="E2994" t="s">
        <v>50</v>
      </c>
      <c r="F2994" s="1">
        <v>43.25</v>
      </c>
      <c r="G2994" t="s">
        <v>24</v>
      </c>
      <c r="H2994" t="s">
        <v>15</v>
      </c>
      <c r="I2994" s="2">
        <v>5</v>
      </c>
      <c r="J2994" s="4">
        <v>10</v>
      </c>
      <c r="K2994" s="3">
        <v>5</v>
      </c>
      <c r="L2994" s="1">
        <f t="shared" si="138"/>
        <v>38.925000000000004</v>
      </c>
      <c r="M2994" t="str" cm="1">
        <f t="array" ref="M2994">_xlfn.IFS(B2994&lt;18,"Under 18",B2994 &lt;=25,"18-25",B2994&lt;=35,"26-35",B2994&lt;=45,"36-45",B2994&lt;=60,"46-60",TRUE,"60+")</f>
        <v>36-45</v>
      </c>
      <c r="N2994" t="str">
        <f t="shared" si="139"/>
        <v>Discounted</v>
      </c>
      <c r="O2994" t="str">
        <f t="shared" si="140"/>
        <v>Returning</v>
      </c>
    </row>
    <row r="2995" spans="1:15" x14ac:dyDescent="0.25">
      <c r="A2995">
        <v>2994</v>
      </c>
      <c r="B2995">
        <v>42</v>
      </c>
      <c r="C2995" t="s">
        <v>11</v>
      </c>
      <c r="D2995" t="s">
        <v>41</v>
      </c>
      <c r="E2995" t="s">
        <v>45</v>
      </c>
      <c r="F2995" s="1">
        <v>181.64</v>
      </c>
      <c r="G2995" t="s">
        <v>14</v>
      </c>
      <c r="H2995" t="s">
        <v>15</v>
      </c>
      <c r="I2995" s="2">
        <v>2.8</v>
      </c>
      <c r="J2995" s="4">
        <v>26</v>
      </c>
      <c r="K2995" s="3">
        <v>8</v>
      </c>
      <c r="L2995" s="1">
        <f t="shared" si="138"/>
        <v>134.4136</v>
      </c>
      <c r="M2995" t="str" cm="1">
        <f t="array" ref="M2995">_xlfn.IFS(B2995&lt;18,"Under 18",B2995 &lt;=25,"18-25",B2995&lt;=35,"26-35",B2995&lt;=45,"36-45",B2995&lt;=60,"46-60",TRUE,"60+")</f>
        <v>36-45</v>
      </c>
      <c r="N2995" t="str">
        <f t="shared" si="139"/>
        <v>Discounted</v>
      </c>
      <c r="O2995" t="str">
        <f t="shared" si="140"/>
        <v>Returning</v>
      </c>
    </row>
    <row r="2996" spans="1:15" x14ac:dyDescent="0.25">
      <c r="A2996">
        <v>2995</v>
      </c>
      <c r="B2996">
        <v>48</v>
      </c>
      <c r="C2996" t="s">
        <v>16</v>
      </c>
      <c r="D2996" t="s">
        <v>27</v>
      </c>
      <c r="E2996" t="s">
        <v>53</v>
      </c>
      <c r="F2996" s="1">
        <v>1720.89</v>
      </c>
      <c r="G2996" t="s">
        <v>19</v>
      </c>
      <c r="H2996" t="s">
        <v>15</v>
      </c>
      <c r="I2996" s="2">
        <v>3.5</v>
      </c>
      <c r="J2996" s="4">
        <v>16</v>
      </c>
      <c r="K2996" s="3">
        <v>3</v>
      </c>
      <c r="L2996" s="1">
        <f t="shared" si="138"/>
        <v>1445.5476000000001</v>
      </c>
      <c r="M2996" t="str" cm="1">
        <f t="array" ref="M2996">_xlfn.IFS(B2996&lt;18,"Under 18",B2996 &lt;=25,"18-25",B2996&lt;=35,"26-35",B2996&lt;=45,"36-45",B2996&lt;=60,"46-60",TRUE,"60+")</f>
        <v>46-60</v>
      </c>
      <c r="N2996" t="str">
        <f t="shared" si="139"/>
        <v>Discounted</v>
      </c>
      <c r="O2996" t="str">
        <f t="shared" si="140"/>
        <v>Returning</v>
      </c>
    </row>
    <row r="2997" spans="1:15" x14ac:dyDescent="0.25">
      <c r="A2997">
        <v>2996</v>
      </c>
      <c r="B2997">
        <v>53</v>
      </c>
      <c r="C2997" t="s">
        <v>16</v>
      </c>
      <c r="D2997" t="s">
        <v>20</v>
      </c>
      <c r="E2997" t="s">
        <v>21</v>
      </c>
      <c r="F2997" s="1">
        <v>239.85</v>
      </c>
      <c r="G2997" t="s">
        <v>24</v>
      </c>
      <c r="H2997" t="s">
        <v>15</v>
      </c>
      <c r="I2997" s="2">
        <v>4.0999999999999996</v>
      </c>
      <c r="J2997" s="4">
        <v>17</v>
      </c>
      <c r="K2997" s="3">
        <v>6</v>
      </c>
      <c r="L2997" s="1">
        <f t="shared" si="138"/>
        <v>199.07549999999998</v>
      </c>
      <c r="M2997" t="str" cm="1">
        <f t="array" ref="M2997">_xlfn.IFS(B2997&lt;18,"Under 18",B2997 &lt;=25,"18-25",B2997&lt;=35,"26-35",B2997&lt;=45,"36-45",B2997&lt;=60,"46-60",TRUE,"60+")</f>
        <v>46-60</v>
      </c>
      <c r="N2997" t="str">
        <f t="shared" si="139"/>
        <v>Discounted</v>
      </c>
      <c r="O2997" t="str">
        <f t="shared" si="140"/>
        <v>Returning</v>
      </c>
    </row>
    <row r="2998" spans="1:15" x14ac:dyDescent="0.25">
      <c r="A2998">
        <v>2997</v>
      </c>
      <c r="B2998">
        <v>26</v>
      </c>
      <c r="C2998" t="s">
        <v>11</v>
      </c>
      <c r="D2998" t="s">
        <v>29</v>
      </c>
      <c r="E2998" t="s">
        <v>55</v>
      </c>
      <c r="F2998" s="1">
        <v>66.38</v>
      </c>
      <c r="G2998" t="s">
        <v>19</v>
      </c>
      <c r="H2998" t="s">
        <v>37</v>
      </c>
      <c r="I2998" s="2">
        <v>3.8</v>
      </c>
      <c r="J2998" s="4">
        <v>10</v>
      </c>
      <c r="K2998" s="3">
        <v>5</v>
      </c>
      <c r="L2998" s="1">
        <f t="shared" si="138"/>
        <v>59.741999999999997</v>
      </c>
      <c r="M2998" t="str" cm="1">
        <f t="array" ref="M2998">_xlfn.IFS(B2998&lt;18,"Under 18",B2998 &lt;=25,"18-25",B2998&lt;=35,"26-35",B2998&lt;=45,"36-45",B2998&lt;=60,"46-60",TRUE,"60+")</f>
        <v>26-35</v>
      </c>
      <c r="N2998" t="str">
        <f t="shared" si="139"/>
        <v>Discounted</v>
      </c>
      <c r="O2998" t="str">
        <f t="shared" si="140"/>
        <v>Returning</v>
      </c>
    </row>
    <row r="2999" spans="1:15" x14ac:dyDescent="0.25">
      <c r="A2999">
        <v>2998</v>
      </c>
      <c r="B2999">
        <v>22</v>
      </c>
      <c r="C2999" t="s">
        <v>11</v>
      </c>
      <c r="D2999" t="s">
        <v>29</v>
      </c>
      <c r="E2999" t="s">
        <v>55</v>
      </c>
      <c r="F2999" s="1">
        <v>47.67</v>
      </c>
      <c r="G2999" t="s">
        <v>24</v>
      </c>
      <c r="H2999" t="s">
        <v>37</v>
      </c>
      <c r="I2999" s="2">
        <v>3</v>
      </c>
      <c r="J2999" s="4">
        <v>15</v>
      </c>
      <c r="K2999" s="3">
        <v>5</v>
      </c>
      <c r="L2999" s="1">
        <f t="shared" si="138"/>
        <v>40.519500000000001</v>
      </c>
      <c r="M2999" t="str" cm="1">
        <f t="array" ref="M2999">_xlfn.IFS(B2999&lt;18,"Under 18",B2999 &lt;=25,"18-25",B2999&lt;=35,"26-35",B2999&lt;=45,"36-45",B2999&lt;=60,"46-60",TRUE,"60+")</f>
        <v>18-25</v>
      </c>
      <c r="N2999" t="str">
        <f t="shared" si="139"/>
        <v>Discounted</v>
      </c>
      <c r="O2999" t="str">
        <f t="shared" si="140"/>
        <v>Returning</v>
      </c>
    </row>
    <row r="3000" spans="1:15" x14ac:dyDescent="0.25">
      <c r="A3000">
        <v>2999</v>
      </c>
      <c r="B3000">
        <v>52</v>
      </c>
      <c r="C3000" t="s">
        <v>16</v>
      </c>
      <c r="D3000" t="s">
        <v>33</v>
      </c>
      <c r="E3000" t="s">
        <v>34</v>
      </c>
      <c r="F3000" s="1">
        <v>156.88</v>
      </c>
      <c r="G3000" t="s">
        <v>14</v>
      </c>
      <c r="H3000" t="s">
        <v>15</v>
      </c>
      <c r="I3000" s="2">
        <v>3.5</v>
      </c>
      <c r="J3000" s="4">
        <v>15</v>
      </c>
      <c r="K3000" s="3">
        <v>5</v>
      </c>
      <c r="L3000" s="1">
        <f t="shared" si="138"/>
        <v>133.34799999999998</v>
      </c>
      <c r="M3000" t="str" cm="1">
        <f t="array" ref="M3000">_xlfn.IFS(B3000&lt;18,"Under 18",B3000 &lt;=25,"18-25",B3000&lt;=35,"26-35",B3000&lt;=45,"36-45",B3000&lt;=60,"46-60",TRUE,"60+")</f>
        <v>46-60</v>
      </c>
      <c r="N3000" t="str">
        <f t="shared" si="139"/>
        <v>Discounted</v>
      </c>
      <c r="O3000" t="str">
        <f t="shared" si="140"/>
        <v>Returning</v>
      </c>
    </row>
    <row r="3001" spans="1:15" x14ac:dyDescent="0.25">
      <c r="A3001">
        <v>3000</v>
      </c>
      <c r="B3001">
        <v>37</v>
      </c>
      <c r="C3001" t="s">
        <v>11</v>
      </c>
      <c r="D3001" t="s">
        <v>33</v>
      </c>
      <c r="E3001" t="s">
        <v>40</v>
      </c>
      <c r="F3001" s="1">
        <v>176.28</v>
      </c>
      <c r="G3001" t="s">
        <v>19</v>
      </c>
      <c r="H3001" t="s">
        <v>15</v>
      </c>
      <c r="I3001" s="2">
        <v>4.7</v>
      </c>
      <c r="J3001" s="4">
        <v>20</v>
      </c>
      <c r="K3001" s="3">
        <v>5</v>
      </c>
      <c r="L3001" s="1">
        <f t="shared" si="138"/>
        <v>141.024</v>
      </c>
      <c r="M3001" t="str" cm="1">
        <f t="array" ref="M3001">_xlfn.IFS(B3001&lt;18,"Under 18",B3001 &lt;=25,"18-25",B3001&lt;=35,"26-35",B3001&lt;=45,"36-45",B3001&lt;=60,"46-60",TRUE,"60+")</f>
        <v>36-45</v>
      </c>
      <c r="N3001" t="str">
        <f t="shared" si="139"/>
        <v>Discounted</v>
      </c>
      <c r="O3001" t="str">
        <f t="shared" si="140"/>
        <v>Returning</v>
      </c>
    </row>
    <row r="3002" spans="1:15" x14ac:dyDescent="0.25">
      <c r="A3002">
        <v>3001</v>
      </c>
      <c r="B3002">
        <v>35</v>
      </c>
      <c r="C3002" t="s">
        <v>11</v>
      </c>
      <c r="D3002" t="s">
        <v>29</v>
      </c>
      <c r="E3002" t="s">
        <v>55</v>
      </c>
      <c r="F3002" s="1">
        <v>46.97</v>
      </c>
      <c r="G3002" t="s">
        <v>14</v>
      </c>
      <c r="H3002" t="s">
        <v>15</v>
      </c>
      <c r="I3002" s="2">
        <v>4.2</v>
      </c>
      <c r="J3002" s="4">
        <v>12</v>
      </c>
      <c r="K3002" s="3">
        <v>6</v>
      </c>
      <c r="L3002" s="1">
        <f t="shared" si="138"/>
        <v>41.333599999999997</v>
      </c>
      <c r="M3002" t="str" cm="1">
        <f t="array" ref="M3002">_xlfn.IFS(B3002&lt;18,"Under 18",B3002 &lt;=25,"18-25",B3002&lt;=35,"26-35",B3002&lt;=45,"36-45",B3002&lt;=60,"46-60",TRUE,"60+")</f>
        <v>26-35</v>
      </c>
      <c r="N3002" t="str">
        <f t="shared" si="139"/>
        <v>Discounted</v>
      </c>
      <c r="O3002" t="str">
        <f t="shared" si="140"/>
        <v>Returning</v>
      </c>
    </row>
    <row r="3003" spans="1:15" x14ac:dyDescent="0.25">
      <c r="A3003">
        <v>3002</v>
      </c>
      <c r="B3003">
        <v>69</v>
      </c>
      <c r="C3003" t="s">
        <v>16</v>
      </c>
      <c r="D3003" t="s">
        <v>27</v>
      </c>
      <c r="E3003" t="s">
        <v>49</v>
      </c>
      <c r="F3003" s="1">
        <v>1404.38</v>
      </c>
      <c r="G3003" t="s">
        <v>24</v>
      </c>
      <c r="H3003" t="s">
        <v>15</v>
      </c>
      <c r="I3003" s="2">
        <v>2.5</v>
      </c>
      <c r="J3003" s="4">
        <v>13</v>
      </c>
      <c r="K3003" s="3">
        <v>4</v>
      </c>
      <c r="L3003" s="1">
        <f t="shared" si="138"/>
        <v>1221.8106</v>
      </c>
      <c r="M3003" t="str" cm="1">
        <f t="array" ref="M3003">_xlfn.IFS(B3003&lt;18,"Under 18",B3003 &lt;=25,"18-25",B3003&lt;=35,"26-35",B3003&lt;=45,"36-45",B3003&lt;=60,"46-60",TRUE,"60+")</f>
        <v>60+</v>
      </c>
      <c r="N3003" t="str">
        <f t="shared" si="139"/>
        <v>Discounted</v>
      </c>
      <c r="O3003" t="str">
        <f t="shared" si="140"/>
        <v>Returning</v>
      </c>
    </row>
    <row r="3004" spans="1:15" x14ac:dyDescent="0.25">
      <c r="A3004">
        <v>3003</v>
      </c>
      <c r="B3004">
        <v>59</v>
      </c>
      <c r="C3004" t="s">
        <v>11</v>
      </c>
      <c r="D3004" t="s">
        <v>33</v>
      </c>
      <c r="E3004" t="s">
        <v>34</v>
      </c>
      <c r="F3004" s="1">
        <v>112.23</v>
      </c>
      <c r="G3004" t="s">
        <v>19</v>
      </c>
      <c r="H3004" t="s">
        <v>15</v>
      </c>
      <c r="I3004" s="2">
        <v>3.6</v>
      </c>
      <c r="J3004" s="4">
        <v>10</v>
      </c>
      <c r="K3004" s="3">
        <v>5</v>
      </c>
      <c r="L3004" s="1">
        <f t="shared" si="138"/>
        <v>101.00700000000001</v>
      </c>
      <c r="M3004" t="str" cm="1">
        <f t="array" ref="M3004">_xlfn.IFS(B3004&lt;18,"Under 18",B3004 &lt;=25,"18-25",B3004&lt;=35,"26-35",B3004&lt;=45,"36-45",B3004&lt;=60,"46-60",TRUE,"60+")</f>
        <v>46-60</v>
      </c>
      <c r="N3004" t="str">
        <f t="shared" si="139"/>
        <v>Discounted</v>
      </c>
      <c r="O3004" t="str">
        <f t="shared" si="140"/>
        <v>Returning</v>
      </c>
    </row>
    <row r="3005" spans="1:15" x14ac:dyDescent="0.25">
      <c r="A3005">
        <v>3004</v>
      </c>
      <c r="B3005">
        <v>44</v>
      </c>
      <c r="C3005" t="s">
        <v>11</v>
      </c>
      <c r="D3005" t="s">
        <v>12</v>
      </c>
      <c r="E3005" t="s">
        <v>56</v>
      </c>
      <c r="F3005" s="1">
        <v>124.3</v>
      </c>
      <c r="G3005" t="s">
        <v>19</v>
      </c>
      <c r="H3005" t="s">
        <v>15</v>
      </c>
      <c r="I3005" s="2">
        <v>3.7</v>
      </c>
      <c r="J3005" s="4">
        <v>21</v>
      </c>
      <c r="K3005" s="3">
        <v>8</v>
      </c>
      <c r="L3005" s="1">
        <f t="shared" si="138"/>
        <v>98.197000000000003</v>
      </c>
      <c r="M3005" t="str" cm="1">
        <f t="array" ref="M3005">_xlfn.IFS(B3005&lt;18,"Under 18",B3005 &lt;=25,"18-25",B3005&lt;=35,"26-35",B3005&lt;=45,"36-45",B3005&lt;=60,"46-60",TRUE,"60+")</f>
        <v>36-45</v>
      </c>
      <c r="N3005" t="str">
        <f t="shared" si="139"/>
        <v>Discounted</v>
      </c>
      <c r="O3005" t="str">
        <f t="shared" si="140"/>
        <v>Returning</v>
      </c>
    </row>
    <row r="3006" spans="1:15" x14ac:dyDescent="0.25">
      <c r="A3006">
        <v>3005</v>
      </c>
      <c r="B3006">
        <v>37</v>
      </c>
      <c r="C3006" t="s">
        <v>16</v>
      </c>
      <c r="D3006" t="s">
        <v>20</v>
      </c>
      <c r="E3006" t="s">
        <v>36</v>
      </c>
      <c r="F3006" s="1">
        <v>145.11000000000001</v>
      </c>
      <c r="G3006" t="s">
        <v>19</v>
      </c>
      <c r="H3006" t="s">
        <v>15</v>
      </c>
      <c r="I3006" s="2">
        <v>2.4</v>
      </c>
      <c r="J3006" s="4">
        <v>20</v>
      </c>
      <c r="K3006" s="3">
        <v>5</v>
      </c>
      <c r="L3006" s="1">
        <f t="shared" si="138"/>
        <v>116.08800000000002</v>
      </c>
      <c r="M3006" t="str" cm="1">
        <f t="array" ref="M3006">_xlfn.IFS(B3006&lt;18,"Under 18",B3006 &lt;=25,"18-25",B3006&lt;=35,"26-35",B3006&lt;=45,"36-45",B3006&lt;=60,"46-60",TRUE,"60+")</f>
        <v>36-45</v>
      </c>
      <c r="N3006" t="str">
        <f t="shared" si="139"/>
        <v>Discounted</v>
      </c>
      <c r="O3006" t="str">
        <f t="shared" si="140"/>
        <v>Returning</v>
      </c>
    </row>
    <row r="3007" spans="1:15" x14ac:dyDescent="0.25">
      <c r="A3007">
        <v>3006</v>
      </c>
      <c r="B3007">
        <v>63</v>
      </c>
      <c r="C3007" t="s">
        <v>16</v>
      </c>
      <c r="D3007" t="s">
        <v>33</v>
      </c>
      <c r="E3007" t="s">
        <v>40</v>
      </c>
      <c r="F3007" s="1">
        <v>214.22</v>
      </c>
      <c r="G3007" t="s">
        <v>14</v>
      </c>
      <c r="H3007" t="s">
        <v>15</v>
      </c>
      <c r="I3007" s="2">
        <v>3.3</v>
      </c>
      <c r="J3007" s="4">
        <v>19</v>
      </c>
      <c r="K3007" s="3">
        <v>7</v>
      </c>
      <c r="L3007" s="1">
        <f t="shared" si="138"/>
        <v>173.51820000000001</v>
      </c>
      <c r="M3007" t="str" cm="1">
        <f t="array" ref="M3007">_xlfn.IFS(B3007&lt;18,"Under 18",B3007 &lt;=25,"18-25",B3007&lt;=35,"26-35",B3007&lt;=45,"36-45",B3007&lt;=60,"46-60",TRUE,"60+")</f>
        <v>60+</v>
      </c>
      <c r="N3007" t="str">
        <f t="shared" si="139"/>
        <v>Discounted</v>
      </c>
      <c r="O3007" t="str">
        <f t="shared" si="140"/>
        <v>Returning</v>
      </c>
    </row>
    <row r="3008" spans="1:15" x14ac:dyDescent="0.25">
      <c r="A3008">
        <v>3007</v>
      </c>
      <c r="B3008">
        <v>42</v>
      </c>
      <c r="C3008" t="s">
        <v>11</v>
      </c>
      <c r="D3008" t="s">
        <v>29</v>
      </c>
      <c r="E3008" t="s">
        <v>51</v>
      </c>
      <c r="F3008" s="1">
        <v>24.73</v>
      </c>
      <c r="G3008" t="s">
        <v>19</v>
      </c>
      <c r="H3008" t="s">
        <v>15</v>
      </c>
      <c r="I3008" s="2">
        <v>3.6</v>
      </c>
      <c r="J3008" s="4">
        <v>15</v>
      </c>
      <c r="K3008" s="3">
        <v>5</v>
      </c>
      <c r="L3008" s="1">
        <f t="shared" si="138"/>
        <v>21.020499999999998</v>
      </c>
      <c r="M3008" t="str" cm="1">
        <f t="array" ref="M3008">_xlfn.IFS(B3008&lt;18,"Under 18",B3008 &lt;=25,"18-25",B3008&lt;=35,"26-35",B3008&lt;=45,"36-45",B3008&lt;=60,"46-60",TRUE,"60+")</f>
        <v>36-45</v>
      </c>
      <c r="N3008" t="str">
        <f t="shared" si="139"/>
        <v>Discounted</v>
      </c>
      <c r="O3008" t="str">
        <f t="shared" si="140"/>
        <v>Returning</v>
      </c>
    </row>
    <row r="3009" spans="1:15" x14ac:dyDescent="0.25">
      <c r="A3009">
        <v>3008</v>
      </c>
      <c r="B3009">
        <v>38</v>
      </c>
      <c r="C3009" t="s">
        <v>16</v>
      </c>
      <c r="D3009" t="s">
        <v>20</v>
      </c>
      <c r="E3009" t="s">
        <v>36</v>
      </c>
      <c r="F3009" s="1">
        <v>158.99</v>
      </c>
      <c r="G3009" t="s">
        <v>24</v>
      </c>
      <c r="H3009" t="s">
        <v>15</v>
      </c>
      <c r="I3009" s="2">
        <v>3.4</v>
      </c>
      <c r="J3009" s="4">
        <v>13</v>
      </c>
      <c r="K3009" s="3">
        <v>4</v>
      </c>
      <c r="L3009" s="1">
        <f t="shared" si="138"/>
        <v>138.32130000000001</v>
      </c>
      <c r="M3009" t="str" cm="1">
        <f t="array" ref="M3009">_xlfn.IFS(B3009&lt;18,"Under 18",B3009 &lt;=25,"18-25",B3009&lt;=35,"26-35",B3009&lt;=45,"36-45",B3009&lt;=60,"46-60",TRUE,"60+")</f>
        <v>36-45</v>
      </c>
      <c r="N3009" t="str">
        <f t="shared" si="139"/>
        <v>Discounted</v>
      </c>
      <c r="O3009" t="str">
        <f t="shared" si="140"/>
        <v>Returning</v>
      </c>
    </row>
    <row r="3010" spans="1:15" x14ac:dyDescent="0.25">
      <c r="A3010">
        <v>3009</v>
      </c>
      <c r="B3010">
        <v>46</v>
      </c>
      <c r="C3010" t="s">
        <v>11</v>
      </c>
      <c r="D3010" t="s">
        <v>20</v>
      </c>
      <c r="E3010" t="s">
        <v>36</v>
      </c>
      <c r="F3010" s="1">
        <v>234.34</v>
      </c>
      <c r="G3010" t="s">
        <v>19</v>
      </c>
      <c r="H3010" t="s">
        <v>15</v>
      </c>
      <c r="I3010" s="2">
        <v>3.4</v>
      </c>
      <c r="J3010" s="4">
        <v>6</v>
      </c>
      <c r="K3010" s="3">
        <v>3</v>
      </c>
      <c r="L3010" s="1">
        <f t="shared" si="138"/>
        <v>220.27959999999999</v>
      </c>
      <c r="M3010" t="str" cm="1">
        <f t="array" ref="M3010">_xlfn.IFS(B3010&lt;18,"Under 18",B3010 &lt;=25,"18-25",B3010&lt;=35,"26-35",B3010&lt;=45,"36-45",B3010&lt;=60,"46-60",TRUE,"60+")</f>
        <v>46-60</v>
      </c>
      <c r="N3010" t="str">
        <f t="shared" si="139"/>
        <v>Discounted</v>
      </c>
      <c r="O3010" t="str">
        <f t="shared" si="140"/>
        <v>Returning</v>
      </c>
    </row>
    <row r="3011" spans="1:15" x14ac:dyDescent="0.25">
      <c r="A3011">
        <v>3010</v>
      </c>
      <c r="B3011">
        <v>42</v>
      </c>
      <c r="C3011" t="s">
        <v>11</v>
      </c>
      <c r="D3011" t="s">
        <v>41</v>
      </c>
      <c r="E3011" t="s">
        <v>42</v>
      </c>
      <c r="F3011" s="1">
        <v>31.48</v>
      </c>
      <c r="G3011" t="s">
        <v>24</v>
      </c>
      <c r="H3011" t="s">
        <v>37</v>
      </c>
      <c r="I3011" s="2">
        <v>3.1</v>
      </c>
      <c r="J3011" s="4">
        <v>10</v>
      </c>
      <c r="K3011" s="3">
        <v>5</v>
      </c>
      <c r="L3011" s="1">
        <f t="shared" ref="L3011:L3074" si="141">F3011 * (1 - J3011 / 100)</f>
        <v>28.332000000000001</v>
      </c>
      <c r="M3011" t="str" cm="1">
        <f t="array" ref="M3011">_xlfn.IFS(B3011&lt;18,"Under 18",B3011 &lt;=25,"18-25",B3011&lt;=35,"26-35",B3011&lt;=45,"36-45",B3011&lt;=60,"46-60",TRUE,"60+")</f>
        <v>36-45</v>
      </c>
      <c r="N3011" t="str">
        <f t="shared" ref="N3011:N3074" si="142">IF(J3011&gt;0,"Discounted","No Discount")</f>
        <v>Discounted</v>
      </c>
      <c r="O3011" t="str">
        <f t="shared" ref="O3011:O3074" si="143">IF(K3011&gt;0,"Returning","New")</f>
        <v>Returning</v>
      </c>
    </row>
    <row r="3012" spans="1:15" x14ac:dyDescent="0.25">
      <c r="A3012">
        <v>3011</v>
      </c>
      <c r="B3012">
        <v>23</v>
      </c>
      <c r="C3012" t="s">
        <v>11</v>
      </c>
      <c r="D3012" t="s">
        <v>41</v>
      </c>
      <c r="E3012" t="s">
        <v>42</v>
      </c>
      <c r="F3012" s="1">
        <v>134.30000000000001</v>
      </c>
      <c r="G3012" t="s">
        <v>14</v>
      </c>
      <c r="H3012" t="s">
        <v>15</v>
      </c>
      <c r="I3012" s="2">
        <v>3.9</v>
      </c>
      <c r="J3012" s="4">
        <v>22</v>
      </c>
      <c r="K3012" s="3">
        <v>6</v>
      </c>
      <c r="L3012" s="1">
        <f t="shared" si="141"/>
        <v>104.75400000000002</v>
      </c>
      <c r="M3012" t="str" cm="1">
        <f t="array" ref="M3012">_xlfn.IFS(B3012&lt;18,"Under 18",B3012 &lt;=25,"18-25",B3012&lt;=35,"26-35",B3012&lt;=45,"36-45",B3012&lt;=60,"46-60",TRUE,"60+")</f>
        <v>18-25</v>
      </c>
      <c r="N3012" t="str">
        <f t="shared" si="142"/>
        <v>Discounted</v>
      </c>
      <c r="O3012" t="str">
        <f t="shared" si="143"/>
        <v>Returning</v>
      </c>
    </row>
    <row r="3013" spans="1:15" x14ac:dyDescent="0.25">
      <c r="A3013">
        <v>3012</v>
      </c>
      <c r="B3013">
        <v>48</v>
      </c>
      <c r="C3013" t="s">
        <v>16</v>
      </c>
      <c r="D3013" t="s">
        <v>17</v>
      </c>
      <c r="E3013" t="s">
        <v>48</v>
      </c>
      <c r="F3013" s="1">
        <v>51.38</v>
      </c>
      <c r="G3013" t="s">
        <v>24</v>
      </c>
      <c r="H3013" t="s">
        <v>15</v>
      </c>
      <c r="I3013" s="2">
        <v>5</v>
      </c>
      <c r="J3013" s="4">
        <v>2</v>
      </c>
      <c r="K3013" s="3">
        <v>1</v>
      </c>
      <c r="L3013" s="1">
        <f t="shared" si="141"/>
        <v>50.352400000000003</v>
      </c>
      <c r="M3013" t="str" cm="1">
        <f t="array" ref="M3013">_xlfn.IFS(B3013&lt;18,"Under 18",B3013 &lt;=25,"18-25",B3013&lt;=35,"26-35",B3013&lt;=45,"36-45",B3013&lt;=60,"46-60",TRUE,"60+")</f>
        <v>46-60</v>
      </c>
      <c r="N3013" t="str">
        <f t="shared" si="142"/>
        <v>Discounted</v>
      </c>
      <c r="O3013" t="str">
        <f t="shared" si="143"/>
        <v>Returning</v>
      </c>
    </row>
    <row r="3014" spans="1:15" x14ac:dyDescent="0.25">
      <c r="A3014">
        <v>3013</v>
      </c>
      <c r="B3014">
        <v>51</v>
      </c>
      <c r="C3014" t="s">
        <v>16</v>
      </c>
      <c r="D3014" t="s">
        <v>27</v>
      </c>
      <c r="E3014" t="s">
        <v>49</v>
      </c>
      <c r="F3014" s="1">
        <v>2375.0300000000002</v>
      </c>
      <c r="G3014" t="s">
        <v>24</v>
      </c>
      <c r="H3014" t="s">
        <v>15</v>
      </c>
      <c r="I3014" s="2">
        <v>2.5</v>
      </c>
      <c r="J3014" s="4">
        <v>8</v>
      </c>
      <c r="K3014" s="3">
        <v>4</v>
      </c>
      <c r="L3014" s="1">
        <f t="shared" si="141"/>
        <v>2185.0276000000003</v>
      </c>
      <c r="M3014" t="str" cm="1">
        <f t="array" ref="M3014">_xlfn.IFS(B3014&lt;18,"Under 18",B3014 &lt;=25,"18-25",B3014&lt;=35,"26-35",B3014&lt;=45,"36-45",B3014&lt;=60,"46-60",TRUE,"60+")</f>
        <v>46-60</v>
      </c>
      <c r="N3014" t="str">
        <f t="shared" si="142"/>
        <v>Discounted</v>
      </c>
      <c r="O3014" t="str">
        <f t="shared" si="143"/>
        <v>Returning</v>
      </c>
    </row>
    <row r="3015" spans="1:15" x14ac:dyDescent="0.25">
      <c r="A3015">
        <v>3014</v>
      </c>
      <c r="B3015">
        <v>53</v>
      </c>
      <c r="C3015" t="s">
        <v>16</v>
      </c>
      <c r="D3015" t="s">
        <v>20</v>
      </c>
      <c r="E3015" t="s">
        <v>36</v>
      </c>
      <c r="F3015" s="1">
        <v>52.21</v>
      </c>
      <c r="G3015" t="s">
        <v>14</v>
      </c>
      <c r="H3015" t="s">
        <v>15</v>
      </c>
      <c r="I3015" s="2">
        <v>3.6</v>
      </c>
      <c r="J3015" s="4">
        <v>6</v>
      </c>
      <c r="K3015" s="3">
        <v>3</v>
      </c>
      <c r="L3015" s="1">
        <f t="shared" si="141"/>
        <v>49.077399999999997</v>
      </c>
      <c r="M3015" t="str" cm="1">
        <f t="array" ref="M3015">_xlfn.IFS(B3015&lt;18,"Under 18",B3015 &lt;=25,"18-25",B3015&lt;=35,"26-35",B3015&lt;=45,"36-45",B3015&lt;=60,"46-60",TRUE,"60+")</f>
        <v>46-60</v>
      </c>
      <c r="N3015" t="str">
        <f t="shared" si="142"/>
        <v>Discounted</v>
      </c>
      <c r="O3015" t="str">
        <f t="shared" si="143"/>
        <v>Returning</v>
      </c>
    </row>
    <row r="3016" spans="1:15" x14ac:dyDescent="0.25">
      <c r="A3016">
        <v>3015</v>
      </c>
      <c r="B3016">
        <v>38</v>
      </c>
      <c r="C3016" t="s">
        <v>11</v>
      </c>
      <c r="D3016" t="s">
        <v>33</v>
      </c>
      <c r="E3016" t="s">
        <v>34</v>
      </c>
      <c r="F3016" s="1">
        <v>241.96</v>
      </c>
      <c r="G3016" t="s">
        <v>31</v>
      </c>
      <c r="H3016" t="s">
        <v>15</v>
      </c>
      <c r="I3016" s="2">
        <v>2.6</v>
      </c>
      <c r="J3016" s="4">
        <v>18</v>
      </c>
      <c r="K3016" s="3">
        <v>4</v>
      </c>
      <c r="L3016" s="1">
        <f t="shared" si="141"/>
        <v>198.40720000000002</v>
      </c>
      <c r="M3016" t="str" cm="1">
        <f t="array" ref="M3016">_xlfn.IFS(B3016&lt;18,"Under 18",B3016 &lt;=25,"18-25",B3016&lt;=35,"26-35",B3016&lt;=45,"36-45",B3016&lt;=60,"46-60",TRUE,"60+")</f>
        <v>36-45</v>
      </c>
      <c r="N3016" t="str">
        <f t="shared" si="142"/>
        <v>Discounted</v>
      </c>
      <c r="O3016" t="str">
        <f t="shared" si="143"/>
        <v>Returning</v>
      </c>
    </row>
    <row r="3017" spans="1:15" x14ac:dyDescent="0.25">
      <c r="A3017">
        <v>3016</v>
      </c>
      <c r="B3017">
        <v>23</v>
      </c>
      <c r="C3017" t="s">
        <v>11</v>
      </c>
      <c r="D3017" t="s">
        <v>12</v>
      </c>
      <c r="E3017" t="s">
        <v>56</v>
      </c>
      <c r="F3017" s="1">
        <v>64.06</v>
      </c>
      <c r="G3017" t="s">
        <v>19</v>
      </c>
      <c r="H3017" t="s">
        <v>37</v>
      </c>
      <c r="I3017" s="2">
        <v>3.7</v>
      </c>
      <c r="J3017" s="4">
        <v>9</v>
      </c>
      <c r="K3017" s="3">
        <v>2</v>
      </c>
      <c r="L3017" s="1">
        <f t="shared" si="141"/>
        <v>58.294600000000003</v>
      </c>
      <c r="M3017" t="str" cm="1">
        <f t="array" ref="M3017">_xlfn.IFS(B3017&lt;18,"Under 18",B3017 &lt;=25,"18-25",B3017&lt;=35,"26-35",B3017&lt;=45,"36-45",B3017&lt;=60,"46-60",TRUE,"60+")</f>
        <v>18-25</v>
      </c>
      <c r="N3017" t="str">
        <f t="shared" si="142"/>
        <v>Discounted</v>
      </c>
      <c r="O3017" t="str">
        <f t="shared" si="143"/>
        <v>Returning</v>
      </c>
    </row>
    <row r="3018" spans="1:15" x14ac:dyDescent="0.25">
      <c r="A3018">
        <v>3017</v>
      </c>
      <c r="B3018">
        <v>25</v>
      </c>
      <c r="C3018" t="s">
        <v>11</v>
      </c>
      <c r="D3018" t="s">
        <v>41</v>
      </c>
      <c r="E3018" t="s">
        <v>42</v>
      </c>
      <c r="F3018" s="1">
        <v>59.55</v>
      </c>
      <c r="G3018" t="s">
        <v>19</v>
      </c>
      <c r="H3018" t="s">
        <v>15</v>
      </c>
      <c r="I3018" s="2">
        <v>4.0999999999999996</v>
      </c>
      <c r="J3018" s="4">
        <v>22</v>
      </c>
      <c r="K3018" s="3">
        <v>6</v>
      </c>
      <c r="L3018" s="1">
        <f t="shared" si="141"/>
        <v>46.448999999999998</v>
      </c>
      <c r="M3018" t="str" cm="1">
        <f t="array" ref="M3018">_xlfn.IFS(B3018&lt;18,"Under 18",B3018 &lt;=25,"18-25",B3018&lt;=35,"26-35",B3018&lt;=45,"36-45",B3018&lt;=60,"46-60",TRUE,"60+")</f>
        <v>18-25</v>
      </c>
      <c r="N3018" t="str">
        <f t="shared" si="142"/>
        <v>Discounted</v>
      </c>
      <c r="O3018" t="str">
        <f t="shared" si="143"/>
        <v>Returning</v>
      </c>
    </row>
    <row r="3019" spans="1:15" x14ac:dyDescent="0.25">
      <c r="A3019">
        <v>3018</v>
      </c>
      <c r="B3019">
        <v>63</v>
      </c>
      <c r="C3019" t="s">
        <v>16</v>
      </c>
      <c r="D3019" t="s">
        <v>33</v>
      </c>
      <c r="E3019" t="s">
        <v>38</v>
      </c>
      <c r="F3019" s="1">
        <v>91.21</v>
      </c>
      <c r="G3019" t="s">
        <v>24</v>
      </c>
      <c r="H3019" t="s">
        <v>15</v>
      </c>
      <c r="I3019" s="2">
        <v>4.0999999999999996</v>
      </c>
      <c r="J3019" s="4">
        <v>32</v>
      </c>
      <c r="K3019" s="3">
        <v>11</v>
      </c>
      <c r="L3019" s="1">
        <f t="shared" si="141"/>
        <v>62.022799999999989</v>
      </c>
      <c r="M3019" t="str" cm="1">
        <f t="array" ref="M3019">_xlfn.IFS(B3019&lt;18,"Under 18",B3019 &lt;=25,"18-25",B3019&lt;=35,"26-35",B3019&lt;=45,"36-45",B3019&lt;=60,"46-60",TRUE,"60+")</f>
        <v>60+</v>
      </c>
      <c r="N3019" t="str">
        <f t="shared" si="142"/>
        <v>Discounted</v>
      </c>
      <c r="O3019" t="str">
        <f t="shared" si="143"/>
        <v>Returning</v>
      </c>
    </row>
    <row r="3020" spans="1:15" x14ac:dyDescent="0.25">
      <c r="A3020">
        <v>3019</v>
      </c>
      <c r="B3020">
        <v>63</v>
      </c>
      <c r="C3020" t="s">
        <v>16</v>
      </c>
      <c r="D3020" t="s">
        <v>17</v>
      </c>
      <c r="E3020" t="s">
        <v>48</v>
      </c>
      <c r="F3020" s="1">
        <v>112.01</v>
      </c>
      <c r="G3020" t="s">
        <v>14</v>
      </c>
      <c r="H3020" t="s">
        <v>15</v>
      </c>
      <c r="I3020" s="2">
        <v>4</v>
      </c>
      <c r="J3020" s="4">
        <v>8</v>
      </c>
      <c r="K3020" s="3">
        <v>4</v>
      </c>
      <c r="L3020" s="1">
        <f t="shared" si="141"/>
        <v>103.04920000000001</v>
      </c>
      <c r="M3020" t="str" cm="1">
        <f t="array" ref="M3020">_xlfn.IFS(B3020&lt;18,"Under 18",B3020 &lt;=25,"18-25",B3020&lt;=35,"26-35",B3020&lt;=45,"36-45",B3020&lt;=60,"46-60",TRUE,"60+")</f>
        <v>60+</v>
      </c>
      <c r="N3020" t="str">
        <f t="shared" si="142"/>
        <v>Discounted</v>
      </c>
      <c r="O3020" t="str">
        <f t="shared" si="143"/>
        <v>Returning</v>
      </c>
    </row>
    <row r="3021" spans="1:15" x14ac:dyDescent="0.25">
      <c r="A3021">
        <v>3020</v>
      </c>
      <c r="B3021">
        <v>47</v>
      </c>
      <c r="C3021" t="s">
        <v>16</v>
      </c>
      <c r="D3021" t="s">
        <v>27</v>
      </c>
      <c r="E3021" t="s">
        <v>49</v>
      </c>
      <c r="F3021" s="1">
        <v>2830.66</v>
      </c>
      <c r="G3021" t="s">
        <v>31</v>
      </c>
      <c r="H3021" t="s">
        <v>15</v>
      </c>
      <c r="I3021" s="2">
        <v>3.5</v>
      </c>
      <c r="J3021" s="4">
        <v>16</v>
      </c>
      <c r="K3021" s="3">
        <v>3</v>
      </c>
      <c r="L3021" s="1">
        <f t="shared" si="141"/>
        <v>2377.7543999999998</v>
      </c>
      <c r="M3021" t="str" cm="1">
        <f t="array" ref="M3021">_xlfn.IFS(B3021&lt;18,"Under 18",B3021 &lt;=25,"18-25",B3021&lt;=35,"26-35",B3021&lt;=45,"36-45",B3021&lt;=60,"46-60",TRUE,"60+")</f>
        <v>46-60</v>
      </c>
      <c r="N3021" t="str">
        <f t="shared" si="142"/>
        <v>Discounted</v>
      </c>
      <c r="O3021" t="str">
        <f t="shared" si="143"/>
        <v>Returning</v>
      </c>
    </row>
    <row r="3022" spans="1:15" x14ac:dyDescent="0.25">
      <c r="A3022">
        <v>3021</v>
      </c>
      <c r="B3022">
        <v>67</v>
      </c>
      <c r="C3022" t="s">
        <v>16</v>
      </c>
      <c r="D3022" t="s">
        <v>27</v>
      </c>
      <c r="E3022" t="s">
        <v>28</v>
      </c>
      <c r="F3022" s="1">
        <v>804.82</v>
      </c>
      <c r="G3022" t="s">
        <v>24</v>
      </c>
      <c r="H3022" t="s">
        <v>15</v>
      </c>
      <c r="I3022" s="2">
        <v>3.8</v>
      </c>
      <c r="J3022" s="4">
        <v>9</v>
      </c>
      <c r="K3022" s="3">
        <v>2</v>
      </c>
      <c r="L3022" s="1">
        <f t="shared" si="141"/>
        <v>732.38620000000003</v>
      </c>
      <c r="M3022" t="str" cm="1">
        <f t="array" ref="M3022">_xlfn.IFS(B3022&lt;18,"Under 18",B3022 &lt;=25,"18-25",B3022&lt;=35,"26-35",B3022&lt;=45,"36-45",B3022&lt;=60,"46-60",TRUE,"60+")</f>
        <v>60+</v>
      </c>
      <c r="N3022" t="str">
        <f t="shared" si="142"/>
        <v>Discounted</v>
      </c>
      <c r="O3022" t="str">
        <f t="shared" si="143"/>
        <v>Returning</v>
      </c>
    </row>
    <row r="3023" spans="1:15" x14ac:dyDescent="0.25">
      <c r="A3023">
        <v>3022</v>
      </c>
      <c r="B3023">
        <v>35</v>
      </c>
      <c r="C3023" t="s">
        <v>16</v>
      </c>
      <c r="D3023" t="s">
        <v>17</v>
      </c>
      <c r="E3023" t="s">
        <v>48</v>
      </c>
      <c r="F3023" s="1">
        <v>62.73</v>
      </c>
      <c r="G3023" t="s">
        <v>31</v>
      </c>
      <c r="H3023" t="s">
        <v>37</v>
      </c>
      <c r="I3023" s="2">
        <v>3.6</v>
      </c>
      <c r="J3023" s="4">
        <v>15</v>
      </c>
      <c r="K3023" s="3">
        <v>5</v>
      </c>
      <c r="L3023" s="1">
        <f t="shared" si="141"/>
        <v>53.320499999999996</v>
      </c>
      <c r="M3023" t="str" cm="1">
        <f t="array" ref="M3023">_xlfn.IFS(B3023&lt;18,"Under 18",B3023 &lt;=25,"18-25",B3023&lt;=35,"26-35",B3023&lt;=45,"36-45",B3023&lt;=60,"46-60",TRUE,"60+")</f>
        <v>26-35</v>
      </c>
      <c r="N3023" t="str">
        <f t="shared" si="142"/>
        <v>Discounted</v>
      </c>
      <c r="O3023" t="str">
        <f t="shared" si="143"/>
        <v>Returning</v>
      </c>
    </row>
    <row r="3024" spans="1:15" x14ac:dyDescent="0.25">
      <c r="A3024">
        <v>3023</v>
      </c>
      <c r="B3024">
        <v>43</v>
      </c>
      <c r="C3024" t="s">
        <v>11</v>
      </c>
      <c r="D3024" t="s">
        <v>29</v>
      </c>
      <c r="E3024" t="s">
        <v>51</v>
      </c>
      <c r="F3024" s="1">
        <v>20.09</v>
      </c>
      <c r="G3024" t="s">
        <v>24</v>
      </c>
      <c r="H3024" t="s">
        <v>37</v>
      </c>
      <c r="I3024" s="2">
        <v>2.7</v>
      </c>
      <c r="J3024" s="4">
        <v>20</v>
      </c>
      <c r="K3024" s="3">
        <v>5</v>
      </c>
      <c r="L3024" s="1">
        <f t="shared" si="141"/>
        <v>16.071999999999999</v>
      </c>
      <c r="M3024" t="str" cm="1">
        <f t="array" ref="M3024">_xlfn.IFS(B3024&lt;18,"Under 18",B3024 &lt;=25,"18-25",B3024&lt;=35,"26-35",B3024&lt;=45,"36-45",B3024&lt;=60,"46-60",TRUE,"60+")</f>
        <v>36-45</v>
      </c>
      <c r="N3024" t="str">
        <f t="shared" si="142"/>
        <v>Discounted</v>
      </c>
      <c r="O3024" t="str">
        <f t="shared" si="143"/>
        <v>Returning</v>
      </c>
    </row>
    <row r="3025" spans="1:15" x14ac:dyDescent="0.25">
      <c r="A3025">
        <v>3024</v>
      </c>
      <c r="B3025">
        <v>60</v>
      </c>
      <c r="C3025" t="s">
        <v>11</v>
      </c>
      <c r="D3025" t="s">
        <v>33</v>
      </c>
      <c r="E3025" t="s">
        <v>38</v>
      </c>
      <c r="F3025" s="1">
        <v>52.98</v>
      </c>
      <c r="G3025" t="s">
        <v>19</v>
      </c>
      <c r="H3025" t="s">
        <v>15</v>
      </c>
      <c r="I3025" s="2">
        <v>4.2</v>
      </c>
      <c r="J3025" s="4">
        <v>4</v>
      </c>
      <c r="K3025" s="3">
        <v>2</v>
      </c>
      <c r="L3025" s="1">
        <f t="shared" si="141"/>
        <v>50.860799999999998</v>
      </c>
      <c r="M3025" t="str" cm="1">
        <f t="array" ref="M3025">_xlfn.IFS(B3025&lt;18,"Under 18",B3025 &lt;=25,"18-25",B3025&lt;=35,"26-35",B3025&lt;=45,"36-45",B3025&lt;=60,"46-60",TRUE,"60+")</f>
        <v>46-60</v>
      </c>
      <c r="N3025" t="str">
        <f t="shared" si="142"/>
        <v>Discounted</v>
      </c>
      <c r="O3025" t="str">
        <f t="shared" si="143"/>
        <v>Returning</v>
      </c>
    </row>
    <row r="3026" spans="1:15" x14ac:dyDescent="0.25">
      <c r="A3026">
        <v>3025</v>
      </c>
      <c r="B3026">
        <v>56</v>
      </c>
      <c r="C3026" t="s">
        <v>11</v>
      </c>
      <c r="D3026" t="s">
        <v>41</v>
      </c>
      <c r="E3026" t="s">
        <v>45</v>
      </c>
      <c r="F3026" s="1">
        <v>80.959999999999994</v>
      </c>
      <c r="G3026" t="s">
        <v>19</v>
      </c>
      <c r="H3026" t="s">
        <v>15</v>
      </c>
      <c r="I3026" s="2">
        <v>3.4</v>
      </c>
      <c r="J3026" s="4">
        <v>12</v>
      </c>
      <c r="K3026" s="3">
        <v>6</v>
      </c>
      <c r="L3026" s="1">
        <f t="shared" si="141"/>
        <v>71.244799999999998</v>
      </c>
      <c r="M3026" t="str" cm="1">
        <f t="array" ref="M3026">_xlfn.IFS(B3026&lt;18,"Under 18",B3026 &lt;=25,"18-25",B3026&lt;=35,"26-35",B3026&lt;=45,"36-45",B3026&lt;=60,"46-60",TRUE,"60+")</f>
        <v>46-60</v>
      </c>
      <c r="N3026" t="str">
        <f t="shared" si="142"/>
        <v>Discounted</v>
      </c>
      <c r="O3026" t="str">
        <f t="shared" si="143"/>
        <v>Returning</v>
      </c>
    </row>
    <row r="3027" spans="1:15" x14ac:dyDescent="0.25">
      <c r="A3027">
        <v>3026</v>
      </c>
      <c r="B3027">
        <v>46</v>
      </c>
      <c r="C3027" t="s">
        <v>16</v>
      </c>
      <c r="D3027" t="s">
        <v>17</v>
      </c>
      <c r="E3027" t="s">
        <v>48</v>
      </c>
      <c r="F3027" s="1">
        <v>173.68</v>
      </c>
      <c r="G3027" t="s">
        <v>19</v>
      </c>
      <c r="H3027" t="s">
        <v>15</v>
      </c>
      <c r="I3027" s="2">
        <v>5</v>
      </c>
      <c r="J3027" s="4">
        <v>17</v>
      </c>
      <c r="K3027" s="3">
        <v>6</v>
      </c>
      <c r="L3027" s="1">
        <f t="shared" si="141"/>
        <v>144.15440000000001</v>
      </c>
      <c r="M3027" t="str" cm="1">
        <f t="array" ref="M3027">_xlfn.IFS(B3027&lt;18,"Under 18",B3027 &lt;=25,"18-25",B3027&lt;=35,"26-35",B3027&lt;=45,"36-45",B3027&lt;=60,"46-60",TRUE,"60+")</f>
        <v>46-60</v>
      </c>
      <c r="N3027" t="str">
        <f t="shared" si="142"/>
        <v>Discounted</v>
      </c>
      <c r="O3027" t="str">
        <f t="shared" si="143"/>
        <v>Returning</v>
      </c>
    </row>
    <row r="3028" spans="1:15" x14ac:dyDescent="0.25">
      <c r="A3028">
        <v>3027</v>
      </c>
      <c r="B3028">
        <v>63</v>
      </c>
      <c r="C3028" t="s">
        <v>16</v>
      </c>
      <c r="D3028" t="s">
        <v>17</v>
      </c>
      <c r="E3028" t="s">
        <v>48</v>
      </c>
      <c r="F3028" s="1">
        <v>116.37</v>
      </c>
      <c r="G3028" t="s">
        <v>24</v>
      </c>
      <c r="H3028" t="s">
        <v>15</v>
      </c>
      <c r="I3028" s="2">
        <v>3.3</v>
      </c>
      <c r="J3028" s="4">
        <v>26</v>
      </c>
      <c r="K3028" s="3">
        <v>8</v>
      </c>
      <c r="L3028" s="1">
        <f t="shared" si="141"/>
        <v>86.113799999999998</v>
      </c>
      <c r="M3028" t="str" cm="1">
        <f t="array" ref="M3028">_xlfn.IFS(B3028&lt;18,"Under 18",B3028 &lt;=25,"18-25",B3028&lt;=35,"26-35",B3028&lt;=45,"36-45",B3028&lt;=60,"46-60",TRUE,"60+")</f>
        <v>60+</v>
      </c>
      <c r="N3028" t="str">
        <f t="shared" si="142"/>
        <v>Discounted</v>
      </c>
      <c r="O3028" t="str">
        <f t="shared" si="143"/>
        <v>Returning</v>
      </c>
    </row>
    <row r="3029" spans="1:15" x14ac:dyDescent="0.25">
      <c r="A3029">
        <v>3028</v>
      </c>
      <c r="B3029">
        <v>44</v>
      </c>
      <c r="C3029" t="s">
        <v>11</v>
      </c>
      <c r="D3029" t="s">
        <v>41</v>
      </c>
      <c r="E3029" t="s">
        <v>44</v>
      </c>
      <c r="F3029" s="1">
        <v>139.86000000000001</v>
      </c>
      <c r="G3029" t="s">
        <v>31</v>
      </c>
      <c r="H3029" t="s">
        <v>15</v>
      </c>
      <c r="I3029" s="2">
        <v>3.5</v>
      </c>
      <c r="J3029" s="4">
        <v>11</v>
      </c>
      <c r="K3029" s="3">
        <v>3</v>
      </c>
      <c r="L3029" s="1">
        <f t="shared" si="141"/>
        <v>124.47540000000001</v>
      </c>
      <c r="M3029" t="str" cm="1">
        <f t="array" ref="M3029">_xlfn.IFS(B3029&lt;18,"Under 18",B3029 &lt;=25,"18-25",B3029&lt;=35,"26-35",B3029&lt;=45,"36-45",B3029&lt;=60,"46-60",TRUE,"60+")</f>
        <v>36-45</v>
      </c>
      <c r="N3029" t="str">
        <f t="shared" si="142"/>
        <v>Discounted</v>
      </c>
      <c r="O3029" t="str">
        <f t="shared" si="143"/>
        <v>Returning</v>
      </c>
    </row>
    <row r="3030" spans="1:15" x14ac:dyDescent="0.25">
      <c r="A3030">
        <v>3029</v>
      </c>
      <c r="B3030">
        <v>46</v>
      </c>
      <c r="C3030" t="s">
        <v>11</v>
      </c>
      <c r="D3030" t="s">
        <v>12</v>
      </c>
      <c r="E3030" t="s">
        <v>56</v>
      </c>
      <c r="F3030" s="1">
        <v>169.04</v>
      </c>
      <c r="G3030" t="s">
        <v>24</v>
      </c>
      <c r="H3030" t="s">
        <v>15</v>
      </c>
      <c r="I3030" s="2">
        <v>3</v>
      </c>
      <c r="J3030" s="4">
        <v>15</v>
      </c>
      <c r="K3030" s="3">
        <v>5</v>
      </c>
      <c r="L3030" s="1">
        <f t="shared" si="141"/>
        <v>143.684</v>
      </c>
      <c r="M3030" t="str" cm="1">
        <f t="array" ref="M3030">_xlfn.IFS(B3030&lt;18,"Under 18",B3030 &lt;=25,"18-25",B3030&lt;=35,"26-35",B3030&lt;=45,"36-45",B3030&lt;=60,"46-60",TRUE,"60+")</f>
        <v>46-60</v>
      </c>
      <c r="N3030" t="str">
        <f t="shared" si="142"/>
        <v>Discounted</v>
      </c>
      <c r="O3030" t="str">
        <f t="shared" si="143"/>
        <v>Returning</v>
      </c>
    </row>
    <row r="3031" spans="1:15" x14ac:dyDescent="0.25">
      <c r="A3031">
        <v>3030</v>
      </c>
      <c r="B3031">
        <v>44</v>
      </c>
      <c r="C3031" t="s">
        <v>16</v>
      </c>
      <c r="D3031" t="s">
        <v>27</v>
      </c>
      <c r="E3031" t="s">
        <v>32</v>
      </c>
      <c r="F3031" s="1">
        <v>2810.41</v>
      </c>
      <c r="G3031" t="s">
        <v>24</v>
      </c>
      <c r="H3031" t="s">
        <v>15</v>
      </c>
      <c r="I3031" s="2">
        <v>4.4000000000000004</v>
      </c>
      <c r="J3031" s="4">
        <v>8</v>
      </c>
      <c r="K3031" s="3">
        <v>4</v>
      </c>
      <c r="L3031" s="1">
        <f t="shared" si="141"/>
        <v>2585.5772000000002</v>
      </c>
      <c r="M3031" t="str" cm="1">
        <f t="array" ref="M3031">_xlfn.IFS(B3031&lt;18,"Under 18",B3031 &lt;=25,"18-25",B3031&lt;=35,"26-35",B3031&lt;=45,"36-45",B3031&lt;=60,"46-60",TRUE,"60+")</f>
        <v>36-45</v>
      </c>
      <c r="N3031" t="str">
        <f t="shared" si="142"/>
        <v>Discounted</v>
      </c>
      <c r="O3031" t="str">
        <f t="shared" si="143"/>
        <v>Returning</v>
      </c>
    </row>
    <row r="3032" spans="1:15" x14ac:dyDescent="0.25">
      <c r="A3032">
        <v>3031</v>
      </c>
      <c r="B3032">
        <v>46</v>
      </c>
      <c r="C3032" t="s">
        <v>11</v>
      </c>
      <c r="D3032" t="s">
        <v>41</v>
      </c>
      <c r="E3032" t="s">
        <v>44</v>
      </c>
      <c r="F3032" s="1">
        <v>152.01</v>
      </c>
      <c r="G3032" t="s">
        <v>31</v>
      </c>
      <c r="H3032" t="s">
        <v>15</v>
      </c>
      <c r="I3032" s="2">
        <v>2.6</v>
      </c>
      <c r="J3032" s="4">
        <v>11</v>
      </c>
      <c r="K3032" s="3">
        <v>3</v>
      </c>
      <c r="L3032" s="1">
        <f t="shared" si="141"/>
        <v>135.28889999999998</v>
      </c>
      <c r="M3032" t="str" cm="1">
        <f t="array" ref="M3032">_xlfn.IFS(B3032&lt;18,"Under 18",B3032 &lt;=25,"18-25",B3032&lt;=35,"26-35",B3032&lt;=45,"36-45",B3032&lt;=60,"46-60",TRUE,"60+")</f>
        <v>46-60</v>
      </c>
      <c r="N3032" t="str">
        <f t="shared" si="142"/>
        <v>Discounted</v>
      </c>
      <c r="O3032" t="str">
        <f t="shared" si="143"/>
        <v>Returning</v>
      </c>
    </row>
    <row r="3033" spans="1:15" x14ac:dyDescent="0.25">
      <c r="A3033">
        <v>3032</v>
      </c>
      <c r="B3033">
        <v>50</v>
      </c>
      <c r="C3033" t="s">
        <v>16</v>
      </c>
      <c r="D3033" t="s">
        <v>27</v>
      </c>
      <c r="E3033" t="s">
        <v>53</v>
      </c>
      <c r="F3033" s="1">
        <v>908.32</v>
      </c>
      <c r="G3033" t="s">
        <v>14</v>
      </c>
      <c r="H3033" t="s">
        <v>15</v>
      </c>
      <c r="I3033" s="2">
        <v>2.8</v>
      </c>
      <c r="J3033" s="4">
        <v>8</v>
      </c>
      <c r="K3033" s="3">
        <v>4</v>
      </c>
      <c r="L3033" s="1">
        <f t="shared" si="141"/>
        <v>835.65440000000012</v>
      </c>
      <c r="M3033" t="str" cm="1">
        <f t="array" ref="M3033">_xlfn.IFS(B3033&lt;18,"Under 18",B3033 &lt;=25,"18-25",B3033&lt;=35,"26-35",B3033&lt;=45,"36-45",B3033&lt;=60,"46-60",TRUE,"60+")</f>
        <v>46-60</v>
      </c>
      <c r="N3033" t="str">
        <f t="shared" si="142"/>
        <v>Discounted</v>
      </c>
      <c r="O3033" t="str">
        <f t="shared" si="143"/>
        <v>Returning</v>
      </c>
    </row>
    <row r="3034" spans="1:15" x14ac:dyDescent="0.25">
      <c r="A3034">
        <v>3033</v>
      </c>
      <c r="B3034">
        <v>57</v>
      </c>
      <c r="C3034" t="s">
        <v>11</v>
      </c>
      <c r="D3034" t="s">
        <v>41</v>
      </c>
      <c r="E3034" t="s">
        <v>44</v>
      </c>
      <c r="F3034" s="1">
        <v>194</v>
      </c>
      <c r="G3034" t="s">
        <v>24</v>
      </c>
      <c r="H3034" t="s">
        <v>15</v>
      </c>
      <c r="I3034" s="2">
        <v>2.9</v>
      </c>
      <c r="J3034" s="4">
        <v>2</v>
      </c>
      <c r="K3034" s="3">
        <v>1</v>
      </c>
      <c r="L3034" s="1">
        <f t="shared" si="141"/>
        <v>190.12</v>
      </c>
      <c r="M3034" t="str" cm="1">
        <f t="array" ref="M3034">_xlfn.IFS(B3034&lt;18,"Under 18",B3034 &lt;=25,"18-25",B3034&lt;=35,"26-35",B3034&lt;=45,"36-45",B3034&lt;=60,"46-60",TRUE,"60+")</f>
        <v>46-60</v>
      </c>
      <c r="N3034" t="str">
        <f t="shared" si="142"/>
        <v>Discounted</v>
      </c>
      <c r="O3034" t="str">
        <f t="shared" si="143"/>
        <v>Returning</v>
      </c>
    </row>
    <row r="3035" spans="1:15" x14ac:dyDescent="0.25">
      <c r="A3035">
        <v>3034</v>
      </c>
      <c r="B3035">
        <v>28</v>
      </c>
      <c r="C3035" t="s">
        <v>16</v>
      </c>
      <c r="D3035" t="s">
        <v>33</v>
      </c>
      <c r="E3035" t="s">
        <v>34</v>
      </c>
      <c r="F3035" s="1">
        <v>239.55</v>
      </c>
      <c r="G3035" t="s">
        <v>19</v>
      </c>
      <c r="H3035" t="s">
        <v>15</v>
      </c>
      <c r="I3035" s="2">
        <v>4.5999999999999996</v>
      </c>
      <c r="J3035" s="4">
        <v>20</v>
      </c>
      <c r="K3035" s="3">
        <v>5</v>
      </c>
      <c r="L3035" s="1">
        <f t="shared" si="141"/>
        <v>191.64000000000001</v>
      </c>
      <c r="M3035" t="str" cm="1">
        <f t="array" ref="M3035">_xlfn.IFS(B3035&lt;18,"Under 18",B3035 &lt;=25,"18-25",B3035&lt;=35,"26-35",B3035&lt;=45,"36-45",B3035&lt;=60,"46-60",TRUE,"60+")</f>
        <v>26-35</v>
      </c>
      <c r="N3035" t="str">
        <f t="shared" si="142"/>
        <v>Discounted</v>
      </c>
      <c r="O3035" t="str">
        <f t="shared" si="143"/>
        <v>Returning</v>
      </c>
    </row>
    <row r="3036" spans="1:15" x14ac:dyDescent="0.25">
      <c r="A3036">
        <v>3035</v>
      </c>
      <c r="B3036">
        <v>38</v>
      </c>
      <c r="C3036" t="s">
        <v>16</v>
      </c>
      <c r="D3036" t="s">
        <v>27</v>
      </c>
      <c r="E3036" t="s">
        <v>49</v>
      </c>
      <c r="F3036" s="1">
        <v>2591.6999999999998</v>
      </c>
      <c r="G3036" t="s">
        <v>14</v>
      </c>
      <c r="H3036" t="s">
        <v>15</v>
      </c>
      <c r="I3036" s="2">
        <v>3.3</v>
      </c>
      <c r="J3036" s="4">
        <v>26</v>
      </c>
      <c r="K3036" s="3">
        <v>8</v>
      </c>
      <c r="L3036" s="1">
        <f t="shared" si="141"/>
        <v>1917.8579999999999</v>
      </c>
      <c r="M3036" t="str" cm="1">
        <f t="array" ref="M3036">_xlfn.IFS(B3036&lt;18,"Under 18",B3036 &lt;=25,"18-25",B3036&lt;=35,"26-35",B3036&lt;=45,"36-45",B3036&lt;=60,"46-60",TRUE,"60+")</f>
        <v>36-45</v>
      </c>
      <c r="N3036" t="str">
        <f t="shared" si="142"/>
        <v>Discounted</v>
      </c>
      <c r="O3036" t="str">
        <f t="shared" si="143"/>
        <v>Returning</v>
      </c>
    </row>
    <row r="3037" spans="1:15" x14ac:dyDescent="0.25">
      <c r="A3037">
        <v>3036</v>
      </c>
      <c r="B3037">
        <v>57</v>
      </c>
      <c r="C3037" t="s">
        <v>11</v>
      </c>
      <c r="D3037" t="s">
        <v>41</v>
      </c>
      <c r="E3037" t="s">
        <v>45</v>
      </c>
      <c r="F3037" s="1">
        <v>165.49</v>
      </c>
      <c r="G3037" t="s">
        <v>31</v>
      </c>
      <c r="H3037" t="s">
        <v>15</v>
      </c>
      <c r="I3037" s="2">
        <v>4.7</v>
      </c>
      <c r="J3037" s="4">
        <v>13</v>
      </c>
      <c r="K3037" s="3">
        <v>4</v>
      </c>
      <c r="L3037" s="1">
        <f t="shared" si="141"/>
        <v>143.97630000000001</v>
      </c>
      <c r="M3037" t="str" cm="1">
        <f t="array" ref="M3037">_xlfn.IFS(B3037&lt;18,"Under 18",B3037 &lt;=25,"18-25",B3037&lt;=35,"26-35",B3037&lt;=45,"36-45",B3037&lt;=60,"46-60",TRUE,"60+")</f>
        <v>46-60</v>
      </c>
      <c r="N3037" t="str">
        <f t="shared" si="142"/>
        <v>Discounted</v>
      </c>
      <c r="O3037" t="str">
        <f t="shared" si="143"/>
        <v>Returning</v>
      </c>
    </row>
    <row r="3038" spans="1:15" x14ac:dyDescent="0.25">
      <c r="A3038">
        <v>3037</v>
      </c>
      <c r="B3038">
        <v>22</v>
      </c>
      <c r="C3038" t="s">
        <v>16</v>
      </c>
      <c r="D3038" t="s">
        <v>33</v>
      </c>
      <c r="E3038" t="s">
        <v>38</v>
      </c>
      <c r="F3038" s="1">
        <v>41.92</v>
      </c>
      <c r="G3038" t="s">
        <v>24</v>
      </c>
      <c r="H3038" t="s">
        <v>15</v>
      </c>
      <c r="I3038" s="2">
        <v>3.9</v>
      </c>
      <c r="J3038" s="4">
        <v>11</v>
      </c>
      <c r="K3038" s="3">
        <v>3</v>
      </c>
      <c r="L3038" s="1">
        <f t="shared" si="141"/>
        <v>37.308800000000005</v>
      </c>
      <c r="M3038" t="str" cm="1">
        <f t="array" ref="M3038">_xlfn.IFS(B3038&lt;18,"Under 18",B3038 &lt;=25,"18-25",B3038&lt;=35,"26-35",B3038&lt;=45,"36-45",B3038&lt;=60,"46-60",TRUE,"60+")</f>
        <v>18-25</v>
      </c>
      <c r="N3038" t="str">
        <f t="shared" si="142"/>
        <v>Discounted</v>
      </c>
      <c r="O3038" t="str">
        <f t="shared" si="143"/>
        <v>Returning</v>
      </c>
    </row>
    <row r="3039" spans="1:15" x14ac:dyDescent="0.25">
      <c r="A3039">
        <v>3038</v>
      </c>
      <c r="B3039">
        <v>29</v>
      </c>
      <c r="C3039" t="s">
        <v>16</v>
      </c>
      <c r="D3039" t="s">
        <v>20</v>
      </c>
      <c r="E3039" t="s">
        <v>39</v>
      </c>
      <c r="F3039" s="1">
        <v>236.09</v>
      </c>
      <c r="G3039" t="s">
        <v>31</v>
      </c>
      <c r="H3039" t="s">
        <v>15</v>
      </c>
      <c r="I3039" s="2">
        <v>2.7</v>
      </c>
      <c r="J3039" s="4">
        <v>13</v>
      </c>
      <c r="K3039" s="3">
        <v>4</v>
      </c>
      <c r="L3039" s="1">
        <f t="shared" si="141"/>
        <v>205.39830000000001</v>
      </c>
      <c r="M3039" t="str" cm="1">
        <f t="array" ref="M3039">_xlfn.IFS(B3039&lt;18,"Under 18",B3039 &lt;=25,"18-25",B3039&lt;=35,"26-35",B3039&lt;=45,"36-45",B3039&lt;=60,"46-60",TRUE,"60+")</f>
        <v>26-35</v>
      </c>
      <c r="N3039" t="str">
        <f t="shared" si="142"/>
        <v>Discounted</v>
      </c>
      <c r="O3039" t="str">
        <f t="shared" si="143"/>
        <v>Returning</v>
      </c>
    </row>
    <row r="3040" spans="1:15" x14ac:dyDescent="0.25">
      <c r="A3040">
        <v>3039</v>
      </c>
      <c r="B3040">
        <v>26</v>
      </c>
      <c r="C3040" t="s">
        <v>16</v>
      </c>
      <c r="D3040" t="s">
        <v>27</v>
      </c>
      <c r="E3040" t="s">
        <v>49</v>
      </c>
      <c r="F3040" s="1">
        <v>1687.69</v>
      </c>
      <c r="G3040" t="s">
        <v>31</v>
      </c>
      <c r="H3040" t="s">
        <v>15</v>
      </c>
      <c r="I3040" s="2">
        <v>2.4</v>
      </c>
      <c r="J3040" s="4">
        <v>12</v>
      </c>
      <c r="K3040" s="3">
        <v>6</v>
      </c>
      <c r="L3040" s="1">
        <f t="shared" si="141"/>
        <v>1485.1672000000001</v>
      </c>
      <c r="M3040" t="str" cm="1">
        <f t="array" ref="M3040">_xlfn.IFS(B3040&lt;18,"Under 18",B3040 &lt;=25,"18-25",B3040&lt;=35,"26-35",B3040&lt;=45,"36-45",B3040&lt;=60,"46-60",TRUE,"60+")</f>
        <v>26-35</v>
      </c>
      <c r="N3040" t="str">
        <f t="shared" si="142"/>
        <v>Discounted</v>
      </c>
      <c r="O3040" t="str">
        <f t="shared" si="143"/>
        <v>Returning</v>
      </c>
    </row>
    <row r="3041" spans="1:15" x14ac:dyDescent="0.25">
      <c r="A3041">
        <v>3040</v>
      </c>
      <c r="B3041">
        <v>40</v>
      </c>
      <c r="C3041" t="s">
        <v>16</v>
      </c>
      <c r="D3041" t="s">
        <v>17</v>
      </c>
      <c r="E3041" t="s">
        <v>35</v>
      </c>
      <c r="F3041" s="1">
        <v>144.61000000000001</v>
      </c>
      <c r="G3041" t="s">
        <v>14</v>
      </c>
      <c r="H3041" t="s">
        <v>15</v>
      </c>
      <c r="I3041" s="2">
        <v>3.6</v>
      </c>
      <c r="J3041" s="4">
        <v>22</v>
      </c>
      <c r="K3041" s="3">
        <v>6</v>
      </c>
      <c r="L3041" s="1">
        <f t="shared" si="141"/>
        <v>112.79580000000001</v>
      </c>
      <c r="M3041" t="str" cm="1">
        <f t="array" ref="M3041">_xlfn.IFS(B3041&lt;18,"Under 18",B3041 &lt;=25,"18-25",B3041&lt;=35,"26-35",B3041&lt;=45,"36-45",B3041&lt;=60,"46-60",TRUE,"60+")</f>
        <v>36-45</v>
      </c>
      <c r="N3041" t="str">
        <f t="shared" si="142"/>
        <v>Discounted</v>
      </c>
      <c r="O3041" t="str">
        <f t="shared" si="143"/>
        <v>Returning</v>
      </c>
    </row>
    <row r="3042" spans="1:15" x14ac:dyDescent="0.25">
      <c r="A3042">
        <v>3041</v>
      </c>
      <c r="B3042">
        <v>59</v>
      </c>
      <c r="C3042" t="s">
        <v>16</v>
      </c>
      <c r="D3042" t="s">
        <v>25</v>
      </c>
      <c r="E3042" t="s">
        <v>57</v>
      </c>
      <c r="F3042" s="1">
        <v>60.41</v>
      </c>
      <c r="G3042" t="s">
        <v>14</v>
      </c>
      <c r="H3042" t="s">
        <v>37</v>
      </c>
      <c r="I3042" s="2">
        <v>3.7</v>
      </c>
      <c r="J3042" s="4">
        <v>13</v>
      </c>
      <c r="K3042" s="3">
        <v>4</v>
      </c>
      <c r="L3042" s="1">
        <f t="shared" si="141"/>
        <v>52.556699999999999</v>
      </c>
      <c r="M3042" t="str" cm="1">
        <f t="array" ref="M3042">_xlfn.IFS(B3042&lt;18,"Under 18",B3042 &lt;=25,"18-25",B3042&lt;=35,"26-35",B3042&lt;=45,"36-45",B3042&lt;=60,"46-60",TRUE,"60+")</f>
        <v>46-60</v>
      </c>
      <c r="N3042" t="str">
        <f t="shared" si="142"/>
        <v>Discounted</v>
      </c>
      <c r="O3042" t="str">
        <f t="shared" si="143"/>
        <v>Returning</v>
      </c>
    </row>
    <row r="3043" spans="1:15" x14ac:dyDescent="0.25">
      <c r="A3043">
        <v>3042</v>
      </c>
      <c r="B3043">
        <v>42</v>
      </c>
      <c r="C3043" t="s">
        <v>11</v>
      </c>
      <c r="D3043" t="s">
        <v>33</v>
      </c>
      <c r="E3043" t="s">
        <v>40</v>
      </c>
      <c r="F3043" s="1">
        <v>176.41</v>
      </c>
      <c r="G3043" t="s">
        <v>19</v>
      </c>
      <c r="H3043" t="s">
        <v>15</v>
      </c>
      <c r="I3043" s="2">
        <v>4.2</v>
      </c>
      <c r="J3043" s="4">
        <v>16</v>
      </c>
      <c r="K3043" s="3">
        <v>3</v>
      </c>
      <c r="L3043" s="1">
        <f t="shared" si="141"/>
        <v>148.18439999999998</v>
      </c>
      <c r="M3043" t="str" cm="1">
        <f t="array" ref="M3043">_xlfn.IFS(B3043&lt;18,"Under 18",B3043 &lt;=25,"18-25",B3043&lt;=35,"26-35",B3043&lt;=45,"36-45",B3043&lt;=60,"46-60",TRUE,"60+")</f>
        <v>36-45</v>
      </c>
      <c r="N3043" t="str">
        <f t="shared" si="142"/>
        <v>Discounted</v>
      </c>
      <c r="O3043" t="str">
        <f t="shared" si="143"/>
        <v>Returning</v>
      </c>
    </row>
    <row r="3044" spans="1:15" x14ac:dyDescent="0.25">
      <c r="A3044">
        <v>3043</v>
      </c>
      <c r="B3044">
        <v>66</v>
      </c>
      <c r="C3044" t="s">
        <v>11</v>
      </c>
      <c r="D3044" t="s">
        <v>29</v>
      </c>
      <c r="E3044" t="s">
        <v>55</v>
      </c>
      <c r="F3044" s="1">
        <v>46.02</v>
      </c>
      <c r="G3044" t="s">
        <v>19</v>
      </c>
      <c r="H3044" t="s">
        <v>15</v>
      </c>
      <c r="I3044" s="2">
        <v>3.2</v>
      </c>
      <c r="J3044" s="4">
        <v>26</v>
      </c>
      <c r="K3044" s="3">
        <v>8</v>
      </c>
      <c r="L3044" s="1">
        <f t="shared" si="141"/>
        <v>34.0548</v>
      </c>
      <c r="M3044" t="str" cm="1">
        <f t="array" ref="M3044">_xlfn.IFS(B3044&lt;18,"Under 18",B3044 &lt;=25,"18-25",B3044&lt;=35,"26-35",B3044&lt;=45,"36-45",B3044&lt;=60,"46-60",TRUE,"60+")</f>
        <v>60+</v>
      </c>
      <c r="N3044" t="str">
        <f t="shared" si="142"/>
        <v>Discounted</v>
      </c>
      <c r="O3044" t="str">
        <f t="shared" si="143"/>
        <v>Returning</v>
      </c>
    </row>
    <row r="3045" spans="1:15" x14ac:dyDescent="0.25">
      <c r="A3045">
        <v>3044</v>
      </c>
      <c r="B3045">
        <v>50</v>
      </c>
      <c r="C3045" t="s">
        <v>16</v>
      </c>
      <c r="D3045" t="s">
        <v>27</v>
      </c>
      <c r="E3045" t="s">
        <v>49</v>
      </c>
      <c r="F3045" s="1">
        <v>1517.4</v>
      </c>
      <c r="G3045" t="s">
        <v>31</v>
      </c>
      <c r="H3045" t="s">
        <v>15</v>
      </c>
      <c r="I3045" s="2">
        <v>3.6</v>
      </c>
      <c r="J3045" s="4">
        <v>18</v>
      </c>
      <c r="K3045" s="3">
        <v>9</v>
      </c>
      <c r="L3045" s="1">
        <f t="shared" si="141"/>
        <v>1244.2680000000003</v>
      </c>
      <c r="M3045" t="str" cm="1">
        <f t="array" ref="M3045">_xlfn.IFS(B3045&lt;18,"Under 18",B3045 &lt;=25,"18-25",B3045&lt;=35,"26-35",B3045&lt;=45,"36-45",B3045&lt;=60,"46-60",TRUE,"60+")</f>
        <v>46-60</v>
      </c>
      <c r="N3045" t="str">
        <f t="shared" si="142"/>
        <v>Discounted</v>
      </c>
      <c r="O3045" t="str">
        <f t="shared" si="143"/>
        <v>Returning</v>
      </c>
    </row>
    <row r="3046" spans="1:15" x14ac:dyDescent="0.25">
      <c r="A3046">
        <v>3045</v>
      </c>
      <c r="B3046">
        <v>51</v>
      </c>
      <c r="C3046" t="s">
        <v>11</v>
      </c>
      <c r="D3046" t="s">
        <v>29</v>
      </c>
      <c r="E3046" t="s">
        <v>55</v>
      </c>
      <c r="F3046" s="1">
        <v>86.79</v>
      </c>
      <c r="G3046" t="s">
        <v>19</v>
      </c>
      <c r="H3046" t="s">
        <v>37</v>
      </c>
      <c r="I3046" s="2">
        <v>3.5</v>
      </c>
      <c r="J3046" s="4">
        <v>19</v>
      </c>
      <c r="K3046" s="3">
        <v>7</v>
      </c>
      <c r="L3046" s="1">
        <f t="shared" si="141"/>
        <v>70.299900000000008</v>
      </c>
      <c r="M3046" t="str" cm="1">
        <f t="array" ref="M3046">_xlfn.IFS(B3046&lt;18,"Under 18",B3046 &lt;=25,"18-25",B3046&lt;=35,"26-35",B3046&lt;=45,"36-45",B3046&lt;=60,"46-60",TRUE,"60+")</f>
        <v>46-60</v>
      </c>
      <c r="N3046" t="str">
        <f t="shared" si="142"/>
        <v>Discounted</v>
      </c>
      <c r="O3046" t="str">
        <f t="shared" si="143"/>
        <v>Returning</v>
      </c>
    </row>
    <row r="3047" spans="1:15" x14ac:dyDescent="0.25">
      <c r="A3047">
        <v>3046</v>
      </c>
      <c r="B3047">
        <v>40</v>
      </c>
      <c r="C3047" t="s">
        <v>11</v>
      </c>
      <c r="D3047" t="s">
        <v>41</v>
      </c>
      <c r="E3047" t="s">
        <v>46</v>
      </c>
      <c r="F3047" s="1">
        <v>41.97</v>
      </c>
      <c r="G3047" t="s">
        <v>31</v>
      </c>
      <c r="H3047" t="s">
        <v>15</v>
      </c>
      <c r="I3047" s="2">
        <v>3.5</v>
      </c>
      <c r="J3047" s="4">
        <v>10</v>
      </c>
      <c r="K3047" s="3">
        <v>5</v>
      </c>
      <c r="L3047" s="1">
        <f t="shared" si="141"/>
        <v>37.773000000000003</v>
      </c>
      <c r="M3047" t="str" cm="1">
        <f t="array" ref="M3047">_xlfn.IFS(B3047&lt;18,"Under 18",B3047 &lt;=25,"18-25",B3047&lt;=35,"26-35",B3047&lt;=45,"36-45",B3047&lt;=60,"46-60",TRUE,"60+")</f>
        <v>36-45</v>
      </c>
      <c r="N3047" t="str">
        <f t="shared" si="142"/>
        <v>Discounted</v>
      </c>
      <c r="O3047" t="str">
        <f t="shared" si="143"/>
        <v>Returning</v>
      </c>
    </row>
    <row r="3048" spans="1:15" x14ac:dyDescent="0.25">
      <c r="A3048">
        <v>3047</v>
      </c>
      <c r="B3048">
        <v>35</v>
      </c>
      <c r="C3048" t="s">
        <v>11</v>
      </c>
      <c r="D3048" t="s">
        <v>29</v>
      </c>
      <c r="E3048" t="s">
        <v>55</v>
      </c>
      <c r="F3048" s="1">
        <v>149.18</v>
      </c>
      <c r="G3048" t="s">
        <v>19</v>
      </c>
      <c r="H3048" t="s">
        <v>15</v>
      </c>
      <c r="I3048" s="2">
        <v>4.7</v>
      </c>
      <c r="J3048" s="4">
        <v>28</v>
      </c>
      <c r="K3048" s="3">
        <v>9</v>
      </c>
      <c r="L3048" s="1">
        <f t="shared" si="141"/>
        <v>107.4096</v>
      </c>
      <c r="M3048" t="str" cm="1">
        <f t="array" ref="M3048">_xlfn.IFS(B3048&lt;18,"Under 18",B3048 &lt;=25,"18-25",B3048&lt;=35,"26-35",B3048&lt;=45,"36-45",B3048&lt;=60,"46-60",TRUE,"60+")</f>
        <v>26-35</v>
      </c>
      <c r="N3048" t="str">
        <f t="shared" si="142"/>
        <v>Discounted</v>
      </c>
      <c r="O3048" t="str">
        <f t="shared" si="143"/>
        <v>Returning</v>
      </c>
    </row>
    <row r="3049" spans="1:15" x14ac:dyDescent="0.25">
      <c r="A3049">
        <v>3048</v>
      </c>
      <c r="B3049">
        <v>30</v>
      </c>
      <c r="C3049" t="s">
        <v>11</v>
      </c>
      <c r="D3049" t="s">
        <v>41</v>
      </c>
      <c r="E3049" t="s">
        <v>45</v>
      </c>
      <c r="F3049" s="1">
        <v>142.34</v>
      </c>
      <c r="G3049" t="s">
        <v>24</v>
      </c>
      <c r="H3049" t="s">
        <v>15</v>
      </c>
      <c r="I3049" s="2">
        <v>2.9</v>
      </c>
      <c r="J3049" s="4">
        <v>19</v>
      </c>
      <c r="K3049" s="3">
        <v>7</v>
      </c>
      <c r="L3049" s="1">
        <f t="shared" si="141"/>
        <v>115.29540000000001</v>
      </c>
      <c r="M3049" t="str" cm="1">
        <f t="array" ref="M3049">_xlfn.IFS(B3049&lt;18,"Under 18",B3049 &lt;=25,"18-25",B3049&lt;=35,"26-35",B3049&lt;=45,"36-45",B3049&lt;=60,"46-60",TRUE,"60+")</f>
        <v>26-35</v>
      </c>
      <c r="N3049" t="str">
        <f t="shared" si="142"/>
        <v>Discounted</v>
      </c>
      <c r="O3049" t="str">
        <f t="shared" si="143"/>
        <v>Returning</v>
      </c>
    </row>
    <row r="3050" spans="1:15" x14ac:dyDescent="0.25">
      <c r="A3050">
        <v>3049</v>
      </c>
      <c r="B3050">
        <v>68</v>
      </c>
      <c r="C3050" t="s">
        <v>16</v>
      </c>
      <c r="D3050" t="s">
        <v>20</v>
      </c>
      <c r="E3050" t="s">
        <v>39</v>
      </c>
      <c r="F3050" s="1">
        <v>149.12</v>
      </c>
      <c r="G3050" t="s">
        <v>14</v>
      </c>
      <c r="H3050" t="s">
        <v>15</v>
      </c>
      <c r="I3050" s="2">
        <v>4.7</v>
      </c>
      <c r="J3050" s="4">
        <v>30</v>
      </c>
      <c r="K3050" s="3">
        <v>10</v>
      </c>
      <c r="L3050" s="1">
        <f t="shared" si="141"/>
        <v>104.384</v>
      </c>
      <c r="M3050" t="str" cm="1">
        <f t="array" ref="M3050">_xlfn.IFS(B3050&lt;18,"Under 18",B3050 &lt;=25,"18-25",B3050&lt;=35,"26-35",B3050&lt;=45,"36-45",B3050&lt;=60,"46-60",TRUE,"60+")</f>
        <v>60+</v>
      </c>
      <c r="N3050" t="str">
        <f t="shared" si="142"/>
        <v>Discounted</v>
      </c>
      <c r="O3050" t="str">
        <f t="shared" si="143"/>
        <v>Returning</v>
      </c>
    </row>
    <row r="3051" spans="1:15" x14ac:dyDescent="0.25">
      <c r="A3051">
        <v>3050</v>
      </c>
      <c r="B3051">
        <v>34</v>
      </c>
      <c r="C3051" t="s">
        <v>11</v>
      </c>
      <c r="D3051" t="s">
        <v>33</v>
      </c>
      <c r="E3051" t="s">
        <v>34</v>
      </c>
      <c r="F3051" s="1">
        <v>222.74</v>
      </c>
      <c r="G3051" t="s">
        <v>24</v>
      </c>
      <c r="H3051" t="s">
        <v>15</v>
      </c>
      <c r="I3051" s="2">
        <v>4</v>
      </c>
      <c r="J3051" s="4">
        <v>18</v>
      </c>
      <c r="K3051" s="3">
        <v>4</v>
      </c>
      <c r="L3051" s="1">
        <f t="shared" si="141"/>
        <v>182.64680000000001</v>
      </c>
      <c r="M3051" t="str" cm="1">
        <f t="array" ref="M3051">_xlfn.IFS(B3051&lt;18,"Under 18",B3051 &lt;=25,"18-25",B3051&lt;=35,"26-35",B3051&lt;=45,"36-45",B3051&lt;=60,"46-60",TRUE,"60+")</f>
        <v>26-35</v>
      </c>
      <c r="N3051" t="str">
        <f t="shared" si="142"/>
        <v>Discounted</v>
      </c>
      <c r="O3051" t="str">
        <f t="shared" si="143"/>
        <v>Returning</v>
      </c>
    </row>
    <row r="3052" spans="1:15" x14ac:dyDescent="0.25">
      <c r="A3052">
        <v>3051</v>
      </c>
      <c r="B3052">
        <v>37</v>
      </c>
      <c r="C3052" t="s">
        <v>11</v>
      </c>
      <c r="D3052" t="s">
        <v>12</v>
      </c>
      <c r="E3052" t="s">
        <v>56</v>
      </c>
      <c r="F3052" s="1">
        <v>23.58</v>
      </c>
      <c r="G3052" t="s">
        <v>24</v>
      </c>
      <c r="H3052" t="s">
        <v>15</v>
      </c>
      <c r="I3052" s="2">
        <v>3.2</v>
      </c>
      <c r="J3052" s="4">
        <v>18</v>
      </c>
      <c r="K3052" s="3">
        <v>4</v>
      </c>
      <c r="L3052" s="1">
        <f t="shared" si="141"/>
        <v>19.335599999999999</v>
      </c>
      <c r="M3052" t="str" cm="1">
        <f t="array" ref="M3052">_xlfn.IFS(B3052&lt;18,"Under 18",B3052 &lt;=25,"18-25",B3052&lt;=35,"26-35",B3052&lt;=45,"36-45",B3052&lt;=60,"46-60",TRUE,"60+")</f>
        <v>36-45</v>
      </c>
      <c r="N3052" t="str">
        <f t="shared" si="142"/>
        <v>Discounted</v>
      </c>
      <c r="O3052" t="str">
        <f t="shared" si="143"/>
        <v>Returning</v>
      </c>
    </row>
    <row r="3053" spans="1:15" x14ac:dyDescent="0.25">
      <c r="A3053">
        <v>3052</v>
      </c>
      <c r="B3053">
        <v>48</v>
      </c>
      <c r="C3053" t="s">
        <v>16</v>
      </c>
      <c r="D3053" t="s">
        <v>27</v>
      </c>
      <c r="E3053" t="s">
        <v>49</v>
      </c>
      <c r="F3053" s="1">
        <v>1298.54</v>
      </c>
      <c r="G3053" t="s">
        <v>24</v>
      </c>
      <c r="H3053" t="s">
        <v>15</v>
      </c>
      <c r="I3053" s="2">
        <v>3.5</v>
      </c>
      <c r="J3053" s="4">
        <v>10</v>
      </c>
      <c r="K3053" s="3">
        <v>0</v>
      </c>
      <c r="L3053" s="1">
        <f t="shared" si="141"/>
        <v>1168.6859999999999</v>
      </c>
      <c r="M3053" t="str" cm="1">
        <f t="array" ref="M3053">_xlfn.IFS(B3053&lt;18,"Under 18",B3053 &lt;=25,"18-25",B3053&lt;=35,"26-35",B3053&lt;=45,"36-45",B3053&lt;=60,"46-60",TRUE,"60+")</f>
        <v>46-60</v>
      </c>
      <c r="N3053" t="str">
        <f t="shared" si="142"/>
        <v>Discounted</v>
      </c>
      <c r="O3053" t="str">
        <f t="shared" si="143"/>
        <v>New</v>
      </c>
    </row>
    <row r="3054" spans="1:15" x14ac:dyDescent="0.25">
      <c r="A3054">
        <v>3053</v>
      </c>
      <c r="B3054">
        <v>57</v>
      </c>
      <c r="C3054" t="s">
        <v>11</v>
      </c>
      <c r="D3054" t="s">
        <v>12</v>
      </c>
      <c r="E3054" t="s">
        <v>50</v>
      </c>
      <c r="F3054" s="1">
        <v>147.6</v>
      </c>
      <c r="G3054" t="s">
        <v>31</v>
      </c>
      <c r="H3054" t="s">
        <v>15</v>
      </c>
      <c r="I3054" s="2">
        <v>4</v>
      </c>
      <c r="J3054" s="4">
        <v>24</v>
      </c>
      <c r="K3054" s="3">
        <v>7</v>
      </c>
      <c r="L3054" s="1">
        <f t="shared" si="141"/>
        <v>112.176</v>
      </c>
      <c r="M3054" t="str" cm="1">
        <f t="array" ref="M3054">_xlfn.IFS(B3054&lt;18,"Under 18",B3054 &lt;=25,"18-25",B3054&lt;=35,"26-35",B3054&lt;=45,"36-45",B3054&lt;=60,"46-60",TRUE,"60+")</f>
        <v>46-60</v>
      </c>
      <c r="N3054" t="str">
        <f t="shared" si="142"/>
        <v>Discounted</v>
      </c>
      <c r="O3054" t="str">
        <f t="shared" si="143"/>
        <v>Returning</v>
      </c>
    </row>
    <row r="3055" spans="1:15" x14ac:dyDescent="0.25">
      <c r="A3055">
        <v>3054</v>
      </c>
      <c r="B3055">
        <v>46</v>
      </c>
      <c r="C3055" t="s">
        <v>16</v>
      </c>
      <c r="D3055" t="s">
        <v>27</v>
      </c>
      <c r="E3055" t="s">
        <v>28</v>
      </c>
      <c r="F3055" s="1">
        <v>1161.0899999999999</v>
      </c>
      <c r="G3055" t="s">
        <v>14</v>
      </c>
      <c r="H3055" t="s">
        <v>15</v>
      </c>
      <c r="I3055" s="2">
        <v>4.8</v>
      </c>
      <c r="J3055" s="4">
        <v>10</v>
      </c>
      <c r="K3055" s="3">
        <v>5</v>
      </c>
      <c r="L3055" s="1">
        <f t="shared" si="141"/>
        <v>1044.981</v>
      </c>
      <c r="M3055" t="str" cm="1">
        <f t="array" ref="M3055">_xlfn.IFS(B3055&lt;18,"Under 18",B3055 &lt;=25,"18-25",B3055&lt;=35,"26-35",B3055&lt;=45,"36-45",B3055&lt;=60,"46-60",TRUE,"60+")</f>
        <v>46-60</v>
      </c>
      <c r="N3055" t="str">
        <f t="shared" si="142"/>
        <v>Discounted</v>
      </c>
      <c r="O3055" t="str">
        <f t="shared" si="143"/>
        <v>Returning</v>
      </c>
    </row>
    <row r="3056" spans="1:15" x14ac:dyDescent="0.25">
      <c r="A3056">
        <v>3055</v>
      </c>
      <c r="B3056">
        <v>51</v>
      </c>
      <c r="C3056" t="s">
        <v>11</v>
      </c>
      <c r="D3056" t="s">
        <v>33</v>
      </c>
      <c r="E3056" t="s">
        <v>40</v>
      </c>
      <c r="F3056" s="1">
        <v>203.75</v>
      </c>
      <c r="G3056" t="s">
        <v>14</v>
      </c>
      <c r="H3056" t="s">
        <v>15</v>
      </c>
      <c r="I3056" s="2">
        <v>3.4</v>
      </c>
      <c r="J3056" s="4">
        <v>11</v>
      </c>
      <c r="K3056" s="3">
        <v>3</v>
      </c>
      <c r="L3056" s="1">
        <f t="shared" si="141"/>
        <v>181.33750000000001</v>
      </c>
      <c r="M3056" t="str" cm="1">
        <f t="array" ref="M3056">_xlfn.IFS(B3056&lt;18,"Under 18",B3056 &lt;=25,"18-25",B3056&lt;=35,"26-35",B3056&lt;=45,"36-45",B3056&lt;=60,"46-60",TRUE,"60+")</f>
        <v>46-60</v>
      </c>
      <c r="N3056" t="str">
        <f t="shared" si="142"/>
        <v>Discounted</v>
      </c>
      <c r="O3056" t="str">
        <f t="shared" si="143"/>
        <v>Returning</v>
      </c>
    </row>
    <row r="3057" spans="1:15" x14ac:dyDescent="0.25">
      <c r="A3057">
        <v>3056</v>
      </c>
      <c r="B3057">
        <v>57</v>
      </c>
      <c r="C3057" t="s">
        <v>11</v>
      </c>
      <c r="D3057" t="s">
        <v>22</v>
      </c>
      <c r="E3057" t="s">
        <v>43</v>
      </c>
      <c r="F3057" s="1">
        <v>145.76</v>
      </c>
      <c r="G3057" t="s">
        <v>31</v>
      </c>
      <c r="H3057" t="s">
        <v>15</v>
      </c>
      <c r="I3057" s="2">
        <v>3.2</v>
      </c>
      <c r="J3057" s="4">
        <v>14</v>
      </c>
      <c r="K3057" s="3">
        <v>7</v>
      </c>
      <c r="L3057" s="1">
        <f t="shared" si="141"/>
        <v>125.35359999999999</v>
      </c>
      <c r="M3057" t="str" cm="1">
        <f t="array" ref="M3057">_xlfn.IFS(B3057&lt;18,"Under 18",B3057 &lt;=25,"18-25",B3057&lt;=35,"26-35",B3057&lt;=45,"36-45",B3057&lt;=60,"46-60",TRUE,"60+")</f>
        <v>46-60</v>
      </c>
      <c r="N3057" t="str">
        <f t="shared" si="142"/>
        <v>Discounted</v>
      </c>
      <c r="O3057" t="str">
        <f t="shared" si="143"/>
        <v>Returning</v>
      </c>
    </row>
    <row r="3058" spans="1:15" x14ac:dyDescent="0.25">
      <c r="A3058">
        <v>3057</v>
      </c>
      <c r="B3058">
        <v>70</v>
      </c>
      <c r="C3058" t="s">
        <v>11</v>
      </c>
      <c r="D3058" t="s">
        <v>33</v>
      </c>
      <c r="E3058" t="s">
        <v>34</v>
      </c>
      <c r="F3058" s="1">
        <v>221.59</v>
      </c>
      <c r="G3058" t="s">
        <v>19</v>
      </c>
      <c r="H3058" t="s">
        <v>15</v>
      </c>
      <c r="I3058" s="2">
        <v>3.8</v>
      </c>
      <c r="J3058" s="4">
        <v>13</v>
      </c>
      <c r="K3058" s="3">
        <v>4</v>
      </c>
      <c r="L3058" s="1">
        <f t="shared" si="141"/>
        <v>192.7833</v>
      </c>
      <c r="M3058" t="str" cm="1">
        <f t="array" ref="M3058">_xlfn.IFS(B3058&lt;18,"Under 18",B3058 &lt;=25,"18-25",B3058&lt;=35,"26-35",B3058&lt;=45,"36-45",B3058&lt;=60,"46-60",TRUE,"60+")</f>
        <v>60+</v>
      </c>
      <c r="N3058" t="str">
        <f t="shared" si="142"/>
        <v>Discounted</v>
      </c>
      <c r="O3058" t="str">
        <f t="shared" si="143"/>
        <v>Returning</v>
      </c>
    </row>
    <row r="3059" spans="1:15" x14ac:dyDescent="0.25">
      <c r="A3059">
        <v>3058</v>
      </c>
      <c r="B3059">
        <v>22</v>
      </c>
      <c r="C3059" t="s">
        <v>11</v>
      </c>
      <c r="D3059" t="s">
        <v>41</v>
      </c>
      <c r="E3059" t="s">
        <v>42</v>
      </c>
      <c r="F3059" s="1">
        <v>142.09</v>
      </c>
      <c r="G3059" t="s">
        <v>31</v>
      </c>
      <c r="H3059" t="s">
        <v>15</v>
      </c>
      <c r="I3059" s="2">
        <v>3.7</v>
      </c>
      <c r="J3059" s="4">
        <v>14</v>
      </c>
      <c r="K3059" s="3">
        <v>2</v>
      </c>
      <c r="L3059" s="1">
        <f t="shared" si="141"/>
        <v>122.1974</v>
      </c>
      <c r="M3059" t="str" cm="1">
        <f t="array" ref="M3059">_xlfn.IFS(B3059&lt;18,"Under 18",B3059 &lt;=25,"18-25",B3059&lt;=35,"26-35",B3059&lt;=45,"36-45",B3059&lt;=60,"46-60",TRUE,"60+")</f>
        <v>18-25</v>
      </c>
      <c r="N3059" t="str">
        <f t="shared" si="142"/>
        <v>Discounted</v>
      </c>
      <c r="O3059" t="str">
        <f t="shared" si="143"/>
        <v>Returning</v>
      </c>
    </row>
    <row r="3060" spans="1:15" x14ac:dyDescent="0.25">
      <c r="A3060">
        <v>3059</v>
      </c>
      <c r="B3060">
        <v>46</v>
      </c>
      <c r="C3060" t="s">
        <v>16</v>
      </c>
      <c r="D3060" t="s">
        <v>17</v>
      </c>
      <c r="E3060" t="s">
        <v>42</v>
      </c>
      <c r="F3060" s="1">
        <v>149.84</v>
      </c>
      <c r="G3060" t="s">
        <v>24</v>
      </c>
      <c r="H3060" t="s">
        <v>15</v>
      </c>
      <c r="I3060" s="2">
        <v>3.9</v>
      </c>
      <c r="J3060" s="4">
        <v>8</v>
      </c>
      <c r="K3060" s="3">
        <v>4</v>
      </c>
      <c r="L3060" s="1">
        <f t="shared" si="141"/>
        <v>137.8528</v>
      </c>
      <c r="M3060" t="str" cm="1">
        <f t="array" ref="M3060">_xlfn.IFS(B3060&lt;18,"Under 18",B3060 &lt;=25,"18-25",B3060&lt;=35,"26-35",B3060&lt;=45,"36-45",B3060&lt;=60,"46-60",TRUE,"60+")</f>
        <v>46-60</v>
      </c>
      <c r="N3060" t="str">
        <f t="shared" si="142"/>
        <v>Discounted</v>
      </c>
      <c r="O3060" t="str">
        <f t="shared" si="143"/>
        <v>Returning</v>
      </c>
    </row>
    <row r="3061" spans="1:15" x14ac:dyDescent="0.25">
      <c r="A3061">
        <v>3060</v>
      </c>
      <c r="B3061">
        <v>33</v>
      </c>
      <c r="C3061" t="s">
        <v>11</v>
      </c>
      <c r="D3061" t="s">
        <v>29</v>
      </c>
      <c r="E3061" t="s">
        <v>30</v>
      </c>
      <c r="F3061" s="1">
        <v>47.94</v>
      </c>
      <c r="G3061" t="s">
        <v>14</v>
      </c>
      <c r="H3061" t="s">
        <v>37</v>
      </c>
      <c r="I3061" s="2">
        <v>3.8</v>
      </c>
      <c r="J3061" s="4">
        <v>12</v>
      </c>
      <c r="K3061" s="3">
        <v>6</v>
      </c>
      <c r="L3061" s="1">
        <f t="shared" si="141"/>
        <v>42.187199999999997</v>
      </c>
      <c r="M3061" t="str" cm="1">
        <f t="array" ref="M3061">_xlfn.IFS(B3061&lt;18,"Under 18",B3061 &lt;=25,"18-25",B3061&lt;=35,"26-35",B3061&lt;=45,"36-45",B3061&lt;=60,"46-60",TRUE,"60+")</f>
        <v>26-35</v>
      </c>
      <c r="N3061" t="str">
        <f t="shared" si="142"/>
        <v>Discounted</v>
      </c>
      <c r="O3061" t="str">
        <f t="shared" si="143"/>
        <v>Returning</v>
      </c>
    </row>
    <row r="3062" spans="1:15" x14ac:dyDescent="0.25">
      <c r="A3062">
        <v>3061</v>
      </c>
      <c r="B3062">
        <v>28</v>
      </c>
      <c r="C3062" t="s">
        <v>16</v>
      </c>
      <c r="D3062" t="s">
        <v>25</v>
      </c>
      <c r="E3062" t="s">
        <v>54</v>
      </c>
      <c r="F3062" s="1">
        <v>11.62</v>
      </c>
      <c r="G3062" t="s">
        <v>14</v>
      </c>
      <c r="H3062" t="s">
        <v>15</v>
      </c>
      <c r="I3062" s="2">
        <v>3.7</v>
      </c>
      <c r="J3062" s="4">
        <v>9</v>
      </c>
      <c r="K3062" s="3">
        <v>2</v>
      </c>
      <c r="L3062" s="1">
        <f t="shared" si="141"/>
        <v>10.574199999999999</v>
      </c>
      <c r="M3062" t="str" cm="1">
        <f t="array" ref="M3062">_xlfn.IFS(B3062&lt;18,"Under 18",B3062 &lt;=25,"18-25",B3062&lt;=35,"26-35",B3062&lt;=45,"36-45",B3062&lt;=60,"46-60",TRUE,"60+")</f>
        <v>26-35</v>
      </c>
      <c r="N3062" t="str">
        <f t="shared" si="142"/>
        <v>Discounted</v>
      </c>
      <c r="O3062" t="str">
        <f t="shared" si="143"/>
        <v>Returning</v>
      </c>
    </row>
    <row r="3063" spans="1:15" x14ac:dyDescent="0.25">
      <c r="A3063">
        <v>3062</v>
      </c>
      <c r="B3063">
        <v>39</v>
      </c>
      <c r="C3063" t="s">
        <v>11</v>
      </c>
      <c r="D3063" t="s">
        <v>41</v>
      </c>
      <c r="E3063" t="s">
        <v>46</v>
      </c>
      <c r="F3063" s="1">
        <v>119.77</v>
      </c>
      <c r="G3063" t="s">
        <v>24</v>
      </c>
      <c r="H3063" t="s">
        <v>15</v>
      </c>
      <c r="I3063" s="2">
        <v>4</v>
      </c>
      <c r="J3063" s="4">
        <v>24</v>
      </c>
      <c r="K3063" s="3">
        <v>7</v>
      </c>
      <c r="L3063" s="1">
        <f t="shared" si="141"/>
        <v>91.025199999999998</v>
      </c>
      <c r="M3063" t="str" cm="1">
        <f t="array" ref="M3063">_xlfn.IFS(B3063&lt;18,"Under 18",B3063 &lt;=25,"18-25",B3063&lt;=35,"26-35",B3063&lt;=45,"36-45",B3063&lt;=60,"46-60",TRUE,"60+")</f>
        <v>36-45</v>
      </c>
      <c r="N3063" t="str">
        <f t="shared" si="142"/>
        <v>Discounted</v>
      </c>
      <c r="O3063" t="str">
        <f t="shared" si="143"/>
        <v>Returning</v>
      </c>
    </row>
    <row r="3064" spans="1:15" x14ac:dyDescent="0.25">
      <c r="A3064">
        <v>3063</v>
      </c>
      <c r="B3064">
        <v>60</v>
      </c>
      <c r="C3064" t="s">
        <v>16</v>
      </c>
      <c r="D3064" t="s">
        <v>17</v>
      </c>
      <c r="E3064" t="s">
        <v>35</v>
      </c>
      <c r="F3064" s="1">
        <v>188.39</v>
      </c>
      <c r="G3064" t="s">
        <v>31</v>
      </c>
      <c r="H3064" t="s">
        <v>15</v>
      </c>
      <c r="I3064" s="2">
        <v>3.4</v>
      </c>
      <c r="J3064" s="4">
        <v>23</v>
      </c>
      <c r="K3064" s="3">
        <v>9</v>
      </c>
      <c r="L3064" s="1">
        <f t="shared" si="141"/>
        <v>145.06029999999998</v>
      </c>
      <c r="M3064" t="str" cm="1">
        <f t="array" ref="M3064">_xlfn.IFS(B3064&lt;18,"Under 18",B3064 &lt;=25,"18-25",B3064&lt;=35,"26-35",B3064&lt;=45,"36-45",B3064&lt;=60,"46-60",TRUE,"60+")</f>
        <v>46-60</v>
      </c>
      <c r="N3064" t="str">
        <f t="shared" si="142"/>
        <v>Discounted</v>
      </c>
      <c r="O3064" t="str">
        <f t="shared" si="143"/>
        <v>Returning</v>
      </c>
    </row>
    <row r="3065" spans="1:15" x14ac:dyDescent="0.25">
      <c r="A3065">
        <v>3064</v>
      </c>
      <c r="B3065">
        <v>37</v>
      </c>
      <c r="C3065" t="s">
        <v>16</v>
      </c>
      <c r="D3065" t="s">
        <v>25</v>
      </c>
      <c r="E3065" t="s">
        <v>54</v>
      </c>
      <c r="F3065" s="1">
        <v>70.239999999999995</v>
      </c>
      <c r="G3065" t="s">
        <v>14</v>
      </c>
      <c r="H3065" t="s">
        <v>37</v>
      </c>
      <c r="I3065" s="2">
        <v>4.3</v>
      </c>
      <c r="J3065" s="4">
        <v>28</v>
      </c>
      <c r="K3065" s="3">
        <v>9</v>
      </c>
      <c r="L3065" s="1">
        <f t="shared" si="141"/>
        <v>50.572799999999994</v>
      </c>
      <c r="M3065" t="str" cm="1">
        <f t="array" ref="M3065">_xlfn.IFS(B3065&lt;18,"Under 18",B3065 &lt;=25,"18-25",B3065&lt;=35,"26-35",B3065&lt;=45,"36-45",B3065&lt;=60,"46-60",TRUE,"60+")</f>
        <v>36-45</v>
      </c>
      <c r="N3065" t="str">
        <f t="shared" si="142"/>
        <v>Discounted</v>
      </c>
      <c r="O3065" t="str">
        <f t="shared" si="143"/>
        <v>Returning</v>
      </c>
    </row>
    <row r="3066" spans="1:15" x14ac:dyDescent="0.25">
      <c r="A3066">
        <v>3065</v>
      </c>
      <c r="B3066">
        <v>40</v>
      </c>
      <c r="C3066" t="s">
        <v>11</v>
      </c>
      <c r="D3066" t="s">
        <v>41</v>
      </c>
      <c r="E3066" t="s">
        <v>45</v>
      </c>
      <c r="F3066" s="1">
        <v>167.11</v>
      </c>
      <c r="G3066" t="s">
        <v>24</v>
      </c>
      <c r="H3066" t="s">
        <v>15</v>
      </c>
      <c r="I3066" s="2">
        <v>3.9</v>
      </c>
      <c r="J3066" s="4">
        <v>20</v>
      </c>
      <c r="K3066" s="3">
        <v>5</v>
      </c>
      <c r="L3066" s="1">
        <f t="shared" si="141"/>
        <v>133.68800000000002</v>
      </c>
      <c r="M3066" t="str" cm="1">
        <f t="array" ref="M3066">_xlfn.IFS(B3066&lt;18,"Under 18",B3066 &lt;=25,"18-25",B3066&lt;=35,"26-35",B3066&lt;=45,"36-45",B3066&lt;=60,"46-60",TRUE,"60+")</f>
        <v>36-45</v>
      </c>
      <c r="N3066" t="str">
        <f t="shared" si="142"/>
        <v>Discounted</v>
      </c>
      <c r="O3066" t="str">
        <f t="shared" si="143"/>
        <v>Returning</v>
      </c>
    </row>
    <row r="3067" spans="1:15" x14ac:dyDescent="0.25">
      <c r="A3067">
        <v>3066</v>
      </c>
      <c r="B3067">
        <v>56</v>
      </c>
      <c r="C3067" t="s">
        <v>16</v>
      </c>
      <c r="D3067" t="s">
        <v>17</v>
      </c>
      <c r="E3067" t="s">
        <v>42</v>
      </c>
      <c r="F3067" s="1">
        <v>108.75</v>
      </c>
      <c r="G3067" t="s">
        <v>14</v>
      </c>
      <c r="H3067" t="s">
        <v>15</v>
      </c>
      <c r="I3067" s="2">
        <v>4.4000000000000004</v>
      </c>
      <c r="J3067" s="4">
        <v>22</v>
      </c>
      <c r="K3067" s="3">
        <v>6</v>
      </c>
      <c r="L3067" s="1">
        <f t="shared" si="141"/>
        <v>84.825000000000003</v>
      </c>
      <c r="M3067" t="str" cm="1">
        <f t="array" ref="M3067">_xlfn.IFS(B3067&lt;18,"Under 18",B3067 &lt;=25,"18-25",B3067&lt;=35,"26-35",B3067&lt;=45,"36-45",B3067&lt;=60,"46-60",TRUE,"60+")</f>
        <v>46-60</v>
      </c>
      <c r="N3067" t="str">
        <f t="shared" si="142"/>
        <v>Discounted</v>
      </c>
      <c r="O3067" t="str">
        <f t="shared" si="143"/>
        <v>Returning</v>
      </c>
    </row>
    <row r="3068" spans="1:15" x14ac:dyDescent="0.25">
      <c r="A3068">
        <v>3067</v>
      </c>
      <c r="B3068">
        <v>42</v>
      </c>
      <c r="C3068" t="s">
        <v>16</v>
      </c>
      <c r="D3068" t="s">
        <v>33</v>
      </c>
      <c r="E3068" t="s">
        <v>34</v>
      </c>
      <c r="F3068" s="1">
        <v>234.89</v>
      </c>
      <c r="G3068" t="s">
        <v>24</v>
      </c>
      <c r="H3068" t="s">
        <v>15</v>
      </c>
      <c r="I3068" s="2">
        <v>4.0999999999999996</v>
      </c>
      <c r="J3068" s="4">
        <v>4</v>
      </c>
      <c r="K3068" s="3">
        <v>2</v>
      </c>
      <c r="L3068" s="1">
        <f t="shared" si="141"/>
        <v>225.49439999999998</v>
      </c>
      <c r="M3068" t="str" cm="1">
        <f t="array" ref="M3068">_xlfn.IFS(B3068&lt;18,"Under 18",B3068 &lt;=25,"18-25",B3068&lt;=35,"26-35",B3068&lt;=45,"36-45",B3068&lt;=60,"46-60",TRUE,"60+")</f>
        <v>36-45</v>
      </c>
      <c r="N3068" t="str">
        <f t="shared" si="142"/>
        <v>Discounted</v>
      </c>
      <c r="O3068" t="str">
        <f t="shared" si="143"/>
        <v>Returning</v>
      </c>
    </row>
    <row r="3069" spans="1:15" x14ac:dyDescent="0.25">
      <c r="A3069">
        <v>3068</v>
      </c>
      <c r="B3069">
        <v>35</v>
      </c>
      <c r="C3069" t="s">
        <v>11</v>
      </c>
      <c r="D3069" t="s">
        <v>33</v>
      </c>
      <c r="E3069" t="s">
        <v>40</v>
      </c>
      <c r="F3069" s="1">
        <v>203.24</v>
      </c>
      <c r="G3069" t="s">
        <v>19</v>
      </c>
      <c r="H3069" t="s">
        <v>15</v>
      </c>
      <c r="I3069" s="2">
        <v>3.8</v>
      </c>
      <c r="J3069" s="4">
        <v>20</v>
      </c>
      <c r="K3069" s="3">
        <v>5</v>
      </c>
      <c r="L3069" s="1">
        <f t="shared" si="141"/>
        <v>162.59200000000001</v>
      </c>
      <c r="M3069" t="str" cm="1">
        <f t="array" ref="M3069">_xlfn.IFS(B3069&lt;18,"Under 18",B3069 &lt;=25,"18-25",B3069&lt;=35,"26-35",B3069&lt;=45,"36-45",B3069&lt;=60,"46-60",TRUE,"60+")</f>
        <v>26-35</v>
      </c>
      <c r="N3069" t="str">
        <f t="shared" si="142"/>
        <v>Discounted</v>
      </c>
      <c r="O3069" t="str">
        <f t="shared" si="143"/>
        <v>Returning</v>
      </c>
    </row>
    <row r="3070" spans="1:15" x14ac:dyDescent="0.25">
      <c r="A3070">
        <v>3069</v>
      </c>
      <c r="B3070">
        <v>31</v>
      </c>
      <c r="C3070" t="s">
        <v>16</v>
      </c>
      <c r="D3070" t="s">
        <v>33</v>
      </c>
      <c r="E3070" t="s">
        <v>34</v>
      </c>
      <c r="F3070" s="1">
        <v>118.39</v>
      </c>
      <c r="G3070" t="s">
        <v>24</v>
      </c>
      <c r="H3070" t="s">
        <v>15</v>
      </c>
      <c r="I3070" s="2">
        <v>4.4000000000000004</v>
      </c>
      <c r="J3070" s="4">
        <v>15</v>
      </c>
      <c r="K3070" s="3">
        <v>5</v>
      </c>
      <c r="L3070" s="1">
        <f t="shared" si="141"/>
        <v>100.6315</v>
      </c>
      <c r="M3070" t="str" cm="1">
        <f t="array" ref="M3070">_xlfn.IFS(B3070&lt;18,"Under 18",B3070 &lt;=25,"18-25",B3070&lt;=35,"26-35",B3070&lt;=45,"36-45",B3070&lt;=60,"46-60",TRUE,"60+")</f>
        <v>26-35</v>
      </c>
      <c r="N3070" t="str">
        <f t="shared" si="142"/>
        <v>Discounted</v>
      </c>
      <c r="O3070" t="str">
        <f t="shared" si="143"/>
        <v>Returning</v>
      </c>
    </row>
    <row r="3071" spans="1:15" x14ac:dyDescent="0.25">
      <c r="A3071">
        <v>3070</v>
      </c>
      <c r="B3071">
        <v>66</v>
      </c>
      <c r="C3071" t="s">
        <v>11</v>
      </c>
      <c r="D3071" t="s">
        <v>29</v>
      </c>
      <c r="E3071" t="s">
        <v>30</v>
      </c>
      <c r="F3071" s="1">
        <v>105.89</v>
      </c>
      <c r="G3071" t="s">
        <v>19</v>
      </c>
      <c r="H3071" t="s">
        <v>15</v>
      </c>
      <c r="I3071" s="2">
        <v>3.5</v>
      </c>
      <c r="J3071" s="4">
        <v>26</v>
      </c>
      <c r="K3071" s="3">
        <v>8</v>
      </c>
      <c r="L3071" s="1">
        <f t="shared" si="141"/>
        <v>78.358599999999996</v>
      </c>
      <c r="M3071" t="str" cm="1">
        <f t="array" ref="M3071">_xlfn.IFS(B3071&lt;18,"Under 18",B3071 &lt;=25,"18-25",B3071&lt;=35,"26-35",B3071&lt;=45,"36-45",B3071&lt;=60,"46-60",TRUE,"60+")</f>
        <v>60+</v>
      </c>
      <c r="N3071" t="str">
        <f t="shared" si="142"/>
        <v>Discounted</v>
      </c>
      <c r="O3071" t="str">
        <f t="shared" si="143"/>
        <v>Returning</v>
      </c>
    </row>
    <row r="3072" spans="1:15" x14ac:dyDescent="0.25">
      <c r="A3072">
        <v>3071</v>
      </c>
      <c r="B3072">
        <v>59</v>
      </c>
      <c r="C3072" t="s">
        <v>16</v>
      </c>
      <c r="D3072" t="s">
        <v>27</v>
      </c>
      <c r="E3072" t="s">
        <v>28</v>
      </c>
      <c r="F3072" s="1">
        <v>2313.37</v>
      </c>
      <c r="G3072" t="s">
        <v>31</v>
      </c>
      <c r="H3072" t="s">
        <v>15</v>
      </c>
      <c r="I3072" s="2">
        <v>3</v>
      </c>
      <c r="J3072" s="4">
        <v>18</v>
      </c>
      <c r="K3072" s="3">
        <v>4</v>
      </c>
      <c r="L3072" s="1">
        <f t="shared" si="141"/>
        <v>1896.9634000000001</v>
      </c>
      <c r="M3072" t="str" cm="1">
        <f t="array" ref="M3072">_xlfn.IFS(B3072&lt;18,"Under 18",B3072 &lt;=25,"18-25",B3072&lt;=35,"26-35",B3072&lt;=45,"36-45",B3072&lt;=60,"46-60",TRUE,"60+")</f>
        <v>46-60</v>
      </c>
      <c r="N3072" t="str">
        <f t="shared" si="142"/>
        <v>Discounted</v>
      </c>
      <c r="O3072" t="str">
        <f t="shared" si="143"/>
        <v>Returning</v>
      </c>
    </row>
    <row r="3073" spans="1:15" x14ac:dyDescent="0.25">
      <c r="A3073">
        <v>3072</v>
      </c>
      <c r="B3073">
        <v>34</v>
      </c>
      <c r="C3073" t="s">
        <v>11</v>
      </c>
      <c r="D3073" t="s">
        <v>22</v>
      </c>
      <c r="E3073" t="s">
        <v>23</v>
      </c>
      <c r="F3073" s="1">
        <v>158.41999999999999</v>
      </c>
      <c r="G3073" t="s">
        <v>24</v>
      </c>
      <c r="H3073" t="s">
        <v>15</v>
      </c>
      <c r="I3073" s="2">
        <v>4.7</v>
      </c>
      <c r="J3073" s="4">
        <v>17</v>
      </c>
      <c r="K3073" s="3">
        <v>6</v>
      </c>
      <c r="L3073" s="1">
        <f t="shared" si="141"/>
        <v>131.48859999999999</v>
      </c>
      <c r="M3073" t="str" cm="1">
        <f t="array" ref="M3073">_xlfn.IFS(B3073&lt;18,"Under 18",B3073 &lt;=25,"18-25",B3073&lt;=35,"26-35",B3073&lt;=45,"36-45",B3073&lt;=60,"46-60",TRUE,"60+")</f>
        <v>26-35</v>
      </c>
      <c r="N3073" t="str">
        <f t="shared" si="142"/>
        <v>Discounted</v>
      </c>
      <c r="O3073" t="str">
        <f t="shared" si="143"/>
        <v>Returning</v>
      </c>
    </row>
    <row r="3074" spans="1:15" x14ac:dyDescent="0.25">
      <c r="A3074">
        <v>3073</v>
      </c>
      <c r="B3074">
        <v>33</v>
      </c>
      <c r="C3074" t="s">
        <v>16</v>
      </c>
      <c r="D3074" t="s">
        <v>20</v>
      </c>
      <c r="E3074" t="s">
        <v>36</v>
      </c>
      <c r="F3074" s="1">
        <v>59.3</v>
      </c>
      <c r="G3074" t="s">
        <v>19</v>
      </c>
      <c r="H3074" t="s">
        <v>15</v>
      </c>
      <c r="I3074" s="2">
        <v>3</v>
      </c>
      <c r="J3074" s="4">
        <v>18</v>
      </c>
      <c r="K3074" s="3">
        <v>4</v>
      </c>
      <c r="L3074" s="1">
        <f t="shared" si="141"/>
        <v>48.626000000000005</v>
      </c>
      <c r="M3074" t="str" cm="1">
        <f t="array" ref="M3074">_xlfn.IFS(B3074&lt;18,"Under 18",B3074 &lt;=25,"18-25",B3074&lt;=35,"26-35",B3074&lt;=45,"36-45",B3074&lt;=60,"46-60",TRUE,"60+")</f>
        <v>26-35</v>
      </c>
      <c r="N3074" t="str">
        <f t="shared" si="142"/>
        <v>Discounted</v>
      </c>
      <c r="O3074" t="str">
        <f t="shared" si="143"/>
        <v>Returning</v>
      </c>
    </row>
    <row r="3075" spans="1:15" x14ac:dyDescent="0.25">
      <c r="A3075">
        <v>3074</v>
      </c>
      <c r="B3075">
        <v>40</v>
      </c>
      <c r="C3075" t="s">
        <v>16</v>
      </c>
      <c r="D3075" t="s">
        <v>17</v>
      </c>
      <c r="E3075" t="s">
        <v>18</v>
      </c>
      <c r="F3075" s="1">
        <v>191.84</v>
      </c>
      <c r="G3075" t="s">
        <v>31</v>
      </c>
      <c r="H3075" t="s">
        <v>15</v>
      </c>
      <c r="I3075" s="2">
        <v>3.5</v>
      </c>
      <c r="J3075" s="4">
        <v>21</v>
      </c>
      <c r="K3075" s="3">
        <v>8</v>
      </c>
      <c r="L3075" s="1">
        <f t="shared" ref="L3075:L3138" si="144">F3075 * (1 - J3075 / 100)</f>
        <v>151.55360000000002</v>
      </c>
      <c r="M3075" t="str" cm="1">
        <f t="array" ref="M3075">_xlfn.IFS(B3075&lt;18,"Under 18",B3075 &lt;=25,"18-25",B3075&lt;=35,"26-35",B3075&lt;=45,"36-45",B3075&lt;=60,"46-60",TRUE,"60+")</f>
        <v>36-45</v>
      </c>
      <c r="N3075" t="str">
        <f t="shared" ref="N3075:N3138" si="145">IF(J3075&gt;0,"Discounted","No Discount")</f>
        <v>Discounted</v>
      </c>
      <c r="O3075" t="str">
        <f t="shared" ref="O3075:O3138" si="146">IF(K3075&gt;0,"Returning","New")</f>
        <v>Returning</v>
      </c>
    </row>
    <row r="3076" spans="1:15" x14ac:dyDescent="0.25">
      <c r="A3076">
        <v>3075</v>
      </c>
      <c r="B3076">
        <v>38</v>
      </c>
      <c r="C3076" t="s">
        <v>11</v>
      </c>
      <c r="D3076" t="s">
        <v>22</v>
      </c>
      <c r="E3076" t="s">
        <v>52</v>
      </c>
      <c r="F3076" s="1">
        <v>164.04</v>
      </c>
      <c r="G3076" t="s">
        <v>31</v>
      </c>
      <c r="H3076" t="s">
        <v>15</v>
      </c>
      <c r="I3076" s="2">
        <v>3.9</v>
      </c>
      <c r="J3076" s="4">
        <v>12</v>
      </c>
      <c r="K3076" s="3">
        <v>6</v>
      </c>
      <c r="L3076" s="1">
        <f t="shared" si="144"/>
        <v>144.3552</v>
      </c>
      <c r="M3076" t="str" cm="1">
        <f t="array" ref="M3076">_xlfn.IFS(B3076&lt;18,"Under 18",B3076 &lt;=25,"18-25",B3076&lt;=35,"26-35",B3076&lt;=45,"36-45",B3076&lt;=60,"46-60",TRUE,"60+")</f>
        <v>36-45</v>
      </c>
      <c r="N3076" t="str">
        <f t="shared" si="145"/>
        <v>Discounted</v>
      </c>
      <c r="O3076" t="str">
        <f t="shared" si="146"/>
        <v>Returning</v>
      </c>
    </row>
    <row r="3077" spans="1:15" x14ac:dyDescent="0.25">
      <c r="A3077">
        <v>3076</v>
      </c>
      <c r="B3077">
        <v>65</v>
      </c>
      <c r="C3077" t="s">
        <v>16</v>
      </c>
      <c r="D3077" t="s">
        <v>33</v>
      </c>
      <c r="E3077" t="s">
        <v>40</v>
      </c>
      <c r="F3077" s="1">
        <v>84.56</v>
      </c>
      <c r="G3077" t="s">
        <v>31</v>
      </c>
      <c r="H3077" t="s">
        <v>15</v>
      </c>
      <c r="I3077" s="2">
        <v>3.3</v>
      </c>
      <c r="J3077" s="4">
        <v>15</v>
      </c>
      <c r="K3077" s="3">
        <v>5</v>
      </c>
      <c r="L3077" s="1">
        <f t="shared" si="144"/>
        <v>71.876000000000005</v>
      </c>
      <c r="M3077" t="str" cm="1">
        <f t="array" ref="M3077">_xlfn.IFS(B3077&lt;18,"Under 18",B3077 &lt;=25,"18-25",B3077&lt;=35,"26-35",B3077&lt;=45,"36-45",B3077&lt;=60,"46-60",TRUE,"60+")</f>
        <v>60+</v>
      </c>
      <c r="N3077" t="str">
        <f t="shared" si="145"/>
        <v>Discounted</v>
      </c>
      <c r="O3077" t="str">
        <f t="shared" si="146"/>
        <v>Returning</v>
      </c>
    </row>
    <row r="3078" spans="1:15" x14ac:dyDescent="0.25">
      <c r="A3078">
        <v>3077</v>
      </c>
      <c r="B3078">
        <v>37</v>
      </c>
      <c r="C3078" t="s">
        <v>11</v>
      </c>
      <c r="D3078" t="s">
        <v>41</v>
      </c>
      <c r="E3078" t="s">
        <v>44</v>
      </c>
      <c r="F3078" s="1">
        <v>54.47</v>
      </c>
      <c r="G3078" t="s">
        <v>14</v>
      </c>
      <c r="H3078" t="s">
        <v>37</v>
      </c>
      <c r="I3078" s="2">
        <v>3.9</v>
      </c>
      <c r="J3078" s="4">
        <v>15</v>
      </c>
      <c r="K3078" s="3">
        <v>5</v>
      </c>
      <c r="L3078" s="1">
        <f t="shared" si="144"/>
        <v>46.299499999999995</v>
      </c>
      <c r="M3078" t="str" cm="1">
        <f t="array" ref="M3078">_xlfn.IFS(B3078&lt;18,"Under 18",B3078 &lt;=25,"18-25",B3078&lt;=35,"26-35",B3078&lt;=45,"36-45",B3078&lt;=60,"46-60",TRUE,"60+")</f>
        <v>36-45</v>
      </c>
      <c r="N3078" t="str">
        <f t="shared" si="145"/>
        <v>Discounted</v>
      </c>
      <c r="O3078" t="str">
        <f t="shared" si="146"/>
        <v>Returning</v>
      </c>
    </row>
    <row r="3079" spans="1:15" x14ac:dyDescent="0.25">
      <c r="A3079">
        <v>3078</v>
      </c>
      <c r="B3079">
        <v>37</v>
      </c>
      <c r="C3079" t="s">
        <v>11</v>
      </c>
      <c r="D3079" t="s">
        <v>29</v>
      </c>
      <c r="E3079" t="s">
        <v>51</v>
      </c>
      <c r="F3079" s="1">
        <v>52.5</v>
      </c>
      <c r="G3079" t="s">
        <v>24</v>
      </c>
      <c r="H3079" t="s">
        <v>15</v>
      </c>
      <c r="I3079" s="2">
        <v>4.3</v>
      </c>
      <c r="J3079" s="4">
        <v>21</v>
      </c>
      <c r="K3079" s="3">
        <v>8</v>
      </c>
      <c r="L3079" s="1">
        <f t="shared" si="144"/>
        <v>41.475000000000001</v>
      </c>
      <c r="M3079" t="str" cm="1">
        <f t="array" ref="M3079">_xlfn.IFS(B3079&lt;18,"Under 18",B3079 &lt;=25,"18-25",B3079&lt;=35,"26-35",B3079&lt;=45,"36-45",B3079&lt;=60,"46-60",TRUE,"60+")</f>
        <v>36-45</v>
      </c>
      <c r="N3079" t="str">
        <f t="shared" si="145"/>
        <v>Discounted</v>
      </c>
      <c r="O3079" t="str">
        <f t="shared" si="146"/>
        <v>Returning</v>
      </c>
    </row>
    <row r="3080" spans="1:15" x14ac:dyDescent="0.25">
      <c r="A3080">
        <v>3079</v>
      </c>
      <c r="B3080">
        <v>46</v>
      </c>
      <c r="C3080" t="s">
        <v>16</v>
      </c>
      <c r="D3080" t="s">
        <v>27</v>
      </c>
      <c r="E3080" t="s">
        <v>49</v>
      </c>
      <c r="F3080" s="1">
        <v>1239.45</v>
      </c>
      <c r="G3080" t="s">
        <v>19</v>
      </c>
      <c r="H3080" t="s">
        <v>15</v>
      </c>
      <c r="I3080" s="2">
        <v>4.0999999999999996</v>
      </c>
      <c r="J3080" s="4">
        <v>13</v>
      </c>
      <c r="K3080" s="3">
        <v>4</v>
      </c>
      <c r="L3080" s="1">
        <f t="shared" si="144"/>
        <v>1078.3215</v>
      </c>
      <c r="M3080" t="str" cm="1">
        <f t="array" ref="M3080">_xlfn.IFS(B3080&lt;18,"Under 18",B3080 &lt;=25,"18-25",B3080&lt;=35,"26-35",B3080&lt;=45,"36-45",B3080&lt;=60,"46-60",TRUE,"60+")</f>
        <v>46-60</v>
      </c>
      <c r="N3080" t="str">
        <f t="shared" si="145"/>
        <v>Discounted</v>
      </c>
      <c r="O3080" t="str">
        <f t="shared" si="146"/>
        <v>Returning</v>
      </c>
    </row>
    <row r="3081" spans="1:15" x14ac:dyDescent="0.25">
      <c r="A3081">
        <v>3080</v>
      </c>
      <c r="B3081">
        <v>30</v>
      </c>
      <c r="C3081" t="s">
        <v>11</v>
      </c>
      <c r="D3081" t="s">
        <v>41</v>
      </c>
      <c r="E3081" t="s">
        <v>44</v>
      </c>
      <c r="F3081" s="1">
        <v>99.88</v>
      </c>
      <c r="G3081" t="s">
        <v>24</v>
      </c>
      <c r="H3081" t="s">
        <v>15</v>
      </c>
      <c r="I3081" s="2">
        <v>3.3</v>
      </c>
      <c r="J3081" s="4">
        <v>14</v>
      </c>
      <c r="K3081" s="3">
        <v>2</v>
      </c>
      <c r="L3081" s="1">
        <f t="shared" si="144"/>
        <v>85.896799999999999</v>
      </c>
      <c r="M3081" t="str" cm="1">
        <f t="array" ref="M3081">_xlfn.IFS(B3081&lt;18,"Under 18",B3081 &lt;=25,"18-25",B3081&lt;=35,"26-35",B3081&lt;=45,"36-45",B3081&lt;=60,"46-60",TRUE,"60+")</f>
        <v>26-35</v>
      </c>
      <c r="N3081" t="str">
        <f t="shared" si="145"/>
        <v>Discounted</v>
      </c>
      <c r="O3081" t="str">
        <f t="shared" si="146"/>
        <v>Returning</v>
      </c>
    </row>
    <row r="3082" spans="1:15" x14ac:dyDescent="0.25">
      <c r="A3082">
        <v>3081</v>
      </c>
      <c r="B3082">
        <v>42</v>
      </c>
      <c r="C3082" t="s">
        <v>11</v>
      </c>
      <c r="D3082" t="s">
        <v>33</v>
      </c>
      <c r="E3082" t="s">
        <v>38</v>
      </c>
      <c r="F3082" s="1">
        <v>73.33</v>
      </c>
      <c r="G3082" t="s">
        <v>31</v>
      </c>
      <c r="H3082" t="s">
        <v>37</v>
      </c>
      <c r="I3082" s="2">
        <v>4.5999999999999996</v>
      </c>
      <c r="J3082" s="4">
        <v>22</v>
      </c>
      <c r="K3082" s="3">
        <v>6</v>
      </c>
      <c r="L3082" s="1">
        <f t="shared" si="144"/>
        <v>57.197400000000002</v>
      </c>
      <c r="M3082" t="str" cm="1">
        <f t="array" ref="M3082">_xlfn.IFS(B3082&lt;18,"Under 18",B3082 &lt;=25,"18-25",B3082&lt;=35,"26-35",B3082&lt;=45,"36-45",B3082&lt;=60,"46-60",TRUE,"60+")</f>
        <v>36-45</v>
      </c>
      <c r="N3082" t="str">
        <f t="shared" si="145"/>
        <v>Discounted</v>
      </c>
      <c r="O3082" t="str">
        <f t="shared" si="146"/>
        <v>Returning</v>
      </c>
    </row>
    <row r="3083" spans="1:15" x14ac:dyDescent="0.25">
      <c r="A3083">
        <v>3082</v>
      </c>
      <c r="B3083">
        <v>25</v>
      </c>
      <c r="C3083" t="s">
        <v>16</v>
      </c>
      <c r="D3083" t="s">
        <v>27</v>
      </c>
      <c r="E3083" t="s">
        <v>28</v>
      </c>
      <c r="F3083" s="1">
        <v>727.7</v>
      </c>
      <c r="G3083" t="s">
        <v>19</v>
      </c>
      <c r="H3083" t="s">
        <v>15</v>
      </c>
      <c r="I3083" s="2">
        <v>3.6</v>
      </c>
      <c r="J3083" s="4">
        <v>18</v>
      </c>
      <c r="K3083" s="3">
        <v>4</v>
      </c>
      <c r="L3083" s="1">
        <f t="shared" si="144"/>
        <v>596.71400000000006</v>
      </c>
      <c r="M3083" t="str" cm="1">
        <f t="array" ref="M3083">_xlfn.IFS(B3083&lt;18,"Under 18",B3083 &lt;=25,"18-25",B3083&lt;=35,"26-35",B3083&lt;=45,"36-45",B3083&lt;=60,"46-60",TRUE,"60+")</f>
        <v>18-25</v>
      </c>
      <c r="N3083" t="str">
        <f t="shared" si="145"/>
        <v>Discounted</v>
      </c>
      <c r="O3083" t="str">
        <f t="shared" si="146"/>
        <v>Returning</v>
      </c>
    </row>
    <row r="3084" spans="1:15" x14ac:dyDescent="0.25">
      <c r="A3084">
        <v>3083</v>
      </c>
      <c r="B3084">
        <v>48</v>
      </c>
      <c r="C3084" t="s">
        <v>11</v>
      </c>
      <c r="D3084" t="s">
        <v>12</v>
      </c>
      <c r="E3084" t="s">
        <v>50</v>
      </c>
      <c r="F3084" s="1">
        <v>59.04</v>
      </c>
      <c r="G3084" t="s">
        <v>24</v>
      </c>
      <c r="H3084" t="s">
        <v>15</v>
      </c>
      <c r="I3084" s="2">
        <v>4.0999999999999996</v>
      </c>
      <c r="J3084" s="4">
        <v>18</v>
      </c>
      <c r="K3084" s="3">
        <v>9</v>
      </c>
      <c r="L3084" s="1">
        <f t="shared" si="144"/>
        <v>48.412800000000004</v>
      </c>
      <c r="M3084" t="str" cm="1">
        <f t="array" ref="M3084">_xlfn.IFS(B3084&lt;18,"Under 18",B3084 &lt;=25,"18-25",B3084&lt;=35,"26-35",B3084&lt;=45,"36-45",B3084&lt;=60,"46-60",TRUE,"60+")</f>
        <v>46-60</v>
      </c>
      <c r="N3084" t="str">
        <f t="shared" si="145"/>
        <v>Discounted</v>
      </c>
      <c r="O3084" t="str">
        <f t="shared" si="146"/>
        <v>Returning</v>
      </c>
    </row>
    <row r="3085" spans="1:15" x14ac:dyDescent="0.25">
      <c r="A3085">
        <v>3084</v>
      </c>
      <c r="B3085">
        <v>39</v>
      </c>
      <c r="C3085" t="s">
        <v>11</v>
      </c>
      <c r="D3085" t="s">
        <v>20</v>
      </c>
      <c r="E3085" t="s">
        <v>36</v>
      </c>
      <c r="F3085" s="1">
        <v>178.47</v>
      </c>
      <c r="G3085" t="s">
        <v>31</v>
      </c>
      <c r="H3085" t="s">
        <v>15</v>
      </c>
      <c r="I3085" s="2">
        <v>3.2</v>
      </c>
      <c r="J3085" s="4">
        <v>10</v>
      </c>
      <c r="K3085" s="3">
        <v>5</v>
      </c>
      <c r="L3085" s="1">
        <f t="shared" si="144"/>
        <v>160.62299999999999</v>
      </c>
      <c r="M3085" t="str" cm="1">
        <f t="array" ref="M3085">_xlfn.IFS(B3085&lt;18,"Under 18",B3085 &lt;=25,"18-25",B3085&lt;=35,"26-35",B3085&lt;=45,"36-45",B3085&lt;=60,"46-60",TRUE,"60+")</f>
        <v>36-45</v>
      </c>
      <c r="N3085" t="str">
        <f t="shared" si="145"/>
        <v>Discounted</v>
      </c>
      <c r="O3085" t="str">
        <f t="shared" si="146"/>
        <v>Returning</v>
      </c>
    </row>
    <row r="3086" spans="1:15" x14ac:dyDescent="0.25">
      <c r="A3086">
        <v>3085</v>
      </c>
      <c r="B3086">
        <v>51</v>
      </c>
      <c r="C3086" t="s">
        <v>11</v>
      </c>
      <c r="D3086" t="s">
        <v>12</v>
      </c>
      <c r="E3086" t="s">
        <v>50</v>
      </c>
      <c r="F3086" s="1">
        <v>150.63999999999999</v>
      </c>
      <c r="G3086" t="s">
        <v>19</v>
      </c>
      <c r="H3086" t="s">
        <v>15</v>
      </c>
      <c r="I3086" s="2">
        <v>3.6</v>
      </c>
      <c r="J3086" s="4">
        <v>17</v>
      </c>
      <c r="K3086" s="3">
        <v>6</v>
      </c>
      <c r="L3086" s="1">
        <f t="shared" si="144"/>
        <v>125.03119999999998</v>
      </c>
      <c r="M3086" t="str" cm="1">
        <f t="array" ref="M3086">_xlfn.IFS(B3086&lt;18,"Under 18",B3086 &lt;=25,"18-25",B3086&lt;=35,"26-35",B3086&lt;=45,"36-45",B3086&lt;=60,"46-60",TRUE,"60+")</f>
        <v>46-60</v>
      </c>
      <c r="N3086" t="str">
        <f t="shared" si="145"/>
        <v>Discounted</v>
      </c>
      <c r="O3086" t="str">
        <f t="shared" si="146"/>
        <v>Returning</v>
      </c>
    </row>
    <row r="3087" spans="1:15" x14ac:dyDescent="0.25">
      <c r="A3087">
        <v>3086</v>
      </c>
      <c r="B3087">
        <v>54</v>
      </c>
      <c r="C3087" t="s">
        <v>16</v>
      </c>
      <c r="D3087" t="s">
        <v>33</v>
      </c>
      <c r="E3087" t="s">
        <v>34</v>
      </c>
      <c r="F3087" s="1">
        <v>93.5</v>
      </c>
      <c r="G3087" t="s">
        <v>24</v>
      </c>
      <c r="H3087" t="s">
        <v>37</v>
      </c>
      <c r="I3087" s="2">
        <v>3</v>
      </c>
      <c r="J3087" s="4">
        <v>17</v>
      </c>
      <c r="K3087" s="3">
        <v>6</v>
      </c>
      <c r="L3087" s="1">
        <f t="shared" si="144"/>
        <v>77.60499999999999</v>
      </c>
      <c r="M3087" t="str" cm="1">
        <f t="array" ref="M3087">_xlfn.IFS(B3087&lt;18,"Under 18",B3087 &lt;=25,"18-25",B3087&lt;=35,"26-35",B3087&lt;=45,"36-45",B3087&lt;=60,"46-60",TRUE,"60+")</f>
        <v>46-60</v>
      </c>
      <c r="N3087" t="str">
        <f t="shared" si="145"/>
        <v>Discounted</v>
      </c>
      <c r="O3087" t="str">
        <f t="shared" si="146"/>
        <v>Returning</v>
      </c>
    </row>
    <row r="3088" spans="1:15" x14ac:dyDescent="0.25">
      <c r="A3088">
        <v>3087</v>
      </c>
      <c r="B3088">
        <v>52</v>
      </c>
      <c r="C3088" t="s">
        <v>16</v>
      </c>
      <c r="D3088" t="s">
        <v>17</v>
      </c>
      <c r="E3088" t="s">
        <v>35</v>
      </c>
      <c r="F3088" s="1">
        <v>37.229999999999997</v>
      </c>
      <c r="G3088" t="s">
        <v>24</v>
      </c>
      <c r="H3088" t="s">
        <v>15</v>
      </c>
      <c r="I3088" s="2">
        <v>3.9</v>
      </c>
      <c r="J3088" s="4">
        <v>9</v>
      </c>
      <c r="K3088" s="3">
        <v>2</v>
      </c>
      <c r="L3088" s="1">
        <f t="shared" si="144"/>
        <v>33.879300000000001</v>
      </c>
      <c r="M3088" t="str" cm="1">
        <f t="array" ref="M3088">_xlfn.IFS(B3088&lt;18,"Under 18",B3088 &lt;=25,"18-25",B3088&lt;=35,"26-35",B3088&lt;=45,"36-45",B3088&lt;=60,"46-60",TRUE,"60+")</f>
        <v>46-60</v>
      </c>
      <c r="N3088" t="str">
        <f t="shared" si="145"/>
        <v>Discounted</v>
      </c>
      <c r="O3088" t="str">
        <f t="shared" si="146"/>
        <v>Returning</v>
      </c>
    </row>
    <row r="3089" spans="1:15" x14ac:dyDescent="0.25">
      <c r="A3089">
        <v>3088</v>
      </c>
      <c r="B3089">
        <v>52</v>
      </c>
      <c r="C3089" t="s">
        <v>11</v>
      </c>
      <c r="D3089" t="s">
        <v>33</v>
      </c>
      <c r="E3089" t="s">
        <v>38</v>
      </c>
      <c r="F3089" s="1">
        <v>203.27</v>
      </c>
      <c r="G3089" t="s">
        <v>31</v>
      </c>
      <c r="H3089" t="s">
        <v>15</v>
      </c>
      <c r="I3089" s="2">
        <v>4.5999999999999996</v>
      </c>
      <c r="J3089" s="4">
        <v>4</v>
      </c>
      <c r="K3089" s="3">
        <v>2</v>
      </c>
      <c r="L3089" s="1">
        <f t="shared" si="144"/>
        <v>195.13920000000002</v>
      </c>
      <c r="M3089" t="str" cm="1">
        <f t="array" ref="M3089">_xlfn.IFS(B3089&lt;18,"Under 18",B3089 &lt;=25,"18-25",B3089&lt;=35,"26-35",B3089&lt;=45,"36-45",B3089&lt;=60,"46-60",TRUE,"60+")</f>
        <v>46-60</v>
      </c>
      <c r="N3089" t="str">
        <f t="shared" si="145"/>
        <v>Discounted</v>
      </c>
      <c r="O3089" t="str">
        <f t="shared" si="146"/>
        <v>Returning</v>
      </c>
    </row>
    <row r="3090" spans="1:15" x14ac:dyDescent="0.25">
      <c r="A3090">
        <v>3089</v>
      </c>
      <c r="B3090">
        <v>26</v>
      </c>
      <c r="C3090" t="s">
        <v>16</v>
      </c>
      <c r="D3090" t="s">
        <v>20</v>
      </c>
      <c r="E3090" t="s">
        <v>21</v>
      </c>
      <c r="F3090" s="1">
        <v>178.08</v>
      </c>
      <c r="G3090" t="s">
        <v>24</v>
      </c>
      <c r="H3090" t="s">
        <v>15</v>
      </c>
      <c r="I3090" s="2">
        <v>3.9</v>
      </c>
      <c r="J3090" s="4">
        <v>4</v>
      </c>
      <c r="K3090" s="3">
        <v>2</v>
      </c>
      <c r="L3090" s="1">
        <f t="shared" si="144"/>
        <v>170.95680000000002</v>
      </c>
      <c r="M3090" t="str" cm="1">
        <f t="array" ref="M3090">_xlfn.IFS(B3090&lt;18,"Under 18",B3090 &lt;=25,"18-25",B3090&lt;=35,"26-35",B3090&lt;=45,"36-45",B3090&lt;=60,"46-60",TRUE,"60+")</f>
        <v>26-35</v>
      </c>
      <c r="N3090" t="str">
        <f t="shared" si="145"/>
        <v>Discounted</v>
      </c>
      <c r="O3090" t="str">
        <f t="shared" si="146"/>
        <v>Returning</v>
      </c>
    </row>
    <row r="3091" spans="1:15" x14ac:dyDescent="0.25">
      <c r="A3091">
        <v>3090</v>
      </c>
      <c r="B3091">
        <v>66</v>
      </c>
      <c r="C3091" t="s">
        <v>11</v>
      </c>
      <c r="D3091" t="s">
        <v>12</v>
      </c>
      <c r="E3091" t="s">
        <v>56</v>
      </c>
      <c r="F3091" s="1">
        <v>110.97</v>
      </c>
      <c r="G3091" t="s">
        <v>24</v>
      </c>
      <c r="H3091" t="s">
        <v>15</v>
      </c>
      <c r="I3091" s="2">
        <v>3.7</v>
      </c>
      <c r="J3091" s="4">
        <v>13</v>
      </c>
      <c r="K3091" s="3">
        <v>4</v>
      </c>
      <c r="L3091" s="1">
        <f t="shared" si="144"/>
        <v>96.543899999999994</v>
      </c>
      <c r="M3091" t="str" cm="1">
        <f t="array" ref="M3091">_xlfn.IFS(B3091&lt;18,"Under 18",B3091 &lt;=25,"18-25",B3091&lt;=35,"26-35",B3091&lt;=45,"36-45",B3091&lt;=60,"46-60",TRUE,"60+")</f>
        <v>60+</v>
      </c>
      <c r="N3091" t="str">
        <f t="shared" si="145"/>
        <v>Discounted</v>
      </c>
      <c r="O3091" t="str">
        <f t="shared" si="146"/>
        <v>Returning</v>
      </c>
    </row>
    <row r="3092" spans="1:15" x14ac:dyDescent="0.25">
      <c r="A3092">
        <v>3091</v>
      </c>
      <c r="B3092">
        <v>67</v>
      </c>
      <c r="C3092" t="s">
        <v>16</v>
      </c>
      <c r="D3092" t="s">
        <v>27</v>
      </c>
      <c r="E3092" t="s">
        <v>28</v>
      </c>
      <c r="F3092" s="1">
        <v>2107.08</v>
      </c>
      <c r="G3092" t="s">
        <v>31</v>
      </c>
      <c r="H3092" t="s">
        <v>15</v>
      </c>
      <c r="I3092" s="2">
        <v>4.5</v>
      </c>
      <c r="J3092" s="4">
        <v>10</v>
      </c>
      <c r="K3092" s="3">
        <v>5</v>
      </c>
      <c r="L3092" s="1">
        <f t="shared" si="144"/>
        <v>1896.3720000000001</v>
      </c>
      <c r="M3092" t="str" cm="1">
        <f t="array" ref="M3092">_xlfn.IFS(B3092&lt;18,"Under 18",B3092 &lt;=25,"18-25",B3092&lt;=35,"26-35",B3092&lt;=45,"36-45",B3092&lt;=60,"46-60",TRUE,"60+")</f>
        <v>60+</v>
      </c>
      <c r="N3092" t="str">
        <f t="shared" si="145"/>
        <v>Discounted</v>
      </c>
      <c r="O3092" t="str">
        <f t="shared" si="146"/>
        <v>Returning</v>
      </c>
    </row>
    <row r="3093" spans="1:15" x14ac:dyDescent="0.25">
      <c r="A3093">
        <v>3092</v>
      </c>
      <c r="B3093">
        <v>30</v>
      </c>
      <c r="C3093" t="s">
        <v>11</v>
      </c>
      <c r="D3093" t="s">
        <v>12</v>
      </c>
      <c r="E3093" t="s">
        <v>13</v>
      </c>
      <c r="F3093" s="1">
        <v>143.83000000000001</v>
      </c>
      <c r="G3093" t="s">
        <v>19</v>
      </c>
      <c r="H3093" t="s">
        <v>15</v>
      </c>
      <c r="I3093" s="2">
        <v>3.8</v>
      </c>
      <c r="J3093" s="4">
        <v>19</v>
      </c>
      <c r="K3093" s="3">
        <v>7</v>
      </c>
      <c r="L3093" s="1">
        <f t="shared" si="144"/>
        <v>116.50230000000002</v>
      </c>
      <c r="M3093" t="str" cm="1">
        <f t="array" ref="M3093">_xlfn.IFS(B3093&lt;18,"Under 18",B3093 &lt;=25,"18-25",B3093&lt;=35,"26-35",B3093&lt;=45,"36-45",B3093&lt;=60,"46-60",TRUE,"60+")</f>
        <v>26-35</v>
      </c>
      <c r="N3093" t="str">
        <f t="shared" si="145"/>
        <v>Discounted</v>
      </c>
      <c r="O3093" t="str">
        <f t="shared" si="146"/>
        <v>Returning</v>
      </c>
    </row>
    <row r="3094" spans="1:15" x14ac:dyDescent="0.25">
      <c r="A3094">
        <v>3093</v>
      </c>
      <c r="B3094">
        <v>37</v>
      </c>
      <c r="C3094" t="s">
        <v>16</v>
      </c>
      <c r="D3094" t="s">
        <v>20</v>
      </c>
      <c r="E3094" t="s">
        <v>39</v>
      </c>
      <c r="F3094" s="1">
        <v>140.4</v>
      </c>
      <c r="G3094" t="s">
        <v>19</v>
      </c>
      <c r="H3094" t="s">
        <v>15</v>
      </c>
      <c r="I3094" s="2">
        <v>3.8</v>
      </c>
      <c r="J3094" s="4">
        <v>15</v>
      </c>
      <c r="K3094" s="3">
        <v>5</v>
      </c>
      <c r="L3094" s="1">
        <f t="shared" si="144"/>
        <v>119.34</v>
      </c>
      <c r="M3094" t="str" cm="1">
        <f t="array" ref="M3094">_xlfn.IFS(B3094&lt;18,"Under 18",B3094 &lt;=25,"18-25",B3094&lt;=35,"26-35",B3094&lt;=45,"36-45",B3094&lt;=60,"46-60",TRUE,"60+")</f>
        <v>36-45</v>
      </c>
      <c r="N3094" t="str">
        <f t="shared" si="145"/>
        <v>Discounted</v>
      </c>
      <c r="O3094" t="str">
        <f t="shared" si="146"/>
        <v>Returning</v>
      </c>
    </row>
    <row r="3095" spans="1:15" x14ac:dyDescent="0.25">
      <c r="A3095">
        <v>3094</v>
      </c>
      <c r="B3095">
        <v>64</v>
      </c>
      <c r="C3095" t="s">
        <v>11</v>
      </c>
      <c r="D3095" t="s">
        <v>29</v>
      </c>
      <c r="E3095" t="s">
        <v>51</v>
      </c>
      <c r="F3095" s="1">
        <v>145.84</v>
      </c>
      <c r="G3095" t="s">
        <v>24</v>
      </c>
      <c r="H3095" t="s">
        <v>15</v>
      </c>
      <c r="I3095" s="2">
        <v>4</v>
      </c>
      <c r="J3095" s="4">
        <v>4</v>
      </c>
      <c r="K3095" s="3">
        <v>2</v>
      </c>
      <c r="L3095" s="1">
        <f t="shared" si="144"/>
        <v>140.00639999999999</v>
      </c>
      <c r="M3095" t="str" cm="1">
        <f t="array" ref="M3095">_xlfn.IFS(B3095&lt;18,"Under 18",B3095 &lt;=25,"18-25",B3095&lt;=35,"26-35",B3095&lt;=45,"36-45",B3095&lt;=60,"46-60",TRUE,"60+")</f>
        <v>60+</v>
      </c>
      <c r="N3095" t="str">
        <f t="shared" si="145"/>
        <v>Discounted</v>
      </c>
      <c r="O3095" t="str">
        <f t="shared" si="146"/>
        <v>Returning</v>
      </c>
    </row>
    <row r="3096" spans="1:15" x14ac:dyDescent="0.25">
      <c r="A3096">
        <v>3095</v>
      </c>
      <c r="B3096">
        <v>43</v>
      </c>
      <c r="C3096" t="s">
        <v>16</v>
      </c>
      <c r="D3096" t="s">
        <v>22</v>
      </c>
      <c r="E3096" t="s">
        <v>23</v>
      </c>
      <c r="F3096" s="1">
        <v>50.1</v>
      </c>
      <c r="G3096" t="s">
        <v>19</v>
      </c>
      <c r="H3096" t="s">
        <v>37</v>
      </c>
      <c r="I3096" s="2">
        <v>4.5</v>
      </c>
      <c r="J3096" s="4">
        <v>22</v>
      </c>
      <c r="K3096" s="3">
        <v>6</v>
      </c>
      <c r="L3096" s="1">
        <f t="shared" si="144"/>
        <v>39.078000000000003</v>
      </c>
      <c r="M3096" t="str" cm="1">
        <f t="array" ref="M3096">_xlfn.IFS(B3096&lt;18,"Under 18",B3096 &lt;=25,"18-25",B3096&lt;=35,"26-35",B3096&lt;=45,"36-45",B3096&lt;=60,"46-60",TRUE,"60+")</f>
        <v>36-45</v>
      </c>
      <c r="N3096" t="str">
        <f t="shared" si="145"/>
        <v>Discounted</v>
      </c>
      <c r="O3096" t="str">
        <f t="shared" si="146"/>
        <v>Returning</v>
      </c>
    </row>
    <row r="3097" spans="1:15" x14ac:dyDescent="0.25">
      <c r="A3097">
        <v>3096</v>
      </c>
      <c r="B3097">
        <v>56</v>
      </c>
      <c r="C3097" t="s">
        <v>16</v>
      </c>
      <c r="D3097" t="s">
        <v>27</v>
      </c>
      <c r="E3097" t="s">
        <v>49</v>
      </c>
      <c r="F3097" s="1">
        <v>1390.67</v>
      </c>
      <c r="G3097" t="s">
        <v>19</v>
      </c>
      <c r="H3097" t="s">
        <v>15</v>
      </c>
      <c r="I3097" s="2">
        <v>4.4000000000000004</v>
      </c>
      <c r="J3097" s="4">
        <v>20</v>
      </c>
      <c r="K3097" s="3">
        <v>5</v>
      </c>
      <c r="L3097" s="1">
        <f t="shared" si="144"/>
        <v>1112.5360000000001</v>
      </c>
      <c r="M3097" t="str" cm="1">
        <f t="array" ref="M3097">_xlfn.IFS(B3097&lt;18,"Under 18",B3097 &lt;=25,"18-25",B3097&lt;=35,"26-35",B3097&lt;=45,"36-45",B3097&lt;=60,"46-60",TRUE,"60+")</f>
        <v>46-60</v>
      </c>
      <c r="N3097" t="str">
        <f t="shared" si="145"/>
        <v>Discounted</v>
      </c>
      <c r="O3097" t="str">
        <f t="shared" si="146"/>
        <v>Returning</v>
      </c>
    </row>
    <row r="3098" spans="1:15" x14ac:dyDescent="0.25">
      <c r="A3098">
        <v>3097</v>
      </c>
      <c r="B3098">
        <v>42</v>
      </c>
      <c r="C3098" t="s">
        <v>11</v>
      </c>
      <c r="D3098" t="s">
        <v>20</v>
      </c>
      <c r="E3098" t="s">
        <v>39</v>
      </c>
      <c r="F3098" s="1">
        <v>54.94</v>
      </c>
      <c r="G3098" t="s">
        <v>31</v>
      </c>
      <c r="H3098" t="s">
        <v>37</v>
      </c>
      <c r="I3098" s="2">
        <v>4</v>
      </c>
      <c r="J3098" s="4">
        <v>8</v>
      </c>
      <c r="K3098" s="3">
        <v>4</v>
      </c>
      <c r="L3098" s="1">
        <f t="shared" si="144"/>
        <v>50.544800000000002</v>
      </c>
      <c r="M3098" t="str" cm="1">
        <f t="array" ref="M3098">_xlfn.IFS(B3098&lt;18,"Under 18",B3098 &lt;=25,"18-25",B3098&lt;=35,"26-35",B3098&lt;=45,"36-45",B3098&lt;=60,"46-60",TRUE,"60+")</f>
        <v>36-45</v>
      </c>
      <c r="N3098" t="str">
        <f t="shared" si="145"/>
        <v>Discounted</v>
      </c>
      <c r="O3098" t="str">
        <f t="shared" si="146"/>
        <v>Returning</v>
      </c>
    </row>
    <row r="3099" spans="1:15" x14ac:dyDescent="0.25">
      <c r="A3099">
        <v>3098</v>
      </c>
      <c r="B3099">
        <v>61</v>
      </c>
      <c r="C3099" t="s">
        <v>16</v>
      </c>
      <c r="D3099" t="s">
        <v>33</v>
      </c>
      <c r="E3099" t="s">
        <v>38</v>
      </c>
      <c r="F3099" s="1">
        <v>214.2</v>
      </c>
      <c r="G3099" t="s">
        <v>19</v>
      </c>
      <c r="H3099" t="s">
        <v>15</v>
      </c>
      <c r="I3099" s="2">
        <v>4.9000000000000004</v>
      </c>
      <c r="J3099" s="4">
        <v>20</v>
      </c>
      <c r="K3099" s="3">
        <v>5</v>
      </c>
      <c r="L3099" s="1">
        <f t="shared" si="144"/>
        <v>171.36</v>
      </c>
      <c r="M3099" t="str" cm="1">
        <f t="array" ref="M3099">_xlfn.IFS(B3099&lt;18,"Under 18",B3099 &lt;=25,"18-25",B3099&lt;=35,"26-35",B3099&lt;=45,"36-45",B3099&lt;=60,"46-60",TRUE,"60+")</f>
        <v>60+</v>
      </c>
      <c r="N3099" t="str">
        <f t="shared" si="145"/>
        <v>Discounted</v>
      </c>
      <c r="O3099" t="str">
        <f t="shared" si="146"/>
        <v>Returning</v>
      </c>
    </row>
    <row r="3100" spans="1:15" x14ac:dyDescent="0.25">
      <c r="A3100">
        <v>3099</v>
      </c>
      <c r="B3100">
        <v>66</v>
      </c>
      <c r="C3100" t="s">
        <v>16</v>
      </c>
      <c r="D3100" t="s">
        <v>17</v>
      </c>
      <c r="E3100" t="s">
        <v>48</v>
      </c>
      <c r="F3100" s="1">
        <v>115.35</v>
      </c>
      <c r="G3100" t="s">
        <v>24</v>
      </c>
      <c r="H3100" t="s">
        <v>15</v>
      </c>
      <c r="I3100" s="2">
        <v>4.4000000000000004</v>
      </c>
      <c r="J3100" s="4">
        <v>8</v>
      </c>
      <c r="K3100" s="3">
        <v>4</v>
      </c>
      <c r="L3100" s="1">
        <f t="shared" si="144"/>
        <v>106.122</v>
      </c>
      <c r="M3100" t="str" cm="1">
        <f t="array" ref="M3100">_xlfn.IFS(B3100&lt;18,"Under 18",B3100 &lt;=25,"18-25",B3100&lt;=35,"26-35",B3100&lt;=45,"36-45",B3100&lt;=60,"46-60",TRUE,"60+")</f>
        <v>60+</v>
      </c>
      <c r="N3100" t="str">
        <f t="shared" si="145"/>
        <v>Discounted</v>
      </c>
      <c r="O3100" t="str">
        <f t="shared" si="146"/>
        <v>Returning</v>
      </c>
    </row>
    <row r="3101" spans="1:15" x14ac:dyDescent="0.25">
      <c r="A3101">
        <v>3100</v>
      </c>
      <c r="B3101">
        <v>43</v>
      </c>
      <c r="C3101" t="s">
        <v>16</v>
      </c>
      <c r="D3101" t="s">
        <v>20</v>
      </c>
      <c r="E3101" t="s">
        <v>39</v>
      </c>
      <c r="F3101" s="1">
        <v>38.090000000000003</v>
      </c>
      <c r="G3101" t="s">
        <v>14</v>
      </c>
      <c r="H3101" t="s">
        <v>37</v>
      </c>
      <c r="I3101" s="2">
        <v>4.2</v>
      </c>
      <c r="J3101" s="4">
        <v>20</v>
      </c>
      <c r="K3101" s="3">
        <v>5</v>
      </c>
      <c r="L3101" s="1">
        <f t="shared" si="144"/>
        <v>30.472000000000005</v>
      </c>
      <c r="M3101" t="str" cm="1">
        <f t="array" ref="M3101">_xlfn.IFS(B3101&lt;18,"Under 18",B3101 &lt;=25,"18-25",B3101&lt;=35,"26-35",B3101&lt;=45,"36-45",B3101&lt;=60,"46-60",TRUE,"60+")</f>
        <v>36-45</v>
      </c>
      <c r="N3101" t="str">
        <f t="shared" si="145"/>
        <v>Discounted</v>
      </c>
      <c r="O3101" t="str">
        <f t="shared" si="146"/>
        <v>Returning</v>
      </c>
    </row>
    <row r="3102" spans="1:15" x14ac:dyDescent="0.25">
      <c r="A3102">
        <v>3101</v>
      </c>
      <c r="B3102">
        <v>22</v>
      </c>
      <c r="C3102" t="s">
        <v>16</v>
      </c>
      <c r="D3102" t="s">
        <v>27</v>
      </c>
      <c r="E3102" t="s">
        <v>49</v>
      </c>
      <c r="F3102" s="1">
        <v>1683.66</v>
      </c>
      <c r="G3102" t="s">
        <v>14</v>
      </c>
      <c r="H3102" t="s">
        <v>15</v>
      </c>
      <c r="I3102" s="2">
        <v>4.5</v>
      </c>
      <c r="J3102" s="4">
        <v>20</v>
      </c>
      <c r="K3102" s="3">
        <v>5</v>
      </c>
      <c r="L3102" s="1">
        <f t="shared" si="144"/>
        <v>1346.9280000000001</v>
      </c>
      <c r="M3102" t="str" cm="1">
        <f t="array" ref="M3102">_xlfn.IFS(B3102&lt;18,"Under 18",B3102 &lt;=25,"18-25",B3102&lt;=35,"26-35",B3102&lt;=45,"36-45",B3102&lt;=60,"46-60",TRUE,"60+")</f>
        <v>18-25</v>
      </c>
      <c r="N3102" t="str">
        <f t="shared" si="145"/>
        <v>Discounted</v>
      </c>
      <c r="O3102" t="str">
        <f t="shared" si="146"/>
        <v>Returning</v>
      </c>
    </row>
    <row r="3103" spans="1:15" x14ac:dyDescent="0.25">
      <c r="A3103">
        <v>3102</v>
      </c>
      <c r="B3103">
        <v>21</v>
      </c>
      <c r="C3103" t="s">
        <v>16</v>
      </c>
      <c r="D3103" t="s">
        <v>27</v>
      </c>
      <c r="E3103" t="s">
        <v>49</v>
      </c>
      <c r="F3103" s="1">
        <v>1599.75</v>
      </c>
      <c r="G3103" t="s">
        <v>31</v>
      </c>
      <c r="H3103" t="s">
        <v>15</v>
      </c>
      <c r="I3103" s="2">
        <v>4.2</v>
      </c>
      <c r="J3103" s="4">
        <v>20</v>
      </c>
      <c r="K3103" s="3">
        <v>5</v>
      </c>
      <c r="L3103" s="1">
        <f t="shared" si="144"/>
        <v>1279.8000000000002</v>
      </c>
      <c r="M3103" t="str" cm="1">
        <f t="array" ref="M3103">_xlfn.IFS(B3103&lt;18,"Under 18",B3103 &lt;=25,"18-25",B3103&lt;=35,"26-35",B3103&lt;=45,"36-45",B3103&lt;=60,"46-60",TRUE,"60+")</f>
        <v>18-25</v>
      </c>
      <c r="N3103" t="str">
        <f t="shared" si="145"/>
        <v>Discounted</v>
      </c>
      <c r="O3103" t="str">
        <f t="shared" si="146"/>
        <v>Returning</v>
      </c>
    </row>
    <row r="3104" spans="1:15" x14ac:dyDescent="0.25">
      <c r="A3104">
        <v>3103</v>
      </c>
      <c r="B3104">
        <v>70</v>
      </c>
      <c r="C3104" t="s">
        <v>11</v>
      </c>
      <c r="D3104" t="s">
        <v>12</v>
      </c>
      <c r="E3104" t="s">
        <v>56</v>
      </c>
      <c r="F3104" s="1">
        <v>55.1</v>
      </c>
      <c r="G3104" t="s">
        <v>14</v>
      </c>
      <c r="H3104" t="s">
        <v>37</v>
      </c>
      <c r="I3104" s="2">
        <v>3.7</v>
      </c>
      <c r="J3104" s="4">
        <v>18</v>
      </c>
      <c r="K3104" s="3">
        <v>4</v>
      </c>
      <c r="L3104" s="1">
        <f t="shared" si="144"/>
        <v>45.182000000000002</v>
      </c>
      <c r="M3104" t="str" cm="1">
        <f t="array" ref="M3104">_xlfn.IFS(B3104&lt;18,"Under 18",B3104 &lt;=25,"18-25",B3104&lt;=35,"26-35",B3104&lt;=45,"36-45",B3104&lt;=60,"46-60",TRUE,"60+")</f>
        <v>60+</v>
      </c>
      <c r="N3104" t="str">
        <f t="shared" si="145"/>
        <v>Discounted</v>
      </c>
      <c r="O3104" t="str">
        <f t="shared" si="146"/>
        <v>Returning</v>
      </c>
    </row>
    <row r="3105" spans="1:15" x14ac:dyDescent="0.25">
      <c r="A3105">
        <v>3104</v>
      </c>
      <c r="B3105">
        <v>20</v>
      </c>
      <c r="C3105" t="s">
        <v>11</v>
      </c>
      <c r="D3105" t="s">
        <v>22</v>
      </c>
      <c r="E3105" t="s">
        <v>23</v>
      </c>
      <c r="F3105" s="1">
        <v>246.01</v>
      </c>
      <c r="G3105" t="s">
        <v>19</v>
      </c>
      <c r="H3105" t="s">
        <v>15</v>
      </c>
      <c r="I3105" s="2">
        <v>4.4000000000000004</v>
      </c>
      <c r="J3105" s="4">
        <v>24</v>
      </c>
      <c r="K3105" s="3">
        <v>7</v>
      </c>
      <c r="L3105" s="1">
        <f t="shared" si="144"/>
        <v>186.9676</v>
      </c>
      <c r="M3105" t="str" cm="1">
        <f t="array" ref="M3105">_xlfn.IFS(B3105&lt;18,"Under 18",B3105 &lt;=25,"18-25",B3105&lt;=35,"26-35",B3105&lt;=45,"36-45",B3105&lt;=60,"46-60",TRUE,"60+")</f>
        <v>18-25</v>
      </c>
      <c r="N3105" t="str">
        <f t="shared" si="145"/>
        <v>Discounted</v>
      </c>
      <c r="O3105" t="str">
        <f t="shared" si="146"/>
        <v>Returning</v>
      </c>
    </row>
    <row r="3106" spans="1:15" x14ac:dyDescent="0.25">
      <c r="A3106">
        <v>3105</v>
      </c>
      <c r="B3106">
        <v>24</v>
      </c>
      <c r="C3106" t="s">
        <v>11</v>
      </c>
      <c r="D3106" t="s">
        <v>20</v>
      </c>
      <c r="E3106" t="s">
        <v>39</v>
      </c>
      <c r="F3106" s="1">
        <v>235.97</v>
      </c>
      <c r="G3106" t="s">
        <v>19</v>
      </c>
      <c r="H3106" t="s">
        <v>15</v>
      </c>
      <c r="I3106" s="2">
        <v>3.8</v>
      </c>
      <c r="J3106" s="4">
        <v>14</v>
      </c>
      <c r="K3106" s="3">
        <v>2</v>
      </c>
      <c r="L3106" s="1">
        <f t="shared" si="144"/>
        <v>202.9342</v>
      </c>
      <c r="M3106" t="str" cm="1">
        <f t="array" ref="M3106">_xlfn.IFS(B3106&lt;18,"Under 18",B3106 &lt;=25,"18-25",B3106&lt;=35,"26-35",B3106&lt;=45,"36-45",B3106&lt;=60,"46-60",TRUE,"60+")</f>
        <v>18-25</v>
      </c>
      <c r="N3106" t="str">
        <f t="shared" si="145"/>
        <v>Discounted</v>
      </c>
      <c r="O3106" t="str">
        <f t="shared" si="146"/>
        <v>Returning</v>
      </c>
    </row>
    <row r="3107" spans="1:15" x14ac:dyDescent="0.25">
      <c r="A3107">
        <v>3106</v>
      </c>
      <c r="B3107">
        <v>53</v>
      </c>
      <c r="C3107" t="s">
        <v>16</v>
      </c>
      <c r="D3107" t="s">
        <v>20</v>
      </c>
      <c r="E3107" t="s">
        <v>36</v>
      </c>
      <c r="F3107" s="1">
        <v>249.3</v>
      </c>
      <c r="G3107" t="s">
        <v>24</v>
      </c>
      <c r="H3107" t="s">
        <v>15</v>
      </c>
      <c r="I3107" s="2">
        <v>3.9</v>
      </c>
      <c r="J3107" s="4">
        <v>18</v>
      </c>
      <c r="K3107" s="3">
        <v>4</v>
      </c>
      <c r="L3107" s="1">
        <f t="shared" si="144"/>
        <v>204.42600000000002</v>
      </c>
      <c r="M3107" t="str" cm="1">
        <f t="array" ref="M3107">_xlfn.IFS(B3107&lt;18,"Under 18",B3107 &lt;=25,"18-25",B3107&lt;=35,"26-35",B3107&lt;=45,"36-45",B3107&lt;=60,"46-60",TRUE,"60+")</f>
        <v>46-60</v>
      </c>
      <c r="N3107" t="str">
        <f t="shared" si="145"/>
        <v>Discounted</v>
      </c>
      <c r="O3107" t="str">
        <f t="shared" si="146"/>
        <v>Returning</v>
      </c>
    </row>
    <row r="3108" spans="1:15" x14ac:dyDescent="0.25">
      <c r="A3108">
        <v>3107</v>
      </c>
      <c r="B3108">
        <v>44</v>
      </c>
      <c r="C3108" t="s">
        <v>16</v>
      </c>
      <c r="D3108" t="s">
        <v>17</v>
      </c>
      <c r="E3108" t="s">
        <v>48</v>
      </c>
      <c r="F3108" s="1">
        <v>105.92</v>
      </c>
      <c r="G3108" t="s">
        <v>14</v>
      </c>
      <c r="H3108" t="s">
        <v>15</v>
      </c>
      <c r="I3108" s="2">
        <v>3.9</v>
      </c>
      <c r="J3108" s="4">
        <v>25</v>
      </c>
      <c r="K3108" s="3">
        <v>10</v>
      </c>
      <c r="L3108" s="1">
        <f t="shared" si="144"/>
        <v>79.44</v>
      </c>
      <c r="M3108" t="str" cm="1">
        <f t="array" ref="M3108">_xlfn.IFS(B3108&lt;18,"Under 18",B3108 &lt;=25,"18-25",B3108&lt;=35,"26-35",B3108&lt;=45,"36-45",B3108&lt;=60,"46-60",TRUE,"60+")</f>
        <v>36-45</v>
      </c>
      <c r="N3108" t="str">
        <f t="shared" si="145"/>
        <v>Discounted</v>
      </c>
      <c r="O3108" t="str">
        <f t="shared" si="146"/>
        <v>Returning</v>
      </c>
    </row>
    <row r="3109" spans="1:15" x14ac:dyDescent="0.25">
      <c r="A3109">
        <v>3108</v>
      </c>
      <c r="B3109">
        <v>54</v>
      </c>
      <c r="C3109" t="s">
        <v>11</v>
      </c>
      <c r="D3109" t="s">
        <v>33</v>
      </c>
      <c r="E3109" t="s">
        <v>34</v>
      </c>
      <c r="F3109" s="1">
        <v>104.74</v>
      </c>
      <c r="G3109" t="s">
        <v>31</v>
      </c>
      <c r="H3109" t="s">
        <v>15</v>
      </c>
      <c r="I3109" s="2">
        <v>3.2</v>
      </c>
      <c r="J3109" s="4">
        <v>16</v>
      </c>
      <c r="K3109" s="3">
        <v>8</v>
      </c>
      <c r="L3109" s="1">
        <f t="shared" si="144"/>
        <v>87.981599999999986</v>
      </c>
      <c r="M3109" t="str" cm="1">
        <f t="array" ref="M3109">_xlfn.IFS(B3109&lt;18,"Under 18",B3109 &lt;=25,"18-25",B3109&lt;=35,"26-35",B3109&lt;=45,"36-45",B3109&lt;=60,"46-60",TRUE,"60+")</f>
        <v>46-60</v>
      </c>
      <c r="N3109" t="str">
        <f t="shared" si="145"/>
        <v>Discounted</v>
      </c>
      <c r="O3109" t="str">
        <f t="shared" si="146"/>
        <v>Returning</v>
      </c>
    </row>
    <row r="3110" spans="1:15" x14ac:dyDescent="0.25">
      <c r="A3110">
        <v>3109</v>
      </c>
      <c r="B3110">
        <v>62</v>
      </c>
      <c r="C3110" t="s">
        <v>11</v>
      </c>
      <c r="D3110" t="s">
        <v>25</v>
      </c>
      <c r="E3110" t="s">
        <v>57</v>
      </c>
      <c r="F3110" s="1">
        <v>41.33</v>
      </c>
      <c r="G3110" t="s">
        <v>31</v>
      </c>
      <c r="H3110" t="s">
        <v>37</v>
      </c>
      <c r="I3110" s="2">
        <v>2.1</v>
      </c>
      <c r="J3110" s="4">
        <v>10</v>
      </c>
      <c r="K3110" s="3">
        <v>5</v>
      </c>
      <c r="L3110" s="1">
        <f t="shared" si="144"/>
        <v>37.197000000000003</v>
      </c>
      <c r="M3110" t="str" cm="1">
        <f t="array" ref="M3110">_xlfn.IFS(B3110&lt;18,"Under 18",B3110 &lt;=25,"18-25",B3110&lt;=35,"26-35",B3110&lt;=45,"36-45",B3110&lt;=60,"46-60",TRUE,"60+")</f>
        <v>60+</v>
      </c>
      <c r="N3110" t="str">
        <f t="shared" si="145"/>
        <v>Discounted</v>
      </c>
      <c r="O3110" t="str">
        <f t="shared" si="146"/>
        <v>Returning</v>
      </c>
    </row>
    <row r="3111" spans="1:15" x14ac:dyDescent="0.25">
      <c r="A3111">
        <v>3110</v>
      </c>
      <c r="B3111">
        <v>40</v>
      </c>
      <c r="C3111" t="s">
        <v>11</v>
      </c>
      <c r="D3111" t="s">
        <v>41</v>
      </c>
      <c r="E3111" t="s">
        <v>45</v>
      </c>
      <c r="F3111" s="1">
        <v>164.97</v>
      </c>
      <c r="G3111" t="s">
        <v>19</v>
      </c>
      <c r="H3111" t="s">
        <v>15</v>
      </c>
      <c r="I3111" s="2">
        <v>4.3</v>
      </c>
      <c r="J3111" s="4">
        <v>22</v>
      </c>
      <c r="K3111" s="3">
        <v>6</v>
      </c>
      <c r="L3111" s="1">
        <f t="shared" si="144"/>
        <v>128.67660000000001</v>
      </c>
      <c r="M3111" t="str" cm="1">
        <f t="array" ref="M3111">_xlfn.IFS(B3111&lt;18,"Under 18",B3111 &lt;=25,"18-25",B3111&lt;=35,"26-35",B3111&lt;=45,"36-45",B3111&lt;=60,"46-60",TRUE,"60+")</f>
        <v>36-45</v>
      </c>
      <c r="N3111" t="str">
        <f t="shared" si="145"/>
        <v>Discounted</v>
      </c>
      <c r="O3111" t="str">
        <f t="shared" si="146"/>
        <v>Returning</v>
      </c>
    </row>
    <row r="3112" spans="1:15" x14ac:dyDescent="0.25">
      <c r="A3112">
        <v>3111</v>
      </c>
      <c r="B3112">
        <v>52</v>
      </c>
      <c r="C3112" t="s">
        <v>16</v>
      </c>
      <c r="D3112" t="s">
        <v>27</v>
      </c>
      <c r="E3112" t="s">
        <v>53</v>
      </c>
      <c r="F3112" s="1">
        <v>1788.15</v>
      </c>
      <c r="G3112" t="s">
        <v>24</v>
      </c>
      <c r="H3112" t="s">
        <v>15</v>
      </c>
      <c r="I3112" s="2">
        <v>4.5999999999999996</v>
      </c>
      <c r="J3112" s="4">
        <v>8</v>
      </c>
      <c r="K3112" s="3">
        <v>4</v>
      </c>
      <c r="L3112" s="1">
        <f t="shared" si="144"/>
        <v>1645.0980000000002</v>
      </c>
      <c r="M3112" t="str" cm="1">
        <f t="array" ref="M3112">_xlfn.IFS(B3112&lt;18,"Under 18",B3112 &lt;=25,"18-25",B3112&lt;=35,"26-35",B3112&lt;=45,"36-45",B3112&lt;=60,"46-60",TRUE,"60+")</f>
        <v>46-60</v>
      </c>
      <c r="N3112" t="str">
        <f t="shared" si="145"/>
        <v>Discounted</v>
      </c>
      <c r="O3112" t="str">
        <f t="shared" si="146"/>
        <v>Returning</v>
      </c>
    </row>
    <row r="3113" spans="1:15" x14ac:dyDescent="0.25">
      <c r="A3113">
        <v>3112</v>
      </c>
      <c r="B3113">
        <v>52</v>
      </c>
      <c r="C3113" t="s">
        <v>16</v>
      </c>
      <c r="D3113" t="s">
        <v>33</v>
      </c>
      <c r="E3113" t="s">
        <v>40</v>
      </c>
      <c r="F3113" s="1">
        <v>157.54</v>
      </c>
      <c r="G3113" t="s">
        <v>19</v>
      </c>
      <c r="H3113" t="s">
        <v>15</v>
      </c>
      <c r="I3113" s="2">
        <v>3.5</v>
      </c>
      <c r="J3113" s="4">
        <v>11</v>
      </c>
      <c r="K3113" s="3">
        <v>3</v>
      </c>
      <c r="L3113" s="1">
        <f t="shared" si="144"/>
        <v>140.2106</v>
      </c>
      <c r="M3113" t="str" cm="1">
        <f t="array" ref="M3113">_xlfn.IFS(B3113&lt;18,"Under 18",B3113 &lt;=25,"18-25",B3113&lt;=35,"26-35",B3113&lt;=45,"36-45",B3113&lt;=60,"46-60",TRUE,"60+")</f>
        <v>46-60</v>
      </c>
      <c r="N3113" t="str">
        <f t="shared" si="145"/>
        <v>Discounted</v>
      </c>
      <c r="O3113" t="str">
        <f t="shared" si="146"/>
        <v>Returning</v>
      </c>
    </row>
    <row r="3114" spans="1:15" x14ac:dyDescent="0.25">
      <c r="A3114">
        <v>3113</v>
      </c>
      <c r="B3114">
        <v>44</v>
      </c>
      <c r="C3114" t="s">
        <v>11</v>
      </c>
      <c r="D3114" t="s">
        <v>33</v>
      </c>
      <c r="E3114" t="s">
        <v>38</v>
      </c>
      <c r="F3114" s="1">
        <v>222.1</v>
      </c>
      <c r="G3114" t="s">
        <v>19</v>
      </c>
      <c r="H3114" t="s">
        <v>15</v>
      </c>
      <c r="I3114" s="2">
        <v>2.6</v>
      </c>
      <c r="J3114" s="4">
        <v>10</v>
      </c>
      <c r="K3114" s="3">
        <v>5</v>
      </c>
      <c r="L3114" s="1">
        <f t="shared" si="144"/>
        <v>199.89</v>
      </c>
      <c r="M3114" t="str" cm="1">
        <f t="array" ref="M3114">_xlfn.IFS(B3114&lt;18,"Under 18",B3114 &lt;=25,"18-25",B3114&lt;=35,"26-35",B3114&lt;=45,"36-45",B3114&lt;=60,"46-60",TRUE,"60+")</f>
        <v>36-45</v>
      </c>
      <c r="N3114" t="str">
        <f t="shared" si="145"/>
        <v>Discounted</v>
      </c>
      <c r="O3114" t="str">
        <f t="shared" si="146"/>
        <v>Returning</v>
      </c>
    </row>
    <row r="3115" spans="1:15" x14ac:dyDescent="0.25">
      <c r="A3115">
        <v>3114</v>
      </c>
      <c r="B3115">
        <v>56</v>
      </c>
      <c r="C3115" t="s">
        <v>11</v>
      </c>
      <c r="D3115" t="s">
        <v>33</v>
      </c>
      <c r="E3115" t="s">
        <v>40</v>
      </c>
      <c r="F3115" s="1">
        <v>149.21</v>
      </c>
      <c r="G3115" t="s">
        <v>24</v>
      </c>
      <c r="H3115" t="s">
        <v>15</v>
      </c>
      <c r="I3115" s="2">
        <v>4.0999999999999996</v>
      </c>
      <c r="J3115" s="4">
        <v>17</v>
      </c>
      <c r="K3115" s="3">
        <v>6</v>
      </c>
      <c r="L3115" s="1">
        <f t="shared" si="144"/>
        <v>123.8443</v>
      </c>
      <c r="M3115" t="str" cm="1">
        <f t="array" ref="M3115">_xlfn.IFS(B3115&lt;18,"Under 18",B3115 &lt;=25,"18-25",B3115&lt;=35,"26-35",B3115&lt;=45,"36-45",B3115&lt;=60,"46-60",TRUE,"60+")</f>
        <v>46-60</v>
      </c>
      <c r="N3115" t="str">
        <f t="shared" si="145"/>
        <v>Discounted</v>
      </c>
      <c r="O3115" t="str">
        <f t="shared" si="146"/>
        <v>Returning</v>
      </c>
    </row>
    <row r="3116" spans="1:15" x14ac:dyDescent="0.25">
      <c r="A3116">
        <v>3115</v>
      </c>
      <c r="B3116">
        <v>52</v>
      </c>
      <c r="C3116" t="s">
        <v>11</v>
      </c>
      <c r="D3116" t="s">
        <v>41</v>
      </c>
      <c r="E3116" t="s">
        <v>44</v>
      </c>
      <c r="F3116" s="1">
        <v>153.09</v>
      </c>
      <c r="G3116" t="s">
        <v>24</v>
      </c>
      <c r="H3116" t="s">
        <v>15</v>
      </c>
      <c r="I3116" s="2">
        <v>3.8</v>
      </c>
      <c r="J3116" s="4">
        <v>8</v>
      </c>
      <c r="K3116" s="3">
        <v>4</v>
      </c>
      <c r="L3116" s="1">
        <f t="shared" si="144"/>
        <v>140.84280000000001</v>
      </c>
      <c r="M3116" t="str" cm="1">
        <f t="array" ref="M3116">_xlfn.IFS(B3116&lt;18,"Under 18",B3116 &lt;=25,"18-25",B3116&lt;=35,"26-35",B3116&lt;=45,"36-45",B3116&lt;=60,"46-60",TRUE,"60+")</f>
        <v>46-60</v>
      </c>
      <c r="N3116" t="str">
        <f t="shared" si="145"/>
        <v>Discounted</v>
      </c>
      <c r="O3116" t="str">
        <f t="shared" si="146"/>
        <v>Returning</v>
      </c>
    </row>
    <row r="3117" spans="1:15" x14ac:dyDescent="0.25">
      <c r="A3117">
        <v>3116</v>
      </c>
      <c r="B3117">
        <v>55</v>
      </c>
      <c r="C3117" t="s">
        <v>11</v>
      </c>
      <c r="D3117" t="s">
        <v>25</v>
      </c>
      <c r="E3117" t="s">
        <v>57</v>
      </c>
      <c r="F3117" s="1">
        <v>68.41</v>
      </c>
      <c r="G3117" t="s">
        <v>19</v>
      </c>
      <c r="H3117" t="s">
        <v>37</v>
      </c>
      <c r="I3117" s="2">
        <v>4.5999999999999996</v>
      </c>
      <c r="J3117" s="4">
        <v>14</v>
      </c>
      <c r="K3117" s="3">
        <v>2</v>
      </c>
      <c r="L3117" s="1">
        <f t="shared" si="144"/>
        <v>58.832599999999999</v>
      </c>
      <c r="M3117" t="str" cm="1">
        <f t="array" ref="M3117">_xlfn.IFS(B3117&lt;18,"Under 18",B3117 &lt;=25,"18-25",B3117&lt;=35,"26-35",B3117&lt;=45,"36-45",B3117&lt;=60,"46-60",TRUE,"60+")</f>
        <v>46-60</v>
      </c>
      <c r="N3117" t="str">
        <f t="shared" si="145"/>
        <v>Discounted</v>
      </c>
      <c r="O3117" t="str">
        <f t="shared" si="146"/>
        <v>Returning</v>
      </c>
    </row>
    <row r="3118" spans="1:15" x14ac:dyDescent="0.25">
      <c r="A3118">
        <v>3117</v>
      </c>
      <c r="B3118">
        <v>55</v>
      </c>
      <c r="C3118" t="s">
        <v>11</v>
      </c>
      <c r="D3118" t="s">
        <v>12</v>
      </c>
      <c r="E3118" t="s">
        <v>56</v>
      </c>
      <c r="F3118" s="1">
        <v>160.25</v>
      </c>
      <c r="G3118" t="s">
        <v>31</v>
      </c>
      <c r="H3118" t="s">
        <v>15</v>
      </c>
      <c r="I3118" s="2">
        <v>3.5</v>
      </c>
      <c r="J3118" s="4">
        <v>6</v>
      </c>
      <c r="K3118" s="3">
        <v>3</v>
      </c>
      <c r="L3118" s="1">
        <f t="shared" si="144"/>
        <v>150.63499999999999</v>
      </c>
      <c r="M3118" t="str" cm="1">
        <f t="array" ref="M3118">_xlfn.IFS(B3118&lt;18,"Under 18",B3118 &lt;=25,"18-25",B3118&lt;=35,"26-35",B3118&lt;=45,"36-45",B3118&lt;=60,"46-60",TRUE,"60+")</f>
        <v>46-60</v>
      </c>
      <c r="N3118" t="str">
        <f t="shared" si="145"/>
        <v>Discounted</v>
      </c>
      <c r="O3118" t="str">
        <f t="shared" si="146"/>
        <v>Returning</v>
      </c>
    </row>
    <row r="3119" spans="1:15" x14ac:dyDescent="0.25">
      <c r="A3119">
        <v>3118</v>
      </c>
      <c r="B3119">
        <v>70</v>
      </c>
      <c r="C3119" t="s">
        <v>11</v>
      </c>
      <c r="D3119" t="s">
        <v>12</v>
      </c>
      <c r="E3119" t="s">
        <v>13</v>
      </c>
      <c r="F3119" s="1">
        <v>63.39</v>
      </c>
      <c r="G3119" t="s">
        <v>14</v>
      </c>
      <c r="H3119" t="s">
        <v>37</v>
      </c>
      <c r="I3119" s="2">
        <v>3.3</v>
      </c>
      <c r="J3119" s="4">
        <v>14</v>
      </c>
      <c r="K3119" s="3">
        <v>2</v>
      </c>
      <c r="L3119" s="1">
        <f t="shared" si="144"/>
        <v>54.5154</v>
      </c>
      <c r="M3119" t="str" cm="1">
        <f t="array" ref="M3119">_xlfn.IFS(B3119&lt;18,"Under 18",B3119 &lt;=25,"18-25",B3119&lt;=35,"26-35",B3119&lt;=45,"36-45",B3119&lt;=60,"46-60",TRUE,"60+")</f>
        <v>60+</v>
      </c>
      <c r="N3119" t="str">
        <f t="shared" si="145"/>
        <v>Discounted</v>
      </c>
      <c r="O3119" t="str">
        <f t="shared" si="146"/>
        <v>Returning</v>
      </c>
    </row>
    <row r="3120" spans="1:15" x14ac:dyDescent="0.25">
      <c r="A3120">
        <v>3119</v>
      </c>
      <c r="B3120">
        <v>69</v>
      </c>
      <c r="C3120" t="s">
        <v>16</v>
      </c>
      <c r="D3120" t="s">
        <v>20</v>
      </c>
      <c r="E3120" t="s">
        <v>39</v>
      </c>
      <c r="F3120" s="1">
        <v>95.03</v>
      </c>
      <c r="G3120" t="s">
        <v>24</v>
      </c>
      <c r="H3120" t="s">
        <v>15</v>
      </c>
      <c r="I3120" s="2">
        <v>2.8</v>
      </c>
      <c r="J3120" s="4">
        <v>16</v>
      </c>
      <c r="K3120" s="3">
        <v>3</v>
      </c>
      <c r="L3120" s="1">
        <f t="shared" si="144"/>
        <v>79.825199999999995</v>
      </c>
      <c r="M3120" t="str" cm="1">
        <f t="array" ref="M3120">_xlfn.IFS(B3120&lt;18,"Under 18",B3120 &lt;=25,"18-25",B3120&lt;=35,"26-35",B3120&lt;=45,"36-45",B3120&lt;=60,"46-60",TRUE,"60+")</f>
        <v>60+</v>
      </c>
      <c r="N3120" t="str">
        <f t="shared" si="145"/>
        <v>Discounted</v>
      </c>
      <c r="O3120" t="str">
        <f t="shared" si="146"/>
        <v>Returning</v>
      </c>
    </row>
    <row r="3121" spans="1:15" x14ac:dyDescent="0.25">
      <c r="A3121">
        <v>3120</v>
      </c>
      <c r="B3121">
        <v>38</v>
      </c>
      <c r="C3121" t="s">
        <v>11</v>
      </c>
      <c r="D3121" t="s">
        <v>12</v>
      </c>
      <c r="E3121" t="s">
        <v>50</v>
      </c>
      <c r="F3121" s="1">
        <v>171.81</v>
      </c>
      <c r="G3121" t="s">
        <v>31</v>
      </c>
      <c r="H3121" t="s">
        <v>15</v>
      </c>
      <c r="I3121" s="2">
        <v>4.5999999999999996</v>
      </c>
      <c r="J3121" s="4">
        <v>26</v>
      </c>
      <c r="K3121" s="3">
        <v>8</v>
      </c>
      <c r="L3121" s="1">
        <f t="shared" si="144"/>
        <v>127.13939999999999</v>
      </c>
      <c r="M3121" t="str" cm="1">
        <f t="array" ref="M3121">_xlfn.IFS(B3121&lt;18,"Under 18",B3121 &lt;=25,"18-25",B3121&lt;=35,"26-35",B3121&lt;=45,"36-45",B3121&lt;=60,"46-60",TRUE,"60+")</f>
        <v>36-45</v>
      </c>
      <c r="N3121" t="str">
        <f t="shared" si="145"/>
        <v>Discounted</v>
      </c>
      <c r="O3121" t="str">
        <f t="shared" si="146"/>
        <v>Returning</v>
      </c>
    </row>
    <row r="3122" spans="1:15" x14ac:dyDescent="0.25">
      <c r="A3122">
        <v>3121</v>
      </c>
      <c r="B3122">
        <v>53</v>
      </c>
      <c r="C3122" t="s">
        <v>11</v>
      </c>
      <c r="D3122" t="s">
        <v>41</v>
      </c>
      <c r="E3122" t="s">
        <v>44</v>
      </c>
      <c r="F3122" s="1">
        <v>195</v>
      </c>
      <c r="G3122" t="s">
        <v>24</v>
      </c>
      <c r="H3122" t="s">
        <v>15</v>
      </c>
      <c r="I3122" s="2">
        <v>3.6</v>
      </c>
      <c r="J3122" s="4">
        <v>14</v>
      </c>
      <c r="K3122" s="3">
        <v>7</v>
      </c>
      <c r="L3122" s="1">
        <f t="shared" si="144"/>
        <v>167.7</v>
      </c>
      <c r="M3122" t="str" cm="1">
        <f t="array" ref="M3122">_xlfn.IFS(B3122&lt;18,"Under 18",B3122 &lt;=25,"18-25",B3122&lt;=35,"26-35",B3122&lt;=45,"36-45",B3122&lt;=60,"46-60",TRUE,"60+")</f>
        <v>46-60</v>
      </c>
      <c r="N3122" t="str">
        <f t="shared" si="145"/>
        <v>Discounted</v>
      </c>
      <c r="O3122" t="str">
        <f t="shared" si="146"/>
        <v>Returning</v>
      </c>
    </row>
    <row r="3123" spans="1:15" x14ac:dyDescent="0.25">
      <c r="A3123">
        <v>3122</v>
      </c>
      <c r="B3123">
        <v>51</v>
      </c>
      <c r="C3123" t="s">
        <v>16</v>
      </c>
      <c r="D3123" t="s">
        <v>27</v>
      </c>
      <c r="E3123" t="s">
        <v>53</v>
      </c>
      <c r="F3123" s="1">
        <v>2502.92</v>
      </c>
      <c r="G3123" t="s">
        <v>14</v>
      </c>
      <c r="H3123" t="s">
        <v>15</v>
      </c>
      <c r="I3123" s="2">
        <v>1.9</v>
      </c>
      <c r="J3123" s="4">
        <v>28</v>
      </c>
      <c r="K3123" s="3">
        <v>9</v>
      </c>
      <c r="L3123" s="1">
        <f t="shared" si="144"/>
        <v>1802.1024</v>
      </c>
      <c r="M3123" t="str" cm="1">
        <f t="array" ref="M3123">_xlfn.IFS(B3123&lt;18,"Under 18",B3123 &lt;=25,"18-25",B3123&lt;=35,"26-35",B3123&lt;=45,"36-45",B3123&lt;=60,"46-60",TRUE,"60+")</f>
        <v>46-60</v>
      </c>
      <c r="N3123" t="str">
        <f t="shared" si="145"/>
        <v>Discounted</v>
      </c>
      <c r="O3123" t="str">
        <f t="shared" si="146"/>
        <v>Returning</v>
      </c>
    </row>
    <row r="3124" spans="1:15" x14ac:dyDescent="0.25">
      <c r="A3124">
        <v>3123</v>
      </c>
      <c r="B3124">
        <v>29</v>
      </c>
      <c r="C3124" t="s">
        <v>11</v>
      </c>
      <c r="D3124" t="s">
        <v>33</v>
      </c>
      <c r="E3124" t="s">
        <v>34</v>
      </c>
      <c r="F3124" s="1">
        <v>133.44</v>
      </c>
      <c r="G3124" t="s">
        <v>24</v>
      </c>
      <c r="H3124" t="s">
        <v>15</v>
      </c>
      <c r="I3124" s="2">
        <v>5</v>
      </c>
      <c r="J3124" s="4">
        <v>20</v>
      </c>
      <c r="K3124" s="3">
        <v>5</v>
      </c>
      <c r="L3124" s="1">
        <f t="shared" si="144"/>
        <v>106.75200000000001</v>
      </c>
      <c r="M3124" t="str" cm="1">
        <f t="array" ref="M3124">_xlfn.IFS(B3124&lt;18,"Under 18",B3124 &lt;=25,"18-25",B3124&lt;=35,"26-35",B3124&lt;=45,"36-45",B3124&lt;=60,"46-60",TRUE,"60+")</f>
        <v>26-35</v>
      </c>
      <c r="N3124" t="str">
        <f t="shared" si="145"/>
        <v>Discounted</v>
      </c>
      <c r="O3124" t="str">
        <f t="shared" si="146"/>
        <v>Returning</v>
      </c>
    </row>
    <row r="3125" spans="1:15" x14ac:dyDescent="0.25">
      <c r="A3125">
        <v>3124</v>
      </c>
      <c r="B3125">
        <v>20</v>
      </c>
      <c r="C3125" t="s">
        <v>11</v>
      </c>
      <c r="D3125" t="s">
        <v>12</v>
      </c>
      <c r="E3125" t="s">
        <v>50</v>
      </c>
      <c r="F3125" s="1">
        <v>142.21</v>
      </c>
      <c r="G3125" t="s">
        <v>31</v>
      </c>
      <c r="H3125" t="s">
        <v>15</v>
      </c>
      <c r="I3125" s="2">
        <v>3.8</v>
      </c>
      <c r="J3125" s="4">
        <v>13</v>
      </c>
      <c r="K3125" s="3">
        <v>4</v>
      </c>
      <c r="L3125" s="1">
        <f t="shared" si="144"/>
        <v>123.7227</v>
      </c>
      <c r="M3125" t="str" cm="1">
        <f t="array" ref="M3125">_xlfn.IFS(B3125&lt;18,"Under 18",B3125 &lt;=25,"18-25",B3125&lt;=35,"26-35",B3125&lt;=45,"36-45",B3125&lt;=60,"46-60",TRUE,"60+")</f>
        <v>18-25</v>
      </c>
      <c r="N3125" t="str">
        <f t="shared" si="145"/>
        <v>Discounted</v>
      </c>
      <c r="O3125" t="str">
        <f t="shared" si="146"/>
        <v>Returning</v>
      </c>
    </row>
    <row r="3126" spans="1:15" x14ac:dyDescent="0.25">
      <c r="A3126">
        <v>3125</v>
      </c>
      <c r="B3126">
        <v>28</v>
      </c>
      <c r="C3126" t="s">
        <v>16</v>
      </c>
      <c r="D3126" t="s">
        <v>20</v>
      </c>
      <c r="E3126" t="s">
        <v>21</v>
      </c>
      <c r="F3126" s="1">
        <v>107.86</v>
      </c>
      <c r="G3126" t="s">
        <v>24</v>
      </c>
      <c r="H3126" t="s">
        <v>15</v>
      </c>
      <c r="I3126" s="2">
        <v>2.8</v>
      </c>
      <c r="J3126" s="4">
        <v>15</v>
      </c>
      <c r="K3126" s="3">
        <v>5</v>
      </c>
      <c r="L3126" s="1">
        <f t="shared" si="144"/>
        <v>91.680999999999997</v>
      </c>
      <c r="M3126" t="str" cm="1">
        <f t="array" ref="M3126">_xlfn.IFS(B3126&lt;18,"Under 18",B3126 &lt;=25,"18-25",B3126&lt;=35,"26-35",B3126&lt;=45,"36-45",B3126&lt;=60,"46-60",TRUE,"60+")</f>
        <v>26-35</v>
      </c>
      <c r="N3126" t="str">
        <f t="shared" si="145"/>
        <v>Discounted</v>
      </c>
      <c r="O3126" t="str">
        <f t="shared" si="146"/>
        <v>Returning</v>
      </c>
    </row>
    <row r="3127" spans="1:15" x14ac:dyDescent="0.25">
      <c r="A3127">
        <v>3126</v>
      </c>
      <c r="B3127">
        <v>57</v>
      </c>
      <c r="C3127" t="s">
        <v>16</v>
      </c>
      <c r="D3127" t="s">
        <v>17</v>
      </c>
      <c r="E3127" t="s">
        <v>35</v>
      </c>
      <c r="F3127" s="1">
        <v>142.37</v>
      </c>
      <c r="G3127" t="s">
        <v>31</v>
      </c>
      <c r="H3127" t="s">
        <v>15</v>
      </c>
      <c r="I3127" s="2">
        <v>4.3</v>
      </c>
      <c r="J3127" s="4">
        <v>11</v>
      </c>
      <c r="K3127" s="3">
        <v>3</v>
      </c>
      <c r="L3127" s="1">
        <f t="shared" si="144"/>
        <v>126.7093</v>
      </c>
      <c r="M3127" t="str" cm="1">
        <f t="array" ref="M3127">_xlfn.IFS(B3127&lt;18,"Under 18",B3127 &lt;=25,"18-25",B3127&lt;=35,"26-35",B3127&lt;=45,"36-45",B3127&lt;=60,"46-60",TRUE,"60+")</f>
        <v>46-60</v>
      </c>
      <c r="N3127" t="str">
        <f t="shared" si="145"/>
        <v>Discounted</v>
      </c>
      <c r="O3127" t="str">
        <f t="shared" si="146"/>
        <v>Returning</v>
      </c>
    </row>
    <row r="3128" spans="1:15" x14ac:dyDescent="0.25">
      <c r="A3128">
        <v>3127</v>
      </c>
      <c r="B3128">
        <v>56</v>
      </c>
      <c r="C3128" t="s">
        <v>16</v>
      </c>
      <c r="D3128" t="s">
        <v>20</v>
      </c>
      <c r="E3128" t="s">
        <v>36</v>
      </c>
      <c r="F3128" s="1">
        <v>198.31</v>
      </c>
      <c r="G3128" t="s">
        <v>31</v>
      </c>
      <c r="H3128" t="s">
        <v>15</v>
      </c>
      <c r="I3128" s="2">
        <v>4.3</v>
      </c>
      <c r="J3128" s="4">
        <v>25</v>
      </c>
      <c r="K3128" s="3">
        <v>10</v>
      </c>
      <c r="L3128" s="1">
        <f t="shared" si="144"/>
        <v>148.73250000000002</v>
      </c>
      <c r="M3128" t="str" cm="1">
        <f t="array" ref="M3128">_xlfn.IFS(B3128&lt;18,"Under 18",B3128 &lt;=25,"18-25",B3128&lt;=35,"26-35",B3128&lt;=45,"36-45",B3128&lt;=60,"46-60",TRUE,"60+")</f>
        <v>46-60</v>
      </c>
      <c r="N3128" t="str">
        <f t="shared" si="145"/>
        <v>Discounted</v>
      </c>
      <c r="O3128" t="str">
        <f t="shared" si="146"/>
        <v>Returning</v>
      </c>
    </row>
    <row r="3129" spans="1:15" x14ac:dyDescent="0.25">
      <c r="A3129">
        <v>3128</v>
      </c>
      <c r="B3129">
        <v>27</v>
      </c>
      <c r="C3129" t="s">
        <v>11</v>
      </c>
      <c r="D3129" t="s">
        <v>29</v>
      </c>
      <c r="E3129" t="s">
        <v>30</v>
      </c>
      <c r="F3129" s="1">
        <v>34.44</v>
      </c>
      <c r="G3129" t="s">
        <v>24</v>
      </c>
      <c r="H3129" t="s">
        <v>15</v>
      </c>
      <c r="I3129" s="2">
        <v>3.4</v>
      </c>
      <c r="J3129" s="4">
        <v>4</v>
      </c>
      <c r="K3129" s="3">
        <v>2</v>
      </c>
      <c r="L3129" s="1">
        <f t="shared" si="144"/>
        <v>33.062399999999997</v>
      </c>
      <c r="M3129" t="str" cm="1">
        <f t="array" ref="M3129">_xlfn.IFS(B3129&lt;18,"Under 18",B3129 &lt;=25,"18-25",B3129&lt;=35,"26-35",B3129&lt;=45,"36-45",B3129&lt;=60,"46-60",TRUE,"60+")</f>
        <v>26-35</v>
      </c>
      <c r="N3129" t="str">
        <f t="shared" si="145"/>
        <v>Discounted</v>
      </c>
      <c r="O3129" t="str">
        <f t="shared" si="146"/>
        <v>Returning</v>
      </c>
    </row>
    <row r="3130" spans="1:15" x14ac:dyDescent="0.25">
      <c r="A3130">
        <v>3129</v>
      </c>
      <c r="B3130">
        <v>61</v>
      </c>
      <c r="C3130" t="s">
        <v>11</v>
      </c>
      <c r="D3130" t="s">
        <v>25</v>
      </c>
      <c r="E3130" t="s">
        <v>26</v>
      </c>
      <c r="F3130" s="1">
        <v>22.87</v>
      </c>
      <c r="G3130" t="s">
        <v>31</v>
      </c>
      <c r="H3130" t="s">
        <v>37</v>
      </c>
      <c r="I3130" s="2">
        <v>3.6</v>
      </c>
      <c r="J3130" s="4">
        <v>13</v>
      </c>
      <c r="K3130" s="3">
        <v>4</v>
      </c>
      <c r="L3130" s="1">
        <f t="shared" si="144"/>
        <v>19.896900000000002</v>
      </c>
      <c r="M3130" t="str" cm="1">
        <f t="array" ref="M3130">_xlfn.IFS(B3130&lt;18,"Under 18",B3130 &lt;=25,"18-25",B3130&lt;=35,"26-35",B3130&lt;=45,"36-45",B3130&lt;=60,"46-60",TRUE,"60+")</f>
        <v>60+</v>
      </c>
      <c r="N3130" t="str">
        <f t="shared" si="145"/>
        <v>Discounted</v>
      </c>
      <c r="O3130" t="str">
        <f t="shared" si="146"/>
        <v>Returning</v>
      </c>
    </row>
    <row r="3131" spans="1:15" x14ac:dyDescent="0.25">
      <c r="A3131">
        <v>3130</v>
      </c>
      <c r="B3131">
        <v>44</v>
      </c>
      <c r="C3131" t="s">
        <v>16</v>
      </c>
      <c r="D3131" t="s">
        <v>33</v>
      </c>
      <c r="E3131" t="s">
        <v>34</v>
      </c>
      <c r="F3131" s="1">
        <v>143.16999999999999</v>
      </c>
      <c r="G3131" t="s">
        <v>31</v>
      </c>
      <c r="H3131" t="s">
        <v>15</v>
      </c>
      <c r="I3131" s="2">
        <v>5</v>
      </c>
      <c r="J3131" s="4">
        <v>15</v>
      </c>
      <c r="K3131" s="3">
        <v>5</v>
      </c>
      <c r="L3131" s="1">
        <f t="shared" si="144"/>
        <v>121.69449999999999</v>
      </c>
      <c r="M3131" t="str" cm="1">
        <f t="array" ref="M3131">_xlfn.IFS(B3131&lt;18,"Under 18",B3131 &lt;=25,"18-25",B3131&lt;=35,"26-35",B3131&lt;=45,"36-45",B3131&lt;=60,"46-60",TRUE,"60+")</f>
        <v>36-45</v>
      </c>
      <c r="N3131" t="str">
        <f t="shared" si="145"/>
        <v>Discounted</v>
      </c>
      <c r="O3131" t="str">
        <f t="shared" si="146"/>
        <v>Returning</v>
      </c>
    </row>
    <row r="3132" spans="1:15" x14ac:dyDescent="0.25">
      <c r="A3132">
        <v>3131</v>
      </c>
      <c r="B3132">
        <v>67</v>
      </c>
      <c r="C3132" t="s">
        <v>16</v>
      </c>
      <c r="D3132" t="s">
        <v>27</v>
      </c>
      <c r="E3132" t="s">
        <v>53</v>
      </c>
      <c r="F3132" s="1">
        <v>2411.19</v>
      </c>
      <c r="G3132" t="s">
        <v>24</v>
      </c>
      <c r="H3132" t="s">
        <v>15</v>
      </c>
      <c r="I3132" s="2">
        <v>3.1</v>
      </c>
      <c r="J3132" s="4">
        <v>9</v>
      </c>
      <c r="K3132" s="3">
        <v>2</v>
      </c>
      <c r="L3132" s="1">
        <f t="shared" si="144"/>
        <v>2194.1829000000002</v>
      </c>
      <c r="M3132" t="str" cm="1">
        <f t="array" ref="M3132">_xlfn.IFS(B3132&lt;18,"Under 18",B3132 &lt;=25,"18-25",B3132&lt;=35,"26-35",B3132&lt;=45,"36-45",B3132&lt;=60,"46-60",TRUE,"60+")</f>
        <v>60+</v>
      </c>
      <c r="N3132" t="str">
        <f t="shared" si="145"/>
        <v>Discounted</v>
      </c>
      <c r="O3132" t="str">
        <f t="shared" si="146"/>
        <v>Returning</v>
      </c>
    </row>
    <row r="3133" spans="1:15" x14ac:dyDescent="0.25">
      <c r="A3133">
        <v>3132</v>
      </c>
      <c r="B3133">
        <v>26</v>
      </c>
      <c r="C3133" t="s">
        <v>16</v>
      </c>
      <c r="D3133" t="s">
        <v>33</v>
      </c>
      <c r="E3133" t="s">
        <v>34</v>
      </c>
      <c r="F3133" s="1">
        <v>130.13999999999999</v>
      </c>
      <c r="G3133" t="s">
        <v>19</v>
      </c>
      <c r="H3133" t="s">
        <v>15</v>
      </c>
      <c r="I3133" s="2">
        <v>4</v>
      </c>
      <c r="J3133" s="4">
        <v>29</v>
      </c>
      <c r="K3133" s="3">
        <v>12</v>
      </c>
      <c r="L3133" s="1">
        <f t="shared" si="144"/>
        <v>92.399399999999986</v>
      </c>
      <c r="M3133" t="str" cm="1">
        <f t="array" ref="M3133">_xlfn.IFS(B3133&lt;18,"Under 18",B3133 &lt;=25,"18-25",B3133&lt;=35,"26-35",B3133&lt;=45,"36-45",B3133&lt;=60,"46-60",TRUE,"60+")</f>
        <v>26-35</v>
      </c>
      <c r="N3133" t="str">
        <f t="shared" si="145"/>
        <v>Discounted</v>
      </c>
      <c r="O3133" t="str">
        <f t="shared" si="146"/>
        <v>Returning</v>
      </c>
    </row>
    <row r="3134" spans="1:15" x14ac:dyDescent="0.25">
      <c r="A3134">
        <v>3133</v>
      </c>
      <c r="B3134">
        <v>69</v>
      </c>
      <c r="C3134" t="s">
        <v>11</v>
      </c>
      <c r="D3134" t="s">
        <v>29</v>
      </c>
      <c r="E3134" t="s">
        <v>30</v>
      </c>
      <c r="F3134" s="1">
        <v>52.81</v>
      </c>
      <c r="G3134" t="s">
        <v>31</v>
      </c>
      <c r="H3134" t="s">
        <v>15</v>
      </c>
      <c r="I3134" s="2">
        <v>4.3</v>
      </c>
      <c r="J3134" s="4">
        <v>19</v>
      </c>
      <c r="K3134" s="3">
        <v>7</v>
      </c>
      <c r="L3134" s="1">
        <f t="shared" si="144"/>
        <v>42.776100000000007</v>
      </c>
      <c r="M3134" t="str" cm="1">
        <f t="array" ref="M3134">_xlfn.IFS(B3134&lt;18,"Under 18",B3134 &lt;=25,"18-25",B3134&lt;=35,"26-35",B3134&lt;=45,"36-45",B3134&lt;=60,"46-60",TRUE,"60+")</f>
        <v>60+</v>
      </c>
      <c r="N3134" t="str">
        <f t="shared" si="145"/>
        <v>Discounted</v>
      </c>
      <c r="O3134" t="str">
        <f t="shared" si="146"/>
        <v>Returning</v>
      </c>
    </row>
    <row r="3135" spans="1:15" x14ac:dyDescent="0.25">
      <c r="A3135">
        <v>3134</v>
      </c>
      <c r="B3135">
        <v>62</v>
      </c>
      <c r="C3135" t="s">
        <v>16</v>
      </c>
      <c r="D3135" t="s">
        <v>33</v>
      </c>
      <c r="E3135" t="s">
        <v>40</v>
      </c>
      <c r="F3135" s="1">
        <v>232.72</v>
      </c>
      <c r="G3135" t="s">
        <v>19</v>
      </c>
      <c r="H3135" t="s">
        <v>15</v>
      </c>
      <c r="I3135" s="2">
        <v>3.7</v>
      </c>
      <c r="J3135" s="4">
        <v>13</v>
      </c>
      <c r="K3135" s="3">
        <v>4</v>
      </c>
      <c r="L3135" s="1">
        <f t="shared" si="144"/>
        <v>202.46639999999999</v>
      </c>
      <c r="M3135" t="str" cm="1">
        <f t="array" ref="M3135">_xlfn.IFS(B3135&lt;18,"Under 18",B3135 &lt;=25,"18-25",B3135&lt;=35,"26-35",B3135&lt;=45,"36-45",B3135&lt;=60,"46-60",TRUE,"60+")</f>
        <v>60+</v>
      </c>
      <c r="N3135" t="str">
        <f t="shared" si="145"/>
        <v>Discounted</v>
      </c>
      <c r="O3135" t="str">
        <f t="shared" si="146"/>
        <v>Returning</v>
      </c>
    </row>
    <row r="3136" spans="1:15" x14ac:dyDescent="0.25">
      <c r="A3136">
        <v>3135</v>
      </c>
      <c r="B3136">
        <v>47</v>
      </c>
      <c r="C3136" t="s">
        <v>11</v>
      </c>
      <c r="D3136" t="s">
        <v>29</v>
      </c>
      <c r="E3136" t="s">
        <v>51</v>
      </c>
      <c r="F3136" s="1">
        <v>38.049999999999997</v>
      </c>
      <c r="G3136" t="s">
        <v>31</v>
      </c>
      <c r="H3136" t="s">
        <v>37</v>
      </c>
      <c r="I3136" s="2">
        <v>3.4</v>
      </c>
      <c r="J3136" s="4">
        <v>23</v>
      </c>
      <c r="K3136" s="3">
        <v>9</v>
      </c>
      <c r="L3136" s="1">
        <f t="shared" si="144"/>
        <v>29.298499999999997</v>
      </c>
      <c r="M3136" t="str" cm="1">
        <f t="array" ref="M3136">_xlfn.IFS(B3136&lt;18,"Under 18",B3136 &lt;=25,"18-25",B3136&lt;=35,"26-35",B3136&lt;=45,"36-45",B3136&lt;=60,"46-60",TRUE,"60+")</f>
        <v>46-60</v>
      </c>
      <c r="N3136" t="str">
        <f t="shared" si="145"/>
        <v>Discounted</v>
      </c>
      <c r="O3136" t="str">
        <f t="shared" si="146"/>
        <v>Returning</v>
      </c>
    </row>
    <row r="3137" spans="1:15" x14ac:dyDescent="0.25">
      <c r="A3137">
        <v>3136</v>
      </c>
      <c r="B3137">
        <v>62</v>
      </c>
      <c r="C3137" t="s">
        <v>16</v>
      </c>
      <c r="D3137" t="s">
        <v>22</v>
      </c>
      <c r="E3137" t="s">
        <v>52</v>
      </c>
      <c r="F3137" s="1">
        <v>203.78</v>
      </c>
      <c r="G3137" t="s">
        <v>31</v>
      </c>
      <c r="H3137" t="s">
        <v>15</v>
      </c>
      <c r="I3137" s="2">
        <v>3.4</v>
      </c>
      <c r="J3137" s="4">
        <v>18</v>
      </c>
      <c r="K3137" s="3">
        <v>4</v>
      </c>
      <c r="L3137" s="1">
        <f t="shared" si="144"/>
        <v>167.09960000000001</v>
      </c>
      <c r="M3137" t="str" cm="1">
        <f t="array" ref="M3137">_xlfn.IFS(B3137&lt;18,"Under 18",B3137 &lt;=25,"18-25",B3137&lt;=35,"26-35",B3137&lt;=45,"36-45",B3137&lt;=60,"46-60",TRUE,"60+")</f>
        <v>60+</v>
      </c>
      <c r="N3137" t="str">
        <f t="shared" si="145"/>
        <v>Discounted</v>
      </c>
      <c r="O3137" t="str">
        <f t="shared" si="146"/>
        <v>Returning</v>
      </c>
    </row>
    <row r="3138" spans="1:15" x14ac:dyDescent="0.25">
      <c r="A3138">
        <v>3137</v>
      </c>
      <c r="B3138">
        <v>49</v>
      </c>
      <c r="C3138" t="s">
        <v>16</v>
      </c>
      <c r="D3138" t="s">
        <v>22</v>
      </c>
      <c r="E3138" t="s">
        <v>23</v>
      </c>
      <c r="F3138" s="1">
        <v>73.31</v>
      </c>
      <c r="G3138" t="s">
        <v>19</v>
      </c>
      <c r="H3138" t="s">
        <v>37</v>
      </c>
      <c r="I3138" s="2">
        <v>4.5</v>
      </c>
      <c r="J3138" s="4">
        <v>22</v>
      </c>
      <c r="K3138" s="3">
        <v>6</v>
      </c>
      <c r="L3138" s="1">
        <f t="shared" si="144"/>
        <v>57.181800000000003</v>
      </c>
      <c r="M3138" t="str" cm="1">
        <f t="array" ref="M3138">_xlfn.IFS(B3138&lt;18,"Under 18",B3138 &lt;=25,"18-25",B3138&lt;=35,"26-35",B3138&lt;=45,"36-45",B3138&lt;=60,"46-60",TRUE,"60+")</f>
        <v>46-60</v>
      </c>
      <c r="N3138" t="str">
        <f t="shared" si="145"/>
        <v>Discounted</v>
      </c>
      <c r="O3138" t="str">
        <f t="shared" si="146"/>
        <v>Returning</v>
      </c>
    </row>
    <row r="3139" spans="1:15" x14ac:dyDescent="0.25">
      <c r="A3139">
        <v>3138</v>
      </c>
      <c r="B3139">
        <v>52</v>
      </c>
      <c r="C3139" t="s">
        <v>16</v>
      </c>
      <c r="D3139" t="s">
        <v>33</v>
      </c>
      <c r="E3139" t="s">
        <v>38</v>
      </c>
      <c r="F3139" s="1">
        <v>68.930000000000007</v>
      </c>
      <c r="G3139" t="s">
        <v>24</v>
      </c>
      <c r="H3139" t="s">
        <v>37</v>
      </c>
      <c r="I3139" s="2">
        <v>2.2999999999999998</v>
      </c>
      <c r="J3139" s="4">
        <v>24</v>
      </c>
      <c r="K3139" s="3">
        <v>7</v>
      </c>
      <c r="L3139" s="1">
        <f t="shared" ref="L3139:L3202" si="147">F3139 * (1 - J3139 / 100)</f>
        <v>52.386800000000008</v>
      </c>
      <c r="M3139" t="str" cm="1">
        <f t="array" ref="M3139">_xlfn.IFS(B3139&lt;18,"Under 18",B3139 &lt;=25,"18-25",B3139&lt;=35,"26-35",B3139&lt;=45,"36-45",B3139&lt;=60,"46-60",TRUE,"60+")</f>
        <v>46-60</v>
      </c>
      <c r="N3139" t="str">
        <f t="shared" ref="N3139:N3202" si="148">IF(J3139&gt;0,"Discounted","No Discount")</f>
        <v>Discounted</v>
      </c>
      <c r="O3139" t="str">
        <f t="shared" ref="O3139:O3202" si="149">IF(K3139&gt;0,"Returning","New")</f>
        <v>Returning</v>
      </c>
    </row>
    <row r="3140" spans="1:15" x14ac:dyDescent="0.25">
      <c r="A3140">
        <v>3139</v>
      </c>
      <c r="B3140">
        <v>67</v>
      </c>
      <c r="C3140" t="s">
        <v>16</v>
      </c>
      <c r="D3140" t="s">
        <v>33</v>
      </c>
      <c r="E3140" t="s">
        <v>38</v>
      </c>
      <c r="F3140" s="1">
        <v>55.02</v>
      </c>
      <c r="G3140" t="s">
        <v>14</v>
      </c>
      <c r="H3140" t="s">
        <v>37</v>
      </c>
      <c r="I3140" s="2">
        <v>3.4</v>
      </c>
      <c r="J3140" s="4">
        <v>23</v>
      </c>
      <c r="K3140" s="3">
        <v>9</v>
      </c>
      <c r="L3140" s="1">
        <f t="shared" si="147"/>
        <v>42.365400000000001</v>
      </c>
      <c r="M3140" t="str" cm="1">
        <f t="array" ref="M3140">_xlfn.IFS(B3140&lt;18,"Under 18",B3140 &lt;=25,"18-25",B3140&lt;=35,"26-35",B3140&lt;=45,"36-45",B3140&lt;=60,"46-60",TRUE,"60+")</f>
        <v>60+</v>
      </c>
      <c r="N3140" t="str">
        <f t="shared" si="148"/>
        <v>Discounted</v>
      </c>
      <c r="O3140" t="str">
        <f t="shared" si="149"/>
        <v>Returning</v>
      </c>
    </row>
    <row r="3141" spans="1:15" x14ac:dyDescent="0.25">
      <c r="A3141">
        <v>3140</v>
      </c>
      <c r="B3141">
        <v>34</v>
      </c>
      <c r="C3141" t="s">
        <v>11</v>
      </c>
      <c r="D3141" t="s">
        <v>20</v>
      </c>
      <c r="E3141" t="s">
        <v>36</v>
      </c>
      <c r="F3141" s="1">
        <v>199.1</v>
      </c>
      <c r="G3141" t="s">
        <v>14</v>
      </c>
      <c r="H3141" t="s">
        <v>15</v>
      </c>
      <c r="I3141" s="2">
        <v>4.3</v>
      </c>
      <c r="J3141" s="4">
        <v>11</v>
      </c>
      <c r="K3141" s="3">
        <v>3</v>
      </c>
      <c r="L3141" s="1">
        <f t="shared" si="147"/>
        <v>177.19899999999998</v>
      </c>
      <c r="M3141" t="str" cm="1">
        <f t="array" ref="M3141">_xlfn.IFS(B3141&lt;18,"Under 18",B3141 &lt;=25,"18-25",B3141&lt;=35,"26-35",B3141&lt;=45,"36-45",B3141&lt;=60,"46-60",TRUE,"60+")</f>
        <v>26-35</v>
      </c>
      <c r="N3141" t="str">
        <f t="shared" si="148"/>
        <v>Discounted</v>
      </c>
      <c r="O3141" t="str">
        <f t="shared" si="149"/>
        <v>Returning</v>
      </c>
    </row>
    <row r="3142" spans="1:15" x14ac:dyDescent="0.25">
      <c r="A3142">
        <v>3141</v>
      </c>
      <c r="B3142">
        <v>43</v>
      </c>
      <c r="C3142" t="s">
        <v>16</v>
      </c>
      <c r="D3142" t="s">
        <v>27</v>
      </c>
      <c r="E3142" t="s">
        <v>32</v>
      </c>
      <c r="F3142" s="1">
        <v>1988.61</v>
      </c>
      <c r="G3142" t="s">
        <v>19</v>
      </c>
      <c r="H3142" t="s">
        <v>15</v>
      </c>
      <c r="I3142" s="2">
        <v>3.8</v>
      </c>
      <c r="J3142" s="4">
        <v>17</v>
      </c>
      <c r="K3142" s="3">
        <v>6</v>
      </c>
      <c r="L3142" s="1">
        <f t="shared" si="147"/>
        <v>1650.5462999999997</v>
      </c>
      <c r="M3142" t="str" cm="1">
        <f t="array" ref="M3142">_xlfn.IFS(B3142&lt;18,"Under 18",B3142 &lt;=25,"18-25",B3142&lt;=35,"26-35",B3142&lt;=45,"36-45",B3142&lt;=60,"46-60",TRUE,"60+")</f>
        <v>36-45</v>
      </c>
      <c r="N3142" t="str">
        <f t="shared" si="148"/>
        <v>Discounted</v>
      </c>
      <c r="O3142" t="str">
        <f t="shared" si="149"/>
        <v>Returning</v>
      </c>
    </row>
    <row r="3143" spans="1:15" x14ac:dyDescent="0.25">
      <c r="A3143">
        <v>3142</v>
      </c>
      <c r="B3143">
        <v>60</v>
      </c>
      <c r="C3143" t="s">
        <v>11</v>
      </c>
      <c r="D3143" t="s">
        <v>41</v>
      </c>
      <c r="E3143" t="s">
        <v>45</v>
      </c>
      <c r="F3143" s="1">
        <v>118.52</v>
      </c>
      <c r="G3143" t="s">
        <v>24</v>
      </c>
      <c r="H3143" t="s">
        <v>15</v>
      </c>
      <c r="I3143" s="2">
        <v>3.4</v>
      </c>
      <c r="J3143" s="4">
        <v>16</v>
      </c>
      <c r="K3143" s="3">
        <v>3</v>
      </c>
      <c r="L3143" s="1">
        <f t="shared" si="147"/>
        <v>99.556799999999996</v>
      </c>
      <c r="M3143" t="str" cm="1">
        <f t="array" ref="M3143">_xlfn.IFS(B3143&lt;18,"Under 18",B3143 &lt;=25,"18-25",B3143&lt;=35,"26-35",B3143&lt;=45,"36-45",B3143&lt;=60,"46-60",TRUE,"60+")</f>
        <v>46-60</v>
      </c>
      <c r="N3143" t="str">
        <f t="shared" si="148"/>
        <v>Discounted</v>
      </c>
      <c r="O3143" t="str">
        <f t="shared" si="149"/>
        <v>Returning</v>
      </c>
    </row>
    <row r="3144" spans="1:15" x14ac:dyDescent="0.25">
      <c r="A3144">
        <v>3143</v>
      </c>
      <c r="B3144">
        <v>45</v>
      </c>
      <c r="C3144" t="s">
        <v>11</v>
      </c>
      <c r="D3144" t="s">
        <v>33</v>
      </c>
      <c r="E3144" t="s">
        <v>38</v>
      </c>
      <c r="F3144" s="1">
        <v>80.17</v>
      </c>
      <c r="G3144" t="s">
        <v>31</v>
      </c>
      <c r="H3144" t="s">
        <v>37</v>
      </c>
      <c r="I3144" s="2">
        <v>3.7</v>
      </c>
      <c r="J3144" s="4">
        <v>22</v>
      </c>
      <c r="K3144" s="3">
        <v>6</v>
      </c>
      <c r="L3144" s="1">
        <f t="shared" si="147"/>
        <v>62.532600000000002</v>
      </c>
      <c r="M3144" t="str" cm="1">
        <f t="array" ref="M3144">_xlfn.IFS(B3144&lt;18,"Under 18",B3144 &lt;=25,"18-25",B3144&lt;=35,"26-35",B3144&lt;=45,"36-45",B3144&lt;=60,"46-60",TRUE,"60+")</f>
        <v>36-45</v>
      </c>
      <c r="N3144" t="str">
        <f t="shared" si="148"/>
        <v>Discounted</v>
      </c>
      <c r="O3144" t="str">
        <f t="shared" si="149"/>
        <v>Returning</v>
      </c>
    </row>
    <row r="3145" spans="1:15" x14ac:dyDescent="0.25">
      <c r="A3145">
        <v>3144</v>
      </c>
      <c r="B3145">
        <v>53</v>
      </c>
      <c r="C3145" t="s">
        <v>16</v>
      </c>
      <c r="D3145" t="s">
        <v>27</v>
      </c>
      <c r="E3145" t="s">
        <v>49</v>
      </c>
      <c r="F3145" s="1">
        <v>2987.4</v>
      </c>
      <c r="G3145" t="s">
        <v>31</v>
      </c>
      <c r="H3145" t="s">
        <v>15</v>
      </c>
      <c r="I3145" s="2">
        <v>3.4</v>
      </c>
      <c r="J3145" s="4">
        <v>16</v>
      </c>
      <c r="K3145" s="3">
        <v>3</v>
      </c>
      <c r="L3145" s="1">
        <f t="shared" si="147"/>
        <v>2509.4160000000002</v>
      </c>
      <c r="M3145" t="str" cm="1">
        <f t="array" ref="M3145">_xlfn.IFS(B3145&lt;18,"Under 18",B3145 &lt;=25,"18-25",B3145&lt;=35,"26-35",B3145&lt;=45,"36-45",B3145&lt;=60,"46-60",TRUE,"60+")</f>
        <v>46-60</v>
      </c>
      <c r="N3145" t="str">
        <f t="shared" si="148"/>
        <v>Discounted</v>
      </c>
      <c r="O3145" t="str">
        <f t="shared" si="149"/>
        <v>Returning</v>
      </c>
    </row>
    <row r="3146" spans="1:15" x14ac:dyDescent="0.25">
      <c r="A3146">
        <v>3145</v>
      </c>
      <c r="B3146">
        <v>58</v>
      </c>
      <c r="C3146" t="s">
        <v>11</v>
      </c>
      <c r="D3146" t="s">
        <v>12</v>
      </c>
      <c r="E3146" t="s">
        <v>13</v>
      </c>
      <c r="F3146" s="1">
        <v>101.38</v>
      </c>
      <c r="G3146" t="s">
        <v>14</v>
      </c>
      <c r="H3146" t="s">
        <v>15</v>
      </c>
      <c r="I3146" s="2">
        <v>3.3</v>
      </c>
      <c r="J3146" s="4">
        <v>18</v>
      </c>
      <c r="K3146" s="3">
        <v>4</v>
      </c>
      <c r="L3146" s="1">
        <f t="shared" si="147"/>
        <v>83.131600000000006</v>
      </c>
      <c r="M3146" t="str" cm="1">
        <f t="array" ref="M3146">_xlfn.IFS(B3146&lt;18,"Under 18",B3146 &lt;=25,"18-25",B3146&lt;=35,"26-35",B3146&lt;=45,"36-45",B3146&lt;=60,"46-60",TRUE,"60+")</f>
        <v>46-60</v>
      </c>
      <c r="N3146" t="str">
        <f t="shared" si="148"/>
        <v>Discounted</v>
      </c>
      <c r="O3146" t="str">
        <f t="shared" si="149"/>
        <v>Returning</v>
      </c>
    </row>
    <row r="3147" spans="1:15" x14ac:dyDescent="0.25">
      <c r="A3147">
        <v>3146</v>
      </c>
      <c r="B3147">
        <v>62</v>
      </c>
      <c r="C3147" t="s">
        <v>11</v>
      </c>
      <c r="D3147" t="s">
        <v>33</v>
      </c>
      <c r="E3147" t="s">
        <v>38</v>
      </c>
      <c r="F3147" s="1">
        <v>120.82</v>
      </c>
      <c r="G3147" t="s">
        <v>24</v>
      </c>
      <c r="H3147" t="s">
        <v>15</v>
      </c>
      <c r="I3147" s="2">
        <v>5</v>
      </c>
      <c r="J3147" s="4">
        <v>22</v>
      </c>
      <c r="K3147" s="3">
        <v>6</v>
      </c>
      <c r="L3147" s="1">
        <f t="shared" si="147"/>
        <v>94.239599999999996</v>
      </c>
      <c r="M3147" t="str" cm="1">
        <f t="array" ref="M3147">_xlfn.IFS(B3147&lt;18,"Under 18",B3147 &lt;=25,"18-25",B3147&lt;=35,"26-35",B3147&lt;=45,"36-45",B3147&lt;=60,"46-60",TRUE,"60+")</f>
        <v>60+</v>
      </c>
      <c r="N3147" t="str">
        <f t="shared" si="148"/>
        <v>Discounted</v>
      </c>
      <c r="O3147" t="str">
        <f t="shared" si="149"/>
        <v>Returning</v>
      </c>
    </row>
    <row r="3148" spans="1:15" x14ac:dyDescent="0.25">
      <c r="A3148">
        <v>3147</v>
      </c>
      <c r="B3148">
        <v>45</v>
      </c>
      <c r="C3148" t="s">
        <v>16</v>
      </c>
      <c r="D3148" t="s">
        <v>20</v>
      </c>
      <c r="E3148" t="s">
        <v>36</v>
      </c>
      <c r="F3148" s="1">
        <v>152.08000000000001</v>
      </c>
      <c r="G3148" t="s">
        <v>14</v>
      </c>
      <c r="H3148" t="s">
        <v>15</v>
      </c>
      <c r="I3148" s="2">
        <v>3.6</v>
      </c>
      <c r="J3148" s="4">
        <v>8</v>
      </c>
      <c r="K3148" s="3">
        <v>4</v>
      </c>
      <c r="L3148" s="1">
        <f t="shared" si="147"/>
        <v>139.91360000000003</v>
      </c>
      <c r="M3148" t="str" cm="1">
        <f t="array" ref="M3148">_xlfn.IFS(B3148&lt;18,"Under 18",B3148 &lt;=25,"18-25",B3148&lt;=35,"26-35",B3148&lt;=45,"36-45",B3148&lt;=60,"46-60",TRUE,"60+")</f>
        <v>36-45</v>
      </c>
      <c r="N3148" t="str">
        <f t="shared" si="148"/>
        <v>Discounted</v>
      </c>
      <c r="O3148" t="str">
        <f t="shared" si="149"/>
        <v>Returning</v>
      </c>
    </row>
    <row r="3149" spans="1:15" x14ac:dyDescent="0.25">
      <c r="A3149">
        <v>3148</v>
      </c>
      <c r="B3149">
        <v>28</v>
      </c>
      <c r="C3149" t="s">
        <v>11</v>
      </c>
      <c r="D3149" t="s">
        <v>12</v>
      </c>
      <c r="E3149" t="s">
        <v>56</v>
      </c>
      <c r="F3149" s="1">
        <v>28.4</v>
      </c>
      <c r="G3149" t="s">
        <v>24</v>
      </c>
      <c r="H3149" t="s">
        <v>15</v>
      </c>
      <c r="I3149" s="2">
        <v>3.5</v>
      </c>
      <c r="J3149" s="4">
        <v>14</v>
      </c>
      <c r="K3149" s="3">
        <v>2</v>
      </c>
      <c r="L3149" s="1">
        <f t="shared" si="147"/>
        <v>24.423999999999999</v>
      </c>
      <c r="M3149" t="str" cm="1">
        <f t="array" ref="M3149">_xlfn.IFS(B3149&lt;18,"Under 18",B3149 &lt;=25,"18-25",B3149&lt;=35,"26-35",B3149&lt;=45,"36-45",B3149&lt;=60,"46-60",TRUE,"60+")</f>
        <v>26-35</v>
      </c>
      <c r="N3149" t="str">
        <f t="shared" si="148"/>
        <v>Discounted</v>
      </c>
      <c r="O3149" t="str">
        <f t="shared" si="149"/>
        <v>Returning</v>
      </c>
    </row>
    <row r="3150" spans="1:15" x14ac:dyDescent="0.25">
      <c r="A3150">
        <v>3149</v>
      </c>
      <c r="B3150">
        <v>59</v>
      </c>
      <c r="C3150" t="s">
        <v>11</v>
      </c>
      <c r="D3150" t="s">
        <v>20</v>
      </c>
      <c r="E3150" t="s">
        <v>36</v>
      </c>
      <c r="F3150" s="1">
        <v>27.33</v>
      </c>
      <c r="G3150" t="s">
        <v>19</v>
      </c>
      <c r="H3150" t="s">
        <v>15</v>
      </c>
      <c r="I3150" s="2">
        <v>4.5</v>
      </c>
      <c r="J3150" s="4">
        <v>19</v>
      </c>
      <c r="K3150" s="3">
        <v>7</v>
      </c>
      <c r="L3150" s="1">
        <f t="shared" si="147"/>
        <v>22.1373</v>
      </c>
      <c r="M3150" t="str" cm="1">
        <f t="array" ref="M3150">_xlfn.IFS(B3150&lt;18,"Under 18",B3150 &lt;=25,"18-25",B3150&lt;=35,"26-35",B3150&lt;=45,"36-45",B3150&lt;=60,"46-60",TRUE,"60+")</f>
        <v>46-60</v>
      </c>
      <c r="N3150" t="str">
        <f t="shared" si="148"/>
        <v>Discounted</v>
      </c>
      <c r="O3150" t="str">
        <f t="shared" si="149"/>
        <v>Returning</v>
      </c>
    </row>
    <row r="3151" spans="1:15" x14ac:dyDescent="0.25">
      <c r="A3151">
        <v>3150</v>
      </c>
      <c r="B3151">
        <v>70</v>
      </c>
      <c r="C3151" t="s">
        <v>11</v>
      </c>
      <c r="D3151" t="s">
        <v>20</v>
      </c>
      <c r="E3151" t="s">
        <v>36</v>
      </c>
      <c r="F3151" s="1">
        <v>62.01</v>
      </c>
      <c r="G3151" t="s">
        <v>14</v>
      </c>
      <c r="H3151" t="s">
        <v>15</v>
      </c>
      <c r="I3151" s="2">
        <v>3.2</v>
      </c>
      <c r="J3151" s="4">
        <v>11</v>
      </c>
      <c r="K3151" s="3">
        <v>3</v>
      </c>
      <c r="L3151" s="1">
        <f t="shared" si="147"/>
        <v>55.188899999999997</v>
      </c>
      <c r="M3151" t="str" cm="1">
        <f t="array" ref="M3151">_xlfn.IFS(B3151&lt;18,"Under 18",B3151 &lt;=25,"18-25",B3151&lt;=35,"26-35",B3151&lt;=45,"36-45",B3151&lt;=60,"46-60",TRUE,"60+")</f>
        <v>60+</v>
      </c>
      <c r="N3151" t="str">
        <f t="shared" si="148"/>
        <v>Discounted</v>
      </c>
      <c r="O3151" t="str">
        <f t="shared" si="149"/>
        <v>Returning</v>
      </c>
    </row>
    <row r="3152" spans="1:15" x14ac:dyDescent="0.25">
      <c r="A3152">
        <v>3151</v>
      </c>
      <c r="B3152">
        <v>32</v>
      </c>
      <c r="C3152" t="s">
        <v>16</v>
      </c>
      <c r="D3152" t="s">
        <v>33</v>
      </c>
      <c r="E3152" t="s">
        <v>38</v>
      </c>
      <c r="F3152" s="1">
        <v>244.65</v>
      </c>
      <c r="G3152" t="s">
        <v>14</v>
      </c>
      <c r="H3152" t="s">
        <v>15</v>
      </c>
      <c r="I3152" s="2">
        <v>3.2</v>
      </c>
      <c r="J3152" s="4">
        <v>20</v>
      </c>
      <c r="K3152" s="3">
        <v>5</v>
      </c>
      <c r="L3152" s="1">
        <f t="shared" si="147"/>
        <v>195.72000000000003</v>
      </c>
      <c r="M3152" t="str" cm="1">
        <f t="array" ref="M3152">_xlfn.IFS(B3152&lt;18,"Under 18",B3152 &lt;=25,"18-25",B3152&lt;=35,"26-35",B3152&lt;=45,"36-45",B3152&lt;=60,"46-60",TRUE,"60+")</f>
        <v>26-35</v>
      </c>
      <c r="N3152" t="str">
        <f t="shared" si="148"/>
        <v>Discounted</v>
      </c>
      <c r="O3152" t="str">
        <f t="shared" si="149"/>
        <v>Returning</v>
      </c>
    </row>
    <row r="3153" spans="1:15" x14ac:dyDescent="0.25">
      <c r="A3153">
        <v>3152</v>
      </c>
      <c r="B3153">
        <v>30</v>
      </c>
      <c r="C3153" t="s">
        <v>16</v>
      </c>
      <c r="D3153" t="s">
        <v>27</v>
      </c>
      <c r="E3153" t="s">
        <v>49</v>
      </c>
      <c r="F3153" s="1">
        <v>1948.26</v>
      </c>
      <c r="G3153" t="s">
        <v>31</v>
      </c>
      <c r="H3153" t="s">
        <v>15</v>
      </c>
      <c r="I3153" s="2">
        <v>4.2</v>
      </c>
      <c r="J3153" s="4">
        <v>22</v>
      </c>
      <c r="K3153" s="3">
        <v>6</v>
      </c>
      <c r="L3153" s="1">
        <f t="shared" si="147"/>
        <v>1519.6428000000001</v>
      </c>
      <c r="M3153" t="str" cm="1">
        <f t="array" ref="M3153">_xlfn.IFS(B3153&lt;18,"Under 18",B3153 &lt;=25,"18-25",B3153&lt;=35,"26-35",B3153&lt;=45,"36-45",B3153&lt;=60,"46-60",TRUE,"60+")</f>
        <v>26-35</v>
      </c>
      <c r="N3153" t="str">
        <f t="shared" si="148"/>
        <v>Discounted</v>
      </c>
      <c r="O3153" t="str">
        <f t="shared" si="149"/>
        <v>Returning</v>
      </c>
    </row>
    <row r="3154" spans="1:15" x14ac:dyDescent="0.25">
      <c r="A3154">
        <v>3153</v>
      </c>
      <c r="B3154">
        <v>41</v>
      </c>
      <c r="C3154" t="s">
        <v>16</v>
      </c>
      <c r="D3154" t="s">
        <v>20</v>
      </c>
      <c r="E3154" t="s">
        <v>39</v>
      </c>
      <c r="F3154" s="1">
        <v>125.2</v>
      </c>
      <c r="G3154" t="s">
        <v>24</v>
      </c>
      <c r="H3154" t="s">
        <v>15</v>
      </c>
      <c r="I3154" s="2">
        <v>3.7</v>
      </c>
      <c r="J3154" s="4">
        <v>8</v>
      </c>
      <c r="K3154" s="3">
        <v>4</v>
      </c>
      <c r="L3154" s="1">
        <f t="shared" si="147"/>
        <v>115.18400000000001</v>
      </c>
      <c r="M3154" t="str" cm="1">
        <f t="array" ref="M3154">_xlfn.IFS(B3154&lt;18,"Under 18",B3154 &lt;=25,"18-25",B3154&lt;=35,"26-35",B3154&lt;=45,"36-45",B3154&lt;=60,"46-60",TRUE,"60+")</f>
        <v>36-45</v>
      </c>
      <c r="N3154" t="str">
        <f t="shared" si="148"/>
        <v>Discounted</v>
      </c>
      <c r="O3154" t="str">
        <f t="shared" si="149"/>
        <v>Returning</v>
      </c>
    </row>
    <row r="3155" spans="1:15" x14ac:dyDescent="0.25">
      <c r="A3155">
        <v>3154</v>
      </c>
      <c r="B3155">
        <v>28</v>
      </c>
      <c r="C3155" t="s">
        <v>16</v>
      </c>
      <c r="D3155" t="s">
        <v>20</v>
      </c>
      <c r="E3155" t="s">
        <v>39</v>
      </c>
      <c r="F3155" s="1">
        <v>181.02</v>
      </c>
      <c r="G3155" t="s">
        <v>14</v>
      </c>
      <c r="H3155" t="s">
        <v>15</v>
      </c>
      <c r="I3155" s="2">
        <v>4.3</v>
      </c>
      <c r="J3155" s="4">
        <v>6</v>
      </c>
      <c r="K3155" s="3">
        <v>3</v>
      </c>
      <c r="L3155" s="1">
        <f t="shared" si="147"/>
        <v>170.15880000000001</v>
      </c>
      <c r="M3155" t="str" cm="1">
        <f t="array" ref="M3155">_xlfn.IFS(B3155&lt;18,"Under 18",B3155 &lt;=25,"18-25",B3155&lt;=35,"26-35",B3155&lt;=45,"36-45",B3155&lt;=60,"46-60",TRUE,"60+")</f>
        <v>26-35</v>
      </c>
      <c r="N3155" t="str">
        <f t="shared" si="148"/>
        <v>Discounted</v>
      </c>
      <c r="O3155" t="str">
        <f t="shared" si="149"/>
        <v>Returning</v>
      </c>
    </row>
    <row r="3156" spans="1:15" x14ac:dyDescent="0.25">
      <c r="A3156">
        <v>3155</v>
      </c>
      <c r="B3156">
        <v>34</v>
      </c>
      <c r="C3156" t="s">
        <v>11</v>
      </c>
      <c r="D3156" t="s">
        <v>20</v>
      </c>
      <c r="E3156" t="s">
        <v>21</v>
      </c>
      <c r="F3156" s="1">
        <v>44.83</v>
      </c>
      <c r="G3156" t="s">
        <v>19</v>
      </c>
      <c r="H3156" t="s">
        <v>37</v>
      </c>
      <c r="I3156" s="2">
        <v>3.5</v>
      </c>
      <c r="J3156" s="4">
        <v>12</v>
      </c>
      <c r="K3156" s="3">
        <v>6</v>
      </c>
      <c r="L3156" s="1">
        <f t="shared" si="147"/>
        <v>39.450400000000002</v>
      </c>
      <c r="M3156" t="str" cm="1">
        <f t="array" ref="M3156">_xlfn.IFS(B3156&lt;18,"Under 18",B3156 &lt;=25,"18-25",B3156&lt;=35,"26-35",B3156&lt;=45,"36-45",B3156&lt;=60,"46-60",TRUE,"60+")</f>
        <v>26-35</v>
      </c>
      <c r="N3156" t="str">
        <f t="shared" si="148"/>
        <v>Discounted</v>
      </c>
      <c r="O3156" t="str">
        <f t="shared" si="149"/>
        <v>Returning</v>
      </c>
    </row>
    <row r="3157" spans="1:15" x14ac:dyDescent="0.25">
      <c r="A3157">
        <v>3156</v>
      </c>
      <c r="B3157">
        <v>60</v>
      </c>
      <c r="C3157" t="s">
        <v>11</v>
      </c>
      <c r="D3157" t="s">
        <v>29</v>
      </c>
      <c r="E3157" t="s">
        <v>30</v>
      </c>
      <c r="F3157" s="1">
        <v>142.97</v>
      </c>
      <c r="G3157" t="s">
        <v>31</v>
      </c>
      <c r="H3157" t="s">
        <v>15</v>
      </c>
      <c r="I3157" s="2">
        <v>5</v>
      </c>
      <c r="J3157" s="4">
        <v>34</v>
      </c>
      <c r="K3157" s="3">
        <v>12</v>
      </c>
      <c r="L3157" s="1">
        <f t="shared" si="147"/>
        <v>94.360199999999992</v>
      </c>
      <c r="M3157" t="str" cm="1">
        <f t="array" ref="M3157">_xlfn.IFS(B3157&lt;18,"Under 18",B3157 &lt;=25,"18-25",B3157&lt;=35,"26-35",B3157&lt;=45,"36-45",B3157&lt;=60,"46-60",TRUE,"60+")</f>
        <v>46-60</v>
      </c>
      <c r="N3157" t="str">
        <f t="shared" si="148"/>
        <v>Discounted</v>
      </c>
      <c r="O3157" t="str">
        <f t="shared" si="149"/>
        <v>Returning</v>
      </c>
    </row>
    <row r="3158" spans="1:15" x14ac:dyDescent="0.25">
      <c r="A3158">
        <v>3157</v>
      </c>
      <c r="B3158">
        <v>25</v>
      </c>
      <c r="C3158" t="s">
        <v>11</v>
      </c>
      <c r="D3158" t="s">
        <v>12</v>
      </c>
      <c r="E3158" t="s">
        <v>13</v>
      </c>
      <c r="F3158" s="1">
        <v>147.25</v>
      </c>
      <c r="G3158" t="s">
        <v>31</v>
      </c>
      <c r="H3158" t="s">
        <v>15</v>
      </c>
      <c r="I3158" s="2">
        <v>3.3</v>
      </c>
      <c r="J3158" s="4">
        <v>6</v>
      </c>
      <c r="K3158" s="3">
        <v>3</v>
      </c>
      <c r="L3158" s="1">
        <f t="shared" si="147"/>
        <v>138.41499999999999</v>
      </c>
      <c r="M3158" t="str" cm="1">
        <f t="array" ref="M3158">_xlfn.IFS(B3158&lt;18,"Under 18",B3158 &lt;=25,"18-25",B3158&lt;=35,"26-35",B3158&lt;=45,"36-45",B3158&lt;=60,"46-60",TRUE,"60+")</f>
        <v>18-25</v>
      </c>
      <c r="N3158" t="str">
        <f t="shared" si="148"/>
        <v>Discounted</v>
      </c>
      <c r="O3158" t="str">
        <f t="shared" si="149"/>
        <v>Returning</v>
      </c>
    </row>
    <row r="3159" spans="1:15" x14ac:dyDescent="0.25">
      <c r="A3159">
        <v>3158</v>
      </c>
      <c r="B3159">
        <v>23</v>
      </c>
      <c r="C3159" t="s">
        <v>16</v>
      </c>
      <c r="D3159" t="s">
        <v>27</v>
      </c>
      <c r="E3159" t="s">
        <v>32</v>
      </c>
      <c r="F3159" s="1">
        <v>2464.0300000000002</v>
      </c>
      <c r="G3159" t="s">
        <v>31</v>
      </c>
      <c r="H3159" t="s">
        <v>15</v>
      </c>
      <c r="I3159" s="2">
        <v>3</v>
      </c>
      <c r="J3159" s="4">
        <v>9</v>
      </c>
      <c r="K3159" s="3">
        <v>2</v>
      </c>
      <c r="L3159" s="1">
        <f t="shared" si="147"/>
        <v>2242.2673000000004</v>
      </c>
      <c r="M3159" t="str" cm="1">
        <f t="array" ref="M3159">_xlfn.IFS(B3159&lt;18,"Under 18",B3159 &lt;=25,"18-25",B3159&lt;=35,"26-35",B3159&lt;=45,"36-45",B3159&lt;=60,"46-60",TRUE,"60+")</f>
        <v>18-25</v>
      </c>
      <c r="N3159" t="str">
        <f t="shared" si="148"/>
        <v>Discounted</v>
      </c>
      <c r="O3159" t="str">
        <f t="shared" si="149"/>
        <v>Returning</v>
      </c>
    </row>
    <row r="3160" spans="1:15" x14ac:dyDescent="0.25">
      <c r="A3160">
        <v>3159</v>
      </c>
      <c r="B3160">
        <v>42</v>
      </c>
      <c r="C3160" t="s">
        <v>11</v>
      </c>
      <c r="D3160" t="s">
        <v>41</v>
      </c>
      <c r="E3160" t="s">
        <v>45</v>
      </c>
      <c r="F3160" s="1">
        <v>40.69</v>
      </c>
      <c r="G3160" t="s">
        <v>14</v>
      </c>
      <c r="H3160" t="s">
        <v>15</v>
      </c>
      <c r="I3160" s="2">
        <v>3.5</v>
      </c>
      <c r="J3160" s="4">
        <v>18</v>
      </c>
      <c r="K3160" s="3">
        <v>4</v>
      </c>
      <c r="L3160" s="1">
        <f t="shared" si="147"/>
        <v>33.3658</v>
      </c>
      <c r="M3160" t="str" cm="1">
        <f t="array" ref="M3160">_xlfn.IFS(B3160&lt;18,"Under 18",B3160 &lt;=25,"18-25",B3160&lt;=35,"26-35",B3160&lt;=45,"36-45",B3160&lt;=60,"46-60",TRUE,"60+")</f>
        <v>36-45</v>
      </c>
      <c r="N3160" t="str">
        <f t="shared" si="148"/>
        <v>Discounted</v>
      </c>
      <c r="O3160" t="str">
        <f t="shared" si="149"/>
        <v>Returning</v>
      </c>
    </row>
    <row r="3161" spans="1:15" x14ac:dyDescent="0.25">
      <c r="A3161">
        <v>3160</v>
      </c>
      <c r="B3161">
        <v>70</v>
      </c>
      <c r="C3161" t="s">
        <v>16</v>
      </c>
      <c r="D3161" t="s">
        <v>27</v>
      </c>
      <c r="E3161" t="s">
        <v>53</v>
      </c>
      <c r="F3161" s="1">
        <v>2039.35</v>
      </c>
      <c r="G3161" t="s">
        <v>19</v>
      </c>
      <c r="H3161" t="s">
        <v>15</v>
      </c>
      <c r="I3161" s="2">
        <v>4.7</v>
      </c>
      <c r="J3161" s="4">
        <v>16</v>
      </c>
      <c r="K3161" s="3">
        <v>3</v>
      </c>
      <c r="L3161" s="1">
        <f t="shared" si="147"/>
        <v>1713.0539999999999</v>
      </c>
      <c r="M3161" t="str" cm="1">
        <f t="array" ref="M3161">_xlfn.IFS(B3161&lt;18,"Under 18",B3161 &lt;=25,"18-25",B3161&lt;=35,"26-35",B3161&lt;=45,"36-45",B3161&lt;=60,"46-60",TRUE,"60+")</f>
        <v>60+</v>
      </c>
      <c r="N3161" t="str">
        <f t="shared" si="148"/>
        <v>Discounted</v>
      </c>
      <c r="O3161" t="str">
        <f t="shared" si="149"/>
        <v>Returning</v>
      </c>
    </row>
    <row r="3162" spans="1:15" x14ac:dyDescent="0.25">
      <c r="A3162">
        <v>3161</v>
      </c>
      <c r="B3162">
        <v>43</v>
      </c>
      <c r="C3162" t="s">
        <v>11</v>
      </c>
      <c r="D3162" t="s">
        <v>12</v>
      </c>
      <c r="E3162" t="s">
        <v>13</v>
      </c>
      <c r="F3162" s="1">
        <v>140.85</v>
      </c>
      <c r="G3162" t="s">
        <v>31</v>
      </c>
      <c r="H3162" t="s">
        <v>15</v>
      </c>
      <c r="I3162" s="2">
        <v>3.9</v>
      </c>
      <c r="J3162" s="4">
        <v>8</v>
      </c>
      <c r="K3162" s="3">
        <v>4</v>
      </c>
      <c r="L3162" s="1">
        <f t="shared" si="147"/>
        <v>129.58199999999999</v>
      </c>
      <c r="M3162" t="str" cm="1">
        <f t="array" ref="M3162">_xlfn.IFS(B3162&lt;18,"Under 18",B3162 &lt;=25,"18-25",B3162&lt;=35,"26-35",B3162&lt;=45,"36-45",B3162&lt;=60,"46-60",TRUE,"60+")</f>
        <v>36-45</v>
      </c>
      <c r="N3162" t="str">
        <f t="shared" si="148"/>
        <v>Discounted</v>
      </c>
      <c r="O3162" t="str">
        <f t="shared" si="149"/>
        <v>Returning</v>
      </c>
    </row>
    <row r="3163" spans="1:15" x14ac:dyDescent="0.25">
      <c r="A3163">
        <v>3162</v>
      </c>
      <c r="B3163">
        <v>59</v>
      </c>
      <c r="C3163" t="s">
        <v>16</v>
      </c>
      <c r="D3163" t="s">
        <v>17</v>
      </c>
      <c r="E3163" t="s">
        <v>42</v>
      </c>
      <c r="F3163" s="1">
        <v>126.38</v>
      </c>
      <c r="G3163" t="s">
        <v>24</v>
      </c>
      <c r="H3163" t="s">
        <v>15</v>
      </c>
      <c r="I3163" s="2">
        <v>4</v>
      </c>
      <c r="J3163" s="4">
        <v>4</v>
      </c>
      <c r="K3163" s="3">
        <v>2</v>
      </c>
      <c r="L3163" s="1">
        <f t="shared" si="147"/>
        <v>121.3248</v>
      </c>
      <c r="M3163" t="str" cm="1">
        <f t="array" ref="M3163">_xlfn.IFS(B3163&lt;18,"Under 18",B3163 &lt;=25,"18-25",B3163&lt;=35,"26-35",B3163&lt;=45,"36-45",B3163&lt;=60,"46-60",TRUE,"60+")</f>
        <v>46-60</v>
      </c>
      <c r="N3163" t="str">
        <f t="shared" si="148"/>
        <v>Discounted</v>
      </c>
      <c r="O3163" t="str">
        <f t="shared" si="149"/>
        <v>Returning</v>
      </c>
    </row>
    <row r="3164" spans="1:15" x14ac:dyDescent="0.25">
      <c r="A3164">
        <v>3163</v>
      </c>
      <c r="B3164">
        <v>46</v>
      </c>
      <c r="C3164" t="s">
        <v>16</v>
      </c>
      <c r="D3164" t="s">
        <v>33</v>
      </c>
      <c r="E3164" t="s">
        <v>38</v>
      </c>
      <c r="F3164" s="1">
        <v>136.72999999999999</v>
      </c>
      <c r="G3164" t="s">
        <v>19</v>
      </c>
      <c r="H3164" t="s">
        <v>15</v>
      </c>
      <c r="I3164" s="2">
        <v>4.5999999999999996</v>
      </c>
      <c r="J3164" s="4">
        <v>17</v>
      </c>
      <c r="K3164" s="3">
        <v>6</v>
      </c>
      <c r="L3164" s="1">
        <f t="shared" si="147"/>
        <v>113.48589999999999</v>
      </c>
      <c r="M3164" t="str" cm="1">
        <f t="array" ref="M3164">_xlfn.IFS(B3164&lt;18,"Under 18",B3164 &lt;=25,"18-25",B3164&lt;=35,"26-35",B3164&lt;=45,"36-45",B3164&lt;=60,"46-60",TRUE,"60+")</f>
        <v>46-60</v>
      </c>
      <c r="N3164" t="str">
        <f t="shared" si="148"/>
        <v>Discounted</v>
      </c>
      <c r="O3164" t="str">
        <f t="shared" si="149"/>
        <v>Returning</v>
      </c>
    </row>
    <row r="3165" spans="1:15" x14ac:dyDescent="0.25">
      <c r="A3165">
        <v>3164</v>
      </c>
      <c r="B3165">
        <v>26</v>
      </c>
      <c r="C3165" t="s">
        <v>11</v>
      </c>
      <c r="D3165" t="s">
        <v>29</v>
      </c>
      <c r="E3165" t="s">
        <v>51</v>
      </c>
      <c r="F3165" s="1">
        <v>32.35</v>
      </c>
      <c r="G3165" t="s">
        <v>19</v>
      </c>
      <c r="H3165" t="s">
        <v>15</v>
      </c>
      <c r="I3165" s="2">
        <v>4.4000000000000004</v>
      </c>
      <c r="J3165" s="4">
        <v>25</v>
      </c>
      <c r="K3165" s="3">
        <v>10</v>
      </c>
      <c r="L3165" s="1">
        <f t="shared" si="147"/>
        <v>24.262500000000003</v>
      </c>
      <c r="M3165" t="str" cm="1">
        <f t="array" ref="M3165">_xlfn.IFS(B3165&lt;18,"Under 18",B3165 &lt;=25,"18-25",B3165&lt;=35,"26-35",B3165&lt;=45,"36-45",B3165&lt;=60,"46-60",TRUE,"60+")</f>
        <v>26-35</v>
      </c>
      <c r="N3165" t="str">
        <f t="shared" si="148"/>
        <v>Discounted</v>
      </c>
      <c r="O3165" t="str">
        <f t="shared" si="149"/>
        <v>Returning</v>
      </c>
    </row>
    <row r="3166" spans="1:15" x14ac:dyDescent="0.25">
      <c r="A3166">
        <v>3165</v>
      </c>
      <c r="B3166">
        <v>51</v>
      </c>
      <c r="C3166" t="s">
        <v>11</v>
      </c>
      <c r="D3166" t="s">
        <v>41</v>
      </c>
      <c r="E3166" t="s">
        <v>45</v>
      </c>
      <c r="F3166" s="1">
        <v>104</v>
      </c>
      <c r="G3166" t="s">
        <v>14</v>
      </c>
      <c r="H3166" t="s">
        <v>15</v>
      </c>
      <c r="I3166" s="2">
        <v>4.2</v>
      </c>
      <c r="J3166" s="4">
        <v>14</v>
      </c>
      <c r="K3166" s="3">
        <v>2</v>
      </c>
      <c r="L3166" s="1">
        <f t="shared" si="147"/>
        <v>89.44</v>
      </c>
      <c r="M3166" t="str" cm="1">
        <f t="array" ref="M3166">_xlfn.IFS(B3166&lt;18,"Under 18",B3166 &lt;=25,"18-25",B3166&lt;=35,"26-35",B3166&lt;=45,"36-45",B3166&lt;=60,"46-60",TRUE,"60+")</f>
        <v>46-60</v>
      </c>
      <c r="N3166" t="str">
        <f t="shared" si="148"/>
        <v>Discounted</v>
      </c>
      <c r="O3166" t="str">
        <f t="shared" si="149"/>
        <v>Returning</v>
      </c>
    </row>
    <row r="3167" spans="1:15" x14ac:dyDescent="0.25">
      <c r="A3167">
        <v>3166</v>
      </c>
      <c r="B3167">
        <v>28</v>
      </c>
      <c r="C3167" t="s">
        <v>11</v>
      </c>
      <c r="D3167" t="s">
        <v>29</v>
      </c>
      <c r="E3167" t="s">
        <v>51</v>
      </c>
      <c r="F3167" s="1">
        <v>128.02000000000001</v>
      </c>
      <c r="G3167" t="s">
        <v>24</v>
      </c>
      <c r="H3167" t="s">
        <v>15</v>
      </c>
      <c r="I3167" s="2">
        <v>3.6</v>
      </c>
      <c r="J3167" s="4">
        <v>15</v>
      </c>
      <c r="K3167" s="3">
        <v>5</v>
      </c>
      <c r="L3167" s="1">
        <f t="shared" si="147"/>
        <v>108.81700000000001</v>
      </c>
      <c r="M3167" t="str" cm="1">
        <f t="array" ref="M3167">_xlfn.IFS(B3167&lt;18,"Under 18",B3167 &lt;=25,"18-25",B3167&lt;=35,"26-35",B3167&lt;=45,"36-45",B3167&lt;=60,"46-60",TRUE,"60+")</f>
        <v>26-35</v>
      </c>
      <c r="N3167" t="str">
        <f t="shared" si="148"/>
        <v>Discounted</v>
      </c>
      <c r="O3167" t="str">
        <f t="shared" si="149"/>
        <v>Returning</v>
      </c>
    </row>
    <row r="3168" spans="1:15" x14ac:dyDescent="0.25">
      <c r="A3168">
        <v>3167</v>
      </c>
      <c r="B3168">
        <v>31</v>
      </c>
      <c r="C3168" t="s">
        <v>11</v>
      </c>
      <c r="D3168" t="s">
        <v>33</v>
      </c>
      <c r="E3168" t="s">
        <v>34</v>
      </c>
      <c r="F3168" s="1">
        <v>59.9</v>
      </c>
      <c r="G3168" t="s">
        <v>31</v>
      </c>
      <c r="H3168" t="s">
        <v>37</v>
      </c>
      <c r="I3168" s="2">
        <v>3.4</v>
      </c>
      <c r="J3168" s="4">
        <v>22</v>
      </c>
      <c r="K3168" s="3">
        <v>6</v>
      </c>
      <c r="L3168" s="1">
        <f t="shared" si="147"/>
        <v>46.722000000000001</v>
      </c>
      <c r="M3168" t="str" cm="1">
        <f t="array" ref="M3168">_xlfn.IFS(B3168&lt;18,"Under 18",B3168 &lt;=25,"18-25",B3168&lt;=35,"26-35",B3168&lt;=45,"36-45",B3168&lt;=60,"46-60",TRUE,"60+")</f>
        <v>26-35</v>
      </c>
      <c r="N3168" t="str">
        <f t="shared" si="148"/>
        <v>Discounted</v>
      </c>
      <c r="O3168" t="str">
        <f t="shared" si="149"/>
        <v>Returning</v>
      </c>
    </row>
    <row r="3169" spans="1:15" x14ac:dyDescent="0.25">
      <c r="A3169">
        <v>3168</v>
      </c>
      <c r="B3169">
        <v>57</v>
      </c>
      <c r="C3169" t="s">
        <v>16</v>
      </c>
      <c r="D3169" t="s">
        <v>27</v>
      </c>
      <c r="E3169" t="s">
        <v>32</v>
      </c>
      <c r="F3169" s="1">
        <v>2940.66</v>
      </c>
      <c r="G3169" t="s">
        <v>14</v>
      </c>
      <c r="H3169" t="s">
        <v>15</v>
      </c>
      <c r="I3169" s="2">
        <v>3.1</v>
      </c>
      <c r="J3169" s="4">
        <v>10</v>
      </c>
      <c r="K3169" s="3">
        <v>5</v>
      </c>
      <c r="L3169" s="1">
        <f t="shared" si="147"/>
        <v>2646.5940000000001</v>
      </c>
      <c r="M3169" t="str" cm="1">
        <f t="array" ref="M3169">_xlfn.IFS(B3169&lt;18,"Under 18",B3169 &lt;=25,"18-25",B3169&lt;=35,"26-35",B3169&lt;=45,"36-45",B3169&lt;=60,"46-60",TRUE,"60+")</f>
        <v>46-60</v>
      </c>
      <c r="N3169" t="str">
        <f t="shared" si="148"/>
        <v>Discounted</v>
      </c>
      <c r="O3169" t="str">
        <f t="shared" si="149"/>
        <v>Returning</v>
      </c>
    </row>
    <row r="3170" spans="1:15" x14ac:dyDescent="0.25">
      <c r="A3170">
        <v>3169</v>
      </c>
      <c r="B3170">
        <v>60</v>
      </c>
      <c r="C3170" t="s">
        <v>16</v>
      </c>
      <c r="D3170" t="s">
        <v>20</v>
      </c>
      <c r="E3170" t="s">
        <v>39</v>
      </c>
      <c r="F3170" s="1">
        <v>99.99</v>
      </c>
      <c r="G3170" t="s">
        <v>14</v>
      </c>
      <c r="H3170" t="s">
        <v>37</v>
      </c>
      <c r="I3170" s="2">
        <v>2.5</v>
      </c>
      <c r="J3170" s="4">
        <v>18</v>
      </c>
      <c r="K3170" s="3">
        <v>4</v>
      </c>
      <c r="L3170" s="1">
        <f t="shared" si="147"/>
        <v>81.991799999999998</v>
      </c>
      <c r="M3170" t="str" cm="1">
        <f t="array" ref="M3170">_xlfn.IFS(B3170&lt;18,"Under 18",B3170 &lt;=25,"18-25",B3170&lt;=35,"26-35",B3170&lt;=45,"36-45",B3170&lt;=60,"46-60",TRUE,"60+")</f>
        <v>46-60</v>
      </c>
      <c r="N3170" t="str">
        <f t="shared" si="148"/>
        <v>Discounted</v>
      </c>
      <c r="O3170" t="str">
        <f t="shared" si="149"/>
        <v>Returning</v>
      </c>
    </row>
    <row r="3171" spans="1:15" x14ac:dyDescent="0.25">
      <c r="A3171">
        <v>3170</v>
      </c>
      <c r="B3171">
        <v>43</v>
      </c>
      <c r="C3171" t="s">
        <v>11</v>
      </c>
      <c r="D3171" t="s">
        <v>12</v>
      </c>
      <c r="E3171" t="s">
        <v>56</v>
      </c>
      <c r="F3171" s="1">
        <v>35.090000000000003</v>
      </c>
      <c r="G3171" t="s">
        <v>19</v>
      </c>
      <c r="H3171" t="s">
        <v>15</v>
      </c>
      <c r="I3171" s="2">
        <v>4.5</v>
      </c>
      <c r="J3171" s="4">
        <v>20</v>
      </c>
      <c r="K3171" s="3">
        <v>5</v>
      </c>
      <c r="L3171" s="1">
        <f t="shared" si="147"/>
        <v>28.072000000000003</v>
      </c>
      <c r="M3171" t="str" cm="1">
        <f t="array" ref="M3171">_xlfn.IFS(B3171&lt;18,"Under 18",B3171 &lt;=25,"18-25",B3171&lt;=35,"26-35",B3171&lt;=45,"36-45",B3171&lt;=60,"46-60",TRUE,"60+")</f>
        <v>36-45</v>
      </c>
      <c r="N3171" t="str">
        <f t="shared" si="148"/>
        <v>Discounted</v>
      </c>
      <c r="O3171" t="str">
        <f t="shared" si="149"/>
        <v>Returning</v>
      </c>
    </row>
    <row r="3172" spans="1:15" x14ac:dyDescent="0.25">
      <c r="A3172">
        <v>3171</v>
      </c>
      <c r="B3172">
        <v>32</v>
      </c>
      <c r="C3172" t="s">
        <v>16</v>
      </c>
      <c r="D3172" t="s">
        <v>17</v>
      </c>
      <c r="E3172" t="s">
        <v>42</v>
      </c>
      <c r="F3172" s="1">
        <v>174.21</v>
      </c>
      <c r="G3172" t="s">
        <v>31</v>
      </c>
      <c r="H3172" t="s">
        <v>15</v>
      </c>
      <c r="I3172" s="2">
        <v>3.2</v>
      </c>
      <c r="J3172" s="4">
        <v>8</v>
      </c>
      <c r="K3172" s="3">
        <v>4</v>
      </c>
      <c r="L3172" s="1">
        <f t="shared" si="147"/>
        <v>160.2732</v>
      </c>
      <c r="M3172" t="str" cm="1">
        <f t="array" ref="M3172">_xlfn.IFS(B3172&lt;18,"Under 18",B3172 &lt;=25,"18-25",B3172&lt;=35,"26-35",B3172&lt;=45,"36-45",B3172&lt;=60,"46-60",TRUE,"60+")</f>
        <v>26-35</v>
      </c>
      <c r="N3172" t="str">
        <f t="shared" si="148"/>
        <v>Discounted</v>
      </c>
      <c r="O3172" t="str">
        <f t="shared" si="149"/>
        <v>Returning</v>
      </c>
    </row>
    <row r="3173" spans="1:15" x14ac:dyDescent="0.25">
      <c r="A3173">
        <v>3172</v>
      </c>
      <c r="B3173">
        <v>52</v>
      </c>
      <c r="C3173" t="s">
        <v>16</v>
      </c>
      <c r="D3173" t="s">
        <v>27</v>
      </c>
      <c r="E3173" t="s">
        <v>49</v>
      </c>
      <c r="F3173" s="1">
        <v>1090.05</v>
      </c>
      <c r="G3173" t="s">
        <v>24</v>
      </c>
      <c r="H3173" t="s">
        <v>15</v>
      </c>
      <c r="I3173" s="2">
        <v>3.6</v>
      </c>
      <c r="J3173" s="4">
        <v>13</v>
      </c>
      <c r="K3173" s="3">
        <v>4</v>
      </c>
      <c r="L3173" s="1">
        <f t="shared" si="147"/>
        <v>948.34349999999995</v>
      </c>
      <c r="M3173" t="str" cm="1">
        <f t="array" ref="M3173">_xlfn.IFS(B3173&lt;18,"Under 18",B3173 &lt;=25,"18-25",B3173&lt;=35,"26-35",B3173&lt;=45,"36-45",B3173&lt;=60,"46-60",TRUE,"60+")</f>
        <v>46-60</v>
      </c>
      <c r="N3173" t="str">
        <f t="shared" si="148"/>
        <v>Discounted</v>
      </c>
      <c r="O3173" t="str">
        <f t="shared" si="149"/>
        <v>Returning</v>
      </c>
    </row>
    <row r="3174" spans="1:15" x14ac:dyDescent="0.25">
      <c r="A3174">
        <v>3173</v>
      </c>
      <c r="B3174">
        <v>69</v>
      </c>
      <c r="C3174" t="s">
        <v>16</v>
      </c>
      <c r="D3174" t="s">
        <v>20</v>
      </c>
      <c r="E3174" t="s">
        <v>36</v>
      </c>
      <c r="F3174" s="1">
        <v>36.799999999999997</v>
      </c>
      <c r="G3174" t="s">
        <v>31</v>
      </c>
      <c r="H3174" t="s">
        <v>15</v>
      </c>
      <c r="I3174" s="2">
        <v>3.7</v>
      </c>
      <c r="J3174" s="4">
        <v>30</v>
      </c>
      <c r="K3174" s="3">
        <v>10</v>
      </c>
      <c r="L3174" s="1">
        <f t="shared" si="147"/>
        <v>25.759999999999998</v>
      </c>
      <c r="M3174" t="str" cm="1">
        <f t="array" ref="M3174">_xlfn.IFS(B3174&lt;18,"Under 18",B3174 &lt;=25,"18-25",B3174&lt;=35,"26-35",B3174&lt;=45,"36-45",B3174&lt;=60,"46-60",TRUE,"60+")</f>
        <v>60+</v>
      </c>
      <c r="N3174" t="str">
        <f t="shared" si="148"/>
        <v>Discounted</v>
      </c>
      <c r="O3174" t="str">
        <f t="shared" si="149"/>
        <v>Returning</v>
      </c>
    </row>
    <row r="3175" spans="1:15" x14ac:dyDescent="0.25">
      <c r="A3175">
        <v>3174</v>
      </c>
      <c r="B3175">
        <v>64</v>
      </c>
      <c r="C3175" t="s">
        <v>16</v>
      </c>
      <c r="D3175" t="s">
        <v>20</v>
      </c>
      <c r="E3175" t="s">
        <v>39</v>
      </c>
      <c r="F3175" s="1">
        <v>242.59</v>
      </c>
      <c r="G3175" t="s">
        <v>24</v>
      </c>
      <c r="H3175" t="s">
        <v>15</v>
      </c>
      <c r="I3175" s="2">
        <v>4.3</v>
      </c>
      <c r="J3175" s="4">
        <v>9</v>
      </c>
      <c r="K3175" s="3">
        <v>2</v>
      </c>
      <c r="L3175" s="1">
        <f t="shared" si="147"/>
        <v>220.7569</v>
      </c>
      <c r="M3175" t="str" cm="1">
        <f t="array" ref="M3175">_xlfn.IFS(B3175&lt;18,"Under 18",B3175 &lt;=25,"18-25",B3175&lt;=35,"26-35",B3175&lt;=45,"36-45",B3175&lt;=60,"46-60",TRUE,"60+")</f>
        <v>60+</v>
      </c>
      <c r="N3175" t="str">
        <f t="shared" si="148"/>
        <v>Discounted</v>
      </c>
      <c r="O3175" t="str">
        <f t="shared" si="149"/>
        <v>Returning</v>
      </c>
    </row>
    <row r="3176" spans="1:15" x14ac:dyDescent="0.25">
      <c r="A3176">
        <v>3175</v>
      </c>
      <c r="B3176">
        <v>68</v>
      </c>
      <c r="C3176" t="s">
        <v>16</v>
      </c>
      <c r="D3176" t="s">
        <v>27</v>
      </c>
      <c r="E3176" t="s">
        <v>32</v>
      </c>
      <c r="F3176" s="1">
        <v>1208.17</v>
      </c>
      <c r="G3176" t="s">
        <v>19</v>
      </c>
      <c r="H3176" t="s">
        <v>15</v>
      </c>
      <c r="I3176" s="2">
        <v>3.6</v>
      </c>
      <c r="J3176" s="4">
        <v>12</v>
      </c>
      <c r="K3176" s="3">
        <v>6</v>
      </c>
      <c r="L3176" s="1">
        <f t="shared" si="147"/>
        <v>1063.1896000000002</v>
      </c>
      <c r="M3176" t="str" cm="1">
        <f t="array" ref="M3176">_xlfn.IFS(B3176&lt;18,"Under 18",B3176 &lt;=25,"18-25",B3176&lt;=35,"26-35",B3176&lt;=45,"36-45",B3176&lt;=60,"46-60",TRUE,"60+")</f>
        <v>60+</v>
      </c>
      <c r="N3176" t="str">
        <f t="shared" si="148"/>
        <v>Discounted</v>
      </c>
      <c r="O3176" t="str">
        <f t="shared" si="149"/>
        <v>Returning</v>
      </c>
    </row>
    <row r="3177" spans="1:15" x14ac:dyDescent="0.25">
      <c r="A3177">
        <v>3176</v>
      </c>
      <c r="B3177">
        <v>24</v>
      </c>
      <c r="C3177" t="s">
        <v>11</v>
      </c>
      <c r="D3177" t="s">
        <v>33</v>
      </c>
      <c r="E3177" t="s">
        <v>38</v>
      </c>
      <c r="F3177" s="1">
        <v>144.41999999999999</v>
      </c>
      <c r="G3177" t="s">
        <v>31</v>
      </c>
      <c r="H3177" t="s">
        <v>15</v>
      </c>
      <c r="I3177" s="2">
        <v>4.4000000000000004</v>
      </c>
      <c r="J3177" s="4">
        <v>4</v>
      </c>
      <c r="K3177" s="3">
        <v>2</v>
      </c>
      <c r="L3177" s="1">
        <f t="shared" si="147"/>
        <v>138.64319999999998</v>
      </c>
      <c r="M3177" t="str" cm="1">
        <f t="array" ref="M3177">_xlfn.IFS(B3177&lt;18,"Under 18",B3177 &lt;=25,"18-25",B3177&lt;=35,"26-35",B3177&lt;=45,"36-45",B3177&lt;=60,"46-60",TRUE,"60+")</f>
        <v>18-25</v>
      </c>
      <c r="N3177" t="str">
        <f t="shared" si="148"/>
        <v>Discounted</v>
      </c>
      <c r="O3177" t="str">
        <f t="shared" si="149"/>
        <v>Returning</v>
      </c>
    </row>
    <row r="3178" spans="1:15" x14ac:dyDescent="0.25">
      <c r="A3178">
        <v>3177</v>
      </c>
      <c r="B3178">
        <v>57</v>
      </c>
      <c r="C3178" t="s">
        <v>16</v>
      </c>
      <c r="D3178" t="s">
        <v>17</v>
      </c>
      <c r="E3178" t="s">
        <v>18</v>
      </c>
      <c r="F3178" s="1">
        <v>74.47</v>
      </c>
      <c r="G3178" t="s">
        <v>14</v>
      </c>
      <c r="H3178" t="s">
        <v>37</v>
      </c>
      <c r="I3178" s="2">
        <v>3.2</v>
      </c>
      <c r="J3178" s="4">
        <v>16</v>
      </c>
      <c r="K3178" s="3">
        <v>3</v>
      </c>
      <c r="L3178" s="1">
        <f t="shared" si="147"/>
        <v>62.5548</v>
      </c>
      <c r="M3178" t="str" cm="1">
        <f t="array" ref="M3178">_xlfn.IFS(B3178&lt;18,"Under 18",B3178 &lt;=25,"18-25",B3178&lt;=35,"26-35",B3178&lt;=45,"36-45",B3178&lt;=60,"46-60",TRUE,"60+")</f>
        <v>46-60</v>
      </c>
      <c r="N3178" t="str">
        <f t="shared" si="148"/>
        <v>Discounted</v>
      </c>
      <c r="O3178" t="str">
        <f t="shared" si="149"/>
        <v>Returning</v>
      </c>
    </row>
    <row r="3179" spans="1:15" x14ac:dyDescent="0.25">
      <c r="A3179">
        <v>3178</v>
      </c>
      <c r="B3179">
        <v>22</v>
      </c>
      <c r="C3179" t="s">
        <v>11</v>
      </c>
      <c r="D3179" t="s">
        <v>33</v>
      </c>
      <c r="E3179" t="s">
        <v>34</v>
      </c>
      <c r="F3179" s="1">
        <v>248.95</v>
      </c>
      <c r="G3179" t="s">
        <v>19</v>
      </c>
      <c r="H3179" t="s">
        <v>15</v>
      </c>
      <c r="I3179" s="2">
        <v>2.7</v>
      </c>
      <c r="J3179" s="4">
        <v>10</v>
      </c>
      <c r="K3179" s="3">
        <v>5</v>
      </c>
      <c r="L3179" s="1">
        <f t="shared" si="147"/>
        <v>224.05500000000001</v>
      </c>
      <c r="M3179" t="str" cm="1">
        <f t="array" ref="M3179">_xlfn.IFS(B3179&lt;18,"Under 18",B3179 &lt;=25,"18-25",B3179&lt;=35,"26-35",B3179&lt;=45,"36-45",B3179&lt;=60,"46-60",TRUE,"60+")</f>
        <v>18-25</v>
      </c>
      <c r="N3179" t="str">
        <f t="shared" si="148"/>
        <v>Discounted</v>
      </c>
      <c r="O3179" t="str">
        <f t="shared" si="149"/>
        <v>Returning</v>
      </c>
    </row>
    <row r="3180" spans="1:15" x14ac:dyDescent="0.25">
      <c r="A3180">
        <v>3179</v>
      </c>
      <c r="B3180">
        <v>49</v>
      </c>
      <c r="C3180" t="s">
        <v>16</v>
      </c>
      <c r="D3180" t="s">
        <v>20</v>
      </c>
      <c r="E3180" t="s">
        <v>36</v>
      </c>
      <c r="F3180" s="1">
        <v>84.57</v>
      </c>
      <c r="G3180" t="s">
        <v>24</v>
      </c>
      <c r="H3180" t="s">
        <v>15</v>
      </c>
      <c r="I3180" s="2">
        <v>3.3</v>
      </c>
      <c r="J3180" s="4">
        <v>18</v>
      </c>
      <c r="K3180" s="3">
        <v>4</v>
      </c>
      <c r="L3180" s="1">
        <f t="shared" si="147"/>
        <v>69.347399999999993</v>
      </c>
      <c r="M3180" t="str" cm="1">
        <f t="array" ref="M3180">_xlfn.IFS(B3180&lt;18,"Under 18",B3180 &lt;=25,"18-25",B3180&lt;=35,"26-35",B3180&lt;=45,"36-45",B3180&lt;=60,"46-60",TRUE,"60+")</f>
        <v>46-60</v>
      </c>
      <c r="N3180" t="str">
        <f t="shared" si="148"/>
        <v>Discounted</v>
      </c>
      <c r="O3180" t="str">
        <f t="shared" si="149"/>
        <v>Returning</v>
      </c>
    </row>
    <row r="3181" spans="1:15" x14ac:dyDescent="0.25">
      <c r="A3181">
        <v>3180</v>
      </c>
      <c r="B3181">
        <v>65</v>
      </c>
      <c r="C3181" t="s">
        <v>11</v>
      </c>
      <c r="D3181" t="s">
        <v>33</v>
      </c>
      <c r="E3181" t="s">
        <v>34</v>
      </c>
      <c r="F3181" s="1">
        <v>182.69</v>
      </c>
      <c r="G3181" t="s">
        <v>24</v>
      </c>
      <c r="H3181" t="s">
        <v>15</v>
      </c>
      <c r="I3181" s="2">
        <v>4.2</v>
      </c>
      <c r="J3181" s="4">
        <v>8</v>
      </c>
      <c r="K3181" s="3">
        <v>4</v>
      </c>
      <c r="L3181" s="1">
        <f t="shared" si="147"/>
        <v>168.07480000000001</v>
      </c>
      <c r="M3181" t="str" cm="1">
        <f t="array" ref="M3181">_xlfn.IFS(B3181&lt;18,"Under 18",B3181 &lt;=25,"18-25",B3181&lt;=35,"26-35",B3181&lt;=45,"36-45",B3181&lt;=60,"46-60",TRUE,"60+")</f>
        <v>60+</v>
      </c>
      <c r="N3181" t="str">
        <f t="shared" si="148"/>
        <v>Discounted</v>
      </c>
      <c r="O3181" t="str">
        <f t="shared" si="149"/>
        <v>Returning</v>
      </c>
    </row>
    <row r="3182" spans="1:15" x14ac:dyDescent="0.25">
      <c r="A3182">
        <v>3181</v>
      </c>
      <c r="B3182">
        <v>63</v>
      </c>
      <c r="C3182" t="s">
        <v>11</v>
      </c>
      <c r="D3182" t="s">
        <v>33</v>
      </c>
      <c r="E3182" t="s">
        <v>38</v>
      </c>
      <c r="F3182" s="1">
        <v>95.84</v>
      </c>
      <c r="G3182" t="s">
        <v>24</v>
      </c>
      <c r="H3182" t="s">
        <v>15</v>
      </c>
      <c r="I3182" s="2">
        <v>2.5</v>
      </c>
      <c r="J3182" s="4">
        <v>11</v>
      </c>
      <c r="K3182" s="3">
        <v>3</v>
      </c>
      <c r="L3182" s="1">
        <f t="shared" si="147"/>
        <v>85.297600000000003</v>
      </c>
      <c r="M3182" t="str" cm="1">
        <f t="array" ref="M3182">_xlfn.IFS(B3182&lt;18,"Under 18",B3182 &lt;=25,"18-25",B3182&lt;=35,"26-35",B3182&lt;=45,"36-45",B3182&lt;=60,"46-60",TRUE,"60+")</f>
        <v>60+</v>
      </c>
      <c r="N3182" t="str">
        <f t="shared" si="148"/>
        <v>Discounted</v>
      </c>
      <c r="O3182" t="str">
        <f t="shared" si="149"/>
        <v>Returning</v>
      </c>
    </row>
    <row r="3183" spans="1:15" x14ac:dyDescent="0.25">
      <c r="A3183">
        <v>3182</v>
      </c>
      <c r="B3183">
        <v>37</v>
      </c>
      <c r="C3183" t="s">
        <v>16</v>
      </c>
      <c r="D3183" t="s">
        <v>17</v>
      </c>
      <c r="E3183" t="s">
        <v>18</v>
      </c>
      <c r="F3183" s="1">
        <v>174.37</v>
      </c>
      <c r="G3183" t="s">
        <v>31</v>
      </c>
      <c r="H3183" t="s">
        <v>15</v>
      </c>
      <c r="I3183" s="2">
        <v>4.3</v>
      </c>
      <c r="J3183" s="4">
        <v>8</v>
      </c>
      <c r="K3183" s="3">
        <v>4</v>
      </c>
      <c r="L3183" s="1">
        <f t="shared" si="147"/>
        <v>160.4204</v>
      </c>
      <c r="M3183" t="str" cm="1">
        <f t="array" ref="M3183">_xlfn.IFS(B3183&lt;18,"Under 18",B3183 &lt;=25,"18-25",B3183&lt;=35,"26-35",B3183&lt;=45,"36-45",B3183&lt;=60,"46-60",TRUE,"60+")</f>
        <v>36-45</v>
      </c>
      <c r="N3183" t="str">
        <f t="shared" si="148"/>
        <v>Discounted</v>
      </c>
      <c r="O3183" t="str">
        <f t="shared" si="149"/>
        <v>Returning</v>
      </c>
    </row>
    <row r="3184" spans="1:15" x14ac:dyDescent="0.25">
      <c r="A3184">
        <v>3183</v>
      </c>
      <c r="B3184">
        <v>35</v>
      </c>
      <c r="C3184" t="s">
        <v>16</v>
      </c>
      <c r="D3184" t="s">
        <v>20</v>
      </c>
      <c r="E3184" t="s">
        <v>21</v>
      </c>
      <c r="F3184" s="1">
        <v>203.49</v>
      </c>
      <c r="G3184" t="s">
        <v>19</v>
      </c>
      <c r="H3184" t="s">
        <v>15</v>
      </c>
      <c r="I3184" s="2">
        <v>2.8</v>
      </c>
      <c r="J3184" s="4">
        <v>6</v>
      </c>
      <c r="K3184" s="3">
        <v>3</v>
      </c>
      <c r="L3184" s="1">
        <f t="shared" si="147"/>
        <v>191.28059999999999</v>
      </c>
      <c r="M3184" t="str" cm="1">
        <f t="array" ref="M3184">_xlfn.IFS(B3184&lt;18,"Under 18",B3184 &lt;=25,"18-25",B3184&lt;=35,"26-35",B3184&lt;=45,"36-45",B3184&lt;=60,"46-60",TRUE,"60+")</f>
        <v>26-35</v>
      </c>
      <c r="N3184" t="str">
        <f t="shared" si="148"/>
        <v>Discounted</v>
      </c>
      <c r="O3184" t="str">
        <f t="shared" si="149"/>
        <v>Returning</v>
      </c>
    </row>
    <row r="3185" spans="1:15" x14ac:dyDescent="0.25">
      <c r="A3185">
        <v>3184</v>
      </c>
      <c r="B3185">
        <v>22</v>
      </c>
      <c r="C3185" t="s">
        <v>16</v>
      </c>
      <c r="D3185" t="s">
        <v>33</v>
      </c>
      <c r="E3185" t="s">
        <v>34</v>
      </c>
      <c r="F3185" s="1">
        <v>125.93</v>
      </c>
      <c r="G3185" t="s">
        <v>31</v>
      </c>
      <c r="H3185" t="s">
        <v>15</v>
      </c>
      <c r="I3185" s="2">
        <v>4.8</v>
      </c>
      <c r="J3185" s="4">
        <v>10</v>
      </c>
      <c r="K3185" s="3">
        <v>5</v>
      </c>
      <c r="L3185" s="1">
        <f t="shared" si="147"/>
        <v>113.337</v>
      </c>
      <c r="M3185" t="str" cm="1">
        <f t="array" ref="M3185">_xlfn.IFS(B3185&lt;18,"Under 18",B3185 &lt;=25,"18-25",B3185&lt;=35,"26-35",B3185&lt;=45,"36-45",B3185&lt;=60,"46-60",TRUE,"60+")</f>
        <v>18-25</v>
      </c>
      <c r="N3185" t="str">
        <f t="shared" si="148"/>
        <v>Discounted</v>
      </c>
      <c r="O3185" t="str">
        <f t="shared" si="149"/>
        <v>Returning</v>
      </c>
    </row>
    <row r="3186" spans="1:15" x14ac:dyDescent="0.25">
      <c r="A3186">
        <v>3185</v>
      </c>
      <c r="B3186">
        <v>40</v>
      </c>
      <c r="C3186" t="s">
        <v>11</v>
      </c>
      <c r="D3186" t="s">
        <v>12</v>
      </c>
      <c r="E3186" t="s">
        <v>13</v>
      </c>
      <c r="F3186" s="1">
        <v>59.58</v>
      </c>
      <c r="G3186" t="s">
        <v>31</v>
      </c>
      <c r="H3186" t="s">
        <v>37</v>
      </c>
      <c r="I3186" s="2">
        <v>3.1</v>
      </c>
      <c r="J3186" s="4">
        <v>10</v>
      </c>
      <c r="K3186" s="3">
        <v>5</v>
      </c>
      <c r="L3186" s="1">
        <f t="shared" si="147"/>
        <v>53.622</v>
      </c>
      <c r="M3186" t="str" cm="1">
        <f t="array" ref="M3186">_xlfn.IFS(B3186&lt;18,"Under 18",B3186 &lt;=25,"18-25",B3186&lt;=35,"26-35",B3186&lt;=45,"36-45",B3186&lt;=60,"46-60",TRUE,"60+")</f>
        <v>36-45</v>
      </c>
      <c r="N3186" t="str">
        <f t="shared" si="148"/>
        <v>Discounted</v>
      </c>
      <c r="O3186" t="str">
        <f t="shared" si="149"/>
        <v>Returning</v>
      </c>
    </row>
    <row r="3187" spans="1:15" x14ac:dyDescent="0.25">
      <c r="A3187">
        <v>3186</v>
      </c>
      <c r="B3187">
        <v>40</v>
      </c>
      <c r="C3187" t="s">
        <v>16</v>
      </c>
      <c r="D3187" t="s">
        <v>20</v>
      </c>
      <c r="E3187" t="s">
        <v>36</v>
      </c>
      <c r="F3187" s="1">
        <v>82.63</v>
      </c>
      <c r="G3187" t="s">
        <v>19</v>
      </c>
      <c r="H3187" t="s">
        <v>15</v>
      </c>
      <c r="I3187" s="2">
        <v>2.7</v>
      </c>
      <c r="J3187" s="4">
        <v>13</v>
      </c>
      <c r="K3187" s="3">
        <v>4</v>
      </c>
      <c r="L3187" s="1">
        <f t="shared" si="147"/>
        <v>71.888099999999994</v>
      </c>
      <c r="M3187" t="str" cm="1">
        <f t="array" ref="M3187">_xlfn.IFS(B3187&lt;18,"Under 18",B3187 &lt;=25,"18-25",B3187&lt;=35,"26-35",B3187&lt;=45,"36-45",B3187&lt;=60,"46-60",TRUE,"60+")</f>
        <v>36-45</v>
      </c>
      <c r="N3187" t="str">
        <f t="shared" si="148"/>
        <v>Discounted</v>
      </c>
      <c r="O3187" t="str">
        <f t="shared" si="149"/>
        <v>Returning</v>
      </c>
    </row>
    <row r="3188" spans="1:15" x14ac:dyDescent="0.25">
      <c r="A3188">
        <v>3187</v>
      </c>
      <c r="B3188">
        <v>68</v>
      </c>
      <c r="C3188" t="s">
        <v>11</v>
      </c>
      <c r="D3188" t="s">
        <v>22</v>
      </c>
      <c r="E3188" t="s">
        <v>43</v>
      </c>
      <c r="F3188" s="1">
        <v>178.28</v>
      </c>
      <c r="G3188" t="s">
        <v>19</v>
      </c>
      <c r="H3188" t="s">
        <v>15</v>
      </c>
      <c r="I3188" s="2">
        <v>3.2</v>
      </c>
      <c r="J3188" s="4">
        <v>15</v>
      </c>
      <c r="K3188" s="3">
        <v>5</v>
      </c>
      <c r="L3188" s="1">
        <f t="shared" si="147"/>
        <v>151.53800000000001</v>
      </c>
      <c r="M3188" t="str" cm="1">
        <f t="array" ref="M3188">_xlfn.IFS(B3188&lt;18,"Under 18",B3188 &lt;=25,"18-25",B3188&lt;=35,"26-35",B3188&lt;=45,"36-45",B3188&lt;=60,"46-60",TRUE,"60+")</f>
        <v>60+</v>
      </c>
      <c r="N3188" t="str">
        <f t="shared" si="148"/>
        <v>Discounted</v>
      </c>
      <c r="O3188" t="str">
        <f t="shared" si="149"/>
        <v>Returning</v>
      </c>
    </row>
    <row r="3189" spans="1:15" x14ac:dyDescent="0.25">
      <c r="A3189">
        <v>3188</v>
      </c>
      <c r="B3189">
        <v>46</v>
      </c>
      <c r="C3189" t="s">
        <v>16</v>
      </c>
      <c r="D3189" t="s">
        <v>20</v>
      </c>
      <c r="E3189" t="s">
        <v>21</v>
      </c>
      <c r="F3189" s="1">
        <v>205.44</v>
      </c>
      <c r="G3189" t="s">
        <v>24</v>
      </c>
      <c r="H3189" t="s">
        <v>15</v>
      </c>
      <c r="I3189" s="2">
        <v>3.2</v>
      </c>
      <c r="J3189" s="4">
        <v>16</v>
      </c>
      <c r="K3189" s="3">
        <v>8</v>
      </c>
      <c r="L3189" s="1">
        <f t="shared" si="147"/>
        <v>172.56959999999998</v>
      </c>
      <c r="M3189" t="str" cm="1">
        <f t="array" ref="M3189">_xlfn.IFS(B3189&lt;18,"Under 18",B3189 &lt;=25,"18-25",B3189&lt;=35,"26-35",B3189&lt;=45,"36-45",B3189&lt;=60,"46-60",TRUE,"60+")</f>
        <v>46-60</v>
      </c>
      <c r="N3189" t="str">
        <f t="shared" si="148"/>
        <v>Discounted</v>
      </c>
      <c r="O3189" t="str">
        <f t="shared" si="149"/>
        <v>Returning</v>
      </c>
    </row>
    <row r="3190" spans="1:15" x14ac:dyDescent="0.25">
      <c r="A3190">
        <v>3189</v>
      </c>
      <c r="B3190">
        <v>35</v>
      </c>
      <c r="C3190" t="s">
        <v>16</v>
      </c>
      <c r="D3190" t="s">
        <v>17</v>
      </c>
      <c r="E3190" t="s">
        <v>18</v>
      </c>
      <c r="F3190" s="1">
        <v>165.66</v>
      </c>
      <c r="G3190" t="s">
        <v>19</v>
      </c>
      <c r="H3190" t="s">
        <v>15</v>
      </c>
      <c r="I3190" s="2">
        <v>2.9</v>
      </c>
      <c r="J3190" s="4">
        <v>12</v>
      </c>
      <c r="K3190" s="3">
        <v>6</v>
      </c>
      <c r="L3190" s="1">
        <f t="shared" si="147"/>
        <v>145.7808</v>
      </c>
      <c r="M3190" t="str" cm="1">
        <f t="array" ref="M3190">_xlfn.IFS(B3190&lt;18,"Under 18",B3190 &lt;=25,"18-25",B3190&lt;=35,"26-35",B3190&lt;=45,"36-45",B3190&lt;=60,"46-60",TRUE,"60+")</f>
        <v>26-35</v>
      </c>
      <c r="N3190" t="str">
        <f t="shared" si="148"/>
        <v>Discounted</v>
      </c>
      <c r="O3190" t="str">
        <f t="shared" si="149"/>
        <v>Returning</v>
      </c>
    </row>
    <row r="3191" spans="1:15" x14ac:dyDescent="0.25">
      <c r="A3191">
        <v>3190</v>
      </c>
      <c r="B3191">
        <v>28</v>
      </c>
      <c r="C3191" t="s">
        <v>16</v>
      </c>
      <c r="D3191" t="s">
        <v>25</v>
      </c>
      <c r="E3191" t="s">
        <v>26</v>
      </c>
      <c r="F3191" s="1">
        <v>30.88</v>
      </c>
      <c r="G3191" t="s">
        <v>31</v>
      </c>
      <c r="H3191" t="s">
        <v>37</v>
      </c>
      <c r="I3191" s="2">
        <v>4.0999999999999996</v>
      </c>
      <c r="J3191" s="4">
        <v>8</v>
      </c>
      <c r="K3191" s="3">
        <v>4</v>
      </c>
      <c r="L3191" s="1">
        <f t="shared" si="147"/>
        <v>28.409600000000001</v>
      </c>
      <c r="M3191" t="str" cm="1">
        <f t="array" ref="M3191">_xlfn.IFS(B3191&lt;18,"Under 18",B3191 &lt;=25,"18-25",B3191&lt;=35,"26-35",B3191&lt;=45,"36-45",B3191&lt;=60,"46-60",TRUE,"60+")</f>
        <v>26-35</v>
      </c>
      <c r="N3191" t="str">
        <f t="shared" si="148"/>
        <v>Discounted</v>
      </c>
      <c r="O3191" t="str">
        <f t="shared" si="149"/>
        <v>Returning</v>
      </c>
    </row>
    <row r="3192" spans="1:15" x14ac:dyDescent="0.25">
      <c r="A3192">
        <v>3191</v>
      </c>
      <c r="B3192">
        <v>66</v>
      </c>
      <c r="C3192" t="s">
        <v>16</v>
      </c>
      <c r="D3192" t="s">
        <v>17</v>
      </c>
      <c r="E3192" t="s">
        <v>48</v>
      </c>
      <c r="F3192" s="1">
        <v>38.61</v>
      </c>
      <c r="G3192" t="s">
        <v>31</v>
      </c>
      <c r="H3192" t="s">
        <v>37</v>
      </c>
      <c r="I3192" s="2">
        <v>2.9</v>
      </c>
      <c r="J3192" s="4">
        <v>15</v>
      </c>
      <c r="K3192" s="3">
        <v>5</v>
      </c>
      <c r="L3192" s="1">
        <f t="shared" si="147"/>
        <v>32.8185</v>
      </c>
      <c r="M3192" t="str" cm="1">
        <f t="array" ref="M3192">_xlfn.IFS(B3192&lt;18,"Under 18",B3192 &lt;=25,"18-25",B3192&lt;=35,"26-35",B3192&lt;=45,"36-45",B3192&lt;=60,"46-60",TRUE,"60+")</f>
        <v>60+</v>
      </c>
      <c r="N3192" t="str">
        <f t="shared" si="148"/>
        <v>Discounted</v>
      </c>
      <c r="O3192" t="str">
        <f t="shared" si="149"/>
        <v>Returning</v>
      </c>
    </row>
    <row r="3193" spans="1:15" x14ac:dyDescent="0.25">
      <c r="A3193">
        <v>3192</v>
      </c>
      <c r="B3193">
        <v>41</v>
      </c>
      <c r="C3193" t="s">
        <v>11</v>
      </c>
      <c r="D3193" t="s">
        <v>12</v>
      </c>
      <c r="E3193" t="s">
        <v>13</v>
      </c>
      <c r="F3193" s="1">
        <v>45.01</v>
      </c>
      <c r="G3193" t="s">
        <v>19</v>
      </c>
      <c r="H3193" t="s">
        <v>37</v>
      </c>
      <c r="I3193" s="2">
        <v>4.7</v>
      </c>
      <c r="J3193" s="4">
        <v>22</v>
      </c>
      <c r="K3193" s="3">
        <v>6</v>
      </c>
      <c r="L3193" s="1">
        <f t="shared" si="147"/>
        <v>35.107799999999997</v>
      </c>
      <c r="M3193" t="str" cm="1">
        <f t="array" ref="M3193">_xlfn.IFS(B3193&lt;18,"Under 18",B3193 &lt;=25,"18-25",B3193&lt;=35,"26-35",B3193&lt;=45,"36-45",B3193&lt;=60,"46-60",TRUE,"60+")</f>
        <v>36-45</v>
      </c>
      <c r="N3193" t="str">
        <f t="shared" si="148"/>
        <v>Discounted</v>
      </c>
      <c r="O3193" t="str">
        <f t="shared" si="149"/>
        <v>Returning</v>
      </c>
    </row>
    <row r="3194" spans="1:15" x14ac:dyDescent="0.25">
      <c r="A3194">
        <v>3193</v>
      </c>
      <c r="B3194">
        <v>57</v>
      </c>
      <c r="C3194" t="s">
        <v>16</v>
      </c>
      <c r="D3194" t="s">
        <v>20</v>
      </c>
      <c r="E3194" t="s">
        <v>39</v>
      </c>
      <c r="F3194" s="1">
        <v>175.22</v>
      </c>
      <c r="G3194" t="s">
        <v>14</v>
      </c>
      <c r="H3194" t="s">
        <v>15</v>
      </c>
      <c r="I3194" s="2">
        <v>3.6</v>
      </c>
      <c r="J3194" s="4">
        <v>22</v>
      </c>
      <c r="K3194" s="3">
        <v>6</v>
      </c>
      <c r="L3194" s="1">
        <f t="shared" si="147"/>
        <v>136.67160000000001</v>
      </c>
      <c r="M3194" t="str" cm="1">
        <f t="array" ref="M3194">_xlfn.IFS(B3194&lt;18,"Under 18",B3194 &lt;=25,"18-25",B3194&lt;=35,"26-35",B3194&lt;=45,"36-45",B3194&lt;=60,"46-60",TRUE,"60+")</f>
        <v>46-60</v>
      </c>
      <c r="N3194" t="str">
        <f t="shared" si="148"/>
        <v>Discounted</v>
      </c>
      <c r="O3194" t="str">
        <f t="shared" si="149"/>
        <v>Returning</v>
      </c>
    </row>
    <row r="3195" spans="1:15" x14ac:dyDescent="0.25">
      <c r="A3195">
        <v>3194</v>
      </c>
      <c r="B3195">
        <v>22</v>
      </c>
      <c r="C3195" t="s">
        <v>16</v>
      </c>
      <c r="D3195" t="s">
        <v>33</v>
      </c>
      <c r="E3195" t="s">
        <v>38</v>
      </c>
      <c r="F3195" s="1">
        <v>243.43</v>
      </c>
      <c r="G3195" t="s">
        <v>24</v>
      </c>
      <c r="H3195" t="s">
        <v>15</v>
      </c>
      <c r="I3195" s="2">
        <v>4</v>
      </c>
      <c r="J3195" s="4">
        <v>12</v>
      </c>
      <c r="K3195" s="3">
        <v>6</v>
      </c>
      <c r="L3195" s="1">
        <f t="shared" si="147"/>
        <v>214.2184</v>
      </c>
      <c r="M3195" t="str" cm="1">
        <f t="array" ref="M3195">_xlfn.IFS(B3195&lt;18,"Under 18",B3195 &lt;=25,"18-25",B3195&lt;=35,"26-35",B3195&lt;=45,"36-45",B3195&lt;=60,"46-60",TRUE,"60+")</f>
        <v>18-25</v>
      </c>
      <c r="N3195" t="str">
        <f t="shared" si="148"/>
        <v>Discounted</v>
      </c>
      <c r="O3195" t="str">
        <f t="shared" si="149"/>
        <v>Returning</v>
      </c>
    </row>
    <row r="3196" spans="1:15" x14ac:dyDescent="0.25">
      <c r="A3196">
        <v>3195</v>
      </c>
      <c r="B3196">
        <v>62</v>
      </c>
      <c r="C3196" t="s">
        <v>11</v>
      </c>
      <c r="D3196" t="s">
        <v>41</v>
      </c>
      <c r="E3196" t="s">
        <v>46</v>
      </c>
      <c r="F3196" s="1">
        <v>117.16</v>
      </c>
      <c r="G3196" t="s">
        <v>31</v>
      </c>
      <c r="H3196" t="s">
        <v>15</v>
      </c>
      <c r="I3196" s="2">
        <v>3.9</v>
      </c>
      <c r="J3196" s="4">
        <v>23</v>
      </c>
      <c r="K3196" s="3">
        <v>9</v>
      </c>
      <c r="L3196" s="1">
        <f t="shared" si="147"/>
        <v>90.213200000000001</v>
      </c>
      <c r="M3196" t="str" cm="1">
        <f t="array" ref="M3196">_xlfn.IFS(B3196&lt;18,"Under 18",B3196 &lt;=25,"18-25",B3196&lt;=35,"26-35",B3196&lt;=45,"36-45",B3196&lt;=60,"46-60",TRUE,"60+")</f>
        <v>60+</v>
      </c>
      <c r="N3196" t="str">
        <f t="shared" si="148"/>
        <v>Discounted</v>
      </c>
      <c r="O3196" t="str">
        <f t="shared" si="149"/>
        <v>Returning</v>
      </c>
    </row>
    <row r="3197" spans="1:15" x14ac:dyDescent="0.25">
      <c r="A3197">
        <v>3196</v>
      </c>
      <c r="B3197">
        <v>56</v>
      </c>
      <c r="C3197" t="s">
        <v>11</v>
      </c>
      <c r="D3197" t="s">
        <v>29</v>
      </c>
      <c r="E3197" t="s">
        <v>55</v>
      </c>
      <c r="F3197" s="1">
        <v>58.22</v>
      </c>
      <c r="G3197" t="s">
        <v>24</v>
      </c>
      <c r="H3197" t="s">
        <v>37</v>
      </c>
      <c r="I3197" s="2">
        <v>2.8</v>
      </c>
      <c r="J3197" s="4">
        <v>20</v>
      </c>
      <c r="K3197" s="3">
        <v>5</v>
      </c>
      <c r="L3197" s="1">
        <f t="shared" si="147"/>
        <v>46.576000000000001</v>
      </c>
      <c r="M3197" t="str" cm="1">
        <f t="array" ref="M3197">_xlfn.IFS(B3197&lt;18,"Under 18",B3197 &lt;=25,"18-25",B3197&lt;=35,"26-35",B3197&lt;=45,"36-45",B3197&lt;=60,"46-60",TRUE,"60+")</f>
        <v>46-60</v>
      </c>
      <c r="N3197" t="str">
        <f t="shared" si="148"/>
        <v>Discounted</v>
      </c>
      <c r="O3197" t="str">
        <f t="shared" si="149"/>
        <v>Returning</v>
      </c>
    </row>
    <row r="3198" spans="1:15" x14ac:dyDescent="0.25">
      <c r="A3198">
        <v>3197</v>
      </c>
      <c r="B3198">
        <v>21</v>
      </c>
      <c r="C3198" t="s">
        <v>16</v>
      </c>
      <c r="D3198" t="s">
        <v>33</v>
      </c>
      <c r="E3198" t="s">
        <v>40</v>
      </c>
      <c r="F3198" s="1">
        <v>155.55000000000001</v>
      </c>
      <c r="G3198" t="s">
        <v>14</v>
      </c>
      <c r="H3198" t="s">
        <v>15</v>
      </c>
      <c r="I3198" s="2">
        <v>5</v>
      </c>
      <c r="J3198" s="4">
        <v>30</v>
      </c>
      <c r="K3198" s="3">
        <v>10</v>
      </c>
      <c r="L3198" s="1">
        <f t="shared" si="147"/>
        <v>108.88500000000001</v>
      </c>
      <c r="M3198" t="str" cm="1">
        <f t="array" ref="M3198">_xlfn.IFS(B3198&lt;18,"Under 18",B3198 &lt;=25,"18-25",B3198&lt;=35,"26-35",B3198&lt;=45,"36-45",B3198&lt;=60,"46-60",TRUE,"60+")</f>
        <v>18-25</v>
      </c>
      <c r="N3198" t="str">
        <f t="shared" si="148"/>
        <v>Discounted</v>
      </c>
      <c r="O3198" t="str">
        <f t="shared" si="149"/>
        <v>Returning</v>
      </c>
    </row>
    <row r="3199" spans="1:15" x14ac:dyDescent="0.25">
      <c r="A3199">
        <v>3198</v>
      </c>
      <c r="B3199">
        <v>44</v>
      </c>
      <c r="C3199" t="s">
        <v>16</v>
      </c>
      <c r="D3199" t="s">
        <v>17</v>
      </c>
      <c r="E3199" t="s">
        <v>35</v>
      </c>
      <c r="F3199" s="1">
        <v>121.79</v>
      </c>
      <c r="G3199" t="s">
        <v>24</v>
      </c>
      <c r="H3199" t="s">
        <v>15</v>
      </c>
      <c r="I3199" s="2">
        <v>4.8</v>
      </c>
      <c r="J3199" s="4">
        <v>16</v>
      </c>
      <c r="K3199" s="3">
        <v>3</v>
      </c>
      <c r="L3199" s="1">
        <f t="shared" si="147"/>
        <v>102.3036</v>
      </c>
      <c r="M3199" t="str" cm="1">
        <f t="array" ref="M3199">_xlfn.IFS(B3199&lt;18,"Under 18",B3199 &lt;=25,"18-25",B3199&lt;=35,"26-35",B3199&lt;=45,"36-45",B3199&lt;=60,"46-60",TRUE,"60+")</f>
        <v>36-45</v>
      </c>
      <c r="N3199" t="str">
        <f t="shared" si="148"/>
        <v>Discounted</v>
      </c>
      <c r="O3199" t="str">
        <f t="shared" si="149"/>
        <v>Returning</v>
      </c>
    </row>
    <row r="3200" spans="1:15" x14ac:dyDescent="0.25">
      <c r="A3200">
        <v>3199</v>
      </c>
      <c r="B3200">
        <v>24</v>
      </c>
      <c r="C3200" t="s">
        <v>16</v>
      </c>
      <c r="D3200" t="s">
        <v>17</v>
      </c>
      <c r="E3200" t="s">
        <v>48</v>
      </c>
      <c r="F3200" s="1">
        <v>77.77</v>
      </c>
      <c r="G3200" t="s">
        <v>31</v>
      </c>
      <c r="H3200" t="s">
        <v>37</v>
      </c>
      <c r="I3200" s="2">
        <v>3</v>
      </c>
      <c r="J3200" s="4">
        <v>25</v>
      </c>
      <c r="K3200" s="3">
        <v>10</v>
      </c>
      <c r="L3200" s="1">
        <f t="shared" si="147"/>
        <v>58.327500000000001</v>
      </c>
      <c r="M3200" t="str" cm="1">
        <f t="array" ref="M3200">_xlfn.IFS(B3200&lt;18,"Under 18",B3200 &lt;=25,"18-25",B3200&lt;=35,"26-35",B3200&lt;=45,"36-45",B3200&lt;=60,"46-60",TRUE,"60+")</f>
        <v>18-25</v>
      </c>
      <c r="N3200" t="str">
        <f t="shared" si="148"/>
        <v>Discounted</v>
      </c>
      <c r="O3200" t="str">
        <f t="shared" si="149"/>
        <v>Returning</v>
      </c>
    </row>
    <row r="3201" spans="1:15" x14ac:dyDescent="0.25">
      <c r="A3201">
        <v>3200</v>
      </c>
      <c r="B3201">
        <v>34</v>
      </c>
      <c r="C3201" t="s">
        <v>16</v>
      </c>
      <c r="D3201" t="s">
        <v>20</v>
      </c>
      <c r="E3201" t="s">
        <v>36</v>
      </c>
      <c r="F3201" s="1">
        <v>91.22</v>
      </c>
      <c r="G3201" t="s">
        <v>19</v>
      </c>
      <c r="H3201" t="s">
        <v>37</v>
      </c>
      <c r="I3201" s="2">
        <v>3.2</v>
      </c>
      <c r="J3201" s="4">
        <v>14</v>
      </c>
      <c r="K3201" s="3">
        <v>2</v>
      </c>
      <c r="L3201" s="1">
        <f t="shared" si="147"/>
        <v>78.449200000000005</v>
      </c>
      <c r="M3201" t="str" cm="1">
        <f t="array" ref="M3201">_xlfn.IFS(B3201&lt;18,"Under 18",B3201 &lt;=25,"18-25",B3201&lt;=35,"26-35",B3201&lt;=45,"36-45",B3201&lt;=60,"46-60",TRUE,"60+")</f>
        <v>26-35</v>
      </c>
      <c r="N3201" t="str">
        <f t="shared" si="148"/>
        <v>Discounted</v>
      </c>
      <c r="O3201" t="str">
        <f t="shared" si="149"/>
        <v>Returning</v>
      </c>
    </row>
    <row r="3202" spans="1:15" x14ac:dyDescent="0.25">
      <c r="A3202">
        <v>3201</v>
      </c>
      <c r="B3202">
        <v>68</v>
      </c>
      <c r="C3202" t="s">
        <v>11</v>
      </c>
      <c r="D3202" t="s">
        <v>33</v>
      </c>
      <c r="E3202" t="s">
        <v>38</v>
      </c>
      <c r="F3202" s="1">
        <v>49.34</v>
      </c>
      <c r="G3202" t="s">
        <v>31</v>
      </c>
      <c r="H3202" t="s">
        <v>37</v>
      </c>
      <c r="I3202" s="2">
        <v>3.8</v>
      </c>
      <c r="J3202" s="4">
        <v>22</v>
      </c>
      <c r="K3202" s="3">
        <v>6</v>
      </c>
      <c r="L3202" s="1">
        <f t="shared" si="147"/>
        <v>38.485200000000006</v>
      </c>
      <c r="M3202" t="str" cm="1">
        <f t="array" ref="M3202">_xlfn.IFS(B3202&lt;18,"Under 18",B3202 &lt;=25,"18-25",B3202&lt;=35,"26-35",B3202&lt;=45,"36-45",B3202&lt;=60,"46-60",TRUE,"60+")</f>
        <v>60+</v>
      </c>
      <c r="N3202" t="str">
        <f t="shared" si="148"/>
        <v>Discounted</v>
      </c>
      <c r="O3202" t="str">
        <f t="shared" si="149"/>
        <v>Returning</v>
      </c>
    </row>
    <row r="3203" spans="1:15" x14ac:dyDescent="0.25">
      <c r="A3203">
        <v>3202</v>
      </c>
      <c r="B3203">
        <v>59</v>
      </c>
      <c r="C3203" t="s">
        <v>16</v>
      </c>
      <c r="D3203" t="s">
        <v>27</v>
      </c>
      <c r="E3203" t="s">
        <v>32</v>
      </c>
      <c r="F3203" s="1">
        <v>1412.35</v>
      </c>
      <c r="G3203" t="s">
        <v>19</v>
      </c>
      <c r="H3203" t="s">
        <v>15</v>
      </c>
      <c r="I3203" s="2">
        <v>2.8</v>
      </c>
      <c r="J3203" s="4">
        <v>11</v>
      </c>
      <c r="K3203" s="3">
        <v>3</v>
      </c>
      <c r="L3203" s="1">
        <f t="shared" ref="L3203:L3266" si="150">F3203 * (1 - J3203 / 100)</f>
        <v>1256.9914999999999</v>
      </c>
      <c r="M3203" t="str" cm="1">
        <f t="array" ref="M3203">_xlfn.IFS(B3203&lt;18,"Under 18",B3203 &lt;=25,"18-25",B3203&lt;=35,"26-35",B3203&lt;=45,"36-45",B3203&lt;=60,"46-60",TRUE,"60+")</f>
        <v>46-60</v>
      </c>
      <c r="N3203" t="str">
        <f t="shared" ref="N3203:N3266" si="151">IF(J3203&gt;0,"Discounted","No Discount")</f>
        <v>Discounted</v>
      </c>
      <c r="O3203" t="str">
        <f t="shared" ref="O3203:O3266" si="152">IF(K3203&gt;0,"Returning","New")</f>
        <v>Returning</v>
      </c>
    </row>
    <row r="3204" spans="1:15" x14ac:dyDescent="0.25">
      <c r="A3204">
        <v>3203</v>
      </c>
      <c r="B3204">
        <v>70</v>
      </c>
      <c r="C3204" t="s">
        <v>11</v>
      </c>
      <c r="D3204" t="s">
        <v>20</v>
      </c>
      <c r="E3204" t="s">
        <v>39</v>
      </c>
      <c r="F3204" s="1">
        <v>191.53</v>
      </c>
      <c r="G3204" t="s">
        <v>14</v>
      </c>
      <c r="H3204" t="s">
        <v>15</v>
      </c>
      <c r="I3204" s="2">
        <v>3</v>
      </c>
      <c r="J3204" s="4">
        <v>9</v>
      </c>
      <c r="K3204" s="3">
        <v>2</v>
      </c>
      <c r="L3204" s="1">
        <f t="shared" si="150"/>
        <v>174.29230000000001</v>
      </c>
      <c r="M3204" t="str" cm="1">
        <f t="array" ref="M3204">_xlfn.IFS(B3204&lt;18,"Under 18",B3204 &lt;=25,"18-25",B3204&lt;=35,"26-35",B3204&lt;=45,"36-45",B3204&lt;=60,"46-60",TRUE,"60+")</f>
        <v>60+</v>
      </c>
      <c r="N3204" t="str">
        <f t="shared" si="151"/>
        <v>Discounted</v>
      </c>
      <c r="O3204" t="str">
        <f t="shared" si="152"/>
        <v>Returning</v>
      </c>
    </row>
    <row r="3205" spans="1:15" x14ac:dyDescent="0.25">
      <c r="A3205">
        <v>3204</v>
      </c>
      <c r="B3205">
        <v>70</v>
      </c>
      <c r="C3205" t="s">
        <v>11</v>
      </c>
      <c r="D3205" t="s">
        <v>29</v>
      </c>
      <c r="E3205" t="s">
        <v>30</v>
      </c>
      <c r="F3205" s="1">
        <v>132.43</v>
      </c>
      <c r="G3205" t="s">
        <v>31</v>
      </c>
      <c r="H3205" t="s">
        <v>15</v>
      </c>
      <c r="I3205" s="2">
        <v>4.3</v>
      </c>
      <c r="J3205" s="4">
        <v>16</v>
      </c>
      <c r="K3205" s="3">
        <v>3</v>
      </c>
      <c r="L3205" s="1">
        <f t="shared" si="150"/>
        <v>111.24120000000001</v>
      </c>
      <c r="M3205" t="str" cm="1">
        <f t="array" ref="M3205">_xlfn.IFS(B3205&lt;18,"Under 18",B3205 &lt;=25,"18-25",B3205&lt;=35,"26-35",B3205&lt;=45,"36-45",B3205&lt;=60,"46-60",TRUE,"60+")</f>
        <v>60+</v>
      </c>
      <c r="N3205" t="str">
        <f t="shared" si="151"/>
        <v>Discounted</v>
      </c>
      <c r="O3205" t="str">
        <f t="shared" si="152"/>
        <v>Returning</v>
      </c>
    </row>
    <row r="3206" spans="1:15" x14ac:dyDescent="0.25">
      <c r="A3206">
        <v>3205</v>
      </c>
      <c r="B3206">
        <v>48</v>
      </c>
      <c r="C3206" t="s">
        <v>11</v>
      </c>
      <c r="D3206" t="s">
        <v>29</v>
      </c>
      <c r="E3206" t="s">
        <v>55</v>
      </c>
      <c r="F3206" s="1">
        <v>69.75</v>
      </c>
      <c r="G3206" t="s">
        <v>24</v>
      </c>
      <c r="H3206" t="s">
        <v>15</v>
      </c>
      <c r="I3206" s="2">
        <v>3.7</v>
      </c>
      <c r="J3206" s="4">
        <v>2</v>
      </c>
      <c r="K3206" s="3">
        <v>1</v>
      </c>
      <c r="L3206" s="1">
        <f t="shared" si="150"/>
        <v>68.355000000000004</v>
      </c>
      <c r="M3206" t="str" cm="1">
        <f t="array" ref="M3206">_xlfn.IFS(B3206&lt;18,"Under 18",B3206 &lt;=25,"18-25",B3206&lt;=35,"26-35",B3206&lt;=45,"36-45",B3206&lt;=60,"46-60",TRUE,"60+")</f>
        <v>46-60</v>
      </c>
      <c r="N3206" t="str">
        <f t="shared" si="151"/>
        <v>Discounted</v>
      </c>
      <c r="O3206" t="str">
        <f t="shared" si="152"/>
        <v>Returning</v>
      </c>
    </row>
    <row r="3207" spans="1:15" x14ac:dyDescent="0.25">
      <c r="A3207">
        <v>3206</v>
      </c>
      <c r="B3207">
        <v>35</v>
      </c>
      <c r="C3207" t="s">
        <v>16</v>
      </c>
      <c r="D3207" t="s">
        <v>33</v>
      </c>
      <c r="E3207" t="s">
        <v>34</v>
      </c>
      <c r="F3207" s="1">
        <v>85.09</v>
      </c>
      <c r="G3207" t="s">
        <v>19</v>
      </c>
      <c r="H3207" t="s">
        <v>15</v>
      </c>
      <c r="I3207" s="2">
        <v>2.8</v>
      </c>
      <c r="J3207" s="4">
        <v>20</v>
      </c>
      <c r="K3207" s="3">
        <v>5</v>
      </c>
      <c r="L3207" s="1">
        <f t="shared" si="150"/>
        <v>68.072000000000003</v>
      </c>
      <c r="M3207" t="str" cm="1">
        <f t="array" ref="M3207">_xlfn.IFS(B3207&lt;18,"Under 18",B3207 &lt;=25,"18-25",B3207&lt;=35,"26-35",B3207&lt;=45,"36-45",B3207&lt;=60,"46-60",TRUE,"60+")</f>
        <v>26-35</v>
      </c>
      <c r="N3207" t="str">
        <f t="shared" si="151"/>
        <v>Discounted</v>
      </c>
      <c r="O3207" t="str">
        <f t="shared" si="152"/>
        <v>Returning</v>
      </c>
    </row>
    <row r="3208" spans="1:15" x14ac:dyDescent="0.25">
      <c r="A3208">
        <v>3207</v>
      </c>
      <c r="B3208">
        <v>61</v>
      </c>
      <c r="C3208" t="s">
        <v>16</v>
      </c>
      <c r="D3208" t="s">
        <v>17</v>
      </c>
      <c r="E3208" t="s">
        <v>18</v>
      </c>
      <c r="F3208" s="1">
        <v>46.79</v>
      </c>
      <c r="G3208" t="s">
        <v>24</v>
      </c>
      <c r="H3208" t="s">
        <v>37</v>
      </c>
      <c r="I3208" s="2">
        <v>3.8</v>
      </c>
      <c r="J3208" s="4">
        <v>13</v>
      </c>
      <c r="K3208" s="3">
        <v>4</v>
      </c>
      <c r="L3208" s="1">
        <f t="shared" si="150"/>
        <v>40.707299999999996</v>
      </c>
      <c r="M3208" t="str" cm="1">
        <f t="array" ref="M3208">_xlfn.IFS(B3208&lt;18,"Under 18",B3208 &lt;=25,"18-25",B3208&lt;=35,"26-35",B3208&lt;=45,"36-45",B3208&lt;=60,"46-60",TRUE,"60+")</f>
        <v>60+</v>
      </c>
      <c r="N3208" t="str">
        <f t="shared" si="151"/>
        <v>Discounted</v>
      </c>
      <c r="O3208" t="str">
        <f t="shared" si="152"/>
        <v>Returning</v>
      </c>
    </row>
    <row r="3209" spans="1:15" x14ac:dyDescent="0.25">
      <c r="A3209">
        <v>3208</v>
      </c>
      <c r="B3209">
        <v>55</v>
      </c>
      <c r="C3209" t="s">
        <v>16</v>
      </c>
      <c r="D3209" t="s">
        <v>20</v>
      </c>
      <c r="E3209" t="s">
        <v>21</v>
      </c>
      <c r="F3209" s="1">
        <v>164.44</v>
      </c>
      <c r="G3209" t="s">
        <v>14</v>
      </c>
      <c r="H3209" t="s">
        <v>15</v>
      </c>
      <c r="I3209" s="2">
        <v>3.7</v>
      </c>
      <c r="J3209" s="4">
        <v>12</v>
      </c>
      <c r="K3209" s="3">
        <v>6</v>
      </c>
      <c r="L3209" s="1">
        <f t="shared" si="150"/>
        <v>144.7072</v>
      </c>
      <c r="M3209" t="str" cm="1">
        <f t="array" ref="M3209">_xlfn.IFS(B3209&lt;18,"Under 18",B3209 &lt;=25,"18-25",B3209&lt;=35,"26-35",B3209&lt;=45,"36-45",B3209&lt;=60,"46-60",TRUE,"60+")</f>
        <v>46-60</v>
      </c>
      <c r="N3209" t="str">
        <f t="shared" si="151"/>
        <v>Discounted</v>
      </c>
      <c r="O3209" t="str">
        <f t="shared" si="152"/>
        <v>Returning</v>
      </c>
    </row>
    <row r="3210" spans="1:15" x14ac:dyDescent="0.25">
      <c r="A3210">
        <v>3209</v>
      </c>
      <c r="B3210">
        <v>50</v>
      </c>
      <c r="C3210" t="s">
        <v>16</v>
      </c>
      <c r="D3210" t="s">
        <v>17</v>
      </c>
      <c r="E3210" t="s">
        <v>48</v>
      </c>
      <c r="F3210" s="1">
        <v>73.98</v>
      </c>
      <c r="G3210" t="s">
        <v>19</v>
      </c>
      <c r="H3210" t="s">
        <v>15</v>
      </c>
      <c r="I3210" s="2">
        <v>5</v>
      </c>
      <c r="J3210" s="4">
        <v>23</v>
      </c>
      <c r="K3210" s="3">
        <v>9</v>
      </c>
      <c r="L3210" s="1">
        <f t="shared" si="150"/>
        <v>56.964600000000004</v>
      </c>
      <c r="M3210" t="str" cm="1">
        <f t="array" ref="M3210">_xlfn.IFS(B3210&lt;18,"Under 18",B3210 &lt;=25,"18-25",B3210&lt;=35,"26-35",B3210&lt;=45,"36-45",B3210&lt;=60,"46-60",TRUE,"60+")</f>
        <v>46-60</v>
      </c>
      <c r="N3210" t="str">
        <f t="shared" si="151"/>
        <v>Discounted</v>
      </c>
      <c r="O3210" t="str">
        <f t="shared" si="152"/>
        <v>Returning</v>
      </c>
    </row>
    <row r="3211" spans="1:15" x14ac:dyDescent="0.25">
      <c r="A3211">
        <v>3210</v>
      </c>
      <c r="B3211">
        <v>23</v>
      </c>
      <c r="C3211" t="s">
        <v>11</v>
      </c>
      <c r="D3211" t="s">
        <v>29</v>
      </c>
      <c r="E3211" t="s">
        <v>51</v>
      </c>
      <c r="F3211" s="1">
        <v>145.91</v>
      </c>
      <c r="G3211" t="s">
        <v>31</v>
      </c>
      <c r="H3211" t="s">
        <v>15</v>
      </c>
      <c r="I3211" s="2">
        <v>3.3</v>
      </c>
      <c r="J3211" s="4">
        <v>18</v>
      </c>
      <c r="K3211" s="3">
        <v>4</v>
      </c>
      <c r="L3211" s="1">
        <f t="shared" si="150"/>
        <v>119.64620000000001</v>
      </c>
      <c r="M3211" t="str" cm="1">
        <f t="array" ref="M3211">_xlfn.IFS(B3211&lt;18,"Under 18",B3211 &lt;=25,"18-25",B3211&lt;=35,"26-35",B3211&lt;=45,"36-45",B3211&lt;=60,"46-60",TRUE,"60+")</f>
        <v>18-25</v>
      </c>
      <c r="N3211" t="str">
        <f t="shared" si="151"/>
        <v>Discounted</v>
      </c>
      <c r="O3211" t="str">
        <f t="shared" si="152"/>
        <v>Returning</v>
      </c>
    </row>
    <row r="3212" spans="1:15" x14ac:dyDescent="0.25">
      <c r="A3212">
        <v>3211</v>
      </c>
      <c r="B3212">
        <v>26</v>
      </c>
      <c r="C3212" t="s">
        <v>16</v>
      </c>
      <c r="D3212" t="s">
        <v>33</v>
      </c>
      <c r="E3212" t="s">
        <v>38</v>
      </c>
      <c r="F3212" s="1">
        <v>189.03</v>
      </c>
      <c r="G3212" t="s">
        <v>31</v>
      </c>
      <c r="H3212" t="s">
        <v>15</v>
      </c>
      <c r="I3212" s="2">
        <v>4.2</v>
      </c>
      <c r="J3212" s="4">
        <v>10</v>
      </c>
      <c r="K3212" s="3">
        <v>5</v>
      </c>
      <c r="L3212" s="1">
        <f t="shared" si="150"/>
        <v>170.12700000000001</v>
      </c>
      <c r="M3212" t="str" cm="1">
        <f t="array" ref="M3212">_xlfn.IFS(B3212&lt;18,"Under 18",B3212 &lt;=25,"18-25",B3212&lt;=35,"26-35",B3212&lt;=45,"36-45",B3212&lt;=60,"46-60",TRUE,"60+")</f>
        <v>26-35</v>
      </c>
      <c r="N3212" t="str">
        <f t="shared" si="151"/>
        <v>Discounted</v>
      </c>
      <c r="O3212" t="str">
        <f t="shared" si="152"/>
        <v>Returning</v>
      </c>
    </row>
    <row r="3213" spans="1:15" x14ac:dyDescent="0.25">
      <c r="A3213">
        <v>3212</v>
      </c>
      <c r="B3213">
        <v>41</v>
      </c>
      <c r="C3213" t="s">
        <v>11</v>
      </c>
      <c r="D3213" t="s">
        <v>29</v>
      </c>
      <c r="E3213" t="s">
        <v>51</v>
      </c>
      <c r="F3213" s="1">
        <v>105.87</v>
      </c>
      <c r="G3213" t="s">
        <v>31</v>
      </c>
      <c r="H3213" t="s">
        <v>15</v>
      </c>
      <c r="I3213" s="2">
        <v>4.9000000000000004</v>
      </c>
      <c r="J3213" s="4">
        <v>13</v>
      </c>
      <c r="K3213" s="3">
        <v>4</v>
      </c>
      <c r="L3213" s="1">
        <f t="shared" si="150"/>
        <v>92.10690000000001</v>
      </c>
      <c r="M3213" t="str" cm="1">
        <f t="array" ref="M3213">_xlfn.IFS(B3213&lt;18,"Under 18",B3213 &lt;=25,"18-25",B3213&lt;=35,"26-35",B3213&lt;=45,"36-45",B3213&lt;=60,"46-60",TRUE,"60+")</f>
        <v>36-45</v>
      </c>
      <c r="N3213" t="str">
        <f t="shared" si="151"/>
        <v>Discounted</v>
      </c>
      <c r="O3213" t="str">
        <f t="shared" si="152"/>
        <v>Returning</v>
      </c>
    </row>
    <row r="3214" spans="1:15" x14ac:dyDescent="0.25">
      <c r="A3214">
        <v>3213</v>
      </c>
      <c r="B3214">
        <v>45</v>
      </c>
      <c r="C3214" t="s">
        <v>16</v>
      </c>
      <c r="D3214" t="s">
        <v>22</v>
      </c>
      <c r="E3214" t="s">
        <v>23</v>
      </c>
      <c r="F3214" s="1">
        <v>170.97</v>
      </c>
      <c r="G3214" t="s">
        <v>24</v>
      </c>
      <c r="H3214" t="s">
        <v>15</v>
      </c>
      <c r="I3214" s="2">
        <v>4.4000000000000004</v>
      </c>
      <c r="J3214" s="4">
        <v>12</v>
      </c>
      <c r="K3214" s="3">
        <v>6</v>
      </c>
      <c r="L3214" s="1">
        <f t="shared" si="150"/>
        <v>150.45359999999999</v>
      </c>
      <c r="M3214" t="str" cm="1">
        <f t="array" ref="M3214">_xlfn.IFS(B3214&lt;18,"Under 18",B3214 &lt;=25,"18-25",B3214&lt;=35,"26-35",B3214&lt;=45,"36-45",B3214&lt;=60,"46-60",TRUE,"60+")</f>
        <v>36-45</v>
      </c>
      <c r="N3214" t="str">
        <f t="shared" si="151"/>
        <v>Discounted</v>
      </c>
      <c r="O3214" t="str">
        <f t="shared" si="152"/>
        <v>Returning</v>
      </c>
    </row>
    <row r="3215" spans="1:15" x14ac:dyDescent="0.25">
      <c r="A3215">
        <v>3214</v>
      </c>
      <c r="B3215">
        <v>27</v>
      </c>
      <c r="C3215" t="s">
        <v>11</v>
      </c>
      <c r="D3215" t="s">
        <v>33</v>
      </c>
      <c r="E3215" t="s">
        <v>40</v>
      </c>
      <c r="F3215" s="1">
        <v>77.2</v>
      </c>
      <c r="G3215" t="s">
        <v>24</v>
      </c>
      <c r="H3215" t="s">
        <v>37</v>
      </c>
      <c r="I3215" s="2">
        <v>4.2</v>
      </c>
      <c r="J3215" s="4">
        <v>15</v>
      </c>
      <c r="K3215" s="3">
        <v>5</v>
      </c>
      <c r="L3215" s="1">
        <f t="shared" si="150"/>
        <v>65.62</v>
      </c>
      <c r="M3215" t="str" cm="1">
        <f t="array" ref="M3215">_xlfn.IFS(B3215&lt;18,"Under 18",B3215 &lt;=25,"18-25",B3215&lt;=35,"26-35",B3215&lt;=45,"36-45",B3215&lt;=60,"46-60",TRUE,"60+")</f>
        <v>26-35</v>
      </c>
      <c r="N3215" t="str">
        <f t="shared" si="151"/>
        <v>Discounted</v>
      </c>
      <c r="O3215" t="str">
        <f t="shared" si="152"/>
        <v>Returning</v>
      </c>
    </row>
    <row r="3216" spans="1:15" x14ac:dyDescent="0.25">
      <c r="A3216">
        <v>3215</v>
      </c>
      <c r="B3216">
        <v>21</v>
      </c>
      <c r="C3216" t="s">
        <v>11</v>
      </c>
      <c r="D3216" t="s">
        <v>29</v>
      </c>
      <c r="E3216" t="s">
        <v>55</v>
      </c>
      <c r="F3216" s="1">
        <v>147</v>
      </c>
      <c r="G3216" t="s">
        <v>24</v>
      </c>
      <c r="H3216" t="s">
        <v>15</v>
      </c>
      <c r="I3216" s="2">
        <v>3.4</v>
      </c>
      <c r="J3216" s="4">
        <v>8</v>
      </c>
      <c r="K3216" s="3">
        <v>4</v>
      </c>
      <c r="L3216" s="1">
        <f t="shared" si="150"/>
        <v>135.24</v>
      </c>
      <c r="M3216" t="str" cm="1">
        <f t="array" ref="M3216">_xlfn.IFS(B3216&lt;18,"Under 18",B3216 &lt;=25,"18-25",B3216&lt;=35,"26-35",B3216&lt;=45,"36-45",B3216&lt;=60,"46-60",TRUE,"60+")</f>
        <v>18-25</v>
      </c>
      <c r="N3216" t="str">
        <f t="shared" si="151"/>
        <v>Discounted</v>
      </c>
      <c r="O3216" t="str">
        <f t="shared" si="152"/>
        <v>Returning</v>
      </c>
    </row>
    <row r="3217" spans="1:15" x14ac:dyDescent="0.25">
      <c r="A3217">
        <v>3216</v>
      </c>
      <c r="B3217">
        <v>46</v>
      </c>
      <c r="C3217" t="s">
        <v>11</v>
      </c>
      <c r="D3217" t="s">
        <v>41</v>
      </c>
      <c r="E3217" t="s">
        <v>44</v>
      </c>
      <c r="F3217" s="1">
        <v>30.57</v>
      </c>
      <c r="G3217" t="s">
        <v>24</v>
      </c>
      <c r="H3217" t="s">
        <v>15</v>
      </c>
      <c r="I3217" s="2">
        <v>4.2</v>
      </c>
      <c r="J3217" s="4">
        <v>6</v>
      </c>
      <c r="K3217" s="3">
        <v>3</v>
      </c>
      <c r="L3217" s="1">
        <f t="shared" si="150"/>
        <v>28.735799999999998</v>
      </c>
      <c r="M3217" t="str" cm="1">
        <f t="array" ref="M3217">_xlfn.IFS(B3217&lt;18,"Under 18",B3217 &lt;=25,"18-25",B3217&lt;=35,"26-35",B3217&lt;=45,"36-45",B3217&lt;=60,"46-60",TRUE,"60+")</f>
        <v>46-60</v>
      </c>
      <c r="N3217" t="str">
        <f t="shared" si="151"/>
        <v>Discounted</v>
      </c>
      <c r="O3217" t="str">
        <f t="shared" si="152"/>
        <v>Returning</v>
      </c>
    </row>
    <row r="3218" spans="1:15" x14ac:dyDescent="0.25">
      <c r="A3218">
        <v>3217</v>
      </c>
      <c r="B3218">
        <v>23</v>
      </c>
      <c r="C3218" t="s">
        <v>16</v>
      </c>
      <c r="D3218" t="s">
        <v>33</v>
      </c>
      <c r="E3218" t="s">
        <v>40</v>
      </c>
      <c r="F3218" s="1">
        <v>232.37</v>
      </c>
      <c r="G3218" t="s">
        <v>14</v>
      </c>
      <c r="H3218" t="s">
        <v>15</v>
      </c>
      <c r="I3218" s="2">
        <v>4.2</v>
      </c>
      <c r="J3218" s="4">
        <v>23</v>
      </c>
      <c r="K3218" s="3">
        <v>9</v>
      </c>
      <c r="L3218" s="1">
        <f t="shared" si="150"/>
        <v>178.92490000000001</v>
      </c>
      <c r="M3218" t="str" cm="1">
        <f t="array" ref="M3218">_xlfn.IFS(B3218&lt;18,"Under 18",B3218 &lt;=25,"18-25",B3218&lt;=35,"26-35",B3218&lt;=45,"36-45",B3218&lt;=60,"46-60",TRUE,"60+")</f>
        <v>18-25</v>
      </c>
      <c r="N3218" t="str">
        <f t="shared" si="151"/>
        <v>Discounted</v>
      </c>
      <c r="O3218" t="str">
        <f t="shared" si="152"/>
        <v>Returning</v>
      </c>
    </row>
    <row r="3219" spans="1:15" x14ac:dyDescent="0.25">
      <c r="A3219">
        <v>3218</v>
      </c>
      <c r="B3219">
        <v>59</v>
      </c>
      <c r="C3219" t="s">
        <v>16</v>
      </c>
      <c r="D3219" t="s">
        <v>20</v>
      </c>
      <c r="E3219" t="s">
        <v>36</v>
      </c>
      <c r="F3219" s="1">
        <v>234.52</v>
      </c>
      <c r="G3219" t="s">
        <v>24</v>
      </c>
      <c r="H3219" t="s">
        <v>15</v>
      </c>
      <c r="I3219" s="2">
        <v>4.0999999999999996</v>
      </c>
      <c r="J3219" s="4">
        <v>22</v>
      </c>
      <c r="K3219" s="3">
        <v>6</v>
      </c>
      <c r="L3219" s="1">
        <f t="shared" si="150"/>
        <v>182.9256</v>
      </c>
      <c r="M3219" t="str" cm="1">
        <f t="array" ref="M3219">_xlfn.IFS(B3219&lt;18,"Under 18",B3219 &lt;=25,"18-25",B3219&lt;=35,"26-35",B3219&lt;=45,"36-45",B3219&lt;=60,"46-60",TRUE,"60+")</f>
        <v>46-60</v>
      </c>
      <c r="N3219" t="str">
        <f t="shared" si="151"/>
        <v>Discounted</v>
      </c>
      <c r="O3219" t="str">
        <f t="shared" si="152"/>
        <v>Returning</v>
      </c>
    </row>
    <row r="3220" spans="1:15" x14ac:dyDescent="0.25">
      <c r="A3220">
        <v>3219</v>
      </c>
      <c r="B3220">
        <v>52</v>
      </c>
      <c r="C3220" t="s">
        <v>11</v>
      </c>
      <c r="D3220" t="s">
        <v>29</v>
      </c>
      <c r="E3220" t="s">
        <v>30</v>
      </c>
      <c r="F3220" s="1">
        <v>130.99</v>
      </c>
      <c r="G3220" t="s">
        <v>24</v>
      </c>
      <c r="H3220" t="s">
        <v>15</v>
      </c>
      <c r="I3220" s="2">
        <v>5</v>
      </c>
      <c r="J3220" s="4">
        <v>24</v>
      </c>
      <c r="K3220" s="3">
        <v>7</v>
      </c>
      <c r="L3220" s="1">
        <f t="shared" si="150"/>
        <v>99.552400000000006</v>
      </c>
      <c r="M3220" t="str" cm="1">
        <f t="array" ref="M3220">_xlfn.IFS(B3220&lt;18,"Under 18",B3220 &lt;=25,"18-25",B3220&lt;=35,"26-35",B3220&lt;=45,"36-45",B3220&lt;=60,"46-60",TRUE,"60+")</f>
        <v>46-60</v>
      </c>
      <c r="N3220" t="str">
        <f t="shared" si="151"/>
        <v>Discounted</v>
      </c>
      <c r="O3220" t="str">
        <f t="shared" si="152"/>
        <v>Returning</v>
      </c>
    </row>
    <row r="3221" spans="1:15" x14ac:dyDescent="0.25">
      <c r="A3221">
        <v>3220</v>
      </c>
      <c r="B3221">
        <v>36</v>
      </c>
      <c r="C3221" t="s">
        <v>16</v>
      </c>
      <c r="D3221" t="s">
        <v>20</v>
      </c>
      <c r="E3221" t="s">
        <v>21</v>
      </c>
      <c r="F3221" s="1">
        <v>51.47</v>
      </c>
      <c r="G3221" t="s">
        <v>24</v>
      </c>
      <c r="H3221" t="s">
        <v>15</v>
      </c>
      <c r="I3221" s="2">
        <v>2.4</v>
      </c>
      <c r="J3221" s="4">
        <v>6</v>
      </c>
      <c r="K3221" s="3">
        <v>3</v>
      </c>
      <c r="L3221" s="1">
        <f t="shared" si="150"/>
        <v>48.381799999999998</v>
      </c>
      <c r="M3221" t="str" cm="1">
        <f t="array" ref="M3221">_xlfn.IFS(B3221&lt;18,"Under 18",B3221 &lt;=25,"18-25",B3221&lt;=35,"26-35",B3221&lt;=45,"36-45",B3221&lt;=60,"46-60",TRUE,"60+")</f>
        <v>36-45</v>
      </c>
      <c r="N3221" t="str">
        <f t="shared" si="151"/>
        <v>Discounted</v>
      </c>
      <c r="O3221" t="str">
        <f t="shared" si="152"/>
        <v>Returning</v>
      </c>
    </row>
    <row r="3222" spans="1:15" x14ac:dyDescent="0.25">
      <c r="A3222">
        <v>3221</v>
      </c>
      <c r="B3222">
        <v>40</v>
      </c>
      <c r="C3222" t="s">
        <v>11</v>
      </c>
      <c r="D3222" t="s">
        <v>12</v>
      </c>
      <c r="E3222" t="s">
        <v>50</v>
      </c>
      <c r="F3222" s="1">
        <v>160.63</v>
      </c>
      <c r="G3222" t="s">
        <v>31</v>
      </c>
      <c r="H3222" t="s">
        <v>15</v>
      </c>
      <c r="I3222" s="2">
        <v>2.8</v>
      </c>
      <c r="J3222" s="4">
        <v>14</v>
      </c>
      <c r="K3222" s="3">
        <v>7</v>
      </c>
      <c r="L3222" s="1">
        <f t="shared" si="150"/>
        <v>138.14179999999999</v>
      </c>
      <c r="M3222" t="str" cm="1">
        <f t="array" ref="M3222">_xlfn.IFS(B3222&lt;18,"Under 18",B3222 &lt;=25,"18-25",B3222&lt;=35,"26-35",B3222&lt;=45,"36-45",B3222&lt;=60,"46-60",TRUE,"60+")</f>
        <v>36-45</v>
      </c>
      <c r="N3222" t="str">
        <f t="shared" si="151"/>
        <v>Discounted</v>
      </c>
      <c r="O3222" t="str">
        <f t="shared" si="152"/>
        <v>Returning</v>
      </c>
    </row>
    <row r="3223" spans="1:15" x14ac:dyDescent="0.25">
      <c r="A3223">
        <v>3222</v>
      </c>
      <c r="B3223">
        <v>50</v>
      </c>
      <c r="C3223" t="s">
        <v>16</v>
      </c>
      <c r="D3223" t="s">
        <v>22</v>
      </c>
      <c r="E3223" t="s">
        <v>52</v>
      </c>
      <c r="F3223" s="1">
        <v>122.41</v>
      </c>
      <c r="G3223" t="s">
        <v>19</v>
      </c>
      <c r="H3223" t="s">
        <v>15</v>
      </c>
      <c r="I3223" s="2">
        <v>3.9</v>
      </c>
      <c r="J3223" s="4">
        <v>16</v>
      </c>
      <c r="K3223" s="3">
        <v>8</v>
      </c>
      <c r="L3223" s="1">
        <f t="shared" si="150"/>
        <v>102.8244</v>
      </c>
      <c r="M3223" t="str" cm="1">
        <f t="array" ref="M3223">_xlfn.IFS(B3223&lt;18,"Under 18",B3223 &lt;=25,"18-25",B3223&lt;=35,"26-35",B3223&lt;=45,"36-45",B3223&lt;=60,"46-60",TRUE,"60+")</f>
        <v>46-60</v>
      </c>
      <c r="N3223" t="str">
        <f t="shared" si="151"/>
        <v>Discounted</v>
      </c>
      <c r="O3223" t="str">
        <f t="shared" si="152"/>
        <v>Returning</v>
      </c>
    </row>
    <row r="3224" spans="1:15" x14ac:dyDescent="0.25">
      <c r="A3224">
        <v>3223</v>
      </c>
      <c r="B3224">
        <v>39</v>
      </c>
      <c r="C3224" t="s">
        <v>16</v>
      </c>
      <c r="D3224" t="s">
        <v>22</v>
      </c>
      <c r="E3224" t="s">
        <v>43</v>
      </c>
      <c r="F3224" s="1">
        <v>113.22</v>
      </c>
      <c r="G3224" t="s">
        <v>19</v>
      </c>
      <c r="H3224" t="s">
        <v>15</v>
      </c>
      <c r="I3224" s="2">
        <v>3.1</v>
      </c>
      <c r="J3224" s="4">
        <v>30</v>
      </c>
      <c r="K3224" s="3">
        <v>10</v>
      </c>
      <c r="L3224" s="1">
        <f t="shared" si="150"/>
        <v>79.253999999999991</v>
      </c>
      <c r="M3224" t="str" cm="1">
        <f t="array" ref="M3224">_xlfn.IFS(B3224&lt;18,"Under 18",B3224 &lt;=25,"18-25",B3224&lt;=35,"26-35",B3224&lt;=45,"36-45",B3224&lt;=60,"46-60",TRUE,"60+")</f>
        <v>36-45</v>
      </c>
      <c r="N3224" t="str">
        <f t="shared" si="151"/>
        <v>Discounted</v>
      </c>
      <c r="O3224" t="str">
        <f t="shared" si="152"/>
        <v>Returning</v>
      </c>
    </row>
    <row r="3225" spans="1:15" x14ac:dyDescent="0.25">
      <c r="A3225">
        <v>3224</v>
      </c>
      <c r="B3225">
        <v>65</v>
      </c>
      <c r="C3225" t="s">
        <v>11</v>
      </c>
      <c r="D3225" t="s">
        <v>29</v>
      </c>
      <c r="E3225" t="s">
        <v>51</v>
      </c>
      <c r="F3225" s="1">
        <v>84.88</v>
      </c>
      <c r="G3225" t="s">
        <v>24</v>
      </c>
      <c r="H3225" t="s">
        <v>37</v>
      </c>
      <c r="I3225" s="2">
        <v>2.7</v>
      </c>
      <c r="J3225" s="4">
        <v>18</v>
      </c>
      <c r="K3225" s="3">
        <v>4</v>
      </c>
      <c r="L3225" s="1">
        <f t="shared" si="150"/>
        <v>69.601600000000005</v>
      </c>
      <c r="M3225" t="str" cm="1">
        <f t="array" ref="M3225">_xlfn.IFS(B3225&lt;18,"Under 18",B3225 &lt;=25,"18-25",B3225&lt;=35,"26-35",B3225&lt;=45,"36-45",B3225&lt;=60,"46-60",TRUE,"60+")</f>
        <v>60+</v>
      </c>
      <c r="N3225" t="str">
        <f t="shared" si="151"/>
        <v>Discounted</v>
      </c>
      <c r="O3225" t="str">
        <f t="shared" si="152"/>
        <v>Returning</v>
      </c>
    </row>
    <row r="3226" spans="1:15" x14ac:dyDescent="0.25">
      <c r="A3226">
        <v>3225</v>
      </c>
      <c r="B3226">
        <v>52</v>
      </c>
      <c r="C3226" t="s">
        <v>11</v>
      </c>
      <c r="D3226" t="s">
        <v>29</v>
      </c>
      <c r="E3226" t="s">
        <v>55</v>
      </c>
      <c r="F3226" s="1">
        <v>22.73</v>
      </c>
      <c r="G3226" t="s">
        <v>19</v>
      </c>
      <c r="H3226" t="s">
        <v>15</v>
      </c>
      <c r="I3226" s="2">
        <v>3.4</v>
      </c>
      <c r="J3226" s="4">
        <v>6</v>
      </c>
      <c r="K3226" s="3">
        <v>3</v>
      </c>
      <c r="L3226" s="1">
        <f t="shared" si="150"/>
        <v>21.366199999999999</v>
      </c>
      <c r="M3226" t="str" cm="1">
        <f t="array" ref="M3226">_xlfn.IFS(B3226&lt;18,"Under 18",B3226 &lt;=25,"18-25",B3226&lt;=35,"26-35",B3226&lt;=45,"36-45",B3226&lt;=60,"46-60",TRUE,"60+")</f>
        <v>46-60</v>
      </c>
      <c r="N3226" t="str">
        <f t="shared" si="151"/>
        <v>Discounted</v>
      </c>
      <c r="O3226" t="str">
        <f t="shared" si="152"/>
        <v>Returning</v>
      </c>
    </row>
    <row r="3227" spans="1:15" x14ac:dyDescent="0.25">
      <c r="A3227">
        <v>3226</v>
      </c>
      <c r="B3227">
        <v>54</v>
      </c>
      <c r="C3227" t="s">
        <v>11</v>
      </c>
      <c r="D3227" t="s">
        <v>33</v>
      </c>
      <c r="E3227" t="s">
        <v>40</v>
      </c>
      <c r="F3227" s="1">
        <v>226.11</v>
      </c>
      <c r="G3227" t="s">
        <v>31</v>
      </c>
      <c r="H3227" t="s">
        <v>15</v>
      </c>
      <c r="I3227" s="2">
        <v>4.5</v>
      </c>
      <c r="J3227" s="4">
        <v>17</v>
      </c>
      <c r="K3227" s="3">
        <v>6</v>
      </c>
      <c r="L3227" s="1">
        <f t="shared" si="150"/>
        <v>187.6713</v>
      </c>
      <c r="M3227" t="str" cm="1">
        <f t="array" ref="M3227">_xlfn.IFS(B3227&lt;18,"Under 18",B3227 &lt;=25,"18-25",B3227&lt;=35,"26-35",B3227&lt;=45,"36-45",B3227&lt;=60,"46-60",TRUE,"60+")</f>
        <v>46-60</v>
      </c>
      <c r="N3227" t="str">
        <f t="shared" si="151"/>
        <v>Discounted</v>
      </c>
      <c r="O3227" t="str">
        <f t="shared" si="152"/>
        <v>Returning</v>
      </c>
    </row>
    <row r="3228" spans="1:15" x14ac:dyDescent="0.25">
      <c r="A3228">
        <v>3227</v>
      </c>
      <c r="B3228">
        <v>64</v>
      </c>
      <c r="C3228" t="s">
        <v>11</v>
      </c>
      <c r="D3228" t="s">
        <v>20</v>
      </c>
      <c r="E3228" t="s">
        <v>36</v>
      </c>
      <c r="F3228" s="1">
        <v>208.59</v>
      </c>
      <c r="G3228" t="s">
        <v>19</v>
      </c>
      <c r="H3228" t="s">
        <v>15</v>
      </c>
      <c r="I3228" s="2">
        <v>2.8</v>
      </c>
      <c r="J3228" s="4">
        <v>8</v>
      </c>
      <c r="K3228" s="3">
        <v>4</v>
      </c>
      <c r="L3228" s="1">
        <f t="shared" si="150"/>
        <v>191.90280000000001</v>
      </c>
      <c r="M3228" t="str" cm="1">
        <f t="array" ref="M3228">_xlfn.IFS(B3228&lt;18,"Under 18",B3228 &lt;=25,"18-25",B3228&lt;=35,"26-35",B3228&lt;=45,"36-45",B3228&lt;=60,"46-60",TRUE,"60+")</f>
        <v>60+</v>
      </c>
      <c r="N3228" t="str">
        <f t="shared" si="151"/>
        <v>Discounted</v>
      </c>
      <c r="O3228" t="str">
        <f t="shared" si="152"/>
        <v>Returning</v>
      </c>
    </row>
    <row r="3229" spans="1:15" x14ac:dyDescent="0.25">
      <c r="A3229">
        <v>3228</v>
      </c>
      <c r="B3229">
        <v>53</v>
      </c>
      <c r="C3229" t="s">
        <v>16</v>
      </c>
      <c r="D3229" t="s">
        <v>20</v>
      </c>
      <c r="E3229" t="s">
        <v>21</v>
      </c>
      <c r="F3229" s="1">
        <v>120.33</v>
      </c>
      <c r="G3229" t="s">
        <v>19</v>
      </c>
      <c r="H3229" t="s">
        <v>15</v>
      </c>
      <c r="I3229" s="2">
        <v>3.7</v>
      </c>
      <c r="J3229" s="4">
        <v>6</v>
      </c>
      <c r="K3229" s="3">
        <v>3</v>
      </c>
      <c r="L3229" s="1">
        <f t="shared" si="150"/>
        <v>113.11019999999999</v>
      </c>
      <c r="M3229" t="str" cm="1">
        <f t="array" ref="M3229">_xlfn.IFS(B3229&lt;18,"Under 18",B3229 &lt;=25,"18-25",B3229&lt;=35,"26-35",B3229&lt;=45,"36-45",B3229&lt;=60,"46-60",TRUE,"60+")</f>
        <v>46-60</v>
      </c>
      <c r="N3229" t="str">
        <f t="shared" si="151"/>
        <v>Discounted</v>
      </c>
      <c r="O3229" t="str">
        <f t="shared" si="152"/>
        <v>Returning</v>
      </c>
    </row>
    <row r="3230" spans="1:15" x14ac:dyDescent="0.25">
      <c r="A3230">
        <v>3229</v>
      </c>
      <c r="B3230">
        <v>29</v>
      </c>
      <c r="C3230" t="s">
        <v>16</v>
      </c>
      <c r="D3230" t="s">
        <v>25</v>
      </c>
      <c r="E3230" t="s">
        <v>47</v>
      </c>
      <c r="F3230" s="1">
        <v>41.86</v>
      </c>
      <c r="G3230" t="s">
        <v>19</v>
      </c>
      <c r="H3230" t="s">
        <v>37</v>
      </c>
      <c r="I3230" s="2">
        <v>4</v>
      </c>
      <c r="J3230" s="4">
        <v>18</v>
      </c>
      <c r="K3230" s="3">
        <v>4</v>
      </c>
      <c r="L3230" s="1">
        <f t="shared" si="150"/>
        <v>34.325200000000002</v>
      </c>
      <c r="M3230" t="str" cm="1">
        <f t="array" ref="M3230">_xlfn.IFS(B3230&lt;18,"Under 18",B3230 &lt;=25,"18-25",B3230&lt;=35,"26-35",B3230&lt;=45,"36-45",B3230&lt;=60,"46-60",TRUE,"60+")</f>
        <v>26-35</v>
      </c>
      <c r="N3230" t="str">
        <f t="shared" si="151"/>
        <v>Discounted</v>
      </c>
      <c r="O3230" t="str">
        <f t="shared" si="152"/>
        <v>Returning</v>
      </c>
    </row>
    <row r="3231" spans="1:15" x14ac:dyDescent="0.25">
      <c r="A3231">
        <v>3230</v>
      </c>
      <c r="B3231">
        <v>50</v>
      </c>
      <c r="C3231" t="s">
        <v>16</v>
      </c>
      <c r="D3231" t="s">
        <v>20</v>
      </c>
      <c r="E3231" t="s">
        <v>39</v>
      </c>
      <c r="F3231" s="1">
        <v>31.06</v>
      </c>
      <c r="G3231" t="s">
        <v>24</v>
      </c>
      <c r="H3231" t="s">
        <v>15</v>
      </c>
      <c r="I3231" s="2">
        <v>3</v>
      </c>
      <c r="J3231" s="4">
        <v>12</v>
      </c>
      <c r="K3231" s="3">
        <v>6</v>
      </c>
      <c r="L3231" s="1">
        <f t="shared" si="150"/>
        <v>27.332799999999999</v>
      </c>
      <c r="M3231" t="str" cm="1">
        <f t="array" ref="M3231">_xlfn.IFS(B3231&lt;18,"Under 18",B3231 &lt;=25,"18-25",B3231&lt;=35,"26-35",B3231&lt;=45,"36-45",B3231&lt;=60,"46-60",TRUE,"60+")</f>
        <v>46-60</v>
      </c>
      <c r="N3231" t="str">
        <f t="shared" si="151"/>
        <v>Discounted</v>
      </c>
      <c r="O3231" t="str">
        <f t="shared" si="152"/>
        <v>Returning</v>
      </c>
    </row>
    <row r="3232" spans="1:15" x14ac:dyDescent="0.25">
      <c r="A3232">
        <v>3231</v>
      </c>
      <c r="B3232">
        <v>51</v>
      </c>
      <c r="C3232" t="s">
        <v>16</v>
      </c>
      <c r="D3232" t="s">
        <v>33</v>
      </c>
      <c r="E3232" t="s">
        <v>38</v>
      </c>
      <c r="F3232" s="1">
        <v>46.87</v>
      </c>
      <c r="G3232" t="s">
        <v>31</v>
      </c>
      <c r="H3232" t="s">
        <v>37</v>
      </c>
      <c r="I3232" s="2">
        <v>3.5</v>
      </c>
      <c r="J3232" s="4">
        <v>15</v>
      </c>
      <c r="K3232" s="3">
        <v>5</v>
      </c>
      <c r="L3232" s="1">
        <f t="shared" si="150"/>
        <v>39.839499999999994</v>
      </c>
      <c r="M3232" t="str" cm="1">
        <f t="array" ref="M3232">_xlfn.IFS(B3232&lt;18,"Under 18",B3232 &lt;=25,"18-25",B3232&lt;=35,"26-35",B3232&lt;=45,"36-45",B3232&lt;=60,"46-60",TRUE,"60+")</f>
        <v>46-60</v>
      </c>
      <c r="N3232" t="str">
        <f t="shared" si="151"/>
        <v>Discounted</v>
      </c>
      <c r="O3232" t="str">
        <f t="shared" si="152"/>
        <v>Returning</v>
      </c>
    </row>
    <row r="3233" spans="1:15" x14ac:dyDescent="0.25">
      <c r="A3233">
        <v>3232</v>
      </c>
      <c r="B3233">
        <v>70</v>
      </c>
      <c r="C3233" t="s">
        <v>11</v>
      </c>
      <c r="D3233" t="s">
        <v>12</v>
      </c>
      <c r="E3233" t="s">
        <v>56</v>
      </c>
      <c r="F3233" s="1">
        <v>124.66</v>
      </c>
      <c r="G3233" t="s">
        <v>19</v>
      </c>
      <c r="H3233" t="s">
        <v>15</v>
      </c>
      <c r="I3233" s="2">
        <v>4.5999999999999996</v>
      </c>
      <c r="J3233" s="4">
        <v>19</v>
      </c>
      <c r="K3233" s="3">
        <v>7</v>
      </c>
      <c r="L3233" s="1">
        <f t="shared" si="150"/>
        <v>100.97460000000001</v>
      </c>
      <c r="M3233" t="str" cm="1">
        <f t="array" ref="M3233">_xlfn.IFS(B3233&lt;18,"Under 18",B3233 &lt;=25,"18-25",B3233&lt;=35,"26-35",B3233&lt;=45,"36-45",B3233&lt;=60,"46-60",TRUE,"60+")</f>
        <v>60+</v>
      </c>
      <c r="N3233" t="str">
        <f t="shared" si="151"/>
        <v>Discounted</v>
      </c>
      <c r="O3233" t="str">
        <f t="shared" si="152"/>
        <v>Returning</v>
      </c>
    </row>
    <row r="3234" spans="1:15" x14ac:dyDescent="0.25">
      <c r="A3234">
        <v>3233</v>
      </c>
      <c r="B3234">
        <v>32</v>
      </c>
      <c r="C3234" t="s">
        <v>11</v>
      </c>
      <c r="D3234" t="s">
        <v>22</v>
      </c>
      <c r="E3234" t="s">
        <v>43</v>
      </c>
      <c r="F3234" s="1">
        <v>101.07</v>
      </c>
      <c r="G3234" t="s">
        <v>24</v>
      </c>
      <c r="H3234" t="s">
        <v>15</v>
      </c>
      <c r="I3234" s="2">
        <v>3.6</v>
      </c>
      <c r="J3234" s="4">
        <v>6</v>
      </c>
      <c r="K3234" s="3">
        <v>3</v>
      </c>
      <c r="L3234" s="1">
        <f t="shared" si="150"/>
        <v>95.005799999999994</v>
      </c>
      <c r="M3234" t="str" cm="1">
        <f t="array" ref="M3234">_xlfn.IFS(B3234&lt;18,"Under 18",B3234 &lt;=25,"18-25",B3234&lt;=35,"26-35",B3234&lt;=45,"36-45",B3234&lt;=60,"46-60",TRUE,"60+")</f>
        <v>26-35</v>
      </c>
      <c r="N3234" t="str">
        <f t="shared" si="151"/>
        <v>Discounted</v>
      </c>
      <c r="O3234" t="str">
        <f t="shared" si="152"/>
        <v>Returning</v>
      </c>
    </row>
    <row r="3235" spans="1:15" x14ac:dyDescent="0.25">
      <c r="A3235">
        <v>3234</v>
      </c>
      <c r="B3235">
        <v>69</v>
      </c>
      <c r="C3235" t="s">
        <v>16</v>
      </c>
      <c r="D3235" t="s">
        <v>20</v>
      </c>
      <c r="E3235" t="s">
        <v>21</v>
      </c>
      <c r="F3235" s="1">
        <v>169.69</v>
      </c>
      <c r="G3235" t="s">
        <v>14</v>
      </c>
      <c r="H3235" t="s">
        <v>15</v>
      </c>
      <c r="I3235" s="2">
        <v>3.8</v>
      </c>
      <c r="J3235" s="4">
        <v>4</v>
      </c>
      <c r="K3235" s="3">
        <v>2</v>
      </c>
      <c r="L3235" s="1">
        <f t="shared" si="150"/>
        <v>162.9024</v>
      </c>
      <c r="M3235" t="str" cm="1">
        <f t="array" ref="M3235">_xlfn.IFS(B3235&lt;18,"Under 18",B3235 &lt;=25,"18-25",B3235&lt;=35,"26-35",B3235&lt;=45,"36-45",B3235&lt;=60,"46-60",TRUE,"60+")</f>
        <v>60+</v>
      </c>
      <c r="N3235" t="str">
        <f t="shared" si="151"/>
        <v>Discounted</v>
      </c>
      <c r="O3235" t="str">
        <f t="shared" si="152"/>
        <v>Returning</v>
      </c>
    </row>
    <row r="3236" spans="1:15" x14ac:dyDescent="0.25">
      <c r="A3236">
        <v>3235</v>
      </c>
      <c r="B3236">
        <v>38</v>
      </c>
      <c r="C3236" t="s">
        <v>11</v>
      </c>
      <c r="D3236" t="s">
        <v>12</v>
      </c>
      <c r="E3236" t="s">
        <v>13</v>
      </c>
      <c r="F3236" s="1">
        <v>123.74</v>
      </c>
      <c r="G3236" t="s">
        <v>14</v>
      </c>
      <c r="H3236" t="s">
        <v>15</v>
      </c>
      <c r="I3236" s="2">
        <v>3.8</v>
      </c>
      <c r="J3236" s="4">
        <v>14</v>
      </c>
      <c r="K3236" s="3">
        <v>7</v>
      </c>
      <c r="L3236" s="1">
        <f t="shared" si="150"/>
        <v>106.4164</v>
      </c>
      <c r="M3236" t="str" cm="1">
        <f t="array" ref="M3236">_xlfn.IFS(B3236&lt;18,"Under 18",B3236 &lt;=25,"18-25",B3236&lt;=35,"26-35",B3236&lt;=45,"36-45",B3236&lt;=60,"46-60",TRUE,"60+")</f>
        <v>36-45</v>
      </c>
      <c r="N3236" t="str">
        <f t="shared" si="151"/>
        <v>Discounted</v>
      </c>
      <c r="O3236" t="str">
        <f t="shared" si="152"/>
        <v>Returning</v>
      </c>
    </row>
    <row r="3237" spans="1:15" x14ac:dyDescent="0.25">
      <c r="A3237">
        <v>3236</v>
      </c>
      <c r="B3237">
        <v>45</v>
      </c>
      <c r="C3237" t="s">
        <v>16</v>
      </c>
      <c r="D3237" t="s">
        <v>33</v>
      </c>
      <c r="E3237" t="s">
        <v>40</v>
      </c>
      <c r="F3237" s="1">
        <v>118.39</v>
      </c>
      <c r="G3237" t="s">
        <v>24</v>
      </c>
      <c r="H3237" t="s">
        <v>15</v>
      </c>
      <c r="I3237" s="2">
        <v>5</v>
      </c>
      <c r="J3237" s="4">
        <v>18</v>
      </c>
      <c r="K3237" s="3">
        <v>4</v>
      </c>
      <c r="L3237" s="1">
        <f t="shared" si="150"/>
        <v>97.079800000000006</v>
      </c>
      <c r="M3237" t="str" cm="1">
        <f t="array" ref="M3237">_xlfn.IFS(B3237&lt;18,"Under 18",B3237 &lt;=25,"18-25",B3237&lt;=35,"26-35",B3237&lt;=45,"36-45",B3237&lt;=60,"46-60",TRUE,"60+")</f>
        <v>36-45</v>
      </c>
      <c r="N3237" t="str">
        <f t="shared" si="151"/>
        <v>Discounted</v>
      </c>
      <c r="O3237" t="str">
        <f t="shared" si="152"/>
        <v>Returning</v>
      </c>
    </row>
    <row r="3238" spans="1:15" x14ac:dyDescent="0.25">
      <c r="A3238">
        <v>3237</v>
      </c>
      <c r="B3238">
        <v>47</v>
      </c>
      <c r="C3238" t="s">
        <v>11</v>
      </c>
      <c r="D3238" t="s">
        <v>12</v>
      </c>
      <c r="E3238" t="s">
        <v>13</v>
      </c>
      <c r="F3238" s="1">
        <v>167.42</v>
      </c>
      <c r="G3238" t="s">
        <v>14</v>
      </c>
      <c r="H3238" t="s">
        <v>15</v>
      </c>
      <c r="I3238" s="2">
        <v>4.0999999999999996</v>
      </c>
      <c r="J3238" s="4">
        <v>13</v>
      </c>
      <c r="K3238" s="3">
        <v>4</v>
      </c>
      <c r="L3238" s="1">
        <f t="shared" si="150"/>
        <v>145.65539999999999</v>
      </c>
      <c r="M3238" t="str" cm="1">
        <f t="array" ref="M3238">_xlfn.IFS(B3238&lt;18,"Under 18",B3238 &lt;=25,"18-25",B3238&lt;=35,"26-35",B3238&lt;=45,"36-45",B3238&lt;=60,"46-60",TRUE,"60+")</f>
        <v>46-60</v>
      </c>
      <c r="N3238" t="str">
        <f t="shared" si="151"/>
        <v>Discounted</v>
      </c>
      <c r="O3238" t="str">
        <f t="shared" si="152"/>
        <v>Returning</v>
      </c>
    </row>
    <row r="3239" spans="1:15" x14ac:dyDescent="0.25">
      <c r="A3239">
        <v>3238</v>
      </c>
      <c r="B3239">
        <v>65</v>
      </c>
      <c r="C3239" t="s">
        <v>16</v>
      </c>
      <c r="D3239" t="s">
        <v>22</v>
      </c>
      <c r="E3239" t="s">
        <v>23</v>
      </c>
      <c r="F3239" s="1">
        <v>113.63</v>
      </c>
      <c r="G3239" t="s">
        <v>14</v>
      </c>
      <c r="H3239" t="s">
        <v>15</v>
      </c>
      <c r="I3239" s="2">
        <v>3.2</v>
      </c>
      <c r="J3239" s="4">
        <v>8</v>
      </c>
      <c r="K3239" s="3">
        <v>4</v>
      </c>
      <c r="L3239" s="1">
        <f t="shared" si="150"/>
        <v>104.53960000000001</v>
      </c>
      <c r="M3239" t="str" cm="1">
        <f t="array" ref="M3239">_xlfn.IFS(B3239&lt;18,"Under 18",B3239 &lt;=25,"18-25",B3239&lt;=35,"26-35",B3239&lt;=45,"36-45",B3239&lt;=60,"46-60",TRUE,"60+")</f>
        <v>60+</v>
      </c>
      <c r="N3239" t="str">
        <f t="shared" si="151"/>
        <v>Discounted</v>
      </c>
      <c r="O3239" t="str">
        <f t="shared" si="152"/>
        <v>Returning</v>
      </c>
    </row>
    <row r="3240" spans="1:15" x14ac:dyDescent="0.25">
      <c r="A3240">
        <v>3239</v>
      </c>
      <c r="B3240">
        <v>62</v>
      </c>
      <c r="C3240" t="s">
        <v>11</v>
      </c>
      <c r="D3240" t="s">
        <v>12</v>
      </c>
      <c r="E3240" t="s">
        <v>13</v>
      </c>
      <c r="F3240" s="1">
        <v>61.6</v>
      </c>
      <c r="G3240" t="s">
        <v>14</v>
      </c>
      <c r="H3240" t="s">
        <v>15</v>
      </c>
      <c r="I3240" s="2">
        <v>3.9</v>
      </c>
      <c r="J3240" s="4">
        <v>10</v>
      </c>
      <c r="K3240" s="3">
        <v>5</v>
      </c>
      <c r="L3240" s="1">
        <f t="shared" si="150"/>
        <v>55.440000000000005</v>
      </c>
      <c r="M3240" t="str" cm="1">
        <f t="array" ref="M3240">_xlfn.IFS(B3240&lt;18,"Under 18",B3240 &lt;=25,"18-25",B3240&lt;=35,"26-35",B3240&lt;=45,"36-45",B3240&lt;=60,"46-60",TRUE,"60+")</f>
        <v>60+</v>
      </c>
      <c r="N3240" t="str">
        <f t="shared" si="151"/>
        <v>Discounted</v>
      </c>
      <c r="O3240" t="str">
        <f t="shared" si="152"/>
        <v>Returning</v>
      </c>
    </row>
    <row r="3241" spans="1:15" x14ac:dyDescent="0.25">
      <c r="A3241">
        <v>3240</v>
      </c>
      <c r="B3241">
        <v>41</v>
      </c>
      <c r="C3241" t="s">
        <v>11</v>
      </c>
      <c r="D3241" t="s">
        <v>29</v>
      </c>
      <c r="E3241" t="s">
        <v>51</v>
      </c>
      <c r="F3241" s="1">
        <v>29.6</v>
      </c>
      <c r="G3241" t="s">
        <v>14</v>
      </c>
      <c r="H3241" t="s">
        <v>15</v>
      </c>
      <c r="I3241" s="2">
        <v>3.5</v>
      </c>
      <c r="J3241" s="4">
        <v>8</v>
      </c>
      <c r="K3241" s="3">
        <v>4</v>
      </c>
      <c r="L3241" s="1">
        <f t="shared" si="150"/>
        <v>27.232000000000003</v>
      </c>
      <c r="M3241" t="str" cm="1">
        <f t="array" ref="M3241">_xlfn.IFS(B3241&lt;18,"Under 18",B3241 &lt;=25,"18-25",B3241&lt;=35,"26-35",B3241&lt;=45,"36-45",B3241&lt;=60,"46-60",TRUE,"60+")</f>
        <v>36-45</v>
      </c>
      <c r="N3241" t="str">
        <f t="shared" si="151"/>
        <v>Discounted</v>
      </c>
      <c r="O3241" t="str">
        <f t="shared" si="152"/>
        <v>Returning</v>
      </c>
    </row>
    <row r="3242" spans="1:15" x14ac:dyDescent="0.25">
      <c r="A3242">
        <v>3241</v>
      </c>
      <c r="B3242">
        <v>60</v>
      </c>
      <c r="C3242" t="s">
        <v>11</v>
      </c>
      <c r="D3242" t="s">
        <v>29</v>
      </c>
      <c r="E3242" t="s">
        <v>51</v>
      </c>
      <c r="F3242" s="1">
        <v>29.4</v>
      </c>
      <c r="G3242" t="s">
        <v>14</v>
      </c>
      <c r="H3242" t="s">
        <v>37</v>
      </c>
      <c r="I3242" s="2">
        <v>4.2</v>
      </c>
      <c r="J3242" s="4">
        <v>11</v>
      </c>
      <c r="K3242" s="3">
        <v>3</v>
      </c>
      <c r="L3242" s="1">
        <f t="shared" si="150"/>
        <v>26.166</v>
      </c>
      <c r="M3242" t="str" cm="1">
        <f t="array" ref="M3242">_xlfn.IFS(B3242&lt;18,"Under 18",B3242 &lt;=25,"18-25",B3242&lt;=35,"26-35",B3242&lt;=45,"36-45",B3242&lt;=60,"46-60",TRUE,"60+")</f>
        <v>46-60</v>
      </c>
      <c r="N3242" t="str">
        <f t="shared" si="151"/>
        <v>Discounted</v>
      </c>
      <c r="O3242" t="str">
        <f t="shared" si="152"/>
        <v>Returning</v>
      </c>
    </row>
    <row r="3243" spans="1:15" x14ac:dyDescent="0.25">
      <c r="A3243">
        <v>3242</v>
      </c>
      <c r="B3243">
        <v>36</v>
      </c>
      <c r="C3243" t="s">
        <v>11</v>
      </c>
      <c r="D3243" t="s">
        <v>20</v>
      </c>
      <c r="E3243" t="s">
        <v>36</v>
      </c>
      <c r="F3243" s="1">
        <v>172.71</v>
      </c>
      <c r="G3243" t="s">
        <v>31</v>
      </c>
      <c r="H3243" t="s">
        <v>15</v>
      </c>
      <c r="I3243" s="2">
        <v>4.4000000000000004</v>
      </c>
      <c r="J3243" s="4">
        <v>12</v>
      </c>
      <c r="K3243" s="3">
        <v>6</v>
      </c>
      <c r="L3243" s="1">
        <f t="shared" si="150"/>
        <v>151.98480000000001</v>
      </c>
      <c r="M3243" t="str" cm="1">
        <f t="array" ref="M3243">_xlfn.IFS(B3243&lt;18,"Under 18",B3243 &lt;=25,"18-25",B3243&lt;=35,"26-35",B3243&lt;=45,"36-45",B3243&lt;=60,"46-60",TRUE,"60+")</f>
        <v>36-45</v>
      </c>
      <c r="N3243" t="str">
        <f t="shared" si="151"/>
        <v>Discounted</v>
      </c>
      <c r="O3243" t="str">
        <f t="shared" si="152"/>
        <v>Returning</v>
      </c>
    </row>
    <row r="3244" spans="1:15" x14ac:dyDescent="0.25">
      <c r="A3244">
        <v>3243</v>
      </c>
      <c r="B3244">
        <v>47</v>
      </c>
      <c r="C3244" t="s">
        <v>16</v>
      </c>
      <c r="D3244" t="s">
        <v>33</v>
      </c>
      <c r="E3244" t="s">
        <v>38</v>
      </c>
      <c r="F3244" s="1">
        <v>142.61000000000001</v>
      </c>
      <c r="G3244" t="s">
        <v>24</v>
      </c>
      <c r="H3244" t="s">
        <v>15</v>
      </c>
      <c r="I3244" s="2">
        <v>3.8</v>
      </c>
      <c r="J3244" s="4">
        <v>20</v>
      </c>
      <c r="K3244" s="3">
        <v>5</v>
      </c>
      <c r="L3244" s="1">
        <f t="shared" si="150"/>
        <v>114.08800000000002</v>
      </c>
      <c r="M3244" t="str" cm="1">
        <f t="array" ref="M3244">_xlfn.IFS(B3244&lt;18,"Under 18",B3244 &lt;=25,"18-25",B3244&lt;=35,"26-35",B3244&lt;=45,"36-45",B3244&lt;=60,"46-60",TRUE,"60+")</f>
        <v>46-60</v>
      </c>
      <c r="N3244" t="str">
        <f t="shared" si="151"/>
        <v>Discounted</v>
      </c>
      <c r="O3244" t="str">
        <f t="shared" si="152"/>
        <v>Returning</v>
      </c>
    </row>
    <row r="3245" spans="1:15" x14ac:dyDescent="0.25">
      <c r="A3245">
        <v>3244</v>
      </c>
      <c r="B3245">
        <v>66</v>
      </c>
      <c r="C3245" t="s">
        <v>11</v>
      </c>
      <c r="D3245" t="s">
        <v>33</v>
      </c>
      <c r="E3245" t="s">
        <v>38</v>
      </c>
      <c r="F3245" s="1">
        <v>214.77</v>
      </c>
      <c r="G3245" t="s">
        <v>19</v>
      </c>
      <c r="H3245" t="s">
        <v>15</v>
      </c>
      <c r="I3245" s="2">
        <v>2.9</v>
      </c>
      <c r="J3245" s="4">
        <v>11</v>
      </c>
      <c r="K3245" s="3">
        <v>3</v>
      </c>
      <c r="L3245" s="1">
        <f t="shared" si="150"/>
        <v>191.14530000000002</v>
      </c>
      <c r="M3245" t="str" cm="1">
        <f t="array" ref="M3245">_xlfn.IFS(B3245&lt;18,"Under 18",B3245 &lt;=25,"18-25",B3245&lt;=35,"26-35",B3245&lt;=45,"36-45",B3245&lt;=60,"46-60",TRUE,"60+")</f>
        <v>60+</v>
      </c>
      <c r="N3245" t="str">
        <f t="shared" si="151"/>
        <v>Discounted</v>
      </c>
      <c r="O3245" t="str">
        <f t="shared" si="152"/>
        <v>Returning</v>
      </c>
    </row>
    <row r="3246" spans="1:15" x14ac:dyDescent="0.25">
      <c r="A3246">
        <v>3245</v>
      </c>
      <c r="B3246">
        <v>50</v>
      </c>
      <c r="C3246" t="s">
        <v>16</v>
      </c>
      <c r="D3246" t="s">
        <v>17</v>
      </c>
      <c r="E3246" t="s">
        <v>35</v>
      </c>
      <c r="F3246" s="1">
        <v>178.6</v>
      </c>
      <c r="G3246" t="s">
        <v>19</v>
      </c>
      <c r="H3246" t="s">
        <v>15</v>
      </c>
      <c r="I3246" s="2">
        <v>3.6</v>
      </c>
      <c r="J3246" s="4">
        <v>11</v>
      </c>
      <c r="K3246" s="3">
        <v>3</v>
      </c>
      <c r="L3246" s="1">
        <f t="shared" si="150"/>
        <v>158.95400000000001</v>
      </c>
      <c r="M3246" t="str" cm="1">
        <f t="array" ref="M3246">_xlfn.IFS(B3246&lt;18,"Under 18",B3246 &lt;=25,"18-25",B3246&lt;=35,"26-35",B3246&lt;=45,"36-45",B3246&lt;=60,"46-60",TRUE,"60+")</f>
        <v>46-60</v>
      </c>
      <c r="N3246" t="str">
        <f t="shared" si="151"/>
        <v>Discounted</v>
      </c>
      <c r="O3246" t="str">
        <f t="shared" si="152"/>
        <v>Returning</v>
      </c>
    </row>
    <row r="3247" spans="1:15" x14ac:dyDescent="0.25">
      <c r="A3247">
        <v>3246</v>
      </c>
      <c r="B3247">
        <v>55</v>
      </c>
      <c r="C3247" t="s">
        <v>11</v>
      </c>
      <c r="D3247" t="s">
        <v>22</v>
      </c>
      <c r="E3247" t="s">
        <v>52</v>
      </c>
      <c r="F3247" s="1">
        <v>41.18</v>
      </c>
      <c r="G3247" t="s">
        <v>19</v>
      </c>
      <c r="H3247" t="s">
        <v>15</v>
      </c>
      <c r="I3247" s="2">
        <v>4.8</v>
      </c>
      <c r="J3247" s="4">
        <v>18</v>
      </c>
      <c r="K3247" s="3">
        <v>9</v>
      </c>
      <c r="L3247" s="1">
        <f t="shared" si="150"/>
        <v>33.767600000000002</v>
      </c>
      <c r="M3247" t="str" cm="1">
        <f t="array" ref="M3247">_xlfn.IFS(B3247&lt;18,"Under 18",B3247 &lt;=25,"18-25",B3247&lt;=35,"26-35",B3247&lt;=45,"36-45",B3247&lt;=60,"46-60",TRUE,"60+")</f>
        <v>46-60</v>
      </c>
      <c r="N3247" t="str">
        <f t="shared" si="151"/>
        <v>Discounted</v>
      </c>
      <c r="O3247" t="str">
        <f t="shared" si="152"/>
        <v>Returning</v>
      </c>
    </row>
    <row r="3248" spans="1:15" x14ac:dyDescent="0.25">
      <c r="A3248">
        <v>3247</v>
      </c>
      <c r="B3248">
        <v>54</v>
      </c>
      <c r="C3248" t="s">
        <v>11</v>
      </c>
      <c r="D3248" t="s">
        <v>29</v>
      </c>
      <c r="E3248" t="s">
        <v>55</v>
      </c>
      <c r="F3248" s="1">
        <v>117.16</v>
      </c>
      <c r="G3248" t="s">
        <v>24</v>
      </c>
      <c r="H3248" t="s">
        <v>15</v>
      </c>
      <c r="I3248" s="2">
        <v>4.3</v>
      </c>
      <c r="J3248" s="4">
        <v>28</v>
      </c>
      <c r="K3248" s="3">
        <v>9</v>
      </c>
      <c r="L3248" s="1">
        <f t="shared" si="150"/>
        <v>84.355199999999996</v>
      </c>
      <c r="M3248" t="str" cm="1">
        <f t="array" ref="M3248">_xlfn.IFS(B3248&lt;18,"Under 18",B3248 &lt;=25,"18-25",B3248&lt;=35,"26-35",B3248&lt;=45,"36-45",B3248&lt;=60,"46-60",TRUE,"60+")</f>
        <v>46-60</v>
      </c>
      <c r="N3248" t="str">
        <f t="shared" si="151"/>
        <v>Discounted</v>
      </c>
      <c r="O3248" t="str">
        <f t="shared" si="152"/>
        <v>Returning</v>
      </c>
    </row>
    <row r="3249" spans="1:15" x14ac:dyDescent="0.25">
      <c r="A3249">
        <v>3248</v>
      </c>
      <c r="B3249">
        <v>21</v>
      </c>
      <c r="C3249" t="s">
        <v>16</v>
      </c>
      <c r="D3249" t="s">
        <v>20</v>
      </c>
      <c r="E3249" t="s">
        <v>39</v>
      </c>
      <c r="F3249" s="1">
        <v>65.959999999999994</v>
      </c>
      <c r="G3249" t="s">
        <v>31</v>
      </c>
      <c r="H3249" t="s">
        <v>15</v>
      </c>
      <c r="I3249" s="2">
        <v>5</v>
      </c>
      <c r="J3249" s="4">
        <v>22</v>
      </c>
      <c r="K3249" s="3">
        <v>6</v>
      </c>
      <c r="L3249" s="1">
        <f t="shared" si="150"/>
        <v>51.448799999999999</v>
      </c>
      <c r="M3249" t="str" cm="1">
        <f t="array" ref="M3249">_xlfn.IFS(B3249&lt;18,"Under 18",B3249 &lt;=25,"18-25",B3249&lt;=35,"26-35",B3249&lt;=45,"36-45",B3249&lt;=60,"46-60",TRUE,"60+")</f>
        <v>18-25</v>
      </c>
      <c r="N3249" t="str">
        <f t="shared" si="151"/>
        <v>Discounted</v>
      </c>
      <c r="O3249" t="str">
        <f t="shared" si="152"/>
        <v>Returning</v>
      </c>
    </row>
    <row r="3250" spans="1:15" x14ac:dyDescent="0.25">
      <c r="A3250">
        <v>3249</v>
      </c>
      <c r="B3250">
        <v>41</v>
      </c>
      <c r="C3250" t="s">
        <v>11</v>
      </c>
      <c r="D3250" t="s">
        <v>29</v>
      </c>
      <c r="E3250" t="s">
        <v>30</v>
      </c>
      <c r="F3250" s="1">
        <v>48.64</v>
      </c>
      <c r="G3250" t="s">
        <v>31</v>
      </c>
      <c r="H3250" t="s">
        <v>15</v>
      </c>
      <c r="I3250" s="2">
        <v>2.7</v>
      </c>
      <c r="J3250" s="4">
        <v>8</v>
      </c>
      <c r="K3250" s="3">
        <v>4</v>
      </c>
      <c r="L3250" s="1">
        <f t="shared" si="150"/>
        <v>44.748800000000003</v>
      </c>
      <c r="M3250" t="str" cm="1">
        <f t="array" ref="M3250">_xlfn.IFS(B3250&lt;18,"Under 18",B3250 &lt;=25,"18-25",B3250&lt;=35,"26-35",B3250&lt;=45,"36-45",B3250&lt;=60,"46-60",TRUE,"60+")</f>
        <v>36-45</v>
      </c>
      <c r="N3250" t="str">
        <f t="shared" si="151"/>
        <v>Discounted</v>
      </c>
      <c r="O3250" t="str">
        <f t="shared" si="152"/>
        <v>Returning</v>
      </c>
    </row>
    <row r="3251" spans="1:15" x14ac:dyDescent="0.25">
      <c r="A3251">
        <v>3250</v>
      </c>
      <c r="B3251">
        <v>58</v>
      </c>
      <c r="C3251" t="s">
        <v>16</v>
      </c>
      <c r="D3251" t="s">
        <v>20</v>
      </c>
      <c r="E3251" t="s">
        <v>39</v>
      </c>
      <c r="F3251" s="1">
        <v>246.31</v>
      </c>
      <c r="G3251" t="s">
        <v>24</v>
      </c>
      <c r="H3251" t="s">
        <v>15</v>
      </c>
      <c r="I3251" s="2">
        <v>3.9</v>
      </c>
      <c r="J3251" s="4">
        <v>20</v>
      </c>
      <c r="K3251" s="3">
        <v>5</v>
      </c>
      <c r="L3251" s="1">
        <f t="shared" si="150"/>
        <v>197.048</v>
      </c>
      <c r="M3251" t="str" cm="1">
        <f t="array" ref="M3251">_xlfn.IFS(B3251&lt;18,"Under 18",B3251 &lt;=25,"18-25",B3251&lt;=35,"26-35",B3251&lt;=45,"36-45",B3251&lt;=60,"46-60",TRUE,"60+")</f>
        <v>46-60</v>
      </c>
      <c r="N3251" t="str">
        <f t="shared" si="151"/>
        <v>Discounted</v>
      </c>
      <c r="O3251" t="str">
        <f t="shared" si="152"/>
        <v>Returning</v>
      </c>
    </row>
    <row r="3252" spans="1:15" x14ac:dyDescent="0.25">
      <c r="A3252">
        <v>3251</v>
      </c>
      <c r="B3252">
        <v>56</v>
      </c>
      <c r="C3252" t="s">
        <v>16</v>
      </c>
      <c r="D3252" t="s">
        <v>27</v>
      </c>
      <c r="E3252" t="s">
        <v>28</v>
      </c>
      <c r="F3252" s="1">
        <v>648.62</v>
      </c>
      <c r="G3252" t="s">
        <v>31</v>
      </c>
      <c r="H3252" t="s">
        <v>15</v>
      </c>
      <c r="I3252" s="2">
        <v>3.3</v>
      </c>
      <c r="J3252" s="4">
        <v>12</v>
      </c>
      <c r="K3252" s="3">
        <v>6</v>
      </c>
      <c r="L3252" s="1">
        <f t="shared" si="150"/>
        <v>570.78560000000004</v>
      </c>
      <c r="M3252" t="str" cm="1">
        <f t="array" ref="M3252">_xlfn.IFS(B3252&lt;18,"Under 18",B3252 &lt;=25,"18-25",B3252&lt;=35,"26-35",B3252&lt;=45,"36-45",B3252&lt;=60,"46-60",TRUE,"60+")</f>
        <v>46-60</v>
      </c>
      <c r="N3252" t="str">
        <f t="shared" si="151"/>
        <v>Discounted</v>
      </c>
      <c r="O3252" t="str">
        <f t="shared" si="152"/>
        <v>Returning</v>
      </c>
    </row>
    <row r="3253" spans="1:15" x14ac:dyDescent="0.25">
      <c r="A3253">
        <v>3252</v>
      </c>
      <c r="B3253">
        <v>51</v>
      </c>
      <c r="C3253" t="s">
        <v>11</v>
      </c>
      <c r="D3253" t="s">
        <v>25</v>
      </c>
      <c r="E3253" t="s">
        <v>26</v>
      </c>
      <c r="F3253" s="1">
        <v>67.67</v>
      </c>
      <c r="G3253" t="s">
        <v>14</v>
      </c>
      <c r="H3253" t="s">
        <v>37</v>
      </c>
      <c r="I3253" s="2">
        <v>3.9</v>
      </c>
      <c r="J3253" s="4">
        <v>18</v>
      </c>
      <c r="K3253" s="3">
        <v>4</v>
      </c>
      <c r="L3253" s="1">
        <f t="shared" si="150"/>
        <v>55.489400000000003</v>
      </c>
      <c r="M3253" t="str" cm="1">
        <f t="array" ref="M3253">_xlfn.IFS(B3253&lt;18,"Under 18",B3253 &lt;=25,"18-25",B3253&lt;=35,"26-35",B3253&lt;=45,"36-45",B3253&lt;=60,"46-60",TRUE,"60+")</f>
        <v>46-60</v>
      </c>
      <c r="N3253" t="str">
        <f t="shared" si="151"/>
        <v>Discounted</v>
      </c>
      <c r="O3253" t="str">
        <f t="shared" si="152"/>
        <v>Returning</v>
      </c>
    </row>
    <row r="3254" spans="1:15" x14ac:dyDescent="0.25">
      <c r="A3254">
        <v>3253</v>
      </c>
      <c r="B3254">
        <v>38</v>
      </c>
      <c r="C3254" t="s">
        <v>16</v>
      </c>
      <c r="D3254" t="s">
        <v>17</v>
      </c>
      <c r="E3254" t="s">
        <v>35</v>
      </c>
      <c r="F3254" s="1">
        <v>154.49</v>
      </c>
      <c r="G3254" t="s">
        <v>14</v>
      </c>
      <c r="H3254" t="s">
        <v>15</v>
      </c>
      <c r="I3254" s="2">
        <v>3.2</v>
      </c>
      <c r="J3254" s="4">
        <v>11</v>
      </c>
      <c r="K3254" s="3">
        <v>3</v>
      </c>
      <c r="L3254" s="1">
        <f t="shared" si="150"/>
        <v>137.49610000000001</v>
      </c>
      <c r="M3254" t="str" cm="1">
        <f t="array" ref="M3254">_xlfn.IFS(B3254&lt;18,"Under 18",B3254 &lt;=25,"18-25",B3254&lt;=35,"26-35",B3254&lt;=45,"36-45",B3254&lt;=60,"46-60",TRUE,"60+")</f>
        <v>36-45</v>
      </c>
      <c r="N3254" t="str">
        <f t="shared" si="151"/>
        <v>Discounted</v>
      </c>
      <c r="O3254" t="str">
        <f t="shared" si="152"/>
        <v>Returning</v>
      </c>
    </row>
    <row r="3255" spans="1:15" x14ac:dyDescent="0.25">
      <c r="A3255">
        <v>3254</v>
      </c>
      <c r="B3255">
        <v>29</v>
      </c>
      <c r="C3255" t="s">
        <v>16</v>
      </c>
      <c r="D3255" t="s">
        <v>20</v>
      </c>
      <c r="E3255" t="s">
        <v>36</v>
      </c>
      <c r="F3255" s="1">
        <v>51.12</v>
      </c>
      <c r="G3255" t="s">
        <v>19</v>
      </c>
      <c r="H3255" t="s">
        <v>15</v>
      </c>
      <c r="I3255" s="2">
        <v>4.9000000000000004</v>
      </c>
      <c r="J3255" s="4">
        <v>30</v>
      </c>
      <c r="K3255" s="3">
        <v>10</v>
      </c>
      <c r="L3255" s="1">
        <f t="shared" si="150"/>
        <v>35.783999999999999</v>
      </c>
      <c r="M3255" t="str" cm="1">
        <f t="array" ref="M3255">_xlfn.IFS(B3255&lt;18,"Under 18",B3255 &lt;=25,"18-25",B3255&lt;=35,"26-35",B3255&lt;=45,"36-45",B3255&lt;=60,"46-60",TRUE,"60+")</f>
        <v>26-35</v>
      </c>
      <c r="N3255" t="str">
        <f t="shared" si="151"/>
        <v>Discounted</v>
      </c>
      <c r="O3255" t="str">
        <f t="shared" si="152"/>
        <v>Returning</v>
      </c>
    </row>
    <row r="3256" spans="1:15" x14ac:dyDescent="0.25">
      <c r="A3256">
        <v>3255</v>
      </c>
      <c r="B3256">
        <v>70</v>
      </c>
      <c r="C3256" t="s">
        <v>11</v>
      </c>
      <c r="D3256" t="s">
        <v>12</v>
      </c>
      <c r="E3256" t="s">
        <v>56</v>
      </c>
      <c r="F3256" s="1">
        <v>115.94</v>
      </c>
      <c r="G3256" t="s">
        <v>19</v>
      </c>
      <c r="H3256" t="s">
        <v>15</v>
      </c>
      <c r="I3256" s="2">
        <v>4.4000000000000004</v>
      </c>
      <c r="J3256" s="4">
        <v>6</v>
      </c>
      <c r="K3256" s="3">
        <v>3</v>
      </c>
      <c r="L3256" s="1">
        <f t="shared" si="150"/>
        <v>108.9836</v>
      </c>
      <c r="M3256" t="str" cm="1">
        <f t="array" ref="M3256">_xlfn.IFS(B3256&lt;18,"Under 18",B3256 &lt;=25,"18-25",B3256&lt;=35,"26-35",B3256&lt;=45,"36-45",B3256&lt;=60,"46-60",TRUE,"60+")</f>
        <v>60+</v>
      </c>
      <c r="N3256" t="str">
        <f t="shared" si="151"/>
        <v>Discounted</v>
      </c>
      <c r="O3256" t="str">
        <f t="shared" si="152"/>
        <v>Returning</v>
      </c>
    </row>
    <row r="3257" spans="1:15" x14ac:dyDescent="0.25">
      <c r="A3257">
        <v>3256</v>
      </c>
      <c r="B3257">
        <v>49</v>
      </c>
      <c r="C3257" t="s">
        <v>11</v>
      </c>
      <c r="D3257" t="s">
        <v>29</v>
      </c>
      <c r="E3257" t="s">
        <v>30</v>
      </c>
      <c r="F3257" s="1">
        <v>132.49</v>
      </c>
      <c r="G3257" t="s">
        <v>24</v>
      </c>
      <c r="H3257" t="s">
        <v>15</v>
      </c>
      <c r="I3257" s="2">
        <v>2.2999999999999998</v>
      </c>
      <c r="J3257" s="4">
        <v>15</v>
      </c>
      <c r="K3257" s="3">
        <v>5</v>
      </c>
      <c r="L3257" s="1">
        <f t="shared" si="150"/>
        <v>112.6165</v>
      </c>
      <c r="M3257" t="str" cm="1">
        <f t="array" ref="M3257">_xlfn.IFS(B3257&lt;18,"Under 18",B3257 &lt;=25,"18-25",B3257&lt;=35,"26-35",B3257&lt;=45,"36-45",B3257&lt;=60,"46-60",TRUE,"60+")</f>
        <v>46-60</v>
      </c>
      <c r="N3257" t="str">
        <f t="shared" si="151"/>
        <v>Discounted</v>
      </c>
      <c r="O3257" t="str">
        <f t="shared" si="152"/>
        <v>Returning</v>
      </c>
    </row>
    <row r="3258" spans="1:15" x14ac:dyDescent="0.25">
      <c r="A3258">
        <v>3257</v>
      </c>
      <c r="B3258">
        <v>69</v>
      </c>
      <c r="C3258" t="s">
        <v>16</v>
      </c>
      <c r="D3258" t="s">
        <v>33</v>
      </c>
      <c r="E3258" t="s">
        <v>38</v>
      </c>
      <c r="F3258" s="1">
        <v>194.63</v>
      </c>
      <c r="G3258" t="s">
        <v>24</v>
      </c>
      <c r="H3258" t="s">
        <v>15</v>
      </c>
      <c r="I3258" s="2">
        <v>4.7</v>
      </c>
      <c r="J3258" s="4">
        <v>9</v>
      </c>
      <c r="K3258" s="3">
        <v>2</v>
      </c>
      <c r="L3258" s="1">
        <f t="shared" si="150"/>
        <v>177.11330000000001</v>
      </c>
      <c r="M3258" t="str" cm="1">
        <f t="array" ref="M3258">_xlfn.IFS(B3258&lt;18,"Under 18",B3258 &lt;=25,"18-25",B3258&lt;=35,"26-35",B3258&lt;=45,"36-45",B3258&lt;=60,"46-60",TRUE,"60+")</f>
        <v>60+</v>
      </c>
      <c r="N3258" t="str">
        <f t="shared" si="151"/>
        <v>Discounted</v>
      </c>
      <c r="O3258" t="str">
        <f t="shared" si="152"/>
        <v>Returning</v>
      </c>
    </row>
    <row r="3259" spans="1:15" x14ac:dyDescent="0.25">
      <c r="A3259">
        <v>3258</v>
      </c>
      <c r="B3259">
        <v>34</v>
      </c>
      <c r="C3259" t="s">
        <v>16</v>
      </c>
      <c r="D3259" t="s">
        <v>33</v>
      </c>
      <c r="E3259" t="s">
        <v>34</v>
      </c>
      <c r="F3259" s="1">
        <v>113.73</v>
      </c>
      <c r="G3259" t="s">
        <v>14</v>
      </c>
      <c r="H3259" t="s">
        <v>15</v>
      </c>
      <c r="I3259" s="2">
        <v>3.6</v>
      </c>
      <c r="J3259" s="4">
        <v>21</v>
      </c>
      <c r="K3259" s="3">
        <v>8</v>
      </c>
      <c r="L3259" s="1">
        <f t="shared" si="150"/>
        <v>89.846700000000013</v>
      </c>
      <c r="M3259" t="str" cm="1">
        <f t="array" ref="M3259">_xlfn.IFS(B3259&lt;18,"Under 18",B3259 &lt;=25,"18-25",B3259&lt;=35,"26-35",B3259&lt;=45,"36-45",B3259&lt;=60,"46-60",TRUE,"60+")</f>
        <v>26-35</v>
      </c>
      <c r="N3259" t="str">
        <f t="shared" si="151"/>
        <v>Discounted</v>
      </c>
      <c r="O3259" t="str">
        <f t="shared" si="152"/>
        <v>Returning</v>
      </c>
    </row>
    <row r="3260" spans="1:15" x14ac:dyDescent="0.25">
      <c r="A3260">
        <v>3259</v>
      </c>
      <c r="B3260">
        <v>58</v>
      </c>
      <c r="C3260" t="s">
        <v>11</v>
      </c>
      <c r="D3260" t="s">
        <v>20</v>
      </c>
      <c r="E3260" t="s">
        <v>36</v>
      </c>
      <c r="F3260" s="1">
        <v>84.1</v>
      </c>
      <c r="G3260" t="s">
        <v>19</v>
      </c>
      <c r="H3260" t="s">
        <v>15</v>
      </c>
      <c r="I3260" s="2">
        <v>3.8</v>
      </c>
      <c r="J3260" s="4">
        <v>16</v>
      </c>
      <c r="K3260" s="3">
        <v>3</v>
      </c>
      <c r="L3260" s="1">
        <f t="shared" si="150"/>
        <v>70.643999999999991</v>
      </c>
      <c r="M3260" t="str" cm="1">
        <f t="array" ref="M3260">_xlfn.IFS(B3260&lt;18,"Under 18",B3260 &lt;=25,"18-25",B3260&lt;=35,"26-35",B3260&lt;=45,"36-45",B3260&lt;=60,"46-60",TRUE,"60+")</f>
        <v>46-60</v>
      </c>
      <c r="N3260" t="str">
        <f t="shared" si="151"/>
        <v>Discounted</v>
      </c>
      <c r="O3260" t="str">
        <f t="shared" si="152"/>
        <v>Returning</v>
      </c>
    </row>
    <row r="3261" spans="1:15" x14ac:dyDescent="0.25">
      <c r="A3261">
        <v>3260</v>
      </c>
      <c r="B3261">
        <v>60</v>
      </c>
      <c r="C3261" t="s">
        <v>16</v>
      </c>
      <c r="D3261" t="s">
        <v>27</v>
      </c>
      <c r="E3261" t="s">
        <v>32</v>
      </c>
      <c r="F3261" s="1">
        <v>2936.08</v>
      </c>
      <c r="G3261" t="s">
        <v>31</v>
      </c>
      <c r="H3261" t="s">
        <v>15</v>
      </c>
      <c r="I3261" s="2">
        <v>5</v>
      </c>
      <c r="J3261" s="4">
        <v>20</v>
      </c>
      <c r="K3261" s="3">
        <v>5</v>
      </c>
      <c r="L3261" s="1">
        <f t="shared" si="150"/>
        <v>2348.864</v>
      </c>
      <c r="M3261" t="str" cm="1">
        <f t="array" ref="M3261">_xlfn.IFS(B3261&lt;18,"Under 18",B3261 &lt;=25,"18-25",B3261&lt;=35,"26-35",B3261&lt;=45,"36-45",B3261&lt;=60,"46-60",TRUE,"60+")</f>
        <v>46-60</v>
      </c>
      <c r="N3261" t="str">
        <f t="shared" si="151"/>
        <v>Discounted</v>
      </c>
      <c r="O3261" t="str">
        <f t="shared" si="152"/>
        <v>Returning</v>
      </c>
    </row>
    <row r="3262" spans="1:15" x14ac:dyDescent="0.25">
      <c r="A3262">
        <v>3261</v>
      </c>
      <c r="B3262">
        <v>51</v>
      </c>
      <c r="C3262" t="s">
        <v>16</v>
      </c>
      <c r="D3262" t="s">
        <v>27</v>
      </c>
      <c r="E3262" t="s">
        <v>32</v>
      </c>
      <c r="F3262" s="1">
        <v>1369.63</v>
      </c>
      <c r="G3262" t="s">
        <v>31</v>
      </c>
      <c r="H3262" t="s">
        <v>15</v>
      </c>
      <c r="I3262" s="2">
        <v>3</v>
      </c>
      <c r="J3262" s="4">
        <v>10</v>
      </c>
      <c r="K3262" s="3">
        <v>5</v>
      </c>
      <c r="L3262" s="1">
        <f t="shared" si="150"/>
        <v>1232.6670000000001</v>
      </c>
      <c r="M3262" t="str" cm="1">
        <f t="array" ref="M3262">_xlfn.IFS(B3262&lt;18,"Under 18",B3262 &lt;=25,"18-25",B3262&lt;=35,"26-35",B3262&lt;=45,"36-45",B3262&lt;=60,"46-60",TRUE,"60+")</f>
        <v>46-60</v>
      </c>
      <c r="N3262" t="str">
        <f t="shared" si="151"/>
        <v>Discounted</v>
      </c>
      <c r="O3262" t="str">
        <f t="shared" si="152"/>
        <v>Returning</v>
      </c>
    </row>
    <row r="3263" spans="1:15" x14ac:dyDescent="0.25">
      <c r="A3263">
        <v>3262</v>
      </c>
      <c r="B3263">
        <v>68</v>
      </c>
      <c r="C3263" t="s">
        <v>11</v>
      </c>
      <c r="D3263" t="s">
        <v>29</v>
      </c>
      <c r="E3263" t="s">
        <v>51</v>
      </c>
      <c r="F3263" s="1">
        <v>23.21</v>
      </c>
      <c r="G3263" t="s">
        <v>14</v>
      </c>
      <c r="H3263" t="s">
        <v>15</v>
      </c>
      <c r="I3263" s="2">
        <v>5</v>
      </c>
      <c r="J3263" s="4">
        <v>11</v>
      </c>
      <c r="K3263" s="3">
        <v>3</v>
      </c>
      <c r="L3263" s="1">
        <f t="shared" si="150"/>
        <v>20.6569</v>
      </c>
      <c r="M3263" t="str" cm="1">
        <f t="array" ref="M3263">_xlfn.IFS(B3263&lt;18,"Under 18",B3263 &lt;=25,"18-25",B3263&lt;=35,"26-35",B3263&lt;=45,"36-45",B3263&lt;=60,"46-60",TRUE,"60+")</f>
        <v>60+</v>
      </c>
      <c r="N3263" t="str">
        <f t="shared" si="151"/>
        <v>Discounted</v>
      </c>
      <c r="O3263" t="str">
        <f t="shared" si="152"/>
        <v>Returning</v>
      </c>
    </row>
    <row r="3264" spans="1:15" x14ac:dyDescent="0.25">
      <c r="A3264">
        <v>3263</v>
      </c>
      <c r="B3264">
        <v>40</v>
      </c>
      <c r="C3264" t="s">
        <v>16</v>
      </c>
      <c r="D3264" t="s">
        <v>20</v>
      </c>
      <c r="E3264" t="s">
        <v>36</v>
      </c>
      <c r="F3264" s="1">
        <v>231.3</v>
      </c>
      <c r="G3264" t="s">
        <v>24</v>
      </c>
      <c r="H3264" t="s">
        <v>15</v>
      </c>
      <c r="I3264" s="2">
        <v>4</v>
      </c>
      <c r="J3264" s="4">
        <v>8</v>
      </c>
      <c r="K3264" s="3">
        <v>4</v>
      </c>
      <c r="L3264" s="1">
        <f t="shared" si="150"/>
        <v>212.79600000000002</v>
      </c>
      <c r="M3264" t="str" cm="1">
        <f t="array" ref="M3264">_xlfn.IFS(B3264&lt;18,"Under 18",B3264 &lt;=25,"18-25",B3264&lt;=35,"26-35",B3264&lt;=45,"36-45",B3264&lt;=60,"46-60",TRUE,"60+")</f>
        <v>36-45</v>
      </c>
      <c r="N3264" t="str">
        <f t="shared" si="151"/>
        <v>Discounted</v>
      </c>
      <c r="O3264" t="str">
        <f t="shared" si="152"/>
        <v>Returning</v>
      </c>
    </row>
    <row r="3265" spans="1:15" x14ac:dyDescent="0.25">
      <c r="A3265">
        <v>3264</v>
      </c>
      <c r="B3265">
        <v>31</v>
      </c>
      <c r="C3265" t="s">
        <v>16</v>
      </c>
      <c r="D3265" t="s">
        <v>20</v>
      </c>
      <c r="E3265" t="s">
        <v>21</v>
      </c>
      <c r="F3265" s="1">
        <v>212.05</v>
      </c>
      <c r="G3265" t="s">
        <v>14</v>
      </c>
      <c r="H3265" t="s">
        <v>15</v>
      </c>
      <c r="I3265" s="2">
        <v>3.5</v>
      </c>
      <c r="J3265" s="4">
        <v>15</v>
      </c>
      <c r="K3265" s="3">
        <v>5</v>
      </c>
      <c r="L3265" s="1">
        <f t="shared" si="150"/>
        <v>180.24250000000001</v>
      </c>
      <c r="M3265" t="str" cm="1">
        <f t="array" ref="M3265">_xlfn.IFS(B3265&lt;18,"Under 18",B3265 &lt;=25,"18-25",B3265&lt;=35,"26-35",B3265&lt;=45,"36-45",B3265&lt;=60,"46-60",TRUE,"60+")</f>
        <v>26-35</v>
      </c>
      <c r="N3265" t="str">
        <f t="shared" si="151"/>
        <v>Discounted</v>
      </c>
      <c r="O3265" t="str">
        <f t="shared" si="152"/>
        <v>Returning</v>
      </c>
    </row>
    <row r="3266" spans="1:15" x14ac:dyDescent="0.25">
      <c r="A3266">
        <v>3265</v>
      </c>
      <c r="B3266">
        <v>20</v>
      </c>
      <c r="C3266" t="s">
        <v>11</v>
      </c>
      <c r="D3266" t="s">
        <v>41</v>
      </c>
      <c r="E3266" t="s">
        <v>45</v>
      </c>
      <c r="F3266" s="1">
        <v>78.09</v>
      </c>
      <c r="G3266" t="s">
        <v>24</v>
      </c>
      <c r="H3266" t="s">
        <v>37</v>
      </c>
      <c r="I3266" s="2">
        <v>4.0999999999999996</v>
      </c>
      <c r="J3266" s="4">
        <v>8</v>
      </c>
      <c r="K3266" s="3">
        <v>4</v>
      </c>
      <c r="L3266" s="1">
        <f t="shared" si="150"/>
        <v>71.842800000000011</v>
      </c>
      <c r="M3266" t="str" cm="1">
        <f t="array" ref="M3266">_xlfn.IFS(B3266&lt;18,"Under 18",B3266 &lt;=25,"18-25",B3266&lt;=35,"26-35",B3266&lt;=45,"36-45",B3266&lt;=60,"46-60",TRUE,"60+")</f>
        <v>18-25</v>
      </c>
      <c r="N3266" t="str">
        <f t="shared" si="151"/>
        <v>Discounted</v>
      </c>
      <c r="O3266" t="str">
        <f t="shared" si="152"/>
        <v>Returning</v>
      </c>
    </row>
    <row r="3267" spans="1:15" x14ac:dyDescent="0.25">
      <c r="A3267">
        <v>3266</v>
      </c>
      <c r="B3267">
        <v>35</v>
      </c>
      <c r="C3267" t="s">
        <v>16</v>
      </c>
      <c r="D3267" t="s">
        <v>20</v>
      </c>
      <c r="E3267" t="s">
        <v>36</v>
      </c>
      <c r="F3267" s="1">
        <v>189.56</v>
      </c>
      <c r="G3267" t="s">
        <v>14</v>
      </c>
      <c r="H3267" t="s">
        <v>15</v>
      </c>
      <c r="I3267" s="2">
        <v>4.5</v>
      </c>
      <c r="J3267" s="4">
        <v>11</v>
      </c>
      <c r="K3267" s="3">
        <v>3</v>
      </c>
      <c r="L3267" s="1">
        <f t="shared" ref="L3267:L3330" si="153">F3267 * (1 - J3267 / 100)</f>
        <v>168.70840000000001</v>
      </c>
      <c r="M3267" t="str" cm="1">
        <f t="array" ref="M3267">_xlfn.IFS(B3267&lt;18,"Under 18",B3267 &lt;=25,"18-25",B3267&lt;=35,"26-35",B3267&lt;=45,"36-45",B3267&lt;=60,"46-60",TRUE,"60+")</f>
        <v>26-35</v>
      </c>
      <c r="N3267" t="str">
        <f t="shared" ref="N3267:N3330" si="154">IF(J3267&gt;0,"Discounted","No Discount")</f>
        <v>Discounted</v>
      </c>
      <c r="O3267" t="str">
        <f t="shared" ref="O3267:O3330" si="155">IF(K3267&gt;0,"Returning","New")</f>
        <v>Returning</v>
      </c>
    </row>
    <row r="3268" spans="1:15" x14ac:dyDescent="0.25">
      <c r="A3268">
        <v>3267</v>
      </c>
      <c r="B3268">
        <v>39</v>
      </c>
      <c r="C3268" t="s">
        <v>11</v>
      </c>
      <c r="D3268" t="s">
        <v>33</v>
      </c>
      <c r="E3268" t="s">
        <v>34</v>
      </c>
      <c r="F3268" s="1">
        <v>143.79</v>
      </c>
      <c r="G3268" t="s">
        <v>31</v>
      </c>
      <c r="H3268" t="s">
        <v>15</v>
      </c>
      <c r="I3268" s="2">
        <v>4.9000000000000004</v>
      </c>
      <c r="J3268" s="4">
        <v>16</v>
      </c>
      <c r="K3268" s="3">
        <v>3</v>
      </c>
      <c r="L3268" s="1">
        <f t="shared" si="153"/>
        <v>120.78359999999999</v>
      </c>
      <c r="M3268" t="str" cm="1">
        <f t="array" ref="M3268">_xlfn.IFS(B3268&lt;18,"Under 18",B3268 &lt;=25,"18-25",B3268&lt;=35,"26-35",B3268&lt;=45,"36-45",B3268&lt;=60,"46-60",TRUE,"60+")</f>
        <v>36-45</v>
      </c>
      <c r="N3268" t="str">
        <f t="shared" si="154"/>
        <v>Discounted</v>
      </c>
      <c r="O3268" t="str">
        <f t="shared" si="155"/>
        <v>Returning</v>
      </c>
    </row>
    <row r="3269" spans="1:15" x14ac:dyDescent="0.25">
      <c r="A3269">
        <v>3268</v>
      </c>
      <c r="B3269">
        <v>56</v>
      </c>
      <c r="C3269" t="s">
        <v>16</v>
      </c>
      <c r="D3269" t="s">
        <v>25</v>
      </c>
      <c r="E3269" t="s">
        <v>26</v>
      </c>
      <c r="F3269" s="1">
        <v>43.68</v>
      </c>
      <c r="G3269" t="s">
        <v>31</v>
      </c>
      <c r="H3269" t="s">
        <v>37</v>
      </c>
      <c r="I3269" s="2">
        <v>3.9</v>
      </c>
      <c r="J3269" s="4">
        <v>27</v>
      </c>
      <c r="K3269" s="3">
        <v>11</v>
      </c>
      <c r="L3269" s="1">
        <f t="shared" si="153"/>
        <v>31.886399999999998</v>
      </c>
      <c r="M3269" t="str" cm="1">
        <f t="array" ref="M3269">_xlfn.IFS(B3269&lt;18,"Under 18",B3269 &lt;=25,"18-25",B3269&lt;=35,"26-35",B3269&lt;=45,"36-45",B3269&lt;=60,"46-60",TRUE,"60+")</f>
        <v>46-60</v>
      </c>
      <c r="N3269" t="str">
        <f t="shared" si="154"/>
        <v>Discounted</v>
      </c>
      <c r="O3269" t="str">
        <f t="shared" si="155"/>
        <v>Returning</v>
      </c>
    </row>
    <row r="3270" spans="1:15" x14ac:dyDescent="0.25">
      <c r="A3270">
        <v>3269</v>
      </c>
      <c r="B3270">
        <v>58</v>
      </c>
      <c r="C3270" t="s">
        <v>11</v>
      </c>
      <c r="D3270" t="s">
        <v>29</v>
      </c>
      <c r="E3270" t="s">
        <v>55</v>
      </c>
      <c r="F3270" s="1">
        <v>68.569999999999993</v>
      </c>
      <c r="G3270" t="s">
        <v>14</v>
      </c>
      <c r="H3270" t="s">
        <v>15</v>
      </c>
      <c r="I3270" s="2">
        <v>4.3</v>
      </c>
      <c r="J3270" s="4">
        <v>18</v>
      </c>
      <c r="K3270" s="3">
        <v>4</v>
      </c>
      <c r="L3270" s="1">
        <f t="shared" si="153"/>
        <v>56.227399999999996</v>
      </c>
      <c r="M3270" t="str" cm="1">
        <f t="array" ref="M3270">_xlfn.IFS(B3270&lt;18,"Under 18",B3270 &lt;=25,"18-25",B3270&lt;=35,"26-35",B3270&lt;=45,"36-45",B3270&lt;=60,"46-60",TRUE,"60+")</f>
        <v>46-60</v>
      </c>
      <c r="N3270" t="str">
        <f t="shared" si="154"/>
        <v>Discounted</v>
      </c>
      <c r="O3270" t="str">
        <f t="shared" si="155"/>
        <v>Returning</v>
      </c>
    </row>
    <row r="3271" spans="1:15" x14ac:dyDescent="0.25">
      <c r="A3271">
        <v>3270</v>
      </c>
      <c r="B3271">
        <v>68</v>
      </c>
      <c r="C3271" t="s">
        <v>11</v>
      </c>
      <c r="D3271" t="s">
        <v>33</v>
      </c>
      <c r="E3271" t="s">
        <v>38</v>
      </c>
      <c r="F3271" s="1">
        <v>69.56</v>
      </c>
      <c r="G3271" t="s">
        <v>24</v>
      </c>
      <c r="H3271" t="s">
        <v>37</v>
      </c>
      <c r="I3271" s="2">
        <v>4.9000000000000004</v>
      </c>
      <c r="J3271" s="4">
        <v>21</v>
      </c>
      <c r="K3271" s="3">
        <v>8</v>
      </c>
      <c r="L3271" s="1">
        <f t="shared" si="153"/>
        <v>54.952400000000004</v>
      </c>
      <c r="M3271" t="str" cm="1">
        <f t="array" ref="M3271">_xlfn.IFS(B3271&lt;18,"Under 18",B3271 &lt;=25,"18-25",B3271&lt;=35,"26-35",B3271&lt;=45,"36-45",B3271&lt;=60,"46-60",TRUE,"60+")</f>
        <v>60+</v>
      </c>
      <c r="N3271" t="str">
        <f t="shared" si="154"/>
        <v>Discounted</v>
      </c>
      <c r="O3271" t="str">
        <f t="shared" si="155"/>
        <v>Returning</v>
      </c>
    </row>
    <row r="3272" spans="1:15" x14ac:dyDescent="0.25">
      <c r="A3272">
        <v>3271</v>
      </c>
      <c r="B3272">
        <v>22</v>
      </c>
      <c r="C3272" t="s">
        <v>11</v>
      </c>
      <c r="D3272" t="s">
        <v>22</v>
      </c>
      <c r="E3272" t="s">
        <v>43</v>
      </c>
      <c r="F3272" s="1">
        <v>242.3</v>
      </c>
      <c r="G3272" t="s">
        <v>14</v>
      </c>
      <c r="H3272" t="s">
        <v>15</v>
      </c>
      <c r="I3272" s="2">
        <v>4.5</v>
      </c>
      <c r="J3272" s="4">
        <v>22</v>
      </c>
      <c r="K3272" s="3">
        <v>6</v>
      </c>
      <c r="L3272" s="1">
        <f t="shared" si="153"/>
        <v>188.99400000000003</v>
      </c>
      <c r="M3272" t="str" cm="1">
        <f t="array" ref="M3272">_xlfn.IFS(B3272&lt;18,"Under 18",B3272 &lt;=25,"18-25",B3272&lt;=35,"26-35",B3272&lt;=45,"36-45",B3272&lt;=60,"46-60",TRUE,"60+")</f>
        <v>18-25</v>
      </c>
      <c r="N3272" t="str">
        <f t="shared" si="154"/>
        <v>Discounted</v>
      </c>
      <c r="O3272" t="str">
        <f t="shared" si="155"/>
        <v>Returning</v>
      </c>
    </row>
    <row r="3273" spans="1:15" x14ac:dyDescent="0.25">
      <c r="A3273">
        <v>3272</v>
      </c>
      <c r="B3273">
        <v>20</v>
      </c>
      <c r="C3273" t="s">
        <v>11</v>
      </c>
      <c r="D3273" t="s">
        <v>29</v>
      </c>
      <c r="E3273" t="s">
        <v>30</v>
      </c>
      <c r="F3273" s="1">
        <v>140.19999999999999</v>
      </c>
      <c r="G3273" t="s">
        <v>19</v>
      </c>
      <c r="H3273" t="s">
        <v>15</v>
      </c>
      <c r="I3273" s="2">
        <v>4.0999999999999996</v>
      </c>
      <c r="J3273" s="4">
        <v>19</v>
      </c>
      <c r="K3273" s="3">
        <v>7</v>
      </c>
      <c r="L3273" s="1">
        <f t="shared" si="153"/>
        <v>113.562</v>
      </c>
      <c r="M3273" t="str" cm="1">
        <f t="array" ref="M3273">_xlfn.IFS(B3273&lt;18,"Under 18",B3273 &lt;=25,"18-25",B3273&lt;=35,"26-35",B3273&lt;=45,"36-45",B3273&lt;=60,"46-60",TRUE,"60+")</f>
        <v>18-25</v>
      </c>
      <c r="N3273" t="str">
        <f t="shared" si="154"/>
        <v>Discounted</v>
      </c>
      <c r="O3273" t="str">
        <f t="shared" si="155"/>
        <v>Returning</v>
      </c>
    </row>
    <row r="3274" spans="1:15" x14ac:dyDescent="0.25">
      <c r="A3274">
        <v>3273</v>
      </c>
      <c r="B3274">
        <v>64</v>
      </c>
      <c r="C3274" t="s">
        <v>16</v>
      </c>
      <c r="D3274" t="s">
        <v>22</v>
      </c>
      <c r="E3274" t="s">
        <v>23</v>
      </c>
      <c r="F3274" s="1">
        <v>79.900000000000006</v>
      </c>
      <c r="G3274" t="s">
        <v>19</v>
      </c>
      <c r="H3274" t="s">
        <v>15</v>
      </c>
      <c r="I3274" s="2">
        <v>3.3</v>
      </c>
      <c r="J3274" s="4">
        <v>26</v>
      </c>
      <c r="K3274" s="3">
        <v>8</v>
      </c>
      <c r="L3274" s="1">
        <f t="shared" si="153"/>
        <v>59.126000000000005</v>
      </c>
      <c r="M3274" t="str" cm="1">
        <f t="array" ref="M3274">_xlfn.IFS(B3274&lt;18,"Under 18",B3274 &lt;=25,"18-25",B3274&lt;=35,"26-35",B3274&lt;=45,"36-45",B3274&lt;=60,"46-60",TRUE,"60+")</f>
        <v>60+</v>
      </c>
      <c r="N3274" t="str">
        <f t="shared" si="154"/>
        <v>Discounted</v>
      </c>
      <c r="O3274" t="str">
        <f t="shared" si="155"/>
        <v>Returning</v>
      </c>
    </row>
    <row r="3275" spans="1:15" x14ac:dyDescent="0.25">
      <c r="A3275">
        <v>3274</v>
      </c>
      <c r="B3275">
        <v>33</v>
      </c>
      <c r="C3275" t="s">
        <v>16</v>
      </c>
      <c r="D3275" t="s">
        <v>33</v>
      </c>
      <c r="E3275" t="s">
        <v>38</v>
      </c>
      <c r="F3275" s="1">
        <v>248.65</v>
      </c>
      <c r="G3275" t="s">
        <v>14</v>
      </c>
      <c r="H3275" t="s">
        <v>15</v>
      </c>
      <c r="I3275" s="2">
        <v>3.8</v>
      </c>
      <c r="J3275" s="4">
        <v>15</v>
      </c>
      <c r="K3275" s="3">
        <v>5</v>
      </c>
      <c r="L3275" s="1">
        <f t="shared" si="153"/>
        <v>211.35249999999999</v>
      </c>
      <c r="M3275" t="str" cm="1">
        <f t="array" ref="M3275">_xlfn.IFS(B3275&lt;18,"Under 18",B3275 &lt;=25,"18-25",B3275&lt;=35,"26-35",B3275&lt;=45,"36-45",B3275&lt;=60,"46-60",TRUE,"60+")</f>
        <v>26-35</v>
      </c>
      <c r="N3275" t="str">
        <f t="shared" si="154"/>
        <v>Discounted</v>
      </c>
      <c r="O3275" t="str">
        <f t="shared" si="155"/>
        <v>Returning</v>
      </c>
    </row>
    <row r="3276" spans="1:15" x14ac:dyDescent="0.25">
      <c r="A3276">
        <v>3275</v>
      </c>
      <c r="B3276">
        <v>45</v>
      </c>
      <c r="C3276" t="s">
        <v>16</v>
      </c>
      <c r="D3276" t="s">
        <v>33</v>
      </c>
      <c r="E3276" t="s">
        <v>40</v>
      </c>
      <c r="F3276" s="1">
        <v>227.4</v>
      </c>
      <c r="G3276" t="s">
        <v>24</v>
      </c>
      <c r="H3276" t="s">
        <v>15</v>
      </c>
      <c r="I3276" s="2">
        <v>3.8</v>
      </c>
      <c r="J3276" s="4">
        <v>15</v>
      </c>
      <c r="K3276" s="3">
        <v>5</v>
      </c>
      <c r="L3276" s="1">
        <f t="shared" si="153"/>
        <v>193.29</v>
      </c>
      <c r="M3276" t="str" cm="1">
        <f t="array" ref="M3276">_xlfn.IFS(B3276&lt;18,"Under 18",B3276 &lt;=25,"18-25",B3276&lt;=35,"26-35",B3276&lt;=45,"36-45",B3276&lt;=60,"46-60",TRUE,"60+")</f>
        <v>36-45</v>
      </c>
      <c r="N3276" t="str">
        <f t="shared" si="154"/>
        <v>Discounted</v>
      </c>
      <c r="O3276" t="str">
        <f t="shared" si="155"/>
        <v>Returning</v>
      </c>
    </row>
    <row r="3277" spans="1:15" x14ac:dyDescent="0.25">
      <c r="A3277">
        <v>3276</v>
      </c>
      <c r="B3277">
        <v>24</v>
      </c>
      <c r="C3277" t="s">
        <v>16</v>
      </c>
      <c r="D3277" t="s">
        <v>20</v>
      </c>
      <c r="E3277" t="s">
        <v>39</v>
      </c>
      <c r="F3277" s="1">
        <v>153.18</v>
      </c>
      <c r="G3277" t="s">
        <v>19</v>
      </c>
      <c r="H3277" t="s">
        <v>15</v>
      </c>
      <c r="I3277" s="2">
        <v>3.2</v>
      </c>
      <c r="J3277" s="4">
        <v>15</v>
      </c>
      <c r="K3277" s="3">
        <v>5</v>
      </c>
      <c r="L3277" s="1">
        <f t="shared" si="153"/>
        <v>130.203</v>
      </c>
      <c r="M3277" t="str" cm="1">
        <f t="array" ref="M3277">_xlfn.IFS(B3277&lt;18,"Under 18",B3277 &lt;=25,"18-25",B3277&lt;=35,"26-35",B3277&lt;=45,"36-45",B3277&lt;=60,"46-60",TRUE,"60+")</f>
        <v>18-25</v>
      </c>
      <c r="N3277" t="str">
        <f t="shared" si="154"/>
        <v>Discounted</v>
      </c>
      <c r="O3277" t="str">
        <f t="shared" si="155"/>
        <v>Returning</v>
      </c>
    </row>
    <row r="3278" spans="1:15" x14ac:dyDescent="0.25">
      <c r="A3278">
        <v>3277</v>
      </c>
      <c r="B3278">
        <v>24</v>
      </c>
      <c r="C3278" t="s">
        <v>16</v>
      </c>
      <c r="D3278" t="s">
        <v>17</v>
      </c>
      <c r="E3278" t="s">
        <v>35</v>
      </c>
      <c r="F3278" s="1">
        <v>101.1</v>
      </c>
      <c r="G3278" t="s">
        <v>19</v>
      </c>
      <c r="H3278" t="s">
        <v>15</v>
      </c>
      <c r="I3278" s="2">
        <v>2.9</v>
      </c>
      <c r="J3278" s="4">
        <v>10</v>
      </c>
      <c r="K3278" s="3">
        <v>5</v>
      </c>
      <c r="L3278" s="1">
        <f t="shared" si="153"/>
        <v>90.99</v>
      </c>
      <c r="M3278" t="str" cm="1">
        <f t="array" ref="M3278">_xlfn.IFS(B3278&lt;18,"Under 18",B3278 &lt;=25,"18-25",B3278&lt;=35,"26-35",B3278&lt;=45,"36-45",B3278&lt;=60,"46-60",TRUE,"60+")</f>
        <v>18-25</v>
      </c>
      <c r="N3278" t="str">
        <f t="shared" si="154"/>
        <v>Discounted</v>
      </c>
      <c r="O3278" t="str">
        <f t="shared" si="155"/>
        <v>Returning</v>
      </c>
    </row>
    <row r="3279" spans="1:15" x14ac:dyDescent="0.25">
      <c r="A3279">
        <v>3278</v>
      </c>
      <c r="B3279">
        <v>70</v>
      </c>
      <c r="C3279" t="s">
        <v>16</v>
      </c>
      <c r="D3279" t="s">
        <v>17</v>
      </c>
      <c r="E3279" t="s">
        <v>48</v>
      </c>
      <c r="F3279" s="1">
        <v>128.5</v>
      </c>
      <c r="G3279" t="s">
        <v>31</v>
      </c>
      <c r="H3279" t="s">
        <v>15</v>
      </c>
      <c r="I3279" s="2">
        <v>4.4000000000000004</v>
      </c>
      <c r="J3279" s="4">
        <v>17</v>
      </c>
      <c r="K3279" s="3">
        <v>6</v>
      </c>
      <c r="L3279" s="1">
        <f t="shared" si="153"/>
        <v>106.655</v>
      </c>
      <c r="M3279" t="str" cm="1">
        <f t="array" ref="M3279">_xlfn.IFS(B3279&lt;18,"Under 18",B3279 &lt;=25,"18-25",B3279&lt;=35,"26-35",B3279&lt;=45,"36-45",B3279&lt;=60,"46-60",TRUE,"60+")</f>
        <v>60+</v>
      </c>
      <c r="N3279" t="str">
        <f t="shared" si="154"/>
        <v>Discounted</v>
      </c>
      <c r="O3279" t="str">
        <f t="shared" si="155"/>
        <v>Returning</v>
      </c>
    </row>
    <row r="3280" spans="1:15" x14ac:dyDescent="0.25">
      <c r="A3280">
        <v>3279</v>
      </c>
      <c r="B3280">
        <v>49</v>
      </c>
      <c r="C3280" t="s">
        <v>11</v>
      </c>
      <c r="D3280" t="s">
        <v>20</v>
      </c>
      <c r="E3280" t="s">
        <v>36</v>
      </c>
      <c r="F3280" s="1">
        <v>93.21</v>
      </c>
      <c r="G3280" t="s">
        <v>31</v>
      </c>
      <c r="H3280" t="s">
        <v>37</v>
      </c>
      <c r="I3280" s="2">
        <v>4</v>
      </c>
      <c r="J3280" s="4">
        <v>8</v>
      </c>
      <c r="K3280" s="3">
        <v>4</v>
      </c>
      <c r="L3280" s="1">
        <f t="shared" si="153"/>
        <v>85.753199999999993</v>
      </c>
      <c r="M3280" t="str" cm="1">
        <f t="array" ref="M3280">_xlfn.IFS(B3280&lt;18,"Under 18",B3280 &lt;=25,"18-25",B3280&lt;=35,"26-35",B3280&lt;=45,"36-45",B3280&lt;=60,"46-60",TRUE,"60+")</f>
        <v>46-60</v>
      </c>
      <c r="N3280" t="str">
        <f t="shared" si="154"/>
        <v>Discounted</v>
      </c>
      <c r="O3280" t="str">
        <f t="shared" si="155"/>
        <v>Returning</v>
      </c>
    </row>
    <row r="3281" spans="1:15" x14ac:dyDescent="0.25">
      <c r="A3281">
        <v>3280</v>
      </c>
      <c r="B3281">
        <v>69</v>
      </c>
      <c r="C3281" t="s">
        <v>16</v>
      </c>
      <c r="D3281" t="s">
        <v>17</v>
      </c>
      <c r="E3281" t="s">
        <v>35</v>
      </c>
      <c r="F3281" s="1">
        <v>120.7</v>
      </c>
      <c r="G3281" t="s">
        <v>24</v>
      </c>
      <c r="H3281" t="s">
        <v>15</v>
      </c>
      <c r="I3281" s="2">
        <v>3.9</v>
      </c>
      <c r="J3281" s="4">
        <v>10</v>
      </c>
      <c r="K3281" s="3">
        <v>5</v>
      </c>
      <c r="L3281" s="1">
        <f t="shared" si="153"/>
        <v>108.63000000000001</v>
      </c>
      <c r="M3281" t="str" cm="1">
        <f t="array" ref="M3281">_xlfn.IFS(B3281&lt;18,"Under 18",B3281 &lt;=25,"18-25",B3281&lt;=35,"26-35",B3281&lt;=45,"36-45",B3281&lt;=60,"46-60",TRUE,"60+")</f>
        <v>60+</v>
      </c>
      <c r="N3281" t="str">
        <f t="shared" si="154"/>
        <v>Discounted</v>
      </c>
      <c r="O3281" t="str">
        <f t="shared" si="155"/>
        <v>Returning</v>
      </c>
    </row>
    <row r="3282" spans="1:15" x14ac:dyDescent="0.25">
      <c r="A3282">
        <v>3281</v>
      </c>
      <c r="B3282">
        <v>36</v>
      </c>
      <c r="C3282" t="s">
        <v>16</v>
      </c>
      <c r="D3282" t="s">
        <v>17</v>
      </c>
      <c r="E3282" t="s">
        <v>18</v>
      </c>
      <c r="F3282" s="1">
        <v>76.16</v>
      </c>
      <c r="G3282" t="s">
        <v>31</v>
      </c>
      <c r="H3282" t="s">
        <v>37</v>
      </c>
      <c r="I3282" s="2">
        <v>4.3</v>
      </c>
      <c r="J3282" s="4">
        <v>10</v>
      </c>
      <c r="K3282" s="3">
        <v>5</v>
      </c>
      <c r="L3282" s="1">
        <f t="shared" si="153"/>
        <v>68.543999999999997</v>
      </c>
      <c r="M3282" t="str" cm="1">
        <f t="array" ref="M3282">_xlfn.IFS(B3282&lt;18,"Under 18",B3282 &lt;=25,"18-25",B3282&lt;=35,"26-35",B3282&lt;=45,"36-45",B3282&lt;=60,"46-60",TRUE,"60+")</f>
        <v>36-45</v>
      </c>
      <c r="N3282" t="str">
        <f t="shared" si="154"/>
        <v>Discounted</v>
      </c>
      <c r="O3282" t="str">
        <f t="shared" si="155"/>
        <v>Returning</v>
      </c>
    </row>
    <row r="3283" spans="1:15" x14ac:dyDescent="0.25">
      <c r="A3283">
        <v>3282</v>
      </c>
      <c r="B3283">
        <v>25</v>
      </c>
      <c r="C3283" t="s">
        <v>16</v>
      </c>
      <c r="D3283" t="s">
        <v>20</v>
      </c>
      <c r="E3283" t="s">
        <v>36</v>
      </c>
      <c r="F3283" s="1">
        <v>226.66</v>
      </c>
      <c r="G3283" t="s">
        <v>24</v>
      </c>
      <c r="H3283" t="s">
        <v>15</v>
      </c>
      <c r="I3283" s="2">
        <v>3.8</v>
      </c>
      <c r="J3283" s="4">
        <v>24</v>
      </c>
      <c r="K3283" s="3">
        <v>7</v>
      </c>
      <c r="L3283" s="1">
        <f t="shared" si="153"/>
        <v>172.26159999999999</v>
      </c>
      <c r="M3283" t="str" cm="1">
        <f t="array" ref="M3283">_xlfn.IFS(B3283&lt;18,"Under 18",B3283 &lt;=25,"18-25",B3283&lt;=35,"26-35",B3283&lt;=45,"36-45",B3283&lt;=60,"46-60",TRUE,"60+")</f>
        <v>18-25</v>
      </c>
      <c r="N3283" t="str">
        <f t="shared" si="154"/>
        <v>Discounted</v>
      </c>
      <c r="O3283" t="str">
        <f t="shared" si="155"/>
        <v>Returning</v>
      </c>
    </row>
    <row r="3284" spans="1:15" x14ac:dyDescent="0.25">
      <c r="A3284">
        <v>3283</v>
      </c>
      <c r="B3284">
        <v>63</v>
      </c>
      <c r="C3284" t="s">
        <v>16</v>
      </c>
      <c r="D3284" t="s">
        <v>20</v>
      </c>
      <c r="E3284" t="s">
        <v>36</v>
      </c>
      <c r="F3284" s="1">
        <v>130.19999999999999</v>
      </c>
      <c r="G3284" t="s">
        <v>24</v>
      </c>
      <c r="H3284" t="s">
        <v>15</v>
      </c>
      <c r="I3284" s="2">
        <v>2.6</v>
      </c>
      <c r="J3284" s="4">
        <v>4</v>
      </c>
      <c r="K3284" s="3">
        <v>2</v>
      </c>
      <c r="L3284" s="1">
        <f t="shared" si="153"/>
        <v>124.99199999999999</v>
      </c>
      <c r="M3284" t="str" cm="1">
        <f t="array" ref="M3284">_xlfn.IFS(B3284&lt;18,"Under 18",B3284 &lt;=25,"18-25",B3284&lt;=35,"26-35",B3284&lt;=45,"36-45",B3284&lt;=60,"46-60",TRUE,"60+")</f>
        <v>60+</v>
      </c>
      <c r="N3284" t="str">
        <f t="shared" si="154"/>
        <v>Discounted</v>
      </c>
      <c r="O3284" t="str">
        <f t="shared" si="155"/>
        <v>Returning</v>
      </c>
    </row>
    <row r="3285" spans="1:15" x14ac:dyDescent="0.25">
      <c r="A3285">
        <v>3284</v>
      </c>
      <c r="B3285">
        <v>57</v>
      </c>
      <c r="C3285" t="s">
        <v>16</v>
      </c>
      <c r="D3285" t="s">
        <v>33</v>
      </c>
      <c r="E3285" t="s">
        <v>38</v>
      </c>
      <c r="F3285" s="1">
        <v>52.67</v>
      </c>
      <c r="G3285" t="s">
        <v>24</v>
      </c>
      <c r="H3285" t="s">
        <v>15</v>
      </c>
      <c r="I3285" s="2">
        <v>4.3</v>
      </c>
      <c r="J3285" s="4">
        <v>16</v>
      </c>
      <c r="K3285" s="3">
        <v>3</v>
      </c>
      <c r="L3285" s="1">
        <f t="shared" si="153"/>
        <v>44.242800000000003</v>
      </c>
      <c r="M3285" t="str" cm="1">
        <f t="array" ref="M3285">_xlfn.IFS(B3285&lt;18,"Under 18",B3285 &lt;=25,"18-25",B3285&lt;=35,"26-35",B3285&lt;=45,"36-45",B3285&lt;=60,"46-60",TRUE,"60+")</f>
        <v>46-60</v>
      </c>
      <c r="N3285" t="str">
        <f t="shared" si="154"/>
        <v>Discounted</v>
      </c>
      <c r="O3285" t="str">
        <f t="shared" si="155"/>
        <v>Returning</v>
      </c>
    </row>
    <row r="3286" spans="1:15" x14ac:dyDescent="0.25">
      <c r="A3286">
        <v>3285</v>
      </c>
      <c r="B3286">
        <v>21</v>
      </c>
      <c r="C3286" t="s">
        <v>11</v>
      </c>
      <c r="D3286" t="s">
        <v>41</v>
      </c>
      <c r="E3286" t="s">
        <v>42</v>
      </c>
      <c r="F3286" s="1">
        <v>151.32</v>
      </c>
      <c r="G3286" t="s">
        <v>31</v>
      </c>
      <c r="H3286" t="s">
        <v>15</v>
      </c>
      <c r="I3286" s="2">
        <v>3</v>
      </c>
      <c r="J3286" s="4">
        <v>24</v>
      </c>
      <c r="K3286" s="3">
        <v>7</v>
      </c>
      <c r="L3286" s="1">
        <f t="shared" si="153"/>
        <v>115.00319999999999</v>
      </c>
      <c r="M3286" t="str" cm="1">
        <f t="array" ref="M3286">_xlfn.IFS(B3286&lt;18,"Under 18",B3286 &lt;=25,"18-25",B3286&lt;=35,"26-35",B3286&lt;=45,"36-45",B3286&lt;=60,"46-60",TRUE,"60+")</f>
        <v>18-25</v>
      </c>
      <c r="N3286" t="str">
        <f t="shared" si="154"/>
        <v>Discounted</v>
      </c>
      <c r="O3286" t="str">
        <f t="shared" si="155"/>
        <v>Returning</v>
      </c>
    </row>
    <row r="3287" spans="1:15" x14ac:dyDescent="0.25">
      <c r="A3287">
        <v>3286</v>
      </c>
      <c r="B3287">
        <v>57</v>
      </c>
      <c r="C3287" t="s">
        <v>16</v>
      </c>
      <c r="D3287" t="s">
        <v>33</v>
      </c>
      <c r="E3287" t="s">
        <v>40</v>
      </c>
      <c r="F3287" s="1">
        <v>49.11</v>
      </c>
      <c r="G3287" t="s">
        <v>14</v>
      </c>
      <c r="H3287" t="s">
        <v>37</v>
      </c>
      <c r="I3287" s="2">
        <v>3.3</v>
      </c>
      <c r="J3287" s="4">
        <v>18</v>
      </c>
      <c r="K3287" s="3">
        <v>4</v>
      </c>
      <c r="L3287" s="1">
        <f t="shared" si="153"/>
        <v>40.270200000000003</v>
      </c>
      <c r="M3287" t="str" cm="1">
        <f t="array" ref="M3287">_xlfn.IFS(B3287&lt;18,"Under 18",B3287 &lt;=25,"18-25",B3287&lt;=35,"26-35",B3287&lt;=45,"36-45",B3287&lt;=60,"46-60",TRUE,"60+")</f>
        <v>46-60</v>
      </c>
      <c r="N3287" t="str">
        <f t="shared" si="154"/>
        <v>Discounted</v>
      </c>
      <c r="O3287" t="str">
        <f t="shared" si="155"/>
        <v>Returning</v>
      </c>
    </row>
    <row r="3288" spans="1:15" x14ac:dyDescent="0.25">
      <c r="A3288">
        <v>3287</v>
      </c>
      <c r="B3288">
        <v>50</v>
      </c>
      <c r="C3288" t="s">
        <v>11</v>
      </c>
      <c r="D3288" t="s">
        <v>29</v>
      </c>
      <c r="E3288" t="s">
        <v>55</v>
      </c>
      <c r="F3288" s="1">
        <v>71.64</v>
      </c>
      <c r="G3288" t="s">
        <v>24</v>
      </c>
      <c r="H3288" t="s">
        <v>37</v>
      </c>
      <c r="I3288" s="2">
        <v>4.5</v>
      </c>
      <c r="J3288" s="4">
        <v>20</v>
      </c>
      <c r="K3288" s="3">
        <v>5</v>
      </c>
      <c r="L3288" s="1">
        <f t="shared" si="153"/>
        <v>57.312000000000005</v>
      </c>
      <c r="M3288" t="str" cm="1">
        <f t="array" ref="M3288">_xlfn.IFS(B3288&lt;18,"Under 18",B3288 &lt;=25,"18-25",B3288&lt;=35,"26-35",B3288&lt;=45,"36-45",B3288&lt;=60,"46-60",TRUE,"60+")</f>
        <v>46-60</v>
      </c>
      <c r="N3288" t="str">
        <f t="shared" si="154"/>
        <v>Discounted</v>
      </c>
      <c r="O3288" t="str">
        <f t="shared" si="155"/>
        <v>Returning</v>
      </c>
    </row>
    <row r="3289" spans="1:15" x14ac:dyDescent="0.25">
      <c r="A3289">
        <v>3288</v>
      </c>
      <c r="B3289">
        <v>30</v>
      </c>
      <c r="C3289" t="s">
        <v>16</v>
      </c>
      <c r="D3289" t="s">
        <v>22</v>
      </c>
      <c r="E3289" t="s">
        <v>43</v>
      </c>
      <c r="F3289" s="1">
        <v>165.95</v>
      </c>
      <c r="G3289" t="s">
        <v>14</v>
      </c>
      <c r="H3289" t="s">
        <v>15</v>
      </c>
      <c r="I3289" s="2">
        <v>4.5</v>
      </c>
      <c r="J3289" s="4">
        <v>18</v>
      </c>
      <c r="K3289" s="3">
        <v>4</v>
      </c>
      <c r="L3289" s="1">
        <f t="shared" si="153"/>
        <v>136.07900000000001</v>
      </c>
      <c r="M3289" t="str" cm="1">
        <f t="array" ref="M3289">_xlfn.IFS(B3289&lt;18,"Under 18",B3289 &lt;=25,"18-25",B3289&lt;=35,"26-35",B3289&lt;=45,"36-45",B3289&lt;=60,"46-60",TRUE,"60+")</f>
        <v>26-35</v>
      </c>
      <c r="N3289" t="str">
        <f t="shared" si="154"/>
        <v>Discounted</v>
      </c>
      <c r="O3289" t="str">
        <f t="shared" si="155"/>
        <v>Returning</v>
      </c>
    </row>
    <row r="3290" spans="1:15" x14ac:dyDescent="0.25">
      <c r="A3290">
        <v>3289</v>
      </c>
      <c r="B3290">
        <v>62</v>
      </c>
      <c r="C3290" t="s">
        <v>16</v>
      </c>
      <c r="D3290" t="s">
        <v>20</v>
      </c>
      <c r="E3290" t="s">
        <v>21</v>
      </c>
      <c r="F3290" s="1">
        <v>248.99</v>
      </c>
      <c r="G3290" t="s">
        <v>14</v>
      </c>
      <c r="H3290" t="s">
        <v>15</v>
      </c>
      <c r="I3290" s="2">
        <v>2.8</v>
      </c>
      <c r="J3290" s="4">
        <v>13</v>
      </c>
      <c r="K3290" s="3">
        <v>4</v>
      </c>
      <c r="L3290" s="1">
        <f t="shared" si="153"/>
        <v>216.62130000000002</v>
      </c>
      <c r="M3290" t="str" cm="1">
        <f t="array" ref="M3290">_xlfn.IFS(B3290&lt;18,"Under 18",B3290 &lt;=25,"18-25",B3290&lt;=35,"26-35",B3290&lt;=45,"36-45",B3290&lt;=60,"46-60",TRUE,"60+")</f>
        <v>60+</v>
      </c>
      <c r="N3290" t="str">
        <f t="shared" si="154"/>
        <v>Discounted</v>
      </c>
      <c r="O3290" t="str">
        <f t="shared" si="155"/>
        <v>Returning</v>
      </c>
    </row>
    <row r="3291" spans="1:15" x14ac:dyDescent="0.25">
      <c r="A3291">
        <v>3290</v>
      </c>
      <c r="B3291">
        <v>35</v>
      </c>
      <c r="C3291" t="s">
        <v>16</v>
      </c>
      <c r="D3291" t="s">
        <v>27</v>
      </c>
      <c r="E3291" t="s">
        <v>49</v>
      </c>
      <c r="F3291" s="1">
        <v>2952.94</v>
      </c>
      <c r="G3291" t="s">
        <v>19</v>
      </c>
      <c r="H3291" t="s">
        <v>15</v>
      </c>
      <c r="I3291" s="2">
        <v>3</v>
      </c>
      <c r="J3291" s="4">
        <v>11</v>
      </c>
      <c r="K3291" s="3">
        <v>3</v>
      </c>
      <c r="L3291" s="1">
        <f t="shared" si="153"/>
        <v>2628.1166000000003</v>
      </c>
      <c r="M3291" t="str" cm="1">
        <f t="array" ref="M3291">_xlfn.IFS(B3291&lt;18,"Under 18",B3291 &lt;=25,"18-25",B3291&lt;=35,"26-35",B3291&lt;=45,"36-45",B3291&lt;=60,"46-60",TRUE,"60+")</f>
        <v>26-35</v>
      </c>
      <c r="N3291" t="str">
        <f t="shared" si="154"/>
        <v>Discounted</v>
      </c>
      <c r="O3291" t="str">
        <f t="shared" si="155"/>
        <v>Returning</v>
      </c>
    </row>
    <row r="3292" spans="1:15" x14ac:dyDescent="0.25">
      <c r="A3292">
        <v>3291</v>
      </c>
      <c r="B3292">
        <v>20</v>
      </c>
      <c r="C3292" t="s">
        <v>16</v>
      </c>
      <c r="D3292" t="s">
        <v>20</v>
      </c>
      <c r="E3292" t="s">
        <v>21</v>
      </c>
      <c r="F3292" s="1">
        <v>226.69</v>
      </c>
      <c r="G3292" t="s">
        <v>31</v>
      </c>
      <c r="H3292" t="s">
        <v>15</v>
      </c>
      <c r="I3292" s="2">
        <v>4</v>
      </c>
      <c r="J3292" s="4">
        <v>17</v>
      </c>
      <c r="K3292" s="3">
        <v>6</v>
      </c>
      <c r="L3292" s="1">
        <f t="shared" si="153"/>
        <v>188.15269999999998</v>
      </c>
      <c r="M3292" t="str" cm="1">
        <f t="array" ref="M3292">_xlfn.IFS(B3292&lt;18,"Under 18",B3292 &lt;=25,"18-25",B3292&lt;=35,"26-35",B3292&lt;=45,"36-45",B3292&lt;=60,"46-60",TRUE,"60+")</f>
        <v>18-25</v>
      </c>
      <c r="N3292" t="str">
        <f t="shared" si="154"/>
        <v>Discounted</v>
      </c>
      <c r="O3292" t="str">
        <f t="shared" si="155"/>
        <v>Returning</v>
      </c>
    </row>
    <row r="3293" spans="1:15" x14ac:dyDescent="0.25">
      <c r="A3293">
        <v>3292</v>
      </c>
      <c r="B3293">
        <v>41</v>
      </c>
      <c r="C3293" t="s">
        <v>16</v>
      </c>
      <c r="D3293" t="s">
        <v>17</v>
      </c>
      <c r="E3293" t="s">
        <v>35</v>
      </c>
      <c r="F3293" s="1">
        <v>136.81</v>
      </c>
      <c r="G3293" t="s">
        <v>14</v>
      </c>
      <c r="H3293" t="s">
        <v>15</v>
      </c>
      <c r="I3293" s="2">
        <v>4</v>
      </c>
      <c r="J3293" s="4">
        <v>9</v>
      </c>
      <c r="K3293" s="3">
        <v>2</v>
      </c>
      <c r="L3293" s="1">
        <f t="shared" si="153"/>
        <v>124.4971</v>
      </c>
      <c r="M3293" t="str" cm="1">
        <f t="array" ref="M3293">_xlfn.IFS(B3293&lt;18,"Under 18",B3293 &lt;=25,"18-25",B3293&lt;=35,"26-35",B3293&lt;=45,"36-45",B3293&lt;=60,"46-60",TRUE,"60+")</f>
        <v>36-45</v>
      </c>
      <c r="N3293" t="str">
        <f t="shared" si="154"/>
        <v>Discounted</v>
      </c>
      <c r="O3293" t="str">
        <f t="shared" si="155"/>
        <v>Returning</v>
      </c>
    </row>
    <row r="3294" spans="1:15" x14ac:dyDescent="0.25">
      <c r="A3294">
        <v>3293</v>
      </c>
      <c r="B3294">
        <v>60</v>
      </c>
      <c r="C3294" t="s">
        <v>11</v>
      </c>
      <c r="D3294" t="s">
        <v>33</v>
      </c>
      <c r="E3294" t="s">
        <v>34</v>
      </c>
      <c r="F3294" s="1">
        <v>191.66</v>
      </c>
      <c r="G3294" t="s">
        <v>19</v>
      </c>
      <c r="H3294" t="s">
        <v>15</v>
      </c>
      <c r="I3294" s="2">
        <v>5</v>
      </c>
      <c r="J3294" s="4">
        <v>9</v>
      </c>
      <c r="K3294" s="3">
        <v>2</v>
      </c>
      <c r="L3294" s="1">
        <f t="shared" si="153"/>
        <v>174.41060000000002</v>
      </c>
      <c r="M3294" t="str" cm="1">
        <f t="array" ref="M3294">_xlfn.IFS(B3294&lt;18,"Under 18",B3294 &lt;=25,"18-25",B3294&lt;=35,"26-35",B3294&lt;=45,"36-45",B3294&lt;=60,"46-60",TRUE,"60+")</f>
        <v>46-60</v>
      </c>
      <c r="N3294" t="str">
        <f t="shared" si="154"/>
        <v>Discounted</v>
      </c>
      <c r="O3294" t="str">
        <f t="shared" si="155"/>
        <v>Returning</v>
      </c>
    </row>
    <row r="3295" spans="1:15" x14ac:dyDescent="0.25">
      <c r="A3295">
        <v>3294</v>
      </c>
      <c r="B3295">
        <v>34</v>
      </c>
      <c r="C3295" t="s">
        <v>11</v>
      </c>
      <c r="D3295" t="s">
        <v>41</v>
      </c>
      <c r="E3295" t="s">
        <v>46</v>
      </c>
      <c r="F3295" s="1">
        <v>82.77</v>
      </c>
      <c r="G3295" t="s">
        <v>24</v>
      </c>
      <c r="H3295" t="s">
        <v>37</v>
      </c>
      <c r="I3295" s="2">
        <v>3.5</v>
      </c>
      <c r="J3295" s="4">
        <v>32</v>
      </c>
      <c r="K3295" s="3">
        <v>11</v>
      </c>
      <c r="L3295" s="1">
        <f t="shared" si="153"/>
        <v>56.283599999999993</v>
      </c>
      <c r="M3295" t="str" cm="1">
        <f t="array" ref="M3295">_xlfn.IFS(B3295&lt;18,"Under 18",B3295 &lt;=25,"18-25",B3295&lt;=35,"26-35",B3295&lt;=45,"36-45",B3295&lt;=60,"46-60",TRUE,"60+")</f>
        <v>26-35</v>
      </c>
      <c r="N3295" t="str">
        <f t="shared" si="154"/>
        <v>Discounted</v>
      </c>
      <c r="O3295" t="str">
        <f t="shared" si="155"/>
        <v>Returning</v>
      </c>
    </row>
    <row r="3296" spans="1:15" x14ac:dyDescent="0.25">
      <c r="A3296">
        <v>3295</v>
      </c>
      <c r="B3296">
        <v>52</v>
      </c>
      <c r="C3296" t="s">
        <v>11</v>
      </c>
      <c r="D3296" t="s">
        <v>33</v>
      </c>
      <c r="E3296" t="s">
        <v>38</v>
      </c>
      <c r="F3296" s="1">
        <v>50.19</v>
      </c>
      <c r="G3296" t="s">
        <v>31</v>
      </c>
      <c r="H3296" t="s">
        <v>15</v>
      </c>
      <c r="I3296" s="2">
        <v>4.2</v>
      </c>
      <c r="J3296" s="4">
        <v>17</v>
      </c>
      <c r="K3296" s="3">
        <v>6</v>
      </c>
      <c r="L3296" s="1">
        <f t="shared" si="153"/>
        <v>41.657699999999998</v>
      </c>
      <c r="M3296" t="str" cm="1">
        <f t="array" ref="M3296">_xlfn.IFS(B3296&lt;18,"Under 18",B3296 &lt;=25,"18-25",B3296&lt;=35,"26-35",B3296&lt;=45,"36-45",B3296&lt;=60,"46-60",TRUE,"60+")</f>
        <v>46-60</v>
      </c>
      <c r="N3296" t="str">
        <f t="shared" si="154"/>
        <v>Discounted</v>
      </c>
      <c r="O3296" t="str">
        <f t="shared" si="155"/>
        <v>Returning</v>
      </c>
    </row>
    <row r="3297" spans="1:15" x14ac:dyDescent="0.25">
      <c r="A3297">
        <v>3296</v>
      </c>
      <c r="B3297">
        <v>43</v>
      </c>
      <c r="C3297" t="s">
        <v>11</v>
      </c>
      <c r="D3297" t="s">
        <v>12</v>
      </c>
      <c r="E3297" t="s">
        <v>50</v>
      </c>
      <c r="F3297" s="1">
        <v>170.71</v>
      </c>
      <c r="G3297" t="s">
        <v>24</v>
      </c>
      <c r="H3297" t="s">
        <v>15</v>
      </c>
      <c r="I3297" s="2">
        <v>3</v>
      </c>
      <c r="J3297" s="4">
        <v>15</v>
      </c>
      <c r="K3297" s="3">
        <v>5</v>
      </c>
      <c r="L3297" s="1">
        <f t="shared" si="153"/>
        <v>145.1035</v>
      </c>
      <c r="M3297" t="str" cm="1">
        <f t="array" ref="M3297">_xlfn.IFS(B3297&lt;18,"Under 18",B3297 &lt;=25,"18-25",B3297&lt;=35,"26-35",B3297&lt;=45,"36-45",B3297&lt;=60,"46-60",TRUE,"60+")</f>
        <v>36-45</v>
      </c>
      <c r="N3297" t="str">
        <f t="shared" si="154"/>
        <v>Discounted</v>
      </c>
      <c r="O3297" t="str">
        <f t="shared" si="155"/>
        <v>Returning</v>
      </c>
    </row>
    <row r="3298" spans="1:15" x14ac:dyDescent="0.25">
      <c r="A3298">
        <v>3297</v>
      </c>
      <c r="B3298">
        <v>22</v>
      </c>
      <c r="C3298" t="s">
        <v>16</v>
      </c>
      <c r="D3298" t="s">
        <v>17</v>
      </c>
      <c r="E3298" t="s">
        <v>48</v>
      </c>
      <c r="F3298" s="1">
        <v>57.55</v>
      </c>
      <c r="G3298" t="s">
        <v>31</v>
      </c>
      <c r="H3298" t="s">
        <v>37</v>
      </c>
      <c r="I3298" s="2">
        <v>3.4</v>
      </c>
      <c r="J3298" s="4">
        <v>10</v>
      </c>
      <c r="K3298" s="3">
        <v>5</v>
      </c>
      <c r="L3298" s="1">
        <f t="shared" si="153"/>
        <v>51.795000000000002</v>
      </c>
      <c r="M3298" t="str" cm="1">
        <f t="array" ref="M3298">_xlfn.IFS(B3298&lt;18,"Under 18",B3298 &lt;=25,"18-25",B3298&lt;=35,"26-35",B3298&lt;=45,"36-45",B3298&lt;=60,"46-60",TRUE,"60+")</f>
        <v>18-25</v>
      </c>
      <c r="N3298" t="str">
        <f t="shared" si="154"/>
        <v>Discounted</v>
      </c>
      <c r="O3298" t="str">
        <f t="shared" si="155"/>
        <v>Returning</v>
      </c>
    </row>
    <row r="3299" spans="1:15" x14ac:dyDescent="0.25">
      <c r="A3299">
        <v>3298</v>
      </c>
      <c r="B3299">
        <v>25</v>
      </c>
      <c r="C3299" t="s">
        <v>16</v>
      </c>
      <c r="D3299" t="s">
        <v>27</v>
      </c>
      <c r="E3299" t="s">
        <v>32</v>
      </c>
      <c r="F3299" s="1">
        <v>1659.69</v>
      </c>
      <c r="G3299" t="s">
        <v>14</v>
      </c>
      <c r="H3299" t="s">
        <v>15</v>
      </c>
      <c r="I3299" s="2">
        <v>4.0999999999999996</v>
      </c>
      <c r="J3299" s="4">
        <v>11</v>
      </c>
      <c r="K3299" s="3">
        <v>3</v>
      </c>
      <c r="L3299" s="1">
        <f t="shared" si="153"/>
        <v>1477.1241</v>
      </c>
      <c r="M3299" t="str" cm="1">
        <f t="array" ref="M3299">_xlfn.IFS(B3299&lt;18,"Under 18",B3299 &lt;=25,"18-25",B3299&lt;=35,"26-35",B3299&lt;=45,"36-45",B3299&lt;=60,"46-60",TRUE,"60+")</f>
        <v>18-25</v>
      </c>
      <c r="N3299" t="str">
        <f t="shared" si="154"/>
        <v>Discounted</v>
      </c>
      <c r="O3299" t="str">
        <f t="shared" si="155"/>
        <v>Returning</v>
      </c>
    </row>
    <row r="3300" spans="1:15" x14ac:dyDescent="0.25">
      <c r="A3300">
        <v>3299</v>
      </c>
      <c r="B3300">
        <v>50</v>
      </c>
      <c r="C3300" t="s">
        <v>16</v>
      </c>
      <c r="D3300" t="s">
        <v>20</v>
      </c>
      <c r="E3300" t="s">
        <v>21</v>
      </c>
      <c r="F3300" s="1">
        <v>99.86</v>
      </c>
      <c r="G3300" t="s">
        <v>19</v>
      </c>
      <c r="H3300" t="s">
        <v>15</v>
      </c>
      <c r="I3300" s="2">
        <v>3.2</v>
      </c>
      <c r="J3300" s="4">
        <v>22</v>
      </c>
      <c r="K3300" s="3">
        <v>6</v>
      </c>
      <c r="L3300" s="1">
        <f t="shared" si="153"/>
        <v>77.890799999999999</v>
      </c>
      <c r="M3300" t="str" cm="1">
        <f t="array" ref="M3300">_xlfn.IFS(B3300&lt;18,"Under 18",B3300 &lt;=25,"18-25",B3300&lt;=35,"26-35",B3300&lt;=45,"36-45",B3300&lt;=60,"46-60",TRUE,"60+")</f>
        <v>46-60</v>
      </c>
      <c r="N3300" t="str">
        <f t="shared" si="154"/>
        <v>Discounted</v>
      </c>
      <c r="O3300" t="str">
        <f t="shared" si="155"/>
        <v>Returning</v>
      </c>
    </row>
    <row r="3301" spans="1:15" x14ac:dyDescent="0.25">
      <c r="A3301">
        <v>3300</v>
      </c>
      <c r="B3301">
        <v>61</v>
      </c>
      <c r="C3301" t="s">
        <v>11</v>
      </c>
      <c r="D3301" t="s">
        <v>33</v>
      </c>
      <c r="E3301" t="s">
        <v>34</v>
      </c>
      <c r="F3301" s="1">
        <v>101.31</v>
      </c>
      <c r="G3301" t="s">
        <v>31</v>
      </c>
      <c r="H3301" t="s">
        <v>15</v>
      </c>
      <c r="I3301" s="2">
        <v>3.6</v>
      </c>
      <c r="J3301" s="4">
        <v>16</v>
      </c>
      <c r="K3301" s="3">
        <v>3</v>
      </c>
      <c r="L3301" s="1">
        <f t="shared" si="153"/>
        <v>85.100399999999993</v>
      </c>
      <c r="M3301" t="str" cm="1">
        <f t="array" ref="M3301">_xlfn.IFS(B3301&lt;18,"Under 18",B3301 &lt;=25,"18-25",B3301&lt;=35,"26-35",B3301&lt;=45,"36-45",B3301&lt;=60,"46-60",TRUE,"60+")</f>
        <v>60+</v>
      </c>
      <c r="N3301" t="str">
        <f t="shared" si="154"/>
        <v>Discounted</v>
      </c>
      <c r="O3301" t="str">
        <f t="shared" si="155"/>
        <v>Returning</v>
      </c>
    </row>
    <row r="3302" spans="1:15" x14ac:dyDescent="0.25">
      <c r="A3302">
        <v>3301</v>
      </c>
      <c r="B3302">
        <v>37</v>
      </c>
      <c r="C3302" t="s">
        <v>16</v>
      </c>
      <c r="D3302" t="s">
        <v>27</v>
      </c>
      <c r="E3302" t="s">
        <v>49</v>
      </c>
      <c r="F3302" s="1">
        <v>1894.44</v>
      </c>
      <c r="G3302" t="s">
        <v>24</v>
      </c>
      <c r="H3302" t="s">
        <v>15</v>
      </c>
      <c r="I3302" s="2">
        <v>4.3</v>
      </c>
      <c r="J3302" s="4">
        <v>12</v>
      </c>
      <c r="K3302" s="3">
        <v>6</v>
      </c>
      <c r="L3302" s="1">
        <f t="shared" si="153"/>
        <v>1667.1072000000001</v>
      </c>
      <c r="M3302" t="str" cm="1">
        <f t="array" ref="M3302">_xlfn.IFS(B3302&lt;18,"Under 18",B3302 &lt;=25,"18-25",B3302&lt;=35,"26-35",B3302&lt;=45,"36-45",B3302&lt;=60,"46-60",TRUE,"60+")</f>
        <v>36-45</v>
      </c>
      <c r="N3302" t="str">
        <f t="shared" si="154"/>
        <v>Discounted</v>
      </c>
      <c r="O3302" t="str">
        <f t="shared" si="155"/>
        <v>Returning</v>
      </c>
    </row>
    <row r="3303" spans="1:15" x14ac:dyDescent="0.25">
      <c r="A3303">
        <v>3302</v>
      </c>
      <c r="B3303">
        <v>44</v>
      </c>
      <c r="C3303" t="s">
        <v>11</v>
      </c>
      <c r="D3303" t="s">
        <v>33</v>
      </c>
      <c r="E3303" t="s">
        <v>40</v>
      </c>
      <c r="F3303" s="1">
        <v>110.78</v>
      </c>
      <c r="G3303" t="s">
        <v>19</v>
      </c>
      <c r="H3303" t="s">
        <v>15</v>
      </c>
      <c r="I3303" s="2">
        <v>3.3</v>
      </c>
      <c r="J3303" s="4">
        <v>20</v>
      </c>
      <c r="K3303" s="3">
        <v>5</v>
      </c>
      <c r="L3303" s="1">
        <f t="shared" si="153"/>
        <v>88.624000000000009</v>
      </c>
      <c r="M3303" t="str" cm="1">
        <f t="array" ref="M3303">_xlfn.IFS(B3303&lt;18,"Under 18",B3303 &lt;=25,"18-25",B3303&lt;=35,"26-35",B3303&lt;=45,"36-45",B3303&lt;=60,"46-60",TRUE,"60+")</f>
        <v>36-45</v>
      </c>
      <c r="N3303" t="str">
        <f t="shared" si="154"/>
        <v>Discounted</v>
      </c>
      <c r="O3303" t="str">
        <f t="shared" si="155"/>
        <v>Returning</v>
      </c>
    </row>
    <row r="3304" spans="1:15" x14ac:dyDescent="0.25">
      <c r="A3304">
        <v>3303</v>
      </c>
      <c r="B3304">
        <v>45</v>
      </c>
      <c r="C3304" t="s">
        <v>11</v>
      </c>
      <c r="D3304" t="s">
        <v>29</v>
      </c>
      <c r="E3304" t="s">
        <v>51</v>
      </c>
      <c r="F3304" s="1">
        <v>40.99</v>
      </c>
      <c r="G3304" t="s">
        <v>19</v>
      </c>
      <c r="H3304" t="s">
        <v>15</v>
      </c>
      <c r="I3304" s="2">
        <v>3.8</v>
      </c>
      <c r="J3304" s="4">
        <v>14</v>
      </c>
      <c r="K3304" s="3">
        <v>2</v>
      </c>
      <c r="L3304" s="1">
        <f t="shared" si="153"/>
        <v>35.251400000000004</v>
      </c>
      <c r="M3304" t="str" cm="1">
        <f t="array" ref="M3304">_xlfn.IFS(B3304&lt;18,"Under 18",B3304 &lt;=25,"18-25",B3304&lt;=35,"26-35",B3304&lt;=45,"36-45",B3304&lt;=60,"46-60",TRUE,"60+")</f>
        <v>36-45</v>
      </c>
      <c r="N3304" t="str">
        <f t="shared" si="154"/>
        <v>Discounted</v>
      </c>
      <c r="O3304" t="str">
        <f t="shared" si="155"/>
        <v>Returning</v>
      </c>
    </row>
    <row r="3305" spans="1:15" x14ac:dyDescent="0.25">
      <c r="A3305">
        <v>3304</v>
      </c>
      <c r="B3305">
        <v>66</v>
      </c>
      <c r="C3305" t="s">
        <v>11</v>
      </c>
      <c r="D3305" t="s">
        <v>41</v>
      </c>
      <c r="E3305" t="s">
        <v>46</v>
      </c>
      <c r="F3305" s="1">
        <v>45.9</v>
      </c>
      <c r="G3305" t="s">
        <v>31</v>
      </c>
      <c r="H3305" t="s">
        <v>37</v>
      </c>
      <c r="I3305" s="2">
        <v>3.5</v>
      </c>
      <c r="J3305" s="4">
        <v>16</v>
      </c>
      <c r="K3305" s="3">
        <v>8</v>
      </c>
      <c r="L3305" s="1">
        <f t="shared" si="153"/>
        <v>38.555999999999997</v>
      </c>
      <c r="M3305" t="str" cm="1">
        <f t="array" ref="M3305">_xlfn.IFS(B3305&lt;18,"Under 18",B3305 &lt;=25,"18-25",B3305&lt;=35,"26-35",B3305&lt;=45,"36-45",B3305&lt;=60,"46-60",TRUE,"60+")</f>
        <v>60+</v>
      </c>
      <c r="N3305" t="str">
        <f t="shared" si="154"/>
        <v>Discounted</v>
      </c>
      <c r="O3305" t="str">
        <f t="shared" si="155"/>
        <v>Returning</v>
      </c>
    </row>
    <row r="3306" spans="1:15" x14ac:dyDescent="0.25">
      <c r="A3306">
        <v>3305</v>
      </c>
      <c r="B3306">
        <v>61</v>
      </c>
      <c r="C3306" t="s">
        <v>11</v>
      </c>
      <c r="D3306" t="s">
        <v>12</v>
      </c>
      <c r="E3306" t="s">
        <v>56</v>
      </c>
      <c r="F3306" s="1">
        <v>48.25</v>
      </c>
      <c r="G3306" t="s">
        <v>24</v>
      </c>
      <c r="H3306" t="s">
        <v>15</v>
      </c>
      <c r="I3306" s="2">
        <v>3.6</v>
      </c>
      <c r="J3306" s="4">
        <v>10</v>
      </c>
      <c r="K3306" s="3">
        <v>5</v>
      </c>
      <c r="L3306" s="1">
        <f t="shared" si="153"/>
        <v>43.425000000000004</v>
      </c>
      <c r="M3306" t="str" cm="1">
        <f t="array" ref="M3306">_xlfn.IFS(B3306&lt;18,"Under 18",B3306 &lt;=25,"18-25",B3306&lt;=35,"26-35",B3306&lt;=45,"36-45",B3306&lt;=60,"46-60",TRUE,"60+")</f>
        <v>60+</v>
      </c>
      <c r="N3306" t="str">
        <f t="shared" si="154"/>
        <v>Discounted</v>
      </c>
      <c r="O3306" t="str">
        <f t="shared" si="155"/>
        <v>Returning</v>
      </c>
    </row>
    <row r="3307" spans="1:15" x14ac:dyDescent="0.25">
      <c r="A3307">
        <v>3306</v>
      </c>
      <c r="B3307">
        <v>49</v>
      </c>
      <c r="C3307" t="s">
        <v>16</v>
      </c>
      <c r="D3307" t="s">
        <v>27</v>
      </c>
      <c r="E3307" t="s">
        <v>28</v>
      </c>
      <c r="F3307" s="1">
        <v>2743.44</v>
      </c>
      <c r="G3307" t="s">
        <v>31</v>
      </c>
      <c r="H3307" t="s">
        <v>15</v>
      </c>
      <c r="I3307" s="2">
        <v>4.7</v>
      </c>
      <c r="J3307" s="4">
        <v>20</v>
      </c>
      <c r="K3307" s="3">
        <v>5</v>
      </c>
      <c r="L3307" s="1">
        <f t="shared" si="153"/>
        <v>2194.752</v>
      </c>
      <c r="M3307" t="str" cm="1">
        <f t="array" ref="M3307">_xlfn.IFS(B3307&lt;18,"Under 18",B3307 &lt;=25,"18-25",B3307&lt;=35,"26-35",B3307&lt;=45,"36-45",B3307&lt;=60,"46-60",TRUE,"60+")</f>
        <v>46-60</v>
      </c>
      <c r="N3307" t="str">
        <f t="shared" si="154"/>
        <v>Discounted</v>
      </c>
      <c r="O3307" t="str">
        <f t="shared" si="155"/>
        <v>Returning</v>
      </c>
    </row>
    <row r="3308" spans="1:15" x14ac:dyDescent="0.25">
      <c r="A3308">
        <v>3307</v>
      </c>
      <c r="B3308">
        <v>21</v>
      </c>
      <c r="C3308" t="s">
        <v>11</v>
      </c>
      <c r="D3308" t="s">
        <v>41</v>
      </c>
      <c r="E3308" t="s">
        <v>45</v>
      </c>
      <c r="F3308" s="1">
        <v>103.61</v>
      </c>
      <c r="G3308" t="s">
        <v>14</v>
      </c>
      <c r="H3308" t="s">
        <v>15</v>
      </c>
      <c r="I3308" s="2">
        <v>3.8</v>
      </c>
      <c r="J3308" s="4">
        <v>10</v>
      </c>
      <c r="K3308" s="3">
        <v>5</v>
      </c>
      <c r="L3308" s="1">
        <f t="shared" si="153"/>
        <v>93.248999999999995</v>
      </c>
      <c r="M3308" t="str" cm="1">
        <f t="array" ref="M3308">_xlfn.IFS(B3308&lt;18,"Under 18",B3308 &lt;=25,"18-25",B3308&lt;=35,"26-35",B3308&lt;=45,"36-45",B3308&lt;=60,"46-60",TRUE,"60+")</f>
        <v>18-25</v>
      </c>
      <c r="N3308" t="str">
        <f t="shared" si="154"/>
        <v>Discounted</v>
      </c>
      <c r="O3308" t="str">
        <f t="shared" si="155"/>
        <v>Returning</v>
      </c>
    </row>
    <row r="3309" spans="1:15" x14ac:dyDescent="0.25">
      <c r="A3309">
        <v>3308</v>
      </c>
      <c r="B3309">
        <v>28</v>
      </c>
      <c r="C3309" t="s">
        <v>16</v>
      </c>
      <c r="D3309" t="s">
        <v>27</v>
      </c>
      <c r="E3309" t="s">
        <v>28</v>
      </c>
      <c r="F3309" s="1">
        <v>2722.53</v>
      </c>
      <c r="G3309" t="s">
        <v>19</v>
      </c>
      <c r="H3309" t="s">
        <v>15</v>
      </c>
      <c r="I3309" s="2">
        <v>3.9</v>
      </c>
      <c r="J3309" s="4">
        <v>17</v>
      </c>
      <c r="K3309" s="3">
        <v>6</v>
      </c>
      <c r="L3309" s="1">
        <f t="shared" si="153"/>
        <v>2259.6999000000001</v>
      </c>
      <c r="M3309" t="str" cm="1">
        <f t="array" ref="M3309">_xlfn.IFS(B3309&lt;18,"Under 18",B3309 &lt;=25,"18-25",B3309&lt;=35,"26-35",B3309&lt;=45,"36-45",B3309&lt;=60,"46-60",TRUE,"60+")</f>
        <v>26-35</v>
      </c>
      <c r="N3309" t="str">
        <f t="shared" si="154"/>
        <v>Discounted</v>
      </c>
      <c r="O3309" t="str">
        <f t="shared" si="155"/>
        <v>Returning</v>
      </c>
    </row>
    <row r="3310" spans="1:15" x14ac:dyDescent="0.25">
      <c r="A3310">
        <v>3309</v>
      </c>
      <c r="B3310">
        <v>41</v>
      </c>
      <c r="C3310" t="s">
        <v>16</v>
      </c>
      <c r="D3310" t="s">
        <v>27</v>
      </c>
      <c r="E3310" t="s">
        <v>32</v>
      </c>
      <c r="F3310" s="1">
        <v>956.14</v>
      </c>
      <c r="G3310" t="s">
        <v>14</v>
      </c>
      <c r="H3310" t="s">
        <v>15</v>
      </c>
      <c r="I3310" s="2">
        <v>3.5</v>
      </c>
      <c r="J3310" s="4">
        <v>21</v>
      </c>
      <c r="K3310" s="3">
        <v>8</v>
      </c>
      <c r="L3310" s="1">
        <f t="shared" si="153"/>
        <v>755.35059999999999</v>
      </c>
      <c r="M3310" t="str" cm="1">
        <f t="array" ref="M3310">_xlfn.IFS(B3310&lt;18,"Under 18",B3310 &lt;=25,"18-25",B3310&lt;=35,"26-35",B3310&lt;=45,"36-45",B3310&lt;=60,"46-60",TRUE,"60+")</f>
        <v>36-45</v>
      </c>
      <c r="N3310" t="str">
        <f t="shared" si="154"/>
        <v>Discounted</v>
      </c>
      <c r="O3310" t="str">
        <f t="shared" si="155"/>
        <v>Returning</v>
      </c>
    </row>
    <row r="3311" spans="1:15" x14ac:dyDescent="0.25">
      <c r="A3311">
        <v>3310</v>
      </c>
      <c r="B3311">
        <v>59</v>
      </c>
      <c r="C3311" t="s">
        <v>16</v>
      </c>
      <c r="D3311" t="s">
        <v>17</v>
      </c>
      <c r="E3311" t="s">
        <v>48</v>
      </c>
      <c r="F3311" s="1">
        <v>179.08</v>
      </c>
      <c r="G3311" t="s">
        <v>24</v>
      </c>
      <c r="H3311" t="s">
        <v>15</v>
      </c>
      <c r="I3311" s="2">
        <v>3.9</v>
      </c>
      <c r="J3311" s="4">
        <v>11</v>
      </c>
      <c r="K3311" s="3">
        <v>3</v>
      </c>
      <c r="L3311" s="1">
        <f t="shared" si="153"/>
        <v>159.38120000000001</v>
      </c>
      <c r="M3311" t="str" cm="1">
        <f t="array" ref="M3311">_xlfn.IFS(B3311&lt;18,"Under 18",B3311 &lt;=25,"18-25",B3311&lt;=35,"26-35",B3311&lt;=45,"36-45",B3311&lt;=60,"46-60",TRUE,"60+")</f>
        <v>46-60</v>
      </c>
      <c r="N3311" t="str">
        <f t="shared" si="154"/>
        <v>Discounted</v>
      </c>
      <c r="O3311" t="str">
        <f t="shared" si="155"/>
        <v>Returning</v>
      </c>
    </row>
    <row r="3312" spans="1:15" x14ac:dyDescent="0.25">
      <c r="A3312">
        <v>3311</v>
      </c>
      <c r="B3312">
        <v>70</v>
      </c>
      <c r="C3312" t="s">
        <v>16</v>
      </c>
      <c r="D3312" t="s">
        <v>33</v>
      </c>
      <c r="E3312" t="s">
        <v>40</v>
      </c>
      <c r="F3312" s="1">
        <v>237.9</v>
      </c>
      <c r="G3312" t="s">
        <v>24</v>
      </c>
      <c r="H3312" t="s">
        <v>15</v>
      </c>
      <c r="I3312" s="2">
        <v>3.3</v>
      </c>
      <c r="J3312" s="4">
        <v>13</v>
      </c>
      <c r="K3312" s="3">
        <v>4</v>
      </c>
      <c r="L3312" s="1">
        <f t="shared" si="153"/>
        <v>206.97300000000001</v>
      </c>
      <c r="M3312" t="str" cm="1">
        <f t="array" ref="M3312">_xlfn.IFS(B3312&lt;18,"Under 18",B3312 &lt;=25,"18-25",B3312&lt;=35,"26-35",B3312&lt;=45,"36-45",B3312&lt;=60,"46-60",TRUE,"60+")</f>
        <v>60+</v>
      </c>
      <c r="N3312" t="str">
        <f t="shared" si="154"/>
        <v>Discounted</v>
      </c>
      <c r="O3312" t="str">
        <f t="shared" si="155"/>
        <v>Returning</v>
      </c>
    </row>
    <row r="3313" spans="1:15" x14ac:dyDescent="0.25">
      <c r="A3313">
        <v>3312</v>
      </c>
      <c r="B3313">
        <v>21</v>
      </c>
      <c r="C3313" t="s">
        <v>11</v>
      </c>
      <c r="D3313" t="s">
        <v>33</v>
      </c>
      <c r="E3313" t="s">
        <v>34</v>
      </c>
      <c r="F3313" s="1">
        <v>112.2</v>
      </c>
      <c r="G3313" t="s">
        <v>24</v>
      </c>
      <c r="H3313" t="s">
        <v>15</v>
      </c>
      <c r="I3313" s="2">
        <v>3</v>
      </c>
      <c r="J3313" s="4">
        <v>15</v>
      </c>
      <c r="K3313" s="3">
        <v>5</v>
      </c>
      <c r="L3313" s="1">
        <f t="shared" si="153"/>
        <v>95.37</v>
      </c>
      <c r="M3313" t="str" cm="1">
        <f t="array" ref="M3313">_xlfn.IFS(B3313&lt;18,"Under 18",B3313 &lt;=25,"18-25",B3313&lt;=35,"26-35",B3313&lt;=45,"36-45",B3313&lt;=60,"46-60",TRUE,"60+")</f>
        <v>18-25</v>
      </c>
      <c r="N3313" t="str">
        <f t="shared" si="154"/>
        <v>Discounted</v>
      </c>
      <c r="O3313" t="str">
        <f t="shared" si="155"/>
        <v>Returning</v>
      </c>
    </row>
    <row r="3314" spans="1:15" x14ac:dyDescent="0.25">
      <c r="A3314">
        <v>3313</v>
      </c>
      <c r="B3314">
        <v>53</v>
      </c>
      <c r="C3314" t="s">
        <v>11</v>
      </c>
      <c r="D3314" t="s">
        <v>41</v>
      </c>
      <c r="E3314" t="s">
        <v>46</v>
      </c>
      <c r="F3314" s="1">
        <v>100.01</v>
      </c>
      <c r="G3314" t="s">
        <v>31</v>
      </c>
      <c r="H3314" t="s">
        <v>15</v>
      </c>
      <c r="I3314" s="2">
        <v>3.4</v>
      </c>
      <c r="J3314" s="4">
        <v>21</v>
      </c>
      <c r="K3314" s="3">
        <v>8</v>
      </c>
      <c r="L3314" s="1">
        <f t="shared" si="153"/>
        <v>79.007900000000006</v>
      </c>
      <c r="M3314" t="str" cm="1">
        <f t="array" ref="M3314">_xlfn.IFS(B3314&lt;18,"Under 18",B3314 &lt;=25,"18-25",B3314&lt;=35,"26-35",B3314&lt;=45,"36-45",B3314&lt;=60,"46-60",TRUE,"60+")</f>
        <v>46-60</v>
      </c>
      <c r="N3314" t="str">
        <f t="shared" si="154"/>
        <v>Discounted</v>
      </c>
      <c r="O3314" t="str">
        <f t="shared" si="155"/>
        <v>Returning</v>
      </c>
    </row>
    <row r="3315" spans="1:15" x14ac:dyDescent="0.25">
      <c r="A3315">
        <v>3314</v>
      </c>
      <c r="B3315">
        <v>46</v>
      </c>
      <c r="C3315" t="s">
        <v>16</v>
      </c>
      <c r="D3315" t="s">
        <v>33</v>
      </c>
      <c r="E3315" t="s">
        <v>34</v>
      </c>
      <c r="F3315" s="1">
        <v>70.16</v>
      </c>
      <c r="G3315" t="s">
        <v>14</v>
      </c>
      <c r="H3315" t="s">
        <v>15</v>
      </c>
      <c r="I3315" s="2">
        <v>4</v>
      </c>
      <c r="J3315" s="4">
        <v>22</v>
      </c>
      <c r="K3315" s="3">
        <v>6</v>
      </c>
      <c r="L3315" s="1">
        <f t="shared" si="153"/>
        <v>54.724800000000002</v>
      </c>
      <c r="M3315" t="str" cm="1">
        <f t="array" ref="M3315">_xlfn.IFS(B3315&lt;18,"Under 18",B3315 &lt;=25,"18-25",B3315&lt;=35,"26-35",B3315&lt;=45,"36-45",B3315&lt;=60,"46-60",TRUE,"60+")</f>
        <v>46-60</v>
      </c>
      <c r="N3315" t="str">
        <f t="shared" si="154"/>
        <v>Discounted</v>
      </c>
      <c r="O3315" t="str">
        <f t="shared" si="155"/>
        <v>Returning</v>
      </c>
    </row>
    <row r="3316" spans="1:15" x14ac:dyDescent="0.25">
      <c r="A3316">
        <v>3315</v>
      </c>
      <c r="B3316">
        <v>61</v>
      </c>
      <c r="C3316" t="s">
        <v>11</v>
      </c>
      <c r="D3316" t="s">
        <v>41</v>
      </c>
      <c r="E3316" t="s">
        <v>44</v>
      </c>
      <c r="F3316" s="1">
        <v>128.44</v>
      </c>
      <c r="G3316" t="s">
        <v>19</v>
      </c>
      <c r="H3316" t="s">
        <v>15</v>
      </c>
      <c r="I3316" s="2">
        <v>4.5999999999999996</v>
      </c>
      <c r="J3316" s="4">
        <v>18</v>
      </c>
      <c r="K3316" s="3">
        <v>4</v>
      </c>
      <c r="L3316" s="1">
        <f t="shared" si="153"/>
        <v>105.32080000000001</v>
      </c>
      <c r="M3316" t="str" cm="1">
        <f t="array" ref="M3316">_xlfn.IFS(B3316&lt;18,"Under 18",B3316 &lt;=25,"18-25",B3316&lt;=35,"26-35",B3316&lt;=45,"36-45",B3316&lt;=60,"46-60",TRUE,"60+")</f>
        <v>60+</v>
      </c>
      <c r="N3316" t="str">
        <f t="shared" si="154"/>
        <v>Discounted</v>
      </c>
      <c r="O3316" t="str">
        <f t="shared" si="155"/>
        <v>Returning</v>
      </c>
    </row>
    <row r="3317" spans="1:15" x14ac:dyDescent="0.25">
      <c r="A3317">
        <v>3316</v>
      </c>
      <c r="B3317">
        <v>43</v>
      </c>
      <c r="C3317" t="s">
        <v>16</v>
      </c>
      <c r="D3317" t="s">
        <v>17</v>
      </c>
      <c r="E3317" t="s">
        <v>35</v>
      </c>
      <c r="F3317" s="1">
        <v>84.29</v>
      </c>
      <c r="G3317" t="s">
        <v>19</v>
      </c>
      <c r="H3317" t="s">
        <v>37</v>
      </c>
      <c r="I3317" s="2">
        <v>3</v>
      </c>
      <c r="J3317" s="4">
        <v>8</v>
      </c>
      <c r="K3317" s="3">
        <v>4</v>
      </c>
      <c r="L3317" s="1">
        <f t="shared" si="153"/>
        <v>77.546800000000005</v>
      </c>
      <c r="M3317" t="str" cm="1">
        <f t="array" ref="M3317">_xlfn.IFS(B3317&lt;18,"Under 18",B3317 &lt;=25,"18-25",B3317&lt;=35,"26-35",B3317&lt;=45,"36-45",B3317&lt;=60,"46-60",TRUE,"60+")</f>
        <v>36-45</v>
      </c>
      <c r="N3317" t="str">
        <f t="shared" si="154"/>
        <v>Discounted</v>
      </c>
      <c r="O3317" t="str">
        <f t="shared" si="155"/>
        <v>Returning</v>
      </c>
    </row>
    <row r="3318" spans="1:15" x14ac:dyDescent="0.25">
      <c r="A3318">
        <v>3317</v>
      </c>
      <c r="B3318">
        <v>39</v>
      </c>
      <c r="C3318" t="s">
        <v>11</v>
      </c>
      <c r="D3318" t="s">
        <v>33</v>
      </c>
      <c r="E3318" t="s">
        <v>40</v>
      </c>
      <c r="F3318" s="1">
        <v>139.91</v>
      </c>
      <c r="G3318" t="s">
        <v>24</v>
      </c>
      <c r="H3318" t="s">
        <v>15</v>
      </c>
      <c r="I3318" s="2">
        <v>3.8</v>
      </c>
      <c r="J3318" s="4">
        <v>12</v>
      </c>
      <c r="K3318" s="3">
        <v>6</v>
      </c>
      <c r="L3318" s="1">
        <f t="shared" si="153"/>
        <v>123.1208</v>
      </c>
      <c r="M3318" t="str" cm="1">
        <f t="array" ref="M3318">_xlfn.IFS(B3318&lt;18,"Under 18",B3318 &lt;=25,"18-25",B3318&lt;=35,"26-35",B3318&lt;=45,"36-45",B3318&lt;=60,"46-60",TRUE,"60+")</f>
        <v>36-45</v>
      </c>
      <c r="N3318" t="str">
        <f t="shared" si="154"/>
        <v>Discounted</v>
      </c>
      <c r="O3318" t="str">
        <f t="shared" si="155"/>
        <v>Returning</v>
      </c>
    </row>
    <row r="3319" spans="1:15" x14ac:dyDescent="0.25">
      <c r="A3319">
        <v>3318</v>
      </c>
      <c r="B3319">
        <v>25</v>
      </c>
      <c r="C3319" t="s">
        <v>11</v>
      </c>
      <c r="D3319" t="s">
        <v>33</v>
      </c>
      <c r="E3319" t="s">
        <v>38</v>
      </c>
      <c r="F3319" s="1">
        <v>66.52</v>
      </c>
      <c r="G3319" t="s">
        <v>14</v>
      </c>
      <c r="H3319" t="s">
        <v>37</v>
      </c>
      <c r="I3319" s="2">
        <v>3.8</v>
      </c>
      <c r="J3319" s="4">
        <v>8</v>
      </c>
      <c r="K3319" s="3">
        <v>4</v>
      </c>
      <c r="L3319" s="1">
        <f t="shared" si="153"/>
        <v>61.198399999999999</v>
      </c>
      <c r="M3319" t="str" cm="1">
        <f t="array" ref="M3319">_xlfn.IFS(B3319&lt;18,"Under 18",B3319 &lt;=25,"18-25",B3319&lt;=35,"26-35",B3319&lt;=45,"36-45",B3319&lt;=60,"46-60",TRUE,"60+")</f>
        <v>18-25</v>
      </c>
      <c r="N3319" t="str">
        <f t="shared" si="154"/>
        <v>Discounted</v>
      </c>
      <c r="O3319" t="str">
        <f t="shared" si="155"/>
        <v>Returning</v>
      </c>
    </row>
    <row r="3320" spans="1:15" x14ac:dyDescent="0.25">
      <c r="A3320">
        <v>3319</v>
      </c>
      <c r="B3320">
        <v>69</v>
      </c>
      <c r="C3320" t="s">
        <v>11</v>
      </c>
      <c r="D3320" t="s">
        <v>29</v>
      </c>
      <c r="E3320" t="s">
        <v>30</v>
      </c>
      <c r="F3320" s="1">
        <v>49.37</v>
      </c>
      <c r="G3320" t="s">
        <v>14</v>
      </c>
      <c r="H3320" t="s">
        <v>37</v>
      </c>
      <c r="I3320" s="2">
        <v>4.3</v>
      </c>
      <c r="J3320" s="4">
        <v>2</v>
      </c>
      <c r="K3320" s="3">
        <v>1</v>
      </c>
      <c r="L3320" s="1">
        <f t="shared" si="153"/>
        <v>48.382599999999996</v>
      </c>
      <c r="M3320" t="str" cm="1">
        <f t="array" ref="M3320">_xlfn.IFS(B3320&lt;18,"Under 18",B3320 &lt;=25,"18-25",B3320&lt;=35,"26-35",B3320&lt;=45,"36-45",B3320&lt;=60,"46-60",TRUE,"60+")</f>
        <v>60+</v>
      </c>
      <c r="N3320" t="str">
        <f t="shared" si="154"/>
        <v>Discounted</v>
      </c>
      <c r="O3320" t="str">
        <f t="shared" si="155"/>
        <v>Returning</v>
      </c>
    </row>
    <row r="3321" spans="1:15" x14ac:dyDescent="0.25">
      <c r="A3321">
        <v>3320</v>
      </c>
      <c r="B3321">
        <v>52</v>
      </c>
      <c r="C3321" t="s">
        <v>11</v>
      </c>
      <c r="D3321" t="s">
        <v>29</v>
      </c>
      <c r="E3321" t="s">
        <v>55</v>
      </c>
      <c r="F3321" s="1">
        <v>33.78</v>
      </c>
      <c r="G3321" t="s">
        <v>19</v>
      </c>
      <c r="H3321" t="s">
        <v>37</v>
      </c>
      <c r="I3321" s="2">
        <v>2.4</v>
      </c>
      <c r="J3321" s="4">
        <v>15</v>
      </c>
      <c r="K3321" s="3">
        <v>5</v>
      </c>
      <c r="L3321" s="1">
        <f t="shared" si="153"/>
        <v>28.713000000000001</v>
      </c>
      <c r="M3321" t="str" cm="1">
        <f t="array" ref="M3321">_xlfn.IFS(B3321&lt;18,"Under 18",B3321 &lt;=25,"18-25",B3321&lt;=35,"26-35",B3321&lt;=45,"36-45",B3321&lt;=60,"46-60",TRUE,"60+")</f>
        <v>46-60</v>
      </c>
      <c r="N3321" t="str">
        <f t="shared" si="154"/>
        <v>Discounted</v>
      </c>
      <c r="O3321" t="str">
        <f t="shared" si="155"/>
        <v>Returning</v>
      </c>
    </row>
    <row r="3322" spans="1:15" x14ac:dyDescent="0.25">
      <c r="A3322">
        <v>3321</v>
      </c>
      <c r="B3322">
        <v>40</v>
      </c>
      <c r="C3322" t="s">
        <v>16</v>
      </c>
      <c r="D3322" t="s">
        <v>17</v>
      </c>
      <c r="E3322" t="s">
        <v>48</v>
      </c>
      <c r="F3322" s="1">
        <v>70.77</v>
      </c>
      <c r="G3322" t="s">
        <v>14</v>
      </c>
      <c r="H3322" t="s">
        <v>15</v>
      </c>
      <c r="I3322" s="2">
        <v>4.5</v>
      </c>
      <c r="J3322" s="4">
        <v>16</v>
      </c>
      <c r="K3322" s="3">
        <v>3</v>
      </c>
      <c r="L3322" s="1">
        <f t="shared" si="153"/>
        <v>59.446799999999996</v>
      </c>
      <c r="M3322" t="str" cm="1">
        <f t="array" ref="M3322">_xlfn.IFS(B3322&lt;18,"Under 18",B3322 &lt;=25,"18-25",B3322&lt;=35,"26-35",B3322&lt;=45,"36-45",B3322&lt;=60,"46-60",TRUE,"60+")</f>
        <v>36-45</v>
      </c>
      <c r="N3322" t="str">
        <f t="shared" si="154"/>
        <v>Discounted</v>
      </c>
      <c r="O3322" t="str">
        <f t="shared" si="155"/>
        <v>Returning</v>
      </c>
    </row>
    <row r="3323" spans="1:15" x14ac:dyDescent="0.25">
      <c r="A3323">
        <v>3322</v>
      </c>
      <c r="B3323">
        <v>29</v>
      </c>
      <c r="C3323" t="s">
        <v>11</v>
      </c>
      <c r="D3323" t="s">
        <v>41</v>
      </c>
      <c r="E3323" t="s">
        <v>42</v>
      </c>
      <c r="F3323" s="1">
        <v>65.09</v>
      </c>
      <c r="G3323" t="s">
        <v>19</v>
      </c>
      <c r="H3323" t="s">
        <v>37</v>
      </c>
      <c r="I3323" s="2">
        <v>4.5999999999999996</v>
      </c>
      <c r="J3323" s="4">
        <v>4</v>
      </c>
      <c r="K3323" s="3">
        <v>2</v>
      </c>
      <c r="L3323" s="1">
        <f t="shared" si="153"/>
        <v>62.486400000000003</v>
      </c>
      <c r="M3323" t="str" cm="1">
        <f t="array" ref="M3323">_xlfn.IFS(B3323&lt;18,"Under 18",B3323 &lt;=25,"18-25",B3323&lt;=35,"26-35",B3323&lt;=45,"36-45",B3323&lt;=60,"46-60",TRUE,"60+")</f>
        <v>26-35</v>
      </c>
      <c r="N3323" t="str">
        <f t="shared" si="154"/>
        <v>Discounted</v>
      </c>
      <c r="O3323" t="str">
        <f t="shared" si="155"/>
        <v>Returning</v>
      </c>
    </row>
    <row r="3324" spans="1:15" x14ac:dyDescent="0.25">
      <c r="A3324">
        <v>3323</v>
      </c>
      <c r="B3324">
        <v>65</v>
      </c>
      <c r="C3324" t="s">
        <v>16</v>
      </c>
      <c r="D3324" t="s">
        <v>20</v>
      </c>
      <c r="E3324" t="s">
        <v>36</v>
      </c>
      <c r="F3324" s="1">
        <v>245.06</v>
      </c>
      <c r="G3324" t="s">
        <v>19</v>
      </c>
      <c r="H3324" t="s">
        <v>15</v>
      </c>
      <c r="I3324" s="2">
        <v>3.1</v>
      </c>
      <c r="J3324" s="4">
        <v>10</v>
      </c>
      <c r="K3324" s="3">
        <v>5</v>
      </c>
      <c r="L3324" s="1">
        <f t="shared" si="153"/>
        <v>220.554</v>
      </c>
      <c r="M3324" t="str" cm="1">
        <f t="array" ref="M3324">_xlfn.IFS(B3324&lt;18,"Under 18",B3324 &lt;=25,"18-25",B3324&lt;=35,"26-35",B3324&lt;=45,"36-45",B3324&lt;=60,"46-60",TRUE,"60+")</f>
        <v>60+</v>
      </c>
      <c r="N3324" t="str">
        <f t="shared" si="154"/>
        <v>Discounted</v>
      </c>
      <c r="O3324" t="str">
        <f t="shared" si="155"/>
        <v>Returning</v>
      </c>
    </row>
    <row r="3325" spans="1:15" x14ac:dyDescent="0.25">
      <c r="A3325">
        <v>3324</v>
      </c>
      <c r="B3325">
        <v>61</v>
      </c>
      <c r="C3325" t="s">
        <v>11</v>
      </c>
      <c r="D3325" t="s">
        <v>12</v>
      </c>
      <c r="E3325" t="s">
        <v>13</v>
      </c>
      <c r="F3325" s="1">
        <v>68.040000000000006</v>
      </c>
      <c r="G3325" t="s">
        <v>14</v>
      </c>
      <c r="H3325" t="s">
        <v>37</v>
      </c>
      <c r="I3325" s="2">
        <v>4.9000000000000004</v>
      </c>
      <c r="J3325" s="4">
        <v>18</v>
      </c>
      <c r="K3325" s="3">
        <v>9</v>
      </c>
      <c r="L3325" s="1">
        <f t="shared" si="153"/>
        <v>55.792800000000007</v>
      </c>
      <c r="M3325" t="str" cm="1">
        <f t="array" ref="M3325">_xlfn.IFS(B3325&lt;18,"Under 18",B3325 &lt;=25,"18-25",B3325&lt;=35,"26-35",B3325&lt;=45,"36-45",B3325&lt;=60,"46-60",TRUE,"60+")</f>
        <v>60+</v>
      </c>
      <c r="N3325" t="str">
        <f t="shared" si="154"/>
        <v>Discounted</v>
      </c>
      <c r="O3325" t="str">
        <f t="shared" si="155"/>
        <v>Returning</v>
      </c>
    </row>
    <row r="3326" spans="1:15" x14ac:dyDescent="0.25">
      <c r="A3326">
        <v>3325</v>
      </c>
      <c r="B3326">
        <v>66</v>
      </c>
      <c r="C3326" t="s">
        <v>11</v>
      </c>
      <c r="D3326" t="s">
        <v>12</v>
      </c>
      <c r="E3326" t="s">
        <v>13</v>
      </c>
      <c r="F3326" s="1">
        <v>41.18</v>
      </c>
      <c r="G3326" t="s">
        <v>24</v>
      </c>
      <c r="H3326" t="s">
        <v>37</v>
      </c>
      <c r="I3326" s="2">
        <v>2.8</v>
      </c>
      <c r="J3326" s="4">
        <v>2</v>
      </c>
      <c r="K3326" s="3">
        <v>1</v>
      </c>
      <c r="L3326" s="1">
        <f t="shared" si="153"/>
        <v>40.356400000000001</v>
      </c>
      <c r="M3326" t="str" cm="1">
        <f t="array" ref="M3326">_xlfn.IFS(B3326&lt;18,"Under 18",B3326 &lt;=25,"18-25",B3326&lt;=35,"26-35",B3326&lt;=45,"36-45",B3326&lt;=60,"46-60",TRUE,"60+")</f>
        <v>60+</v>
      </c>
      <c r="N3326" t="str">
        <f t="shared" si="154"/>
        <v>Discounted</v>
      </c>
      <c r="O3326" t="str">
        <f t="shared" si="155"/>
        <v>Returning</v>
      </c>
    </row>
    <row r="3327" spans="1:15" x14ac:dyDescent="0.25">
      <c r="A3327">
        <v>3326</v>
      </c>
      <c r="B3327">
        <v>63</v>
      </c>
      <c r="C3327" t="s">
        <v>16</v>
      </c>
      <c r="D3327" t="s">
        <v>20</v>
      </c>
      <c r="E3327" t="s">
        <v>21</v>
      </c>
      <c r="F3327" s="1">
        <v>154.11000000000001</v>
      </c>
      <c r="G3327" t="s">
        <v>14</v>
      </c>
      <c r="H3327" t="s">
        <v>15</v>
      </c>
      <c r="I3327" s="2">
        <v>3.3</v>
      </c>
      <c r="J3327" s="4">
        <v>13</v>
      </c>
      <c r="K3327" s="3">
        <v>4</v>
      </c>
      <c r="L3327" s="1">
        <f t="shared" si="153"/>
        <v>134.07570000000001</v>
      </c>
      <c r="M3327" t="str" cm="1">
        <f t="array" ref="M3327">_xlfn.IFS(B3327&lt;18,"Under 18",B3327 &lt;=25,"18-25",B3327&lt;=35,"26-35",B3327&lt;=45,"36-45",B3327&lt;=60,"46-60",TRUE,"60+")</f>
        <v>60+</v>
      </c>
      <c r="N3327" t="str">
        <f t="shared" si="154"/>
        <v>Discounted</v>
      </c>
      <c r="O3327" t="str">
        <f t="shared" si="155"/>
        <v>Returning</v>
      </c>
    </row>
    <row r="3328" spans="1:15" x14ac:dyDescent="0.25">
      <c r="A3328">
        <v>3327</v>
      </c>
      <c r="B3328">
        <v>24</v>
      </c>
      <c r="C3328" t="s">
        <v>11</v>
      </c>
      <c r="D3328" t="s">
        <v>33</v>
      </c>
      <c r="E3328" t="s">
        <v>40</v>
      </c>
      <c r="F3328" s="1">
        <v>174.93</v>
      </c>
      <c r="G3328" t="s">
        <v>31</v>
      </c>
      <c r="H3328" t="s">
        <v>15</v>
      </c>
      <c r="I3328" s="2">
        <v>3.9</v>
      </c>
      <c r="J3328" s="4">
        <v>17</v>
      </c>
      <c r="K3328" s="3">
        <v>6</v>
      </c>
      <c r="L3328" s="1">
        <f t="shared" si="153"/>
        <v>145.1919</v>
      </c>
      <c r="M3328" t="str" cm="1">
        <f t="array" ref="M3328">_xlfn.IFS(B3328&lt;18,"Under 18",B3328 &lt;=25,"18-25",B3328&lt;=35,"26-35",B3328&lt;=45,"36-45",B3328&lt;=60,"46-60",TRUE,"60+")</f>
        <v>18-25</v>
      </c>
      <c r="N3328" t="str">
        <f t="shared" si="154"/>
        <v>Discounted</v>
      </c>
      <c r="O3328" t="str">
        <f t="shared" si="155"/>
        <v>Returning</v>
      </c>
    </row>
    <row r="3329" spans="1:15" x14ac:dyDescent="0.25">
      <c r="A3329">
        <v>3328</v>
      </c>
      <c r="B3329">
        <v>38</v>
      </c>
      <c r="C3329" t="s">
        <v>16</v>
      </c>
      <c r="D3329" t="s">
        <v>17</v>
      </c>
      <c r="E3329" t="s">
        <v>48</v>
      </c>
      <c r="F3329" s="1">
        <v>192.91</v>
      </c>
      <c r="G3329" t="s">
        <v>19</v>
      </c>
      <c r="H3329" t="s">
        <v>15</v>
      </c>
      <c r="I3329" s="2">
        <v>3.6</v>
      </c>
      <c r="J3329" s="4">
        <v>16</v>
      </c>
      <c r="K3329" s="3">
        <v>8</v>
      </c>
      <c r="L3329" s="1">
        <f t="shared" si="153"/>
        <v>162.0444</v>
      </c>
      <c r="M3329" t="str" cm="1">
        <f t="array" ref="M3329">_xlfn.IFS(B3329&lt;18,"Under 18",B3329 &lt;=25,"18-25",B3329&lt;=35,"26-35",B3329&lt;=45,"36-45",B3329&lt;=60,"46-60",TRUE,"60+")</f>
        <v>36-45</v>
      </c>
      <c r="N3329" t="str">
        <f t="shared" si="154"/>
        <v>Discounted</v>
      </c>
      <c r="O3329" t="str">
        <f t="shared" si="155"/>
        <v>Returning</v>
      </c>
    </row>
    <row r="3330" spans="1:15" x14ac:dyDescent="0.25">
      <c r="A3330">
        <v>3329</v>
      </c>
      <c r="B3330">
        <v>21</v>
      </c>
      <c r="C3330" t="s">
        <v>11</v>
      </c>
      <c r="D3330" t="s">
        <v>33</v>
      </c>
      <c r="E3330" t="s">
        <v>34</v>
      </c>
      <c r="F3330" s="1">
        <v>42.33</v>
      </c>
      <c r="G3330" t="s">
        <v>31</v>
      </c>
      <c r="H3330" t="s">
        <v>37</v>
      </c>
      <c r="I3330" s="2">
        <v>2.9</v>
      </c>
      <c r="J3330" s="4">
        <v>9</v>
      </c>
      <c r="K3330" s="3">
        <v>2</v>
      </c>
      <c r="L3330" s="1">
        <f t="shared" si="153"/>
        <v>38.520299999999999</v>
      </c>
      <c r="M3330" t="str" cm="1">
        <f t="array" ref="M3330">_xlfn.IFS(B3330&lt;18,"Under 18",B3330 &lt;=25,"18-25",B3330&lt;=35,"26-35",B3330&lt;=45,"36-45",B3330&lt;=60,"46-60",TRUE,"60+")</f>
        <v>18-25</v>
      </c>
      <c r="N3330" t="str">
        <f t="shared" si="154"/>
        <v>Discounted</v>
      </c>
      <c r="O3330" t="str">
        <f t="shared" si="155"/>
        <v>Returning</v>
      </c>
    </row>
    <row r="3331" spans="1:15" x14ac:dyDescent="0.25">
      <c r="A3331">
        <v>3330</v>
      </c>
      <c r="B3331">
        <v>41</v>
      </c>
      <c r="C3331" t="s">
        <v>11</v>
      </c>
      <c r="D3331" t="s">
        <v>22</v>
      </c>
      <c r="E3331" t="s">
        <v>23</v>
      </c>
      <c r="F3331" s="1">
        <v>260.49</v>
      </c>
      <c r="G3331" t="s">
        <v>31</v>
      </c>
      <c r="H3331" t="s">
        <v>15</v>
      </c>
      <c r="I3331" s="2">
        <v>4</v>
      </c>
      <c r="J3331" s="4">
        <v>22</v>
      </c>
      <c r="K3331" s="3">
        <v>6</v>
      </c>
      <c r="L3331" s="1">
        <f t="shared" ref="L3331:L3394" si="156">F3331 * (1 - J3331 / 100)</f>
        <v>203.18220000000002</v>
      </c>
      <c r="M3331" t="str" cm="1">
        <f t="array" ref="M3331">_xlfn.IFS(B3331&lt;18,"Under 18",B3331 &lt;=25,"18-25",B3331&lt;=35,"26-35",B3331&lt;=45,"36-45",B3331&lt;=60,"46-60",TRUE,"60+")</f>
        <v>36-45</v>
      </c>
      <c r="N3331" t="str">
        <f t="shared" ref="N3331:N3394" si="157">IF(J3331&gt;0,"Discounted","No Discount")</f>
        <v>Discounted</v>
      </c>
      <c r="O3331" t="str">
        <f t="shared" ref="O3331:O3394" si="158">IF(K3331&gt;0,"Returning","New")</f>
        <v>Returning</v>
      </c>
    </row>
    <row r="3332" spans="1:15" x14ac:dyDescent="0.25">
      <c r="A3332">
        <v>3331</v>
      </c>
      <c r="B3332">
        <v>42</v>
      </c>
      <c r="C3332" t="s">
        <v>16</v>
      </c>
      <c r="D3332" t="s">
        <v>17</v>
      </c>
      <c r="E3332" t="s">
        <v>42</v>
      </c>
      <c r="F3332" s="1">
        <v>48.33</v>
      </c>
      <c r="G3332" t="s">
        <v>31</v>
      </c>
      <c r="H3332" t="s">
        <v>37</v>
      </c>
      <c r="I3332" s="2">
        <v>5</v>
      </c>
      <c r="J3332" s="4">
        <v>10</v>
      </c>
      <c r="K3332" s="3">
        <v>5</v>
      </c>
      <c r="L3332" s="1">
        <f t="shared" si="156"/>
        <v>43.497</v>
      </c>
      <c r="M3332" t="str" cm="1">
        <f t="array" ref="M3332">_xlfn.IFS(B3332&lt;18,"Under 18",B3332 &lt;=25,"18-25",B3332&lt;=35,"26-35",B3332&lt;=45,"36-45",B3332&lt;=60,"46-60",TRUE,"60+")</f>
        <v>36-45</v>
      </c>
      <c r="N3332" t="str">
        <f t="shared" si="157"/>
        <v>Discounted</v>
      </c>
      <c r="O3332" t="str">
        <f t="shared" si="158"/>
        <v>Returning</v>
      </c>
    </row>
    <row r="3333" spans="1:15" x14ac:dyDescent="0.25">
      <c r="A3333">
        <v>3332</v>
      </c>
      <c r="B3333">
        <v>56</v>
      </c>
      <c r="C3333" t="s">
        <v>11</v>
      </c>
      <c r="D3333" t="s">
        <v>29</v>
      </c>
      <c r="E3333" t="s">
        <v>51</v>
      </c>
      <c r="F3333" s="1">
        <v>100.08</v>
      </c>
      <c r="G3333" t="s">
        <v>31</v>
      </c>
      <c r="H3333" t="s">
        <v>15</v>
      </c>
      <c r="I3333" s="2">
        <v>3.5</v>
      </c>
      <c r="J3333" s="4">
        <v>8</v>
      </c>
      <c r="K3333" s="3">
        <v>4</v>
      </c>
      <c r="L3333" s="1">
        <f t="shared" si="156"/>
        <v>92.073599999999999</v>
      </c>
      <c r="M3333" t="str" cm="1">
        <f t="array" ref="M3333">_xlfn.IFS(B3333&lt;18,"Under 18",B3333 &lt;=25,"18-25",B3333&lt;=35,"26-35",B3333&lt;=45,"36-45",B3333&lt;=60,"46-60",TRUE,"60+")</f>
        <v>46-60</v>
      </c>
      <c r="N3333" t="str">
        <f t="shared" si="157"/>
        <v>Discounted</v>
      </c>
      <c r="O3333" t="str">
        <f t="shared" si="158"/>
        <v>Returning</v>
      </c>
    </row>
    <row r="3334" spans="1:15" x14ac:dyDescent="0.25">
      <c r="A3334">
        <v>3333</v>
      </c>
      <c r="B3334">
        <v>25</v>
      </c>
      <c r="C3334" t="s">
        <v>16</v>
      </c>
      <c r="D3334" t="s">
        <v>33</v>
      </c>
      <c r="E3334" t="s">
        <v>34</v>
      </c>
      <c r="F3334" s="1">
        <v>98.36</v>
      </c>
      <c r="G3334" t="s">
        <v>14</v>
      </c>
      <c r="H3334" t="s">
        <v>15</v>
      </c>
      <c r="I3334" s="2">
        <v>4.3</v>
      </c>
      <c r="J3334" s="4">
        <v>9</v>
      </c>
      <c r="K3334" s="3">
        <v>2</v>
      </c>
      <c r="L3334" s="1">
        <f t="shared" si="156"/>
        <v>89.507599999999996</v>
      </c>
      <c r="M3334" t="str" cm="1">
        <f t="array" ref="M3334">_xlfn.IFS(B3334&lt;18,"Under 18",B3334 &lt;=25,"18-25",B3334&lt;=35,"26-35",B3334&lt;=45,"36-45",B3334&lt;=60,"46-60",TRUE,"60+")</f>
        <v>18-25</v>
      </c>
      <c r="N3334" t="str">
        <f t="shared" si="157"/>
        <v>Discounted</v>
      </c>
      <c r="O3334" t="str">
        <f t="shared" si="158"/>
        <v>Returning</v>
      </c>
    </row>
    <row r="3335" spans="1:15" x14ac:dyDescent="0.25">
      <c r="A3335">
        <v>3334</v>
      </c>
      <c r="B3335">
        <v>34</v>
      </c>
      <c r="C3335" t="s">
        <v>16</v>
      </c>
      <c r="D3335" t="s">
        <v>27</v>
      </c>
      <c r="E3335" t="s">
        <v>28</v>
      </c>
      <c r="F3335" s="1">
        <v>2073.3000000000002</v>
      </c>
      <c r="G3335" t="s">
        <v>14</v>
      </c>
      <c r="H3335" t="s">
        <v>15</v>
      </c>
      <c r="I3335" s="2">
        <v>4.2</v>
      </c>
      <c r="J3335" s="4">
        <v>8</v>
      </c>
      <c r="K3335" s="3">
        <v>4</v>
      </c>
      <c r="L3335" s="1">
        <f t="shared" si="156"/>
        <v>1907.4360000000001</v>
      </c>
      <c r="M3335" t="str" cm="1">
        <f t="array" ref="M3335">_xlfn.IFS(B3335&lt;18,"Under 18",B3335 &lt;=25,"18-25",B3335&lt;=35,"26-35",B3335&lt;=45,"36-45",B3335&lt;=60,"46-60",TRUE,"60+")</f>
        <v>26-35</v>
      </c>
      <c r="N3335" t="str">
        <f t="shared" si="157"/>
        <v>Discounted</v>
      </c>
      <c r="O3335" t="str">
        <f t="shared" si="158"/>
        <v>Returning</v>
      </c>
    </row>
    <row r="3336" spans="1:15" x14ac:dyDescent="0.25">
      <c r="A3336">
        <v>3335</v>
      </c>
      <c r="B3336">
        <v>47</v>
      </c>
      <c r="C3336" t="s">
        <v>11</v>
      </c>
      <c r="D3336" t="s">
        <v>41</v>
      </c>
      <c r="E3336" t="s">
        <v>45</v>
      </c>
      <c r="F3336" s="1">
        <v>98.36</v>
      </c>
      <c r="G3336" t="s">
        <v>31</v>
      </c>
      <c r="H3336" t="s">
        <v>37</v>
      </c>
      <c r="I3336" s="2">
        <v>3.7</v>
      </c>
      <c r="J3336" s="4">
        <v>18</v>
      </c>
      <c r="K3336" s="3">
        <v>4</v>
      </c>
      <c r="L3336" s="1">
        <f t="shared" si="156"/>
        <v>80.655200000000008</v>
      </c>
      <c r="M3336" t="str" cm="1">
        <f t="array" ref="M3336">_xlfn.IFS(B3336&lt;18,"Under 18",B3336 &lt;=25,"18-25",B3336&lt;=35,"26-35",B3336&lt;=45,"36-45",B3336&lt;=60,"46-60",TRUE,"60+")</f>
        <v>46-60</v>
      </c>
      <c r="N3336" t="str">
        <f t="shared" si="157"/>
        <v>Discounted</v>
      </c>
      <c r="O3336" t="str">
        <f t="shared" si="158"/>
        <v>Returning</v>
      </c>
    </row>
    <row r="3337" spans="1:15" x14ac:dyDescent="0.25">
      <c r="A3337">
        <v>3336</v>
      </c>
      <c r="B3337">
        <v>35</v>
      </c>
      <c r="C3337" t="s">
        <v>16</v>
      </c>
      <c r="D3337" t="s">
        <v>20</v>
      </c>
      <c r="E3337" t="s">
        <v>21</v>
      </c>
      <c r="F3337" s="1">
        <v>32.78</v>
      </c>
      <c r="G3337" t="s">
        <v>19</v>
      </c>
      <c r="H3337" t="s">
        <v>37</v>
      </c>
      <c r="I3337" s="2">
        <v>4.5</v>
      </c>
      <c r="J3337" s="4">
        <v>10</v>
      </c>
      <c r="K3337" s="3">
        <v>5</v>
      </c>
      <c r="L3337" s="1">
        <f t="shared" si="156"/>
        <v>29.502000000000002</v>
      </c>
      <c r="M3337" t="str" cm="1">
        <f t="array" ref="M3337">_xlfn.IFS(B3337&lt;18,"Under 18",B3337 &lt;=25,"18-25",B3337&lt;=35,"26-35",B3337&lt;=45,"36-45",B3337&lt;=60,"46-60",TRUE,"60+")</f>
        <v>26-35</v>
      </c>
      <c r="N3337" t="str">
        <f t="shared" si="157"/>
        <v>Discounted</v>
      </c>
      <c r="O3337" t="str">
        <f t="shared" si="158"/>
        <v>Returning</v>
      </c>
    </row>
    <row r="3338" spans="1:15" x14ac:dyDescent="0.25">
      <c r="A3338">
        <v>3337</v>
      </c>
      <c r="B3338">
        <v>26</v>
      </c>
      <c r="C3338" t="s">
        <v>16</v>
      </c>
      <c r="D3338" t="s">
        <v>20</v>
      </c>
      <c r="E3338" t="s">
        <v>39</v>
      </c>
      <c r="F3338" s="1">
        <v>168</v>
      </c>
      <c r="G3338" t="s">
        <v>19</v>
      </c>
      <c r="H3338" t="s">
        <v>15</v>
      </c>
      <c r="I3338" s="2">
        <v>2.9</v>
      </c>
      <c r="J3338" s="4">
        <v>14</v>
      </c>
      <c r="K3338" s="3">
        <v>7</v>
      </c>
      <c r="L3338" s="1">
        <f t="shared" si="156"/>
        <v>144.47999999999999</v>
      </c>
      <c r="M3338" t="str" cm="1">
        <f t="array" ref="M3338">_xlfn.IFS(B3338&lt;18,"Under 18",B3338 &lt;=25,"18-25",B3338&lt;=35,"26-35",B3338&lt;=45,"36-45",B3338&lt;=60,"46-60",TRUE,"60+")</f>
        <v>26-35</v>
      </c>
      <c r="N3338" t="str">
        <f t="shared" si="157"/>
        <v>Discounted</v>
      </c>
      <c r="O3338" t="str">
        <f t="shared" si="158"/>
        <v>Returning</v>
      </c>
    </row>
    <row r="3339" spans="1:15" x14ac:dyDescent="0.25">
      <c r="A3339">
        <v>3338</v>
      </c>
      <c r="B3339">
        <v>63</v>
      </c>
      <c r="C3339" t="s">
        <v>16</v>
      </c>
      <c r="D3339" t="s">
        <v>27</v>
      </c>
      <c r="E3339" t="s">
        <v>53</v>
      </c>
      <c r="F3339" s="1">
        <v>2939.08</v>
      </c>
      <c r="G3339" t="s">
        <v>31</v>
      </c>
      <c r="H3339" t="s">
        <v>15</v>
      </c>
      <c r="I3339" s="2">
        <v>3.3</v>
      </c>
      <c r="J3339" s="4">
        <v>18</v>
      </c>
      <c r="K3339" s="3">
        <v>4</v>
      </c>
      <c r="L3339" s="1">
        <f t="shared" si="156"/>
        <v>2410.0455999999999</v>
      </c>
      <c r="M3339" t="str" cm="1">
        <f t="array" ref="M3339">_xlfn.IFS(B3339&lt;18,"Under 18",B3339 &lt;=25,"18-25",B3339&lt;=35,"26-35",B3339&lt;=45,"36-45",B3339&lt;=60,"46-60",TRUE,"60+")</f>
        <v>60+</v>
      </c>
      <c r="N3339" t="str">
        <f t="shared" si="157"/>
        <v>Discounted</v>
      </c>
      <c r="O3339" t="str">
        <f t="shared" si="158"/>
        <v>Returning</v>
      </c>
    </row>
    <row r="3340" spans="1:15" x14ac:dyDescent="0.25">
      <c r="A3340">
        <v>3339</v>
      </c>
      <c r="B3340">
        <v>59</v>
      </c>
      <c r="C3340" t="s">
        <v>11</v>
      </c>
      <c r="D3340" t="s">
        <v>12</v>
      </c>
      <c r="E3340" t="s">
        <v>50</v>
      </c>
      <c r="F3340" s="1">
        <v>37.43</v>
      </c>
      <c r="G3340" t="s">
        <v>24</v>
      </c>
      <c r="H3340" t="s">
        <v>37</v>
      </c>
      <c r="I3340" s="2">
        <v>2.4</v>
      </c>
      <c r="J3340" s="4">
        <v>18</v>
      </c>
      <c r="K3340" s="3">
        <v>4</v>
      </c>
      <c r="L3340" s="1">
        <f t="shared" si="156"/>
        <v>30.692600000000002</v>
      </c>
      <c r="M3340" t="str" cm="1">
        <f t="array" ref="M3340">_xlfn.IFS(B3340&lt;18,"Under 18",B3340 &lt;=25,"18-25",B3340&lt;=35,"26-35",B3340&lt;=45,"36-45",B3340&lt;=60,"46-60",TRUE,"60+")</f>
        <v>46-60</v>
      </c>
      <c r="N3340" t="str">
        <f t="shared" si="157"/>
        <v>Discounted</v>
      </c>
      <c r="O3340" t="str">
        <f t="shared" si="158"/>
        <v>Returning</v>
      </c>
    </row>
    <row r="3341" spans="1:15" x14ac:dyDescent="0.25">
      <c r="A3341">
        <v>3340</v>
      </c>
      <c r="B3341">
        <v>57</v>
      </c>
      <c r="C3341" t="s">
        <v>16</v>
      </c>
      <c r="D3341" t="s">
        <v>33</v>
      </c>
      <c r="E3341" t="s">
        <v>40</v>
      </c>
      <c r="F3341" s="1">
        <v>219.41</v>
      </c>
      <c r="G3341" t="s">
        <v>31</v>
      </c>
      <c r="H3341" t="s">
        <v>15</v>
      </c>
      <c r="I3341" s="2">
        <v>4.3</v>
      </c>
      <c r="J3341" s="4">
        <v>18</v>
      </c>
      <c r="K3341" s="3">
        <v>4</v>
      </c>
      <c r="L3341" s="1">
        <f t="shared" si="156"/>
        <v>179.9162</v>
      </c>
      <c r="M3341" t="str" cm="1">
        <f t="array" ref="M3341">_xlfn.IFS(B3341&lt;18,"Under 18",B3341 &lt;=25,"18-25",B3341&lt;=35,"26-35",B3341&lt;=45,"36-45",B3341&lt;=60,"46-60",TRUE,"60+")</f>
        <v>46-60</v>
      </c>
      <c r="N3341" t="str">
        <f t="shared" si="157"/>
        <v>Discounted</v>
      </c>
      <c r="O3341" t="str">
        <f t="shared" si="158"/>
        <v>Returning</v>
      </c>
    </row>
    <row r="3342" spans="1:15" x14ac:dyDescent="0.25">
      <c r="A3342">
        <v>3341</v>
      </c>
      <c r="B3342">
        <v>24</v>
      </c>
      <c r="C3342" t="s">
        <v>11</v>
      </c>
      <c r="D3342" t="s">
        <v>33</v>
      </c>
      <c r="E3342" t="s">
        <v>38</v>
      </c>
      <c r="F3342" s="1">
        <v>79.680000000000007</v>
      </c>
      <c r="G3342" t="s">
        <v>19</v>
      </c>
      <c r="H3342" t="s">
        <v>15</v>
      </c>
      <c r="I3342" s="2">
        <v>3.6</v>
      </c>
      <c r="J3342" s="4">
        <v>10</v>
      </c>
      <c r="K3342" s="3">
        <v>5</v>
      </c>
      <c r="L3342" s="1">
        <f t="shared" si="156"/>
        <v>71.712000000000003</v>
      </c>
      <c r="M3342" t="str" cm="1">
        <f t="array" ref="M3342">_xlfn.IFS(B3342&lt;18,"Under 18",B3342 &lt;=25,"18-25",B3342&lt;=35,"26-35",B3342&lt;=45,"36-45",B3342&lt;=60,"46-60",TRUE,"60+")</f>
        <v>18-25</v>
      </c>
      <c r="N3342" t="str">
        <f t="shared" si="157"/>
        <v>Discounted</v>
      </c>
      <c r="O3342" t="str">
        <f t="shared" si="158"/>
        <v>Returning</v>
      </c>
    </row>
    <row r="3343" spans="1:15" x14ac:dyDescent="0.25">
      <c r="A3343">
        <v>3342</v>
      </c>
      <c r="B3343">
        <v>44</v>
      </c>
      <c r="C3343" t="s">
        <v>11</v>
      </c>
      <c r="D3343" t="s">
        <v>29</v>
      </c>
      <c r="E3343" t="s">
        <v>30</v>
      </c>
      <c r="F3343" s="1">
        <v>83.41</v>
      </c>
      <c r="G3343" t="s">
        <v>19</v>
      </c>
      <c r="H3343" t="s">
        <v>37</v>
      </c>
      <c r="I3343" s="2">
        <v>3.2</v>
      </c>
      <c r="J3343" s="4">
        <v>14</v>
      </c>
      <c r="K3343" s="3">
        <v>7</v>
      </c>
      <c r="L3343" s="1">
        <f t="shared" si="156"/>
        <v>71.732599999999991</v>
      </c>
      <c r="M3343" t="str" cm="1">
        <f t="array" ref="M3343">_xlfn.IFS(B3343&lt;18,"Under 18",B3343 &lt;=25,"18-25",B3343&lt;=35,"26-35",B3343&lt;=45,"36-45",B3343&lt;=60,"46-60",TRUE,"60+")</f>
        <v>36-45</v>
      </c>
      <c r="N3343" t="str">
        <f t="shared" si="157"/>
        <v>Discounted</v>
      </c>
      <c r="O3343" t="str">
        <f t="shared" si="158"/>
        <v>Returning</v>
      </c>
    </row>
    <row r="3344" spans="1:15" x14ac:dyDescent="0.25">
      <c r="A3344">
        <v>3343</v>
      </c>
      <c r="B3344">
        <v>35</v>
      </c>
      <c r="C3344" t="s">
        <v>16</v>
      </c>
      <c r="D3344" t="s">
        <v>25</v>
      </c>
      <c r="E3344" t="s">
        <v>57</v>
      </c>
      <c r="F3344" s="1">
        <v>19.63</v>
      </c>
      <c r="G3344" t="s">
        <v>31</v>
      </c>
      <c r="H3344" t="s">
        <v>15</v>
      </c>
      <c r="I3344" s="2">
        <v>4.8</v>
      </c>
      <c r="J3344" s="4">
        <v>12</v>
      </c>
      <c r="K3344" s="3">
        <v>6</v>
      </c>
      <c r="L3344" s="1">
        <f t="shared" si="156"/>
        <v>17.2744</v>
      </c>
      <c r="M3344" t="str" cm="1">
        <f t="array" ref="M3344">_xlfn.IFS(B3344&lt;18,"Under 18",B3344 &lt;=25,"18-25",B3344&lt;=35,"26-35",B3344&lt;=45,"36-45",B3344&lt;=60,"46-60",TRUE,"60+")</f>
        <v>26-35</v>
      </c>
      <c r="N3344" t="str">
        <f t="shared" si="157"/>
        <v>Discounted</v>
      </c>
      <c r="O3344" t="str">
        <f t="shared" si="158"/>
        <v>Returning</v>
      </c>
    </row>
    <row r="3345" spans="1:15" x14ac:dyDescent="0.25">
      <c r="A3345">
        <v>3344</v>
      </c>
      <c r="B3345">
        <v>55</v>
      </c>
      <c r="C3345" t="s">
        <v>16</v>
      </c>
      <c r="D3345" t="s">
        <v>17</v>
      </c>
      <c r="E3345" t="s">
        <v>18</v>
      </c>
      <c r="F3345" s="1">
        <v>112.09</v>
      </c>
      <c r="G3345" t="s">
        <v>14</v>
      </c>
      <c r="H3345" t="s">
        <v>15</v>
      </c>
      <c r="I3345" s="2">
        <v>3.6</v>
      </c>
      <c r="J3345" s="4">
        <v>8</v>
      </c>
      <c r="K3345" s="3">
        <v>4</v>
      </c>
      <c r="L3345" s="1">
        <f t="shared" si="156"/>
        <v>103.12280000000001</v>
      </c>
      <c r="M3345" t="str" cm="1">
        <f t="array" ref="M3345">_xlfn.IFS(B3345&lt;18,"Under 18",B3345 &lt;=25,"18-25",B3345&lt;=35,"26-35",B3345&lt;=45,"36-45",B3345&lt;=60,"46-60",TRUE,"60+")</f>
        <v>46-60</v>
      </c>
      <c r="N3345" t="str">
        <f t="shared" si="157"/>
        <v>Discounted</v>
      </c>
      <c r="O3345" t="str">
        <f t="shared" si="158"/>
        <v>Returning</v>
      </c>
    </row>
    <row r="3346" spans="1:15" x14ac:dyDescent="0.25">
      <c r="A3346">
        <v>3345</v>
      </c>
      <c r="B3346">
        <v>31</v>
      </c>
      <c r="C3346" t="s">
        <v>11</v>
      </c>
      <c r="D3346" t="s">
        <v>22</v>
      </c>
      <c r="E3346" t="s">
        <v>23</v>
      </c>
      <c r="F3346" s="1">
        <v>218.84</v>
      </c>
      <c r="G3346" t="s">
        <v>31</v>
      </c>
      <c r="H3346" t="s">
        <v>15</v>
      </c>
      <c r="I3346" s="2">
        <v>4.0999999999999996</v>
      </c>
      <c r="J3346" s="4">
        <v>20</v>
      </c>
      <c r="K3346" s="3">
        <v>5</v>
      </c>
      <c r="L3346" s="1">
        <f t="shared" si="156"/>
        <v>175.072</v>
      </c>
      <c r="M3346" t="str" cm="1">
        <f t="array" ref="M3346">_xlfn.IFS(B3346&lt;18,"Under 18",B3346 &lt;=25,"18-25",B3346&lt;=35,"26-35",B3346&lt;=45,"36-45",B3346&lt;=60,"46-60",TRUE,"60+")</f>
        <v>26-35</v>
      </c>
      <c r="N3346" t="str">
        <f t="shared" si="157"/>
        <v>Discounted</v>
      </c>
      <c r="O3346" t="str">
        <f t="shared" si="158"/>
        <v>Returning</v>
      </c>
    </row>
    <row r="3347" spans="1:15" x14ac:dyDescent="0.25">
      <c r="A3347">
        <v>3346</v>
      </c>
      <c r="B3347">
        <v>62</v>
      </c>
      <c r="C3347" t="s">
        <v>11</v>
      </c>
      <c r="D3347" t="s">
        <v>29</v>
      </c>
      <c r="E3347" t="s">
        <v>30</v>
      </c>
      <c r="F3347" s="1">
        <v>136.35</v>
      </c>
      <c r="G3347" t="s">
        <v>24</v>
      </c>
      <c r="H3347" t="s">
        <v>15</v>
      </c>
      <c r="I3347" s="2">
        <v>2.7</v>
      </c>
      <c r="J3347" s="4">
        <v>12</v>
      </c>
      <c r="K3347" s="3">
        <v>6</v>
      </c>
      <c r="L3347" s="1">
        <f t="shared" si="156"/>
        <v>119.988</v>
      </c>
      <c r="M3347" t="str" cm="1">
        <f t="array" ref="M3347">_xlfn.IFS(B3347&lt;18,"Under 18",B3347 &lt;=25,"18-25",B3347&lt;=35,"26-35",B3347&lt;=45,"36-45",B3347&lt;=60,"46-60",TRUE,"60+")</f>
        <v>60+</v>
      </c>
      <c r="N3347" t="str">
        <f t="shared" si="157"/>
        <v>Discounted</v>
      </c>
      <c r="O3347" t="str">
        <f t="shared" si="158"/>
        <v>Returning</v>
      </c>
    </row>
    <row r="3348" spans="1:15" x14ac:dyDescent="0.25">
      <c r="A3348">
        <v>3347</v>
      </c>
      <c r="B3348">
        <v>52</v>
      </c>
      <c r="C3348" t="s">
        <v>11</v>
      </c>
      <c r="D3348" t="s">
        <v>20</v>
      </c>
      <c r="E3348" t="s">
        <v>39</v>
      </c>
      <c r="F3348" s="1">
        <v>210.16</v>
      </c>
      <c r="G3348" t="s">
        <v>14</v>
      </c>
      <c r="H3348" t="s">
        <v>15</v>
      </c>
      <c r="I3348" s="2">
        <v>3</v>
      </c>
      <c r="J3348" s="4">
        <v>10</v>
      </c>
      <c r="K3348" s="3">
        <v>5</v>
      </c>
      <c r="L3348" s="1">
        <f t="shared" si="156"/>
        <v>189.14400000000001</v>
      </c>
      <c r="M3348" t="str" cm="1">
        <f t="array" ref="M3348">_xlfn.IFS(B3348&lt;18,"Under 18",B3348 &lt;=25,"18-25",B3348&lt;=35,"26-35",B3348&lt;=45,"36-45",B3348&lt;=60,"46-60",TRUE,"60+")</f>
        <v>46-60</v>
      </c>
      <c r="N3348" t="str">
        <f t="shared" si="157"/>
        <v>Discounted</v>
      </c>
      <c r="O3348" t="str">
        <f t="shared" si="158"/>
        <v>Returning</v>
      </c>
    </row>
    <row r="3349" spans="1:15" x14ac:dyDescent="0.25">
      <c r="A3349">
        <v>3348</v>
      </c>
      <c r="B3349">
        <v>53</v>
      </c>
      <c r="C3349" t="s">
        <v>16</v>
      </c>
      <c r="D3349" t="s">
        <v>17</v>
      </c>
      <c r="E3349" t="s">
        <v>18</v>
      </c>
      <c r="F3349" s="1">
        <v>90.13</v>
      </c>
      <c r="G3349" t="s">
        <v>19</v>
      </c>
      <c r="H3349" t="s">
        <v>15</v>
      </c>
      <c r="I3349" s="2">
        <v>3.5</v>
      </c>
      <c r="J3349" s="4">
        <v>18</v>
      </c>
      <c r="K3349" s="3">
        <v>4</v>
      </c>
      <c r="L3349" s="1">
        <f t="shared" si="156"/>
        <v>73.906599999999997</v>
      </c>
      <c r="M3349" t="str" cm="1">
        <f t="array" ref="M3349">_xlfn.IFS(B3349&lt;18,"Under 18",B3349 &lt;=25,"18-25",B3349&lt;=35,"26-35",B3349&lt;=45,"36-45",B3349&lt;=60,"46-60",TRUE,"60+")</f>
        <v>46-60</v>
      </c>
      <c r="N3349" t="str">
        <f t="shared" si="157"/>
        <v>Discounted</v>
      </c>
      <c r="O3349" t="str">
        <f t="shared" si="158"/>
        <v>Returning</v>
      </c>
    </row>
    <row r="3350" spans="1:15" x14ac:dyDescent="0.25">
      <c r="A3350">
        <v>3349</v>
      </c>
      <c r="B3350">
        <v>28</v>
      </c>
      <c r="C3350" t="s">
        <v>11</v>
      </c>
      <c r="D3350" t="s">
        <v>29</v>
      </c>
      <c r="E3350" t="s">
        <v>55</v>
      </c>
      <c r="F3350" s="1">
        <v>132.16999999999999</v>
      </c>
      <c r="G3350" t="s">
        <v>14</v>
      </c>
      <c r="H3350" t="s">
        <v>15</v>
      </c>
      <c r="I3350" s="2">
        <v>2.7</v>
      </c>
      <c r="J3350" s="4">
        <v>19</v>
      </c>
      <c r="K3350" s="3">
        <v>7</v>
      </c>
      <c r="L3350" s="1">
        <f t="shared" si="156"/>
        <v>107.0577</v>
      </c>
      <c r="M3350" t="str" cm="1">
        <f t="array" ref="M3350">_xlfn.IFS(B3350&lt;18,"Under 18",B3350 &lt;=25,"18-25",B3350&lt;=35,"26-35",B3350&lt;=45,"36-45",B3350&lt;=60,"46-60",TRUE,"60+")</f>
        <v>26-35</v>
      </c>
      <c r="N3350" t="str">
        <f t="shared" si="157"/>
        <v>Discounted</v>
      </c>
      <c r="O3350" t="str">
        <f t="shared" si="158"/>
        <v>Returning</v>
      </c>
    </row>
    <row r="3351" spans="1:15" x14ac:dyDescent="0.25">
      <c r="A3351">
        <v>3350</v>
      </c>
      <c r="B3351">
        <v>20</v>
      </c>
      <c r="C3351" t="s">
        <v>16</v>
      </c>
      <c r="D3351" t="s">
        <v>33</v>
      </c>
      <c r="E3351" t="s">
        <v>34</v>
      </c>
      <c r="F3351" s="1">
        <v>162.4</v>
      </c>
      <c r="G3351" t="s">
        <v>24</v>
      </c>
      <c r="H3351" t="s">
        <v>15</v>
      </c>
      <c r="I3351" s="2">
        <v>3.5</v>
      </c>
      <c r="J3351" s="4">
        <v>8</v>
      </c>
      <c r="K3351" s="3">
        <v>4</v>
      </c>
      <c r="L3351" s="1">
        <f t="shared" si="156"/>
        <v>149.40800000000002</v>
      </c>
      <c r="M3351" t="str" cm="1">
        <f t="array" ref="M3351">_xlfn.IFS(B3351&lt;18,"Under 18",B3351 &lt;=25,"18-25",B3351&lt;=35,"26-35",B3351&lt;=45,"36-45",B3351&lt;=60,"46-60",TRUE,"60+")</f>
        <v>18-25</v>
      </c>
      <c r="N3351" t="str">
        <f t="shared" si="157"/>
        <v>Discounted</v>
      </c>
      <c r="O3351" t="str">
        <f t="shared" si="158"/>
        <v>Returning</v>
      </c>
    </row>
    <row r="3352" spans="1:15" x14ac:dyDescent="0.25">
      <c r="A3352">
        <v>3351</v>
      </c>
      <c r="B3352">
        <v>47</v>
      </c>
      <c r="C3352" t="s">
        <v>11</v>
      </c>
      <c r="D3352" t="s">
        <v>22</v>
      </c>
      <c r="E3352" t="s">
        <v>43</v>
      </c>
      <c r="F3352" s="1">
        <v>242.74</v>
      </c>
      <c r="G3352" t="s">
        <v>14</v>
      </c>
      <c r="H3352" t="s">
        <v>15</v>
      </c>
      <c r="I3352" s="2">
        <v>2.8</v>
      </c>
      <c r="J3352" s="4">
        <v>11</v>
      </c>
      <c r="K3352" s="3">
        <v>3</v>
      </c>
      <c r="L3352" s="1">
        <f t="shared" si="156"/>
        <v>216.0386</v>
      </c>
      <c r="M3352" t="str" cm="1">
        <f t="array" ref="M3352">_xlfn.IFS(B3352&lt;18,"Under 18",B3352 &lt;=25,"18-25",B3352&lt;=35,"26-35",B3352&lt;=45,"36-45",B3352&lt;=60,"46-60",TRUE,"60+")</f>
        <v>46-60</v>
      </c>
      <c r="N3352" t="str">
        <f t="shared" si="157"/>
        <v>Discounted</v>
      </c>
      <c r="O3352" t="str">
        <f t="shared" si="158"/>
        <v>Returning</v>
      </c>
    </row>
    <row r="3353" spans="1:15" x14ac:dyDescent="0.25">
      <c r="A3353">
        <v>3352</v>
      </c>
      <c r="B3353">
        <v>40</v>
      </c>
      <c r="C3353" t="s">
        <v>16</v>
      </c>
      <c r="D3353" t="s">
        <v>17</v>
      </c>
      <c r="E3353" t="s">
        <v>35</v>
      </c>
      <c r="F3353" s="1">
        <v>113.99</v>
      </c>
      <c r="G3353" t="s">
        <v>19</v>
      </c>
      <c r="H3353" t="s">
        <v>15</v>
      </c>
      <c r="I3353" s="2">
        <v>3.2</v>
      </c>
      <c r="J3353" s="4">
        <v>6</v>
      </c>
      <c r="K3353" s="3">
        <v>3</v>
      </c>
      <c r="L3353" s="1">
        <f t="shared" si="156"/>
        <v>107.15059999999998</v>
      </c>
      <c r="M3353" t="str" cm="1">
        <f t="array" ref="M3353">_xlfn.IFS(B3353&lt;18,"Under 18",B3353 &lt;=25,"18-25",B3353&lt;=35,"26-35",B3353&lt;=45,"36-45",B3353&lt;=60,"46-60",TRUE,"60+")</f>
        <v>36-45</v>
      </c>
      <c r="N3353" t="str">
        <f t="shared" si="157"/>
        <v>Discounted</v>
      </c>
      <c r="O3353" t="str">
        <f t="shared" si="158"/>
        <v>Returning</v>
      </c>
    </row>
    <row r="3354" spans="1:15" x14ac:dyDescent="0.25">
      <c r="A3354">
        <v>3353</v>
      </c>
      <c r="B3354">
        <v>24</v>
      </c>
      <c r="C3354" t="s">
        <v>11</v>
      </c>
      <c r="D3354" t="s">
        <v>12</v>
      </c>
      <c r="E3354" t="s">
        <v>50</v>
      </c>
      <c r="F3354" s="1">
        <v>45.95</v>
      </c>
      <c r="G3354" t="s">
        <v>31</v>
      </c>
      <c r="H3354" t="s">
        <v>37</v>
      </c>
      <c r="I3354" s="2">
        <v>3.9</v>
      </c>
      <c r="J3354" s="4">
        <v>12</v>
      </c>
      <c r="K3354" s="3">
        <v>1</v>
      </c>
      <c r="L3354" s="1">
        <f t="shared" si="156"/>
        <v>40.436</v>
      </c>
      <c r="M3354" t="str" cm="1">
        <f t="array" ref="M3354">_xlfn.IFS(B3354&lt;18,"Under 18",B3354 &lt;=25,"18-25",B3354&lt;=35,"26-35",B3354&lt;=45,"36-45",B3354&lt;=60,"46-60",TRUE,"60+")</f>
        <v>18-25</v>
      </c>
      <c r="N3354" t="str">
        <f t="shared" si="157"/>
        <v>Discounted</v>
      </c>
      <c r="O3354" t="str">
        <f t="shared" si="158"/>
        <v>Returning</v>
      </c>
    </row>
    <row r="3355" spans="1:15" x14ac:dyDescent="0.25">
      <c r="A3355">
        <v>3354</v>
      </c>
      <c r="B3355">
        <v>24</v>
      </c>
      <c r="C3355" t="s">
        <v>11</v>
      </c>
      <c r="D3355" t="s">
        <v>12</v>
      </c>
      <c r="E3355" t="s">
        <v>13</v>
      </c>
      <c r="F3355" s="1">
        <v>144.09</v>
      </c>
      <c r="G3355" t="s">
        <v>19</v>
      </c>
      <c r="H3355" t="s">
        <v>15</v>
      </c>
      <c r="I3355" s="2">
        <v>5</v>
      </c>
      <c r="J3355" s="4">
        <v>28</v>
      </c>
      <c r="K3355" s="3">
        <v>9</v>
      </c>
      <c r="L3355" s="1">
        <f t="shared" si="156"/>
        <v>103.7448</v>
      </c>
      <c r="M3355" t="str" cm="1">
        <f t="array" ref="M3355">_xlfn.IFS(B3355&lt;18,"Under 18",B3355 &lt;=25,"18-25",B3355&lt;=35,"26-35",B3355&lt;=45,"36-45",B3355&lt;=60,"46-60",TRUE,"60+")</f>
        <v>18-25</v>
      </c>
      <c r="N3355" t="str">
        <f t="shared" si="157"/>
        <v>Discounted</v>
      </c>
      <c r="O3355" t="str">
        <f t="shared" si="158"/>
        <v>Returning</v>
      </c>
    </row>
    <row r="3356" spans="1:15" x14ac:dyDescent="0.25">
      <c r="A3356">
        <v>3355</v>
      </c>
      <c r="B3356">
        <v>59</v>
      </c>
      <c r="C3356" t="s">
        <v>16</v>
      </c>
      <c r="D3356" t="s">
        <v>22</v>
      </c>
      <c r="E3356" t="s">
        <v>23</v>
      </c>
      <c r="F3356" s="1">
        <v>79.319999999999993</v>
      </c>
      <c r="G3356" t="s">
        <v>24</v>
      </c>
      <c r="H3356" t="s">
        <v>37</v>
      </c>
      <c r="I3356" s="2">
        <v>4.4000000000000004</v>
      </c>
      <c r="J3356" s="4">
        <v>22</v>
      </c>
      <c r="K3356" s="3">
        <v>6</v>
      </c>
      <c r="L3356" s="1">
        <f t="shared" si="156"/>
        <v>61.869599999999998</v>
      </c>
      <c r="M3356" t="str" cm="1">
        <f t="array" ref="M3356">_xlfn.IFS(B3356&lt;18,"Under 18",B3356 &lt;=25,"18-25",B3356&lt;=35,"26-35",B3356&lt;=45,"36-45",B3356&lt;=60,"46-60",TRUE,"60+")</f>
        <v>46-60</v>
      </c>
      <c r="N3356" t="str">
        <f t="shared" si="157"/>
        <v>Discounted</v>
      </c>
      <c r="O3356" t="str">
        <f t="shared" si="158"/>
        <v>Returning</v>
      </c>
    </row>
    <row r="3357" spans="1:15" x14ac:dyDescent="0.25">
      <c r="A3357">
        <v>3356</v>
      </c>
      <c r="B3357">
        <v>47</v>
      </c>
      <c r="C3357" t="s">
        <v>11</v>
      </c>
      <c r="D3357" t="s">
        <v>12</v>
      </c>
      <c r="E3357" t="s">
        <v>56</v>
      </c>
      <c r="F3357" s="1">
        <v>39.79</v>
      </c>
      <c r="G3357" t="s">
        <v>31</v>
      </c>
      <c r="H3357" t="s">
        <v>15</v>
      </c>
      <c r="I3357" s="2">
        <v>3.3</v>
      </c>
      <c r="J3357" s="4">
        <v>11</v>
      </c>
      <c r="K3357" s="3">
        <v>3</v>
      </c>
      <c r="L3357" s="1">
        <f t="shared" si="156"/>
        <v>35.4131</v>
      </c>
      <c r="M3357" t="str" cm="1">
        <f t="array" ref="M3357">_xlfn.IFS(B3357&lt;18,"Under 18",B3357 &lt;=25,"18-25",B3357&lt;=35,"26-35",B3357&lt;=45,"36-45",B3357&lt;=60,"46-60",TRUE,"60+")</f>
        <v>46-60</v>
      </c>
      <c r="N3357" t="str">
        <f t="shared" si="157"/>
        <v>Discounted</v>
      </c>
      <c r="O3357" t="str">
        <f t="shared" si="158"/>
        <v>Returning</v>
      </c>
    </row>
    <row r="3358" spans="1:15" x14ac:dyDescent="0.25">
      <c r="A3358">
        <v>3357</v>
      </c>
      <c r="B3358">
        <v>68</v>
      </c>
      <c r="C3358" t="s">
        <v>16</v>
      </c>
      <c r="D3358" t="s">
        <v>33</v>
      </c>
      <c r="E3358" t="s">
        <v>34</v>
      </c>
      <c r="F3358" s="1">
        <v>205.44</v>
      </c>
      <c r="G3358" t="s">
        <v>19</v>
      </c>
      <c r="H3358" t="s">
        <v>15</v>
      </c>
      <c r="I3358" s="2">
        <v>2</v>
      </c>
      <c r="J3358" s="4">
        <v>18</v>
      </c>
      <c r="K3358" s="3">
        <v>4</v>
      </c>
      <c r="L3358" s="1">
        <f t="shared" si="156"/>
        <v>168.46080000000001</v>
      </c>
      <c r="M3358" t="str" cm="1">
        <f t="array" ref="M3358">_xlfn.IFS(B3358&lt;18,"Under 18",B3358 &lt;=25,"18-25",B3358&lt;=35,"26-35",B3358&lt;=45,"36-45",B3358&lt;=60,"46-60",TRUE,"60+")</f>
        <v>60+</v>
      </c>
      <c r="N3358" t="str">
        <f t="shared" si="157"/>
        <v>Discounted</v>
      </c>
      <c r="O3358" t="str">
        <f t="shared" si="158"/>
        <v>Returning</v>
      </c>
    </row>
    <row r="3359" spans="1:15" x14ac:dyDescent="0.25">
      <c r="A3359">
        <v>3358</v>
      </c>
      <c r="B3359">
        <v>56</v>
      </c>
      <c r="C3359" t="s">
        <v>16</v>
      </c>
      <c r="D3359" t="s">
        <v>20</v>
      </c>
      <c r="E3359" t="s">
        <v>36</v>
      </c>
      <c r="F3359" s="1">
        <v>53.45</v>
      </c>
      <c r="G3359" t="s">
        <v>31</v>
      </c>
      <c r="H3359" t="s">
        <v>37</v>
      </c>
      <c r="I3359" s="2">
        <v>4.5999999999999996</v>
      </c>
      <c r="J3359" s="4">
        <v>10</v>
      </c>
      <c r="K3359" s="3">
        <v>0</v>
      </c>
      <c r="L3359" s="1">
        <f t="shared" si="156"/>
        <v>48.105000000000004</v>
      </c>
      <c r="M3359" t="str" cm="1">
        <f t="array" ref="M3359">_xlfn.IFS(B3359&lt;18,"Under 18",B3359 &lt;=25,"18-25",B3359&lt;=35,"26-35",B3359&lt;=45,"36-45",B3359&lt;=60,"46-60",TRUE,"60+")</f>
        <v>46-60</v>
      </c>
      <c r="N3359" t="str">
        <f t="shared" si="157"/>
        <v>Discounted</v>
      </c>
      <c r="O3359" t="str">
        <f t="shared" si="158"/>
        <v>New</v>
      </c>
    </row>
    <row r="3360" spans="1:15" x14ac:dyDescent="0.25">
      <c r="A3360">
        <v>3359</v>
      </c>
      <c r="B3360">
        <v>34</v>
      </c>
      <c r="C3360" t="s">
        <v>16</v>
      </c>
      <c r="D3360" t="s">
        <v>20</v>
      </c>
      <c r="E3360" t="s">
        <v>39</v>
      </c>
      <c r="F3360" s="1">
        <v>110.27</v>
      </c>
      <c r="G3360" t="s">
        <v>24</v>
      </c>
      <c r="H3360" t="s">
        <v>15</v>
      </c>
      <c r="I3360" s="2">
        <v>3.3</v>
      </c>
      <c r="J3360" s="4">
        <v>16</v>
      </c>
      <c r="K3360" s="3">
        <v>8</v>
      </c>
      <c r="L3360" s="1">
        <f t="shared" si="156"/>
        <v>92.626799999999989</v>
      </c>
      <c r="M3360" t="str" cm="1">
        <f t="array" ref="M3360">_xlfn.IFS(B3360&lt;18,"Under 18",B3360 &lt;=25,"18-25",B3360&lt;=35,"26-35",B3360&lt;=45,"36-45",B3360&lt;=60,"46-60",TRUE,"60+")</f>
        <v>26-35</v>
      </c>
      <c r="N3360" t="str">
        <f t="shared" si="157"/>
        <v>Discounted</v>
      </c>
      <c r="O3360" t="str">
        <f t="shared" si="158"/>
        <v>Returning</v>
      </c>
    </row>
    <row r="3361" spans="1:15" x14ac:dyDescent="0.25">
      <c r="A3361">
        <v>3360</v>
      </c>
      <c r="B3361">
        <v>31</v>
      </c>
      <c r="C3361" t="s">
        <v>16</v>
      </c>
      <c r="D3361" t="s">
        <v>33</v>
      </c>
      <c r="E3361" t="s">
        <v>40</v>
      </c>
      <c r="F3361" s="1">
        <v>234.04</v>
      </c>
      <c r="G3361" t="s">
        <v>14</v>
      </c>
      <c r="H3361" t="s">
        <v>15</v>
      </c>
      <c r="I3361" s="2">
        <v>4.5999999999999996</v>
      </c>
      <c r="J3361" s="4">
        <v>14</v>
      </c>
      <c r="K3361" s="3">
        <v>7</v>
      </c>
      <c r="L3361" s="1">
        <f t="shared" si="156"/>
        <v>201.27439999999999</v>
      </c>
      <c r="M3361" t="str" cm="1">
        <f t="array" ref="M3361">_xlfn.IFS(B3361&lt;18,"Under 18",B3361 &lt;=25,"18-25",B3361&lt;=35,"26-35",B3361&lt;=45,"36-45",B3361&lt;=60,"46-60",TRUE,"60+")</f>
        <v>26-35</v>
      </c>
      <c r="N3361" t="str">
        <f t="shared" si="157"/>
        <v>Discounted</v>
      </c>
      <c r="O3361" t="str">
        <f t="shared" si="158"/>
        <v>Returning</v>
      </c>
    </row>
    <row r="3362" spans="1:15" x14ac:dyDescent="0.25">
      <c r="A3362">
        <v>3361</v>
      </c>
      <c r="B3362">
        <v>22</v>
      </c>
      <c r="C3362" t="s">
        <v>11</v>
      </c>
      <c r="D3362" t="s">
        <v>12</v>
      </c>
      <c r="E3362" t="s">
        <v>56</v>
      </c>
      <c r="F3362" s="1">
        <v>116.71</v>
      </c>
      <c r="G3362" t="s">
        <v>24</v>
      </c>
      <c r="H3362" t="s">
        <v>15</v>
      </c>
      <c r="I3362" s="2">
        <v>3.8</v>
      </c>
      <c r="J3362" s="4">
        <v>10</v>
      </c>
      <c r="K3362" s="3">
        <v>5</v>
      </c>
      <c r="L3362" s="1">
        <f t="shared" si="156"/>
        <v>105.039</v>
      </c>
      <c r="M3362" t="str" cm="1">
        <f t="array" ref="M3362">_xlfn.IFS(B3362&lt;18,"Under 18",B3362 &lt;=25,"18-25",B3362&lt;=35,"26-35",B3362&lt;=45,"36-45",B3362&lt;=60,"46-60",TRUE,"60+")</f>
        <v>18-25</v>
      </c>
      <c r="N3362" t="str">
        <f t="shared" si="157"/>
        <v>Discounted</v>
      </c>
      <c r="O3362" t="str">
        <f t="shared" si="158"/>
        <v>Returning</v>
      </c>
    </row>
    <row r="3363" spans="1:15" x14ac:dyDescent="0.25">
      <c r="A3363">
        <v>3362</v>
      </c>
      <c r="B3363">
        <v>59</v>
      </c>
      <c r="C3363" t="s">
        <v>16</v>
      </c>
      <c r="D3363" t="s">
        <v>17</v>
      </c>
      <c r="E3363" t="s">
        <v>35</v>
      </c>
      <c r="F3363" s="1">
        <v>176.93</v>
      </c>
      <c r="G3363" t="s">
        <v>24</v>
      </c>
      <c r="H3363" t="s">
        <v>15</v>
      </c>
      <c r="I3363" s="2">
        <v>5</v>
      </c>
      <c r="J3363" s="4">
        <v>28</v>
      </c>
      <c r="K3363" s="3">
        <v>9</v>
      </c>
      <c r="L3363" s="1">
        <f t="shared" si="156"/>
        <v>127.3896</v>
      </c>
      <c r="M3363" t="str" cm="1">
        <f t="array" ref="M3363">_xlfn.IFS(B3363&lt;18,"Under 18",B3363 &lt;=25,"18-25",B3363&lt;=35,"26-35",B3363&lt;=45,"36-45",B3363&lt;=60,"46-60",TRUE,"60+")</f>
        <v>46-60</v>
      </c>
      <c r="N3363" t="str">
        <f t="shared" si="157"/>
        <v>Discounted</v>
      </c>
      <c r="O3363" t="str">
        <f t="shared" si="158"/>
        <v>Returning</v>
      </c>
    </row>
    <row r="3364" spans="1:15" x14ac:dyDescent="0.25">
      <c r="A3364">
        <v>3363</v>
      </c>
      <c r="B3364">
        <v>20</v>
      </c>
      <c r="C3364" t="s">
        <v>16</v>
      </c>
      <c r="D3364" t="s">
        <v>33</v>
      </c>
      <c r="E3364" t="s">
        <v>40</v>
      </c>
      <c r="F3364" s="1">
        <v>51.56</v>
      </c>
      <c r="G3364" t="s">
        <v>19</v>
      </c>
      <c r="H3364" t="s">
        <v>15</v>
      </c>
      <c r="I3364" s="2">
        <v>3.5</v>
      </c>
      <c r="J3364" s="4">
        <v>20</v>
      </c>
      <c r="K3364" s="3">
        <v>5</v>
      </c>
      <c r="L3364" s="1">
        <f t="shared" si="156"/>
        <v>41.248000000000005</v>
      </c>
      <c r="M3364" t="str" cm="1">
        <f t="array" ref="M3364">_xlfn.IFS(B3364&lt;18,"Under 18",B3364 &lt;=25,"18-25",B3364&lt;=35,"26-35",B3364&lt;=45,"36-45",B3364&lt;=60,"46-60",TRUE,"60+")</f>
        <v>18-25</v>
      </c>
      <c r="N3364" t="str">
        <f t="shared" si="157"/>
        <v>Discounted</v>
      </c>
      <c r="O3364" t="str">
        <f t="shared" si="158"/>
        <v>Returning</v>
      </c>
    </row>
    <row r="3365" spans="1:15" x14ac:dyDescent="0.25">
      <c r="A3365">
        <v>3364</v>
      </c>
      <c r="B3365">
        <v>51</v>
      </c>
      <c r="C3365" t="s">
        <v>11</v>
      </c>
      <c r="D3365" t="s">
        <v>29</v>
      </c>
      <c r="E3365" t="s">
        <v>55</v>
      </c>
      <c r="F3365" s="1">
        <v>94.53</v>
      </c>
      <c r="G3365" t="s">
        <v>24</v>
      </c>
      <c r="H3365" t="s">
        <v>37</v>
      </c>
      <c r="I3365" s="2">
        <v>3.7</v>
      </c>
      <c r="J3365" s="4">
        <v>18</v>
      </c>
      <c r="K3365" s="3">
        <v>4</v>
      </c>
      <c r="L3365" s="1">
        <f t="shared" si="156"/>
        <v>77.514600000000002</v>
      </c>
      <c r="M3365" t="str" cm="1">
        <f t="array" ref="M3365">_xlfn.IFS(B3365&lt;18,"Under 18",B3365 &lt;=25,"18-25",B3365&lt;=35,"26-35",B3365&lt;=45,"36-45",B3365&lt;=60,"46-60",TRUE,"60+")</f>
        <v>46-60</v>
      </c>
      <c r="N3365" t="str">
        <f t="shared" si="157"/>
        <v>Discounted</v>
      </c>
      <c r="O3365" t="str">
        <f t="shared" si="158"/>
        <v>Returning</v>
      </c>
    </row>
    <row r="3366" spans="1:15" x14ac:dyDescent="0.25">
      <c r="A3366">
        <v>3365</v>
      </c>
      <c r="B3366">
        <v>22</v>
      </c>
      <c r="C3366" t="s">
        <v>11</v>
      </c>
      <c r="D3366" t="s">
        <v>20</v>
      </c>
      <c r="E3366" t="s">
        <v>21</v>
      </c>
      <c r="F3366" s="1">
        <v>52.91</v>
      </c>
      <c r="G3366" t="s">
        <v>14</v>
      </c>
      <c r="H3366" t="s">
        <v>37</v>
      </c>
      <c r="I3366" s="2">
        <v>4.3</v>
      </c>
      <c r="J3366" s="4">
        <v>26</v>
      </c>
      <c r="K3366" s="3">
        <v>8</v>
      </c>
      <c r="L3366" s="1">
        <f t="shared" si="156"/>
        <v>39.153399999999998</v>
      </c>
      <c r="M3366" t="str" cm="1">
        <f t="array" ref="M3366">_xlfn.IFS(B3366&lt;18,"Under 18",B3366 &lt;=25,"18-25",B3366&lt;=35,"26-35",B3366&lt;=45,"36-45",B3366&lt;=60,"46-60",TRUE,"60+")</f>
        <v>18-25</v>
      </c>
      <c r="N3366" t="str">
        <f t="shared" si="157"/>
        <v>Discounted</v>
      </c>
      <c r="O3366" t="str">
        <f t="shared" si="158"/>
        <v>Returning</v>
      </c>
    </row>
    <row r="3367" spans="1:15" x14ac:dyDescent="0.25">
      <c r="A3367">
        <v>3366</v>
      </c>
      <c r="B3367">
        <v>26</v>
      </c>
      <c r="C3367" t="s">
        <v>11</v>
      </c>
      <c r="D3367" t="s">
        <v>33</v>
      </c>
      <c r="E3367" t="s">
        <v>38</v>
      </c>
      <c r="F3367" s="1">
        <v>118.99</v>
      </c>
      <c r="G3367" t="s">
        <v>19</v>
      </c>
      <c r="H3367" t="s">
        <v>15</v>
      </c>
      <c r="I3367" s="2">
        <v>4.0999999999999996</v>
      </c>
      <c r="J3367" s="4">
        <v>13</v>
      </c>
      <c r="K3367" s="3">
        <v>4</v>
      </c>
      <c r="L3367" s="1">
        <f t="shared" si="156"/>
        <v>103.5213</v>
      </c>
      <c r="M3367" t="str" cm="1">
        <f t="array" ref="M3367">_xlfn.IFS(B3367&lt;18,"Under 18",B3367 &lt;=25,"18-25",B3367&lt;=35,"26-35",B3367&lt;=45,"36-45",B3367&lt;=60,"46-60",TRUE,"60+")</f>
        <v>26-35</v>
      </c>
      <c r="N3367" t="str">
        <f t="shared" si="157"/>
        <v>Discounted</v>
      </c>
      <c r="O3367" t="str">
        <f t="shared" si="158"/>
        <v>Returning</v>
      </c>
    </row>
    <row r="3368" spans="1:15" x14ac:dyDescent="0.25">
      <c r="A3368">
        <v>3367</v>
      </c>
      <c r="B3368">
        <v>36</v>
      </c>
      <c r="C3368" t="s">
        <v>11</v>
      </c>
      <c r="D3368" t="s">
        <v>12</v>
      </c>
      <c r="E3368" t="s">
        <v>13</v>
      </c>
      <c r="F3368" s="1">
        <v>142.22</v>
      </c>
      <c r="G3368" t="s">
        <v>31</v>
      </c>
      <c r="H3368" t="s">
        <v>15</v>
      </c>
      <c r="I3368" s="2">
        <v>3.1</v>
      </c>
      <c r="J3368" s="4">
        <v>20</v>
      </c>
      <c r="K3368" s="3">
        <v>5</v>
      </c>
      <c r="L3368" s="1">
        <f t="shared" si="156"/>
        <v>113.77600000000001</v>
      </c>
      <c r="M3368" t="str" cm="1">
        <f t="array" ref="M3368">_xlfn.IFS(B3368&lt;18,"Under 18",B3368 &lt;=25,"18-25",B3368&lt;=35,"26-35",B3368&lt;=45,"36-45",B3368&lt;=60,"46-60",TRUE,"60+")</f>
        <v>36-45</v>
      </c>
      <c r="N3368" t="str">
        <f t="shared" si="157"/>
        <v>Discounted</v>
      </c>
      <c r="O3368" t="str">
        <f t="shared" si="158"/>
        <v>Returning</v>
      </c>
    </row>
    <row r="3369" spans="1:15" x14ac:dyDescent="0.25">
      <c r="A3369">
        <v>3368</v>
      </c>
      <c r="B3369">
        <v>38</v>
      </c>
      <c r="C3369" t="s">
        <v>11</v>
      </c>
      <c r="D3369" t="s">
        <v>22</v>
      </c>
      <c r="E3369" t="s">
        <v>43</v>
      </c>
      <c r="F3369" s="1">
        <v>279.22000000000003</v>
      </c>
      <c r="G3369" t="s">
        <v>31</v>
      </c>
      <c r="H3369" t="s">
        <v>15</v>
      </c>
      <c r="I3369" s="2">
        <v>4.3</v>
      </c>
      <c r="J3369" s="4">
        <v>5</v>
      </c>
      <c r="K3369" s="3">
        <v>0</v>
      </c>
      <c r="L3369" s="1">
        <f t="shared" si="156"/>
        <v>265.25900000000001</v>
      </c>
      <c r="M3369" t="str" cm="1">
        <f t="array" ref="M3369">_xlfn.IFS(B3369&lt;18,"Under 18",B3369 &lt;=25,"18-25",B3369&lt;=35,"26-35",B3369&lt;=45,"36-45",B3369&lt;=60,"46-60",TRUE,"60+")</f>
        <v>36-45</v>
      </c>
      <c r="N3369" t="str">
        <f t="shared" si="157"/>
        <v>Discounted</v>
      </c>
      <c r="O3369" t="str">
        <f t="shared" si="158"/>
        <v>New</v>
      </c>
    </row>
    <row r="3370" spans="1:15" x14ac:dyDescent="0.25">
      <c r="A3370">
        <v>3369</v>
      </c>
      <c r="B3370">
        <v>22</v>
      </c>
      <c r="C3370" t="s">
        <v>11</v>
      </c>
      <c r="D3370" t="s">
        <v>29</v>
      </c>
      <c r="E3370" t="s">
        <v>51</v>
      </c>
      <c r="F3370" s="1">
        <v>69.319999999999993</v>
      </c>
      <c r="G3370" t="s">
        <v>14</v>
      </c>
      <c r="H3370" t="s">
        <v>37</v>
      </c>
      <c r="I3370" s="2">
        <v>3.2</v>
      </c>
      <c r="J3370" s="4">
        <v>16</v>
      </c>
      <c r="K3370" s="3">
        <v>3</v>
      </c>
      <c r="L3370" s="1">
        <f t="shared" si="156"/>
        <v>58.228799999999993</v>
      </c>
      <c r="M3370" t="str" cm="1">
        <f t="array" ref="M3370">_xlfn.IFS(B3370&lt;18,"Under 18",B3370 &lt;=25,"18-25",B3370&lt;=35,"26-35",B3370&lt;=45,"36-45",B3370&lt;=60,"46-60",TRUE,"60+")</f>
        <v>18-25</v>
      </c>
      <c r="N3370" t="str">
        <f t="shared" si="157"/>
        <v>Discounted</v>
      </c>
      <c r="O3370" t="str">
        <f t="shared" si="158"/>
        <v>Returning</v>
      </c>
    </row>
    <row r="3371" spans="1:15" x14ac:dyDescent="0.25">
      <c r="A3371">
        <v>3370</v>
      </c>
      <c r="B3371">
        <v>48</v>
      </c>
      <c r="C3371" t="s">
        <v>16</v>
      </c>
      <c r="D3371" t="s">
        <v>20</v>
      </c>
      <c r="E3371" t="s">
        <v>36</v>
      </c>
      <c r="F3371" s="1">
        <v>185.35</v>
      </c>
      <c r="G3371" t="s">
        <v>19</v>
      </c>
      <c r="H3371" t="s">
        <v>15</v>
      </c>
      <c r="I3371" s="2">
        <v>1.7</v>
      </c>
      <c r="J3371" s="4">
        <v>16</v>
      </c>
      <c r="K3371" s="3">
        <v>3</v>
      </c>
      <c r="L3371" s="1">
        <f t="shared" si="156"/>
        <v>155.69399999999999</v>
      </c>
      <c r="M3371" t="str" cm="1">
        <f t="array" ref="M3371">_xlfn.IFS(B3371&lt;18,"Under 18",B3371 &lt;=25,"18-25",B3371&lt;=35,"26-35",B3371&lt;=45,"36-45",B3371&lt;=60,"46-60",TRUE,"60+")</f>
        <v>46-60</v>
      </c>
      <c r="N3371" t="str">
        <f t="shared" si="157"/>
        <v>Discounted</v>
      </c>
      <c r="O3371" t="str">
        <f t="shared" si="158"/>
        <v>Returning</v>
      </c>
    </row>
    <row r="3372" spans="1:15" x14ac:dyDescent="0.25">
      <c r="A3372">
        <v>3371</v>
      </c>
      <c r="B3372">
        <v>42</v>
      </c>
      <c r="C3372" t="s">
        <v>11</v>
      </c>
      <c r="D3372" t="s">
        <v>20</v>
      </c>
      <c r="E3372" t="s">
        <v>39</v>
      </c>
      <c r="F3372" s="1">
        <v>93.72</v>
      </c>
      <c r="G3372" t="s">
        <v>24</v>
      </c>
      <c r="H3372" t="s">
        <v>15</v>
      </c>
      <c r="I3372" s="2">
        <v>4.0999999999999996</v>
      </c>
      <c r="J3372" s="4">
        <v>18</v>
      </c>
      <c r="K3372" s="3">
        <v>4</v>
      </c>
      <c r="L3372" s="1">
        <f t="shared" si="156"/>
        <v>76.850400000000008</v>
      </c>
      <c r="M3372" t="str" cm="1">
        <f t="array" ref="M3372">_xlfn.IFS(B3372&lt;18,"Under 18",B3372 &lt;=25,"18-25",B3372&lt;=35,"26-35",B3372&lt;=45,"36-45",B3372&lt;=60,"46-60",TRUE,"60+")</f>
        <v>36-45</v>
      </c>
      <c r="N3372" t="str">
        <f t="shared" si="157"/>
        <v>Discounted</v>
      </c>
      <c r="O3372" t="str">
        <f t="shared" si="158"/>
        <v>Returning</v>
      </c>
    </row>
    <row r="3373" spans="1:15" x14ac:dyDescent="0.25">
      <c r="A3373">
        <v>3372</v>
      </c>
      <c r="B3373">
        <v>24</v>
      </c>
      <c r="C3373" t="s">
        <v>16</v>
      </c>
      <c r="D3373" t="s">
        <v>17</v>
      </c>
      <c r="E3373" t="s">
        <v>18</v>
      </c>
      <c r="F3373" s="1">
        <v>158.33000000000001</v>
      </c>
      <c r="G3373" t="s">
        <v>19</v>
      </c>
      <c r="H3373" t="s">
        <v>15</v>
      </c>
      <c r="I3373" s="2">
        <v>3.2</v>
      </c>
      <c r="J3373" s="4">
        <v>15</v>
      </c>
      <c r="K3373" s="3">
        <v>5</v>
      </c>
      <c r="L3373" s="1">
        <f t="shared" si="156"/>
        <v>134.5805</v>
      </c>
      <c r="M3373" t="str" cm="1">
        <f t="array" ref="M3373">_xlfn.IFS(B3373&lt;18,"Under 18",B3373 &lt;=25,"18-25",B3373&lt;=35,"26-35",B3373&lt;=45,"36-45",B3373&lt;=60,"46-60",TRUE,"60+")</f>
        <v>18-25</v>
      </c>
      <c r="N3373" t="str">
        <f t="shared" si="157"/>
        <v>Discounted</v>
      </c>
      <c r="O3373" t="str">
        <f t="shared" si="158"/>
        <v>Returning</v>
      </c>
    </row>
    <row r="3374" spans="1:15" x14ac:dyDescent="0.25">
      <c r="A3374">
        <v>3373</v>
      </c>
      <c r="B3374">
        <v>24</v>
      </c>
      <c r="C3374" t="s">
        <v>16</v>
      </c>
      <c r="D3374" t="s">
        <v>33</v>
      </c>
      <c r="E3374" t="s">
        <v>38</v>
      </c>
      <c r="F3374" s="1">
        <v>73.819999999999993</v>
      </c>
      <c r="G3374" t="s">
        <v>14</v>
      </c>
      <c r="H3374" t="s">
        <v>37</v>
      </c>
      <c r="I3374" s="2">
        <v>3.7</v>
      </c>
      <c r="J3374" s="4">
        <v>22</v>
      </c>
      <c r="K3374" s="3">
        <v>6</v>
      </c>
      <c r="L3374" s="1">
        <f t="shared" si="156"/>
        <v>57.579599999999999</v>
      </c>
      <c r="M3374" t="str" cm="1">
        <f t="array" ref="M3374">_xlfn.IFS(B3374&lt;18,"Under 18",B3374 &lt;=25,"18-25",B3374&lt;=35,"26-35",B3374&lt;=45,"36-45",B3374&lt;=60,"46-60",TRUE,"60+")</f>
        <v>18-25</v>
      </c>
      <c r="N3374" t="str">
        <f t="shared" si="157"/>
        <v>Discounted</v>
      </c>
      <c r="O3374" t="str">
        <f t="shared" si="158"/>
        <v>Returning</v>
      </c>
    </row>
    <row r="3375" spans="1:15" x14ac:dyDescent="0.25">
      <c r="A3375">
        <v>3374</v>
      </c>
      <c r="B3375">
        <v>63</v>
      </c>
      <c r="C3375" t="s">
        <v>16</v>
      </c>
      <c r="D3375" t="s">
        <v>25</v>
      </c>
      <c r="E3375" t="s">
        <v>47</v>
      </c>
      <c r="F3375" s="1">
        <v>13.69</v>
      </c>
      <c r="G3375" t="s">
        <v>19</v>
      </c>
      <c r="H3375" t="s">
        <v>15</v>
      </c>
      <c r="I3375" s="2">
        <v>3.7</v>
      </c>
      <c r="J3375" s="4">
        <v>16</v>
      </c>
      <c r="K3375" s="3">
        <v>8</v>
      </c>
      <c r="L3375" s="1">
        <f t="shared" si="156"/>
        <v>11.499599999999999</v>
      </c>
      <c r="M3375" t="str" cm="1">
        <f t="array" ref="M3375">_xlfn.IFS(B3375&lt;18,"Under 18",B3375 &lt;=25,"18-25",B3375&lt;=35,"26-35",B3375&lt;=45,"36-45",B3375&lt;=60,"46-60",TRUE,"60+")</f>
        <v>60+</v>
      </c>
      <c r="N3375" t="str">
        <f t="shared" si="157"/>
        <v>Discounted</v>
      </c>
      <c r="O3375" t="str">
        <f t="shared" si="158"/>
        <v>Returning</v>
      </c>
    </row>
    <row r="3376" spans="1:15" x14ac:dyDescent="0.25">
      <c r="A3376">
        <v>3375</v>
      </c>
      <c r="B3376">
        <v>34</v>
      </c>
      <c r="C3376" t="s">
        <v>16</v>
      </c>
      <c r="D3376" t="s">
        <v>17</v>
      </c>
      <c r="E3376" t="s">
        <v>48</v>
      </c>
      <c r="F3376" s="1">
        <v>59.1</v>
      </c>
      <c r="G3376" t="s">
        <v>14</v>
      </c>
      <c r="H3376" t="s">
        <v>15</v>
      </c>
      <c r="I3376" s="2">
        <v>3.6</v>
      </c>
      <c r="J3376" s="4">
        <v>22</v>
      </c>
      <c r="K3376" s="3">
        <v>6</v>
      </c>
      <c r="L3376" s="1">
        <f t="shared" si="156"/>
        <v>46.098000000000006</v>
      </c>
      <c r="M3376" t="str" cm="1">
        <f t="array" ref="M3376">_xlfn.IFS(B3376&lt;18,"Under 18",B3376 &lt;=25,"18-25",B3376&lt;=35,"26-35",B3376&lt;=45,"36-45",B3376&lt;=60,"46-60",TRUE,"60+")</f>
        <v>26-35</v>
      </c>
      <c r="N3376" t="str">
        <f t="shared" si="157"/>
        <v>Discounted</v>
      </c>
      <c r="O3376" t="str">
        <f t="shared" si="158"/>
        <v>Returning</v>
      </c>
    </row>
    <row r="3377" spans="1:15" x14ac:dyDescent="0.25">
      <c r="A3377">
        <v>3376</v>
      </c>
      <c r="B3377">
        <v>57</v>
      </c>
      <c r="C3377" t="s">
        <v>11</v>
      </c>
      <c r="D3377" t="s">
        <v>22</v>
      </c>
      <c r="E3377" t="s">
        <v>43</v>
      </c>
      <c r="F3377" s="1">
        <v>148.53</v>
      </c>
      <c r="G3377" t="s">
        <v>24</v>
      </c>
      <c r="H3377" t="s">
        <v>15</v>
      </c>
      <c r="I3377" s="2">
        <v>3.8</v>
      </c>
      <c r="J3377" s="4">
        <v>16</v>
      </c>
      <c r="K3377" s="3">
        <v>3</v>
      </c>
      <c r="L3377" s="1">
        <f t="shared" si="156"/>
        <v>124.76519999999999</v>
      </c>
      <c r="M3377" t="str" cm="1">
        <f t="array" ref="M3377">_xlfn.IFS(B3377&lt;18,"Under 18",B3377 &lt;=25,"18-25",B3377&lt;=35,"26-35",B3377&lt;=45,"36-45",B3377&lt;=60,"46-60",TRUE,"60+")</f>
        <v>46-60</v>
      </c>
      <c r="N3377" t="str">
        <f t="shared" si="157"/>
        <v>Discounted</v>
      </c>
      <c r="O3377" t="str">
        <f t="shared" si="158"/>
        <v>Returning</v>
      </c>
    </row>
    <row r="3378" spans="1:15" x14ac:dyDescent="0.25">
      <c r="A3378">
        <v>3377</v>
      </c>
      <c r="B3378">
        <v>62</v>
      </c>
      <c r="C3378" t="s">
        <v>16</v>
      </c>
      <c r="D3378" t="s">
        <v>33</v>
      </c>
      <c r="E3378" t="s">
        <v>34</v>
      </c>
      <c r="F3378" s="1">
        <v>171</v>
      </c>
      <c r="G3378" t="s">
        <v>24</v>
      </c>
      <c r="H3378" t="s">
        <v>15</v>
      </c>
      <c r="I3378" s="2">
        <v>4</v>
      </c>
      <c r="J3378" s="4">
        <v>18</v>
      </c>
      <c r="K3378" s="3">
        <v>4</v>
      </c>
      <c r="L3378" s="1">
        <f t="shared" si="156"/>
        <v>140.22</v>
      </c>
      <c r="M3378" t="str" cm="1">
        <f t="array" ref="M3378">_xlfn.IFS(B3378&lt;18,"Under 18",B3378 &lt;=25,"18-25",B3378&lt;=35,"26-35",B3378&lt;=45,"36-45",B3378&lt;=60,"46-60",TRUE,"60+")</f>
        <v>60+</v>
      </c>
      <c r="N3378" t="str">
        <f t="shared" si="157"/>
        <v>Discounted</v>
      </c>
      <c r="O3378" t="str">
        <f t="shared" si="158"/>
        <v>Returning</v>
      </c>
    </row>
    <row r="3379" spans="1:15" x14ac:dyDescent="0.25">
      <c r="A3379">
        <v>3378</v>
      </c>
      <c r="B3379">
        <v>49</v>
      </c>
      <c r="C3379" t="s">
        <v>16</v>
      </c>
      <c r="D3379" t="s">
        <v>25</v>
      </c>
      <c r="E3379" t="s">
        <v>57</v>
      </c>
      <c r="F3379" s="1">
        <v>56.43</v>
      </c>
      <c r="G3379" t="s">
        <v>24</v>
      </c>
      <c r="H3379" t="s">
        <v>37</v>
      </c>
      <c r="I3379" s="2">
        <v>3.2</v>
      </c>
      <c r="J3379" s="4">
        <v>16</v>
      </c>
      <c r="K3379" s="3">
        <v>3</v>
      </c>
      <c r="L3379" s="1">
        <f t="shared" si="156"/>
        <v>47.401199999999996</v>
      </c>
      <c r="M3379" t="str" cm="1">
        <f t="array" ref="M3379">_xlfn.IFS(B3379&lt;18,"Under 18",B3379 &lt;=25,"18-25",B3379&lt;=35,"26-35",B3379&lt;=45,"36-45",B3379&lt;=60,"46-60",TRUE,"60+")</f>
        <v>46-60</v>
      </c>
      <c r="N3379" t="str">
        <f t="shared" si="157"/>
        <v>Discounted</v>
      </c>
      <c r="O3379" t="str">
        <f t="shared" si="158"/>
        <v>Returning</v>
      </c>
    </row>
    <row r="3380" spans="1:15" x14ac:dyDescent="0.25">
      <c r="A3380">
        <v>3379</v>
      </c>
      <c r="B3380">
        <v>41</v>
      </c>
      <c r="C3380" t="s">
        <v>11</v>
      </c>
      <c r="D3380" t="s">
        <v>29</v>
      </c>
      <c r="E3380" t="s">
        <v>51</v>
      </c>
      <c r="F3380" s="1">
        <v>85.3</v>
      </c>
      <c r="G3380" t="s">
        <v>19</v>
      </c>
      <c r="H3380" t="s">
        <v>15</v>
      </c>
      <c r="I3380" s="2">
        <v>5</v>
      </c>
      <c r="J3380" s="4">
        <v>10</v>
      </c>
      <c r="K3380" s="3">
        <v>5</v>
      </c>
      <c r="L3380" s="1">
        <f t="shared" si="156"/>
        <v>76.77</v>
      </c>
      <c r="M3380" t="str" cm="1">
        <f t="array" ref="M3380">_xlfn.IFS(B3380&lt;18,"Under 18",B3380 &lt;=25,"18-25",B3380&lt;=35,"26-35",B3380&lt;=45,"36-45",B3380&lt;=60,"46-60",TRUE,"60+")</f>
        <v>36-45</v>
      </c>
      <c r="N3380" t="str">
        <f t="shared" si="157"/>
        <v>Discounted</v>
      </c>
      <c r="O3380" t="str">
        <f t="shared" si="158"/>
        <v>Returning</v>
      </c>
    </row>
    <row r="3381" spans="1:15" x14ac:dyDescent="0.25">
      <c r="A3381">
        <v>3380</v>
      </c>
      <c r="B3381">
        <v>47</v>
      </c>
      <c r="C3381" t="s">
        <v>11</v>
      </c>
      <c r="D3381" t="s">
        <v>29</v>
      </c>
      <c r="E3381" t="s">
        <v>55</v>
      </c>
      <c r="F3381" s="1">
        <v>122.41</v>
      </c>
      <c r="G3381" t="s">
        <v>14</v>
      </c>
      <c r="H3381" t="s">
        <v>15</v>
      </c>
      <c r="I3381" s="2">
        <v>4.2</v>
      </c>
      <c r="J3381" s="4">
        <v>18</v>
      </c>
      <c r="K3381" s="3">
        <v>4</v>
      </c>
      <c r="L3381" s="1">
        <f t="shared" si="156"/>
        <v>100.37620000000001</v>
      </c>
      <c r="M3381" t="str" cm="1">
        <f t="array" ref="M3381">_xlfn.IFS(B3381&lt;18,"Under 18",B3381 &lt;=25,"18-25",B3381&lt;=35,"26-35",B3381&lt;=45,"36-45",B3381&lt;=60,"46-60",TRUE,"60+")</f>
        <v>46-60</v>
      </c>
      <c r="N3381" t="str">
        <f t="shared" si="157"/>
        <v>Discounted</v>
      </c>
      <c r="O3381" t="str">
        <f t="shared" si="158"/>
        <v>Returning</v>
      </c>
    </row>
    <row r="3382" spans="1:15" x14ac:dyDescent="0.25">
      <c r="A3382">
        <v>3381</v>
      </c>
      <c r="B3382">
        <v>49</v>
      </c>
      <c r="C3382" t="s">
        <v>11</v>
      </c>
      <c r="D3382" t="s">
        <v>33</v>
      </c>
      <c r="E3382" t="s">
        <v>40</v>
      </c>
      <c r="F3382" s="1">
        <v>99.87</v>
      </c>
      <c r="G3382" t="s">
        <v>14</v>
      </c>
      <c r="H3382" t="s">
        <v>15</v>
      </c>
      <c r="I3382" s="2">
        <v>3.6</v>
      </c>
      <c r="J3382" s="4">
        <v>19</v>
      </c>
      <c r="K3382" s="3">
        <v>7</v>
      </c>
      <c r="L3382" s="1">
        <f t="shared" si="156"/>
        <v>80.894700000000014</v>
      </c>
      <c r="M3382" t="str" cm="1">
        <f t="array" ref="M3382">_xlfn.IFS(B3382&lt;18,"Under 18",B3382 &lt;=25,"18-25",B3382&lt;=35,"26-35",B3382&lt;=45,"36-45",B3382&lt;=60,"46-60",TRUE,"60+")</f>
        <v>46-60</v>
      </c>
      <c r="N3382" t="str">
        <f t="shared" si="157"/>
        <v>Discounted</v>
      </c>
      <c r="O3382" t="str">
        <f t="shared" si="158"/>
        <v>Returning</v>
      </c>
    </row>
    <row r="3383" spans="1:15" x14ac:dyDescent="0.25">
      <c r="A3383">
        <v>3382</v>
      </c>
      <c r="B3383">
        <v>41</v>
      </c>
      <c r="C3383" t="s">
        <v>11</v>
      </c>
      <c r="D3383" t="s">
        <v>33</v>
      </c>
      <c r="E3383" t="s">
        <v>34</v>
      </c>
      <c r="F3383" s="1">
        <v>214.67</v>
      </c>
      <c r="G3383" t="s">
        <v>14</v>
      </c>
      <c r="H3383" t="s">
        <v>15</v>
      </c>
      <c r="I3383" s="2">
        <v>3.7</v>
      </c>
      <c r="J3383" s="4">
        <v>16</v>
      </c>
      <c r="K3383" s="3">
        <v>8</v>
      </c>
      <c r="L3383" s="1">
        <f t="shared" si="156"/>
        <v>180.32279999999997</v>
      </c>
      <c r="M3383" t="str" cm="1">
        <f t="array" ref="M3383">_xlfn.IFS(B3383&lt;18,"Under 18",B3383 &lt;=25,"18-25",B3383&lt;=35,"26-35",B3383&lt;=45,"36-45",B3383&lt;=60,"46-60",TRUE,"60+")</f>
        <v>36-45</v>
      </c>
      <c r="N3383" t="str">
        <f t="shared" si="157"/>
        <v>Discounted</v>
      </c>
      <c r="O3383" t="str">
        <f t="shared" si="158"/>
        <v>Returning</v>
      </c>
    </row>
    <row r="3384" spans="1:15" x14ac:dyDescent="0.25">
      <c r="A3384">
        <v>3383</v>
      </c>
      <c r="B3384">
        <v>56</v>
      </c>
      <c r="C3384" t="s">
        <v>11</v>
      </c>
      <c r="D3384" t="s">
        <v>29</v>
      </c>
      <c r="E3384" t="s">
        <v>55</v>
      </c>
      <c r="F3384" s="1">
        <v>48.85</v>
      </c>
      <c r="G3384" t="s">
        <v>14</v>
      </c>
      <c r="H3384" t="s">
        <v>15</v>
      </c>
      <c r="I3384" s="2">
        <v>4.7</v>
      </c>
      <c r="J3384" s="4">
        <v>16</v>
      </c>
      <c r="K3384" s="3">
        <v>3</v>
      </c>
      <c r="L3384" s="1">
        <f t="shared" si="156"/>
        <v>41.033999999999999</v>
      </c>
      <c r="M3384" t="str" cm="1">
        <f t="array" ref="M3384">_xlfn.IFS(B3384&lt;18,"Under 18",B3384 &lt;=25,"18-25",B3384&lt;=35,"26-35",B3384&lt;=45,"36-45",B3384&lt;=60,"46-60",TRUE,"60+")</f>
        <v>46-60</v>
      </c>
      <c r="N3384" t="str">
        <f t="shared" si="157"/>
        <v>Discounted</v>
      </c>
      <c r="O3384" t="str">
        <f t="shared" si="158"/>
        <v>Returning</v>
      </c>
    </row>
    <row r="3385" spans="1:15" x14ac:dyDescent="0.25">
      <c r="A3385">
        <v>3384</v>
      </c>
      <c r="B3385">
        <v>21</v>
      </c>
      <c r="C3385" t="s">
        <v>11</v>
      </c>
      <c r="D3385" t="s">
        <v>22</v>
      </c>
      <c r="E3385" t="s">
        <v>52</v>
      </c>
      <c r="F3385" s="1">
        <v>184.48</v>
      </c>
      <c r="G3385" t="s">
        <v>24</v>
      </c>
      <c r="H3385" t="s">
        <v>15</v>
      </c>
      <c r="I3385" s="2">
        <v>4.5999999999999996</v>
      </c>
      <c r="J3385" s="4">
        <v>27</v>
      </c>
      <c r="K3385" s="3">
        <v>11</v>
      </c>
      <c r="L3385" s="1">
        <f t="shared" si="156"/>
        <v>134.6704</v>
      </c>
      <c r="M3385" t="str" cm="1">
        <f t="array" ref="M3385">_xlfn.IFS(B3385&lt;18,"Under 18",B3385 &lt;=25,"18-25",B3385&lt;=35,"26-35",B3385&lt;=45,"36-45",B3385&lt;=60,"46-60",TRUE,"60+")</f>
        <v>18-25</v>
      </c>
      <c r="N3385" t="str">
        <f t="shared" si="157"/>
        <v>Discounted</v>
      </c>
      <c r="O3385" t="str">
        <f t="shared" si="158"/>
        <v>Returning</v>
      </c>
    </row>
    <row r="3386" spans="1:15" x14ac:dyDescent="0.25">
      <c r="A3386">
        <v>3385</v>
      </c>
      <c r="B3386">
        <v>24</v>
      </c>
      <c r="C3386" t="s">
        <v>16</v>
      </c>
      <c r="D3386" t="s">
        <v>20</v>
      </c>
      <c r="E3386" t="s">
        <v>39</v>
      </c>
      <c r="F3386" s="1">
        <v>137.49</v>
      </c>
      <c r="G3386" t="s">
        <v>31</v>
      </c>
      <c r="H3386" t="s">
        <v>15</v>
      </c>
      <c r="I3386" s="2">
        <v>3.3</v>
      </c>
      <c r="J3386" s="4">
        <v>11</v>
      </c>
      <c r="K3386" s="3">
        <v>3</v>
      </c>
      <c r="L3386" s="1">
        <f t="shared" si="156"/>
        <v>122.3661</v>
      </c>
      <c r="M3386" t="str" cm="1">
        <f t="array" ref="M3386">_xlfn.IFS(B3386&lt;18,"Under 18",B3386 &lt;=25,"18-25",B3386&lt;=35,"26-35",B3386&lt;=45,"36-45",B3386&lt;=60,"46-60",TRUE,"60+")</f>
        <v>18-25</v>
      </c>
      <c r="N3386" t="str">
        <f t="shared" si="157"/>
        <v>Discounted</v>
      </c>
      <c r="O3386" t="str">
        <f t="shared" si="158"/>
        <v>Returning</v>
      </c>
    </row>
    <row r="3387" spans="1:15" x14ac:dyDescent="0.25">
      <c r="A3387">
        <v>3386</v>
      </c>
      <c r="B3387">
        <v>44</v>
      </c>
      <c r="C3387" t="s">
        <v>11</v>
      </c>
      <c r="D3387" t="s">
        <v>41</v>
      </c>
      <c r="E3387" t="s">
        <v>44</v>
      </c>
      <c r="F3387" s="1">
        <v>32.06</v>
      </c>
      <c r="G3387" t="s">
        <v>24</v>
      </c>
      <c r="H3387" t="s">
        <v>37</v>
      </c>
      <c r="I3387" s="2">
        <v>3.6</v>
      </c>
      <c r="J3387" s="4">
        <v>15</v>
      </c>
      <c r="K3387" s="3">
        <v>5</v>
      </c>
      <c r="L3387" s="1">
        <f t="shared" si="156"/>
        <v>27.251000000000001</v>
      </c>
      <c r="M3387" t="str" cm="1">
        <f t="array" ref="M3387">_xlfn.IFS(B3387&lt;18,"Under 18",B3387 &lt;=25,"18-25",B3387&lt;=35,"26-35",B3387&lt;=45,"36-45",B3387&lt;=60,"46-60",TRUE,"60+")</f>
        <v>36-45</v>
      </c>
      <c r="N3387" t="str">
        <f t="shared" si="157"/>
        <v>Discounted</v>
      </c>
      <c r="O3387" t="str">
        <f t="shared" si="158"/>
        <v>Returning</v>
      </c>
    </row>
    <row r="3388" spans="1:15" x14ac:dyDescent="0.25">
      <c r="A3388">
        <v>3387</v>
      </c>
      <c r="B3388">
        <v>68</v>
      </c>
      <c r="C3388" t="s">
        <v>16</v>
      </c>
      <c r="D3388" t="s">
        <v>17</v>
      </c>
      <c r="E3388" t="s">
        <v>35</v>
      </c>
      <c r="F3388" s="1">
        <v>192.92</v>
      </c>
      <c r="G3388" t="s">
        <v>14</v>
      </c>
      <c r="H3388" t="s">
        <v>15</v>
      </c>
      <c r="I3388" s="2">
        <v>4.0999999999999996</v>
      </c>
      <c r="J3388" s="4">
        <v>13</v>
      </c>
      <c r="K3388" s="3">
        <v>4</v>
      </c>
      <c r="L3388" s="1">
        <f t="shared" si="156"/>
        <v>167.84039999999999</v>
      </c>
      <c r="M3388" t="str" cm="1">
        <f t="array" ref="M3388">_xlfn.IFS(B3388&lt;18,"Under 18",B3388 &lt;=25,"18-25",B3388&lt;=35,"26-35",B3388&lt;=45,"36-45",B3388&lt;=60,"46-60",TRUE,"60+")</f>
        <v>60+</v>
      </c>
      <c r="N3388" t="str">
        <f t="shared" si="157"/>
        <v>Discounted</v>
      </c>
      <c r="O3388" t="str">
        <f t="shared" si="158"/>
        <v>Returning</v>
      </c>
    </row>
    <row r="3389" spans="1:15" x14ac:dyDescent="0.25">
      <c r="A3389">
        <v>3388</v>
      </c>
      <c r="B3389">
        <v>41</v>
      </c>
      <c r="C3389" t="s">
        <v>11</v>
      </c>
      <c r="D3389" t="s">
        <v>25</v>
      </c>
      <c r="E3389" t="s">
        <v>47</v>
      </c>
      <c r="F3389" s="1">
        <v>17.899999999999999</v>
      </c>
      <c r="G3389" t="s">
        <v>31</v>
      </c>
      <c r="H3389" t="s">
        <v>15</v>
      </c>
      <c r="I3389" s="2">
        <v>2.5</v>
      </c>
      <c r="J3389" s="4">
        <v>30</v>
      </c>
      <c r="K3389" s="3">
        <v>10</v>
      </c>
      <c r="L3389" s="1">
        <f t="shared" si="156"/>
        <v>12.529999999999998</v>
      </c>
      <c r="M3389" t="str" cm="1">
        <f t="array" ref="M3389">_xlfn.IFS(B3389&lt;18,"Under 18",B3389 &lt;=25,"18-25",B3389&lt;=35,"26-35",B3389&lt;=45,"36-45",B3389&lt;=60,"46-60",TRUE,"60+")</f>
        <v>36-45</v>
      </c>
      <c r="N3389" t="str">
        <f t="shared" si="157"/>
        <v>Discounted</v>
      </c>
      <c r="O3389" t="str">
        <f t="shared" si="158"/>
        <v>Returning</v>
      </c>
    </row>
    <row r="3390" spans="1:15" x14ac:dyDescent="0.25">
      <c r="A3390">
        <v>3389</v>
      </c>
      <c r="B3390">
        <v>43</v>
      </c>
      <c r="C3390" t="s">
        <v>11</v>
      </c>
      <c r="D3390" t="s">
        <v>20</v>
      </c>
      <c r="E3390" t="s">
        <v>39</v>
      </c>
      <c r="F3390" s="1">
        <v>122.74</v>
      </c>
      <c r="G3390" t="s">
        <v>31</v>
      </c>
      <c r="H3390" t="s">
        <v>15</v>
      </c>
      <c r="I3390" s="2">
        <v>4.5</v>
      </c>
      <c r="J3390" s="4">
        <v>17</v>
      </c>
      <c r="K3390" s="3">
        <v>6</v>
      </c>
      <c r="L3390" s="1">
        <f t="shared" si="156"/>
        <v>101.87419999999999</v>
      </c>
      <c r="M3390" t="str" cm="1">
        <f t="array" ref="M3390">_xlfn.IFS(B3390&lt;18,"Under 18",B3390 &lt;=25,"18-25",B3390&lt;=35,"26-35",B3390&lt;=45,"36-45",B3390&lt;=60,"46-60",TRUE,"60+")</f>
        <v>36-45</v>
      </c>
      <c r="N3390" t="str">
        <f t="shared" si="157"/>
        <v>Discounted</v>
      </c>
      <c r="O3390" t="str">
        <f t="shared" si="158"/>
        <v>Returning</v>
      </c>
    </row>
    <row r="3391" spans="1:15" x14ac:dyDescent="0.25">
      <c r="A3391">
        <v>3390</v>
      </c>
      <c r="B3391">
        <v>21</v>
      </c>
      <c r="C3391" t="s">
        <v>11</v>
      </c>
      <c r="D3391" t="s">
        <v>33</v>
      </c>
      <c r="E3391" t="s">
        <v>38</v>
      </c>
      <c r="F3391" s="1">
        <v>84.31</v>
      </c>
      <c r="G3391" t="s">
        <v>14</v>
      </c>
      <c r="H3391" t="s">
        <v>15</v>
      </c>
      <c r="I3391" s="2">
        <v>3.3</v>
      </c>
      <c r="J3391" s="4">
        <v>4</v>
      </c>
      <c r="K3391" s="3">
        <v>2</v>
      </c>
      <c r="L3391" s="1">
        <f t="shared" si="156"/>
        <v>80.937600000000003</v>
      </c>
      <c r="M3391" t="str" cm="1">
        <f t="array" ref="M3391">_xlfn.IFS(B3391&lt;18,"Under 18",B3391 &lt;=25,"18-25",B3391&lt;=35,"26-35",B3391&lt;=45,"36-45",B3391&lt;=60,"46-60",TRUE,"60+")</f>
        <v>18-25</v>
      </c>
      <c r="N3391" t="str">
        <f t="shared" si="157"/>
        <v>Discounted</v>
      </c>
      <c r="O3391" t="str">
        <f t="shared" si="158"/>
        <v>Returning</v>
      </c>
    </row>
    <row r="3392" spans="1:15" x14ac:dyDescent="0.25">
      <c r="A3392">
        <v>3391</v>
      </c>
      <c r="B3392">
        <v>63</v>
      </c>
      <c r="C3392" t="s">
        <v>11</v>
      </c>
      <c r="D3392" t="s">
        <v>41</v>
      </c>
      <c r="E3392" t="s">
        <v>46</v>
      </c>
      <c r="F3392" s="1">
        <v>179.53</v>
      </c>
      <c r="G3392" t="s">
        <v>14</v>
      </c>
      <c r="H3392" t="s">
        <v>15</v>
      </c>
      <c r="I3392" s="2">
        <v>4.5999999999999996</v>
      </c>
      <c r="J3392" s="4">
        <v>13</v>
      </c>
      <c r="K3392" s="3">
        <v>4</v>
      </c>
      <c r="L3392" s="1">
        <f t="shared" si="156"/>
        <v>156.19110000000001</v>
      </c>
      <c r="M3392" t="str" cm="1">
        <f t="array" ref="M3392">_xlfn.IFS(B3392&lt;18,"Under 18",B3392 &lt;=25,"18-25",B3392&lt;=35,"26-35",B3392&lt;=45,"36-45",B3392&lt;=60,"46-60",TRUE,"60+")</f>
        <v>60+</v>
      </c>
      <c r="N3392" t="str">
        <f t="shared" si="157"/>
        <v>Discounted</v>
      </c>
      <c r="O3392" t="str">
        <f t="shared" si="158"/>
        <v>Returning</v>
      </c>
    </row>
    <row r="3393" spans="1:15" x14ac:dyDescent="0.25">
      <c r="A3393">
        <v>3392</v>
      </c>
      <c r="B3393">
        <v>63</v>
      </c>
      <c r="C3393" t="s">
        <v>11</v>
      </c>
      <c r="D3393" t="s">
        <v>41</v>
      </c>
      <c r="E3393" t="s">
        <v>42</v>
      </c>
      <c r="F3393" s="1">
        <v>102.83</v>
      </c>
      <c r="G3393" t="s">
        <v>14</v>
      </c>
      <c r="H3393" t="s">
        <v>15</v>
      </c>
      <c r="I3393" s="2">
        <v>2.2999999999999998</v>
      </c>
      <c r="J3393" s="4">
        <v>14</v>
      </c>
      <c r="K3393" s="3">
        <v>7</v>
      </c>
      <c r="L3393" s="1">
        <f t="shared" si="156"/>
        <v>88.433799999999991</v>
      </c>
      <c r="M3393" t="str" cm="1">
        <f t="array" ref="M3393">_xlfn.IFS(B3393&lt;18,"Under 18",B3393 &lt;=25,"18-25",B3393&lt;=35,"26-35",B3393&lt;=45,"36-45",B3393&lt;=60,"46-60",TRUE,"60+")</f>
        <v>60+</v>
      </c>
      <c r="N3393" t="str">
        <f t="shared" si="157"/>
        <v>Discounted</v>
      </c>
      <c r="O3393" t="str">
        <f t="shared" si="158"/>
        <v>Returning</v>
      </c>
    </row>
    <row r="3394" spans="1:15" x14ac:dyDescent="0.25">
      <c r="A3394">
        <v>3393</v>
      </c>
      <c r="B3394">
        <v>46</v>
      </c>
      <c r="C3394" t="s">
        <v>16</v>
      </c>
      <c r="D3394" t="s">
        <v>27</v>
      </c>
      <c r="E3394" t="s">
        <v>28</v>
      </c>
      <c r="F3394" s="1">
        <v>1334.9</v>
      </c>
      <c r="G3394" t="s">
        <v>31</v>
      </c>
      <c r="H3394" t="s">
        <v>15</v>
      </c>
      <c r="I3394" s="2">
        <v>2.4</v>
      </c>
      <c r="J3394" s="4">
        <v>16</v>
      </c>
      <c r="K3394" s="3">
        <v>3</v>
      </c>
      <c r="L3394" s="1">
        <f t="shared" si="156"/>
        <v>1121.316</v>
      </c>
      <c r="M3394" t="str" cm="1">
        <f t="array" ref="M3394">_xlfn.IFS(B3394&lt;18,"Under 18",B3394 &lt;=25,"18-25",B3394&lt;=35,"26-35",B3394&lt;=45,"36-45",B3394&lt;=60,"46-60",TRUE,"60+")</f>
        <v>46-60</v>
      </c>
      <c r="N3394" t="str">
        <f t="shared" si="157"/>
        <v>Discounted</v>
      </c>
      <c r="O3394" t="str">
        <f t="shared" si="158"/>
        <v>Returning</v>
      </c>
    </row>
    <row r="3395" spans="1:15" x14ac:dyDescent="0.25">
      <c r="A3395">
        <v>3394</v>
      </c>
      <c r="B3395">
        <v>60</v>
      </c>
      <c r="C3395" t="s">
        <v>16</v>
      </c>
      <c r="D3395" t="s">
        <v>27</v>
      </c>
      <c r="E3395" t="s">
        <v>53</v>
      </c>
      <c r="F3395" s="1">
        <v>2995.9</v>
      </c>
      <c r="G3395" t="s">
        <v>19</v>
      </c>
      <c r="H3395" t="s">
        <v>15</v>
      </c>
      <c r="I3395" s="2">
        <v>4.5999999999999996</v>
      </c>
      <c r="J3395" s="4">
        <v>14</v>
      </c>
      <c r="K3395" s="3">
        <v>7</v>
      </c>
      <c r="L3395" s="1">
        <f t="shared" ref="L3395:L3458" si="159">F3395 * (1 - J3395 / 100)</f>
        <v>2576.4740000000002</v>
      </c>
      <c r="M3395" t="str" cm="1">
        <f t="array" ref="M3395">_xlfn.IFS(B3395&lt;18,"Under 18",B3395 &lt;=25,"18-25",B3395&lt;=35,"26-35",B3395&lt;=45,"36-45",B3395&lt;=60,"46-60",TRUE,"60+")</f>
        <v>46-60</v>
      </c>
      <c r="N3395" t="str">
        <f t="shared" ref="N3395:N3458" si="160">IF(J3395&gt;0,"Discounted","No Discount")</f>
        <v>Discounted</v>
      </c>
      <c r="O3395" t="str">
        <f t="shared" ref="O3395:O3458" si="161">IF(K3395&gt;0,"Returning","New")</f>
        <v>Returning</v>
      </c>
    </row>
    <row r="3396" spans="1:15" x14ac:dyDescent="0.25">
      <c r="A3396">
        <v>3395</v>
      </c>
      <c r="B3396">
        <v>26</v>
      </c>
      <c r="C3396" t="s">
        <v>11</v>
      </c>
      <c r="D3396" t="s">
        <v>33</v>
      </c>
      <c r="E3396" t="s">
        <v>38</v>
      </c>
      <c r="F3396" s="1">
        <v>112.8</v>
      </c>
      <c r="G3396" t="s">
        <v>14</v>
      </c>
      <c r="H3396" t="s">
        <v>15</v>
      </c>
      <c r="I3396" s="2">
        <v>3.7</v>
      </c>
      <c r="J3396" s="4">
        <v>26</v>
      </c>
      <c r="K3396" s="3">
        <v>8</v>
      </c>
      <c r="L3396" s="1">
        <f t="shared" si="159"/>
        <v>83.471999999999994</v>
      </c>
      <c r="M3396" t="str" cm="1">
        <f t="array" ref="M3396">_xlfn.IFS(B3396&lt;18,"Under 18",B3396 &lt;=25,"18-25",B3396&lt;=35,"26-35",B3396&lt;=45,"36-45",B3396&lt;=60,"46-60",TRUE,"60+")</f>
        <v>26-35</v>
      </c>
      <c r="N3396" t="str">
        <f t="shared" si="160"/>
        <v>Discounted</v>
      </c>
      <c r="O3396" t="str">
        <f t="shared" si="161"/>
        <v>Returning</v>
      </c>
    </row>
    <row r="3397" spans="1:15" x14ac:dyDescent="0.25">
      <c r="A3397">
        <v>3396</v>
      </c>
      <c r="B3397">
        <v>65</v>
      </c>
      <c r="C3397" t="s">
        <v>11</v>
      </c>
      <c r="D3397" t="s">
        <v>29</v>
      </c>
      <c r="E3397" t="s">
        <v>51</v>
      </c>
      <c r="F3397" s="1">
        <v>116.4</v>
      </c>
      <c r="G3397" t="s">
        <v>24</v>
      </c>
      <c r="H3397" t="s">
        <v>15</v>
      </c>
      <c r="I3397" s="2">
        <v>3.9</v>
      </c>
      <c r="J3397" s="4">
        <v>30</v>
      </c>
      <c r="K3397" s="3">
        <v>10</v>
      </c>
      <c r="L3397" s="1">
        <f t="shared" si="159"/>
        <v>81.48</v>
      </c>
      <c r="M3397" t="str" cm="1">
        <f t="array" ref="M3397">_xlfn.IFS(B3397&lt;18,"Under 18",B3397 &lt;=25,"18-25",B3397&lt;=35,"26-35",B3397&lt;=45,"36-45",B3397&lt;=60,"46-60",TRUE,"60+")</f>
        <v>60+</v>
      </c>
      <c r="N3397" t="str">
        <f t="shared" si="160"/>
        <v>Discounted</v>
      </c>
      <c r="O3397" t="str">
        <f t="shared" si="161"/>
        <v>Returning</v>
      </c>
    </row>
    <row r="3398" spans="1:15" x14ac:dyDescent="0.25">
      <c r="A3398">
        <v>3397</v>
      </c>
      <c r="B3398">
        <v>69</v>
      </c>
      <c r="C3398" t="s">
        <v>11</v>
      </c>
      <c r="D3398" t="s">
        <v>12</v>
      </c>
      <c r="E3398" t="s">
        <v>50</v>
      </c>
      <c r="F3398" s="1">
        <v>106.97</v>
      </c>
      <c r="G3398" t="s">
        <v>24</v>
      </c>
      <c r="H3398" t="s">
        <v>15</v>
      </c>
      <c r="I3398" s="2">
        <v>4.0999999999999996</v>
      </c>
      <c r="J3398" s="4">
        <v>13</v>
      </c>
      <c r="K3398" s="3">
        <v>4</v>
      </c>
      <c r="L3398" s="1">
        <f t="shared" si="159"/>
        <v>93.063900000000004</v>
      </c>
      <c r="M3398" t="str" cm="1">
        <f t="array" ref="M3398">_xlfn.IFS(B3398&lt;18,"Under 18",B3398 &lt;=25,"18-25",B3398&lt;=35,"26-35",B3398&lt;=45,"36-45",B3398&lt;=60,"46-60",TRUE,"60+")</f>
        <v>60+</v>
      </c>
      <c r="N3398" t="str">
        <f t="shared" si="160"/>
        <v>Discounted</v>
      </c>
      <c r="O3398" t="str">
        <f t="shared" si="161"/>
        <v>Returning</v>
      </c>
    </row>
    <row r="3399" spans="1:15" x14ac:dyDescent="0.25">
      <c r="A3399">
        <v>3398</v>
      </c>
      <c r="B3399">
        <v>48</v>
      </c>
      <c r="C3399" t="s">
        <v>16</v>
      </c>
      <c r="D3399" t="s">
        <v>33</v>
      </c>
      <c r="E3399" t="s">
        <v>40</v>
      </c>
      <c r="F3399" s="1">
        <v>106.53</v>
      </c>
      <c r="G3399" t="s">
        <v>19</v>
      </c>
      <c r="H3399" t="s">
        <v>15</v>
      </c>
      <c r="I3399" s="2">
        <v>4.7</v>
      </c>
      <c r="J3399" s="4">
        <v>22</v>
      </c>
      <c r="K3399" s="3">
        <v>6</v>
      </c>
      <c r="L3399" s="1">
        <f t="shared" si="159"/>
        <v>83.093400000000003</v>
      </c>
      <c r="M3399" t="str" cm="1">
        <f t="array" ref="M3399">_xlfn.IFS(B3399&lt;18,"Under 18",B3399 &lt;=25,"18-25",B3399&lt;=35,"26-35",B3399&lt;=45,"36-45",B3399&lt;=60,"46-60",TRUE,"60+")</f>
        <v>46-60</v>
      </c>
      <c r="N3399" t="str">
        <f t="shared" si="160"/>
        <v>Discounted</v>
      </c>
      <c r="O3399" t="str">
        <f t="shared" si="161"/>
        <v>Returning</v>
      </c>
    </row>
    <row r="3400" spans="1:15" x14ac:dyDescent="0.25">
      <c r="A3400">
        <v>3399</v>
      </c>
      <c r="B3400">
        <v>22</v>
      </c>
      <c r="C3400" t="s">
        <v>11</v>
      </c>
      <c r="D3400" t="s">
        <v>25</v>
      </c>
      <c r="E3400" t="s">
        <v>54</v>
      </c>
      <c r="F3400" s="1">
        <v>71.849999999999994</v>
      </c>
      <c r="G3400" t="s">
        <v>19</v>
      </c>
      <c r="H3400" t="s">
        <v>15</v>
      </c>
      <c r="I3400" s="2">
        <v>3.6</v>
      </c>
      <c r="J3400" s="4">
        <v>22</v>
      </c>
      <c r="K3400" s="3">
        <v>6</v>
      </c>
      <c r="L3400" s="1">
        <f t="shared" si="159"/>
        <v>56.042999999999999</v>
      </c>
      <c r="M3400" t="str" cm="1">
        <f t="array" ref="M3400">_xlfn.IFS(B3400&lt;18,"Under 18",B3400 &lt;=25,"18-25",B3400&lt;=35,"26-35",B3400&lt;=45,"36-45",B3400&lt;=60,"46-60",TRUE,"60+")</f>
        <v>18-25</v>
      </c>
      <c r="N3400" t="str">
        <f t="shared" si="160"/>
        <v>Discounted</v>
      </c>
      <c r="O3400" t="str">
        <f t="shared" si="161"/>
        <v>Returning</v>
      </c>
    </row>
    <row r="3401" spans="1:15" x14ac:dyDescent="0.25">
      <c r="A3401">
        <v>3400</v>
      </c>
      <c r="B3401">
        <v>23</v>
      </c>
      <c r="C3401" t="s">
        <v>16</v>
      </c>
      <c r="D3401" t="s">
        <v>20</v>
      </c>
      <c r="E3401" t="s">
        <v>39</v>
      </c>
      <c r="F3401" s="1">
        <v>79.17</v>
      </c>
      <c r="G3401" t="s">
        <v>31</v>
      </c>
      <c r="H3401" t="s">
        <v>15</v>
      </c>
      <c r="I3401" s="2">
        <v>3.9</v>
      </c>
      <c r="J3401" s="4">
        <v>13</v>
      </c>
      <c r="K3401" s="3">
        <v>4</v>
      </c>
      <c r="L3401" s="1">
        <f t="shared" si="159"/>
        <v>68.877899999999997</v>
      </c>
      <c r="M3401" t="str" cm="1">
        <f t="array" ref="M3401">_xlfn.IFS(B3401&lt;18,"Under 18",B3401 &lt;=25,"18-25",B3401&lt;=35,"26-35",B3401&lt;=45,"36-45",B3401&lt;=60,"46-60",TRUE,"60+")</f>
        <v>18-25</v>
      </c>
      <c r="N3401" t="str">
        <f t="shared" si="160"/>
        <v>Discounted</v>
      </c>
      <c r="O3401" t="str">
        <f t="shared" si="161"/>
        <v>Returning</v>
      </c>
    </row>
    <row r="3402" spans="1:15" x14ac:dyDescent="0.25">
      <c r="A3402">
        <v>3401</v>
      </c>
      <c r="B3402">
        <v>21</v>
      </c>
      <c r="C3402" t="s">
        <v>16</v>
      </c>
      <c r="D3402" t="s">
        <v>33</v>
      </c>
      <c r="E3402" t="s">
        <v>40</v>
      </c>
      <c r="F3402" s="1">
        <v>218.6</v>
      </c>
      <c r="G3402" t="s">
        <v>24</v>
      </c>
      <c r="H3402" t="s">
        <v>15</v>
      </c>
      <c r="I3402" s="2">
        <v>4.5</v>
      </c>
      <c r="J3402" s="4">
        <v>12</v>
      </c>
      <c r="K3402" s="3">
        <v>6</v>
      </c>
      <c r="L3402" s="1">
        <f t="shared" si="159"/>
        <v>192.36799999999999</v>
      </c>
      <c r="M3402" t="str" cm="1">
        <f t="array" ref="M3402">_xlfn.IFS(B3402&lt;18,"Under 18",B3402 &lt;=25,"18-25",B3402&lt;=35,"26-35",B3402&lt;=45,"36-45",B3402&lt;=60,"46-60",TRUE,"60+")</f>
        <v>18-25</v>
      </c>
      <c r="N3402" t="str">
        <f t="shared" si="160"/>
        <v>Discounted</v>
      </c>
      <c r="O3402" t="str">
        <f t="shared" si="161"/>
        <v>Returning</v>
      </c>
    </row>
    <row r="3403" spans="1:15" x14ac:dyDescent="0.25">
      <c r="A3403">
        <v>3402</v>
      </c>
      <c r="B3403">
        <v>54</v>
      </c>
      <c r="C3403" t="s">
        <v>16</v>
      </c>
      <c r="D3403" t="s">
        <v>17</v>
      </c>
      <c r="E3403" t="s">
        <v>48</v>
      </c>
      <c r="F3403" s="1">
        <v>130.78</v>
      </c>
      <c r="G3403" t="s">
        <v>14</v>
      </c>
      <c r="H3403" t="s">
        <v>15</v>
      </c>
      <c r="I3403" s="2">
        <v>4.9000000000000004</v>
      </c>
      <c r="J3403" s="4">
        <v>14</v>
      </c>
      <c r="K3403" s="3">
        <v>7</v>
      </c>
      <c r="L3403" s="1">
        <f t="shared" si="159"/>
        <v>112.4708</v>
      </c>
      <c r="M3403" t="str" cm="1">
        <f t="array" ref="M3403">_xlfn.IFS(B3403&lt;18,"Under 18",B3403 &lt;=25,"18-25",B3403&lt;=35,"26-35",B3403&lt;=45,"36-45",B3403&lt;=60,"46-60",TRUE,"60+")</f>
        <v>46-60</v>
      </c>
      <c r="N3403" t="str">
        <f t="shared" si="160"/>
        <v>Discounted</v>
      </c>
      <c r="O3403" t="str">
        <f t="shared" si="161"/>
        <v>Returning</v>
      </c>
    </row>
    <row r="3404" spans="1:15" x14ac:dyDescent="0.25">
      <c r="A3404">
        <v>3403</v>
      </c>
      <c r="B3404">
        <v>23</v>
      </c>
      <c r="C3404" t="s">
        <v>16</v>
      </c>
      <c r="D3404" t="s">
        <v>33</v>
      </c>
      <c r="E3404" t="s">
        <v>38</v>
      </c>
      <c r="F3404" s="1">
        <v>76.209999999999994</v>
      </c>
      <c r="G3404" t="s">
        <v>19</v>
      </c>
      <c r="H3404" t="s">
        <v>15</v>
      </c>
      <c r="I3404" s="2">
        <v>4.8</v>
      </c>
      <c r="J3404" s="4">
        <v>11</v>
      </c>
      <c r="K3404" s="3">
        <v>3</v>
      </c>
      <c r="L3404" s="1">
        <f t="shared" si="159"/>
        <v>67.826899999999995</v>
      </c>
      <c r="M3404" t="str" cm="1">
        <f t="array" ref="M3404">_xlfn.IFS(B3404&lt;18,"Under 18",B3404 &lt;=25,"18-25",B3404&lt;=35,"26-35",B3404&lt;=45,"36-45",B3404&lt;=60,"46-60",TRUE,"60+")</f>
        <v>18-25</v>
      </c>
      <c r="N3404" t="str">
        <f t="shared" si="160"/>
        <v>Discounted</v>
      </c>
      <c r="O3404" t="str">
        <f t="shared" si="161"/>
        <v>Returning</v>
      </c>
    </row>
    <row r="3405" spans="1:15" x14ac:dyDescent="0.25">
      <c r="A3405">
        <v>3404</v>
      </c>
      <c r="B3405">
        <v>36</v>
      </c>
      <c r="C3405" t="s">
        <v>16</v>
      </c>
      <c r="D3405" t="s">
        <v>20</v>
      </c>
      <c r="E3405" t="s">
        <v>36</v>
      </c>
      <c r="F3405" s="1">
        <v>134.77000000000001</v>
      </c>
      <c r="G3405" t="s">
        <v>31</v>
      </c>
      <c r="H3405" t="s">
        <v>15</v>
      </c>
      <c r="I3405" s="2">
        <v>4.8</v>
      </c>
      <c r="J3405" s="4">
        <v>12</v>
      </c>
      <c r="K3405" s="3">
        <v>6</v>
      </c>
      <c r="L3405" s="1">
        <f t="shared" si="159"/>
        <v>118.59760000000001</v>
      </c>
      <c r="M3405" t="str" cm="1">
        <f t="array" ref="M3405">_xlfn.IFS(B3405&lt;18,"Under 18",B3405 &lt;=25,"18-25",B3405&lt;=35,"26-35",B3405&lt;=45,"36-45",B3405&lt;=60,"46-60",TRUE,"60+")</f>
        <v>36-45</v>
      </c>
      <c r="N3405" t="str">
        <f t="shared" si="160"/>
        <v>Discounted</v>
      </c>
      <c r="O3405" t="str">
        <f t="shared" si="161"/>
        <v>Returning</v>
      </c>
    </row>
    <row r="3406" spans="1:15" x14ac:dyDescent="0.25">
      <c r="A3406">
        <v>3405</v>
      </c>
      <c r="B3406">
        <v>56</v>
      </c>
      <c r="C3406" t="s">
        <v>16</v>
      </c>
      <c r="D3406" t="s">
        <v>20</v>
      </c>
      <c r="E3406" t="s">
        <v>39</v>
      </c>
      <c r="F3406" s="1">
        <v>224.71</v>
      </c>
      <c r="G3406" t="s">
        <v>14</v>
      </c>
      <c r="H3406" t="s">
        <v>15</v>
      </c>
      <c r="I3406" s="2">
        <v>4.8</v>
      </c>
      <c r="J3406" s="4">
        <v>13</v>
      </c>
      <c r="K3406" s="3">
        <v>4</v>
      </c>
      <c r="L3406" s="1">
        <f t="shared" si="159"/>
        <v>195.49770000000001</v>
      </c>
      <c r="M3406" t="str" cm="1">
        <f t="array" ref="M3406">_xlfn.IFS(B3406&lt;18,"Under 18",B3406 &lt;=25,"18-25",B3406&lt;=35,"26-35",B3406&lt;=45,"36-45",B3406&lt;=60,"46-60",TRUE,"60+")</f>
        <v>46-60</v>
      </c>
      <c r="N3406" t="str">
        <f t="shared" si="160"/>
        <v>Discounted</v>
      </c>
      <c r="O3406" t="str">
        <f t="shared" si="161"/>
        <v>Returning</v>
      </c>
    </row>
    <row r="3407" spans="1:15" x14ac:dyDescent="0.25">
      <c r="A3407">
        <v>3406</v>
      </c>
      <c r="B3407">
        <v>65</v>
      </c>
      <c r="C3407" t="s">
        <v>11</v>
      </c>
      <c r="D3407" t="s">
        <v>29</v>
      </c>
      <c r="E3407" t="s">
        <v>55</v>
      </c>
      <c r="F3407" s="1">
        <v>29.46</v>
      </c>
      <c r="G3407" t="s">
        <v>14</v>
      </c>
      <c r="H3407" t="s">
        <v>15</v>
      </c>
      <c r="I3407" s="2">
        <v>3.6</v>
      </c>
      <c r="J3407" s="4">
        <v>13</v>
      </c>
      <c r="K3407" s="3">
        <v>4</v>
      </c>
      <c r="L3407" s="1">
        <f t="shared" si="159"/>
        <v>25.630200000000002</v>
      </c>
      <c r="M3407" t="str" cm="1">
        <f t="array" ref="M3407">_xlfn.IFS(B3407&lt;18,"Under 18",B3407 &lt;=25,"18-25",B3407&lt;=35,"26-35",B3407&lt;=45,"36-45",B3407&lt;=60,"46-60",TRUE,"60+")</f>
        <v>60+</v>
      </c>
      <c r="N3407" t="str">
        <f t="shared" si="160"/>
        <v>Discounted</v>
      </c>
      <c r="O3407" t="str">
        <f t="shared" si="161"/>
        <v>Returning</v>
      </c>
    </row>
    <row r="3408" spans="1:15" x14ac:dyDescent="0.25">
      <c r="A3408">
        <v>3407</v>
      </c>
      <c r="B3408">
        <v>64</v>
      </c>
      <c r="C3408" t="s">
        <v>16</v>
      </c>
      <c r="D3408" t="s">
        <v>17</v>
      </c>
      <c r="E3408" t="s">
        <v>18</v>
      </c>
      <c r="F3408" s="1">
        <v>57</v>
      </c>
      <c r="G3408" t="s">
        <v>31</v>
      </c>
      <c r="H3408" t="s">
        <v>37</v>
      </c>
      <c r="I3408" s="2">
        <v>3.6</v>
      </c>
      <c r="J3408" s="4">
        <v>15</v>
      </c>
      <c r="K3408" s="3">
        <v>5</v>
      </c>
      <c r="L3408" s="1">
        <f t="shared" si="159"/>
        <v>48.449999999999996</v>
      </c>
      <c r="M3408" t="str" cm="1">
        <f t="array" ref="M3408">_xlfn.IFS(B3408&lt;18,"Under 18",B3408 &lt;=25,"18-25",B3408&lt;=35,"26-35",B3408&lt;=45,"36-45",B3408&lt;=60,"46-60",TRUE,"60+")</f>
        <v>60+</v>
      </c>
      <c r="N3408" t="str">
        <f t="shared" si="160"/>
        <v>Discounted</v>
      </c>
      <c r="O3408" t="str">
        <f t="shared" si="161"/>
        <v>Returning</v>
      </c>
    </row>
    <row r="3409" spans="1:15" x14ac:dyDescent="0.25">
      <c r="A3409">
        <v>3408</v>
      </c>
      <c r="B3409">
        <v>38</v>
      </c>
      <c r="C3409" t="s">
        <v>16</v>
      </c>
      <c r="D3409" t="s">
        <v>33</v>
      </c>
      <c r="E3409" t="s">
        <v>40</v>
      </c>
      <c r="F3409" s="1">
        <v>71.58</v>
      </c>
      <c r="G3409" t="s">
        <v>19</v>
      </c>
      <c r="H3409" t="s">
        <v>37</v>
      </c>
      <c r="I3409" s="2">
        <v>3.3</v>
      </c>
      <c r="J3409" s="4">
        <v>13</v>
      </c>
      <c r="K3409" s="3">
        <v>4</v>
      </c>
      <c r="L3409" s="1">
        <f t="shared" si="159"/>
        <v>62.2746</v>
      </c>
      <c r="M3409" t="str" cm="1">
        <f t="array" ref="M3409">_xlfn.IFS(B3409&lt;18,"Under 18",B3409 &lt;=25,"18-25",B3409&lt;=35,"26-35",B3409&lt;=45,"36-45",B3409&lt;=60,"46-60",TRUE,"60+")</f>
        <v>36-45</v>
      </c>
      <c r="N3409" t="str">
        <f t="shared" si="160"/>
        <v>Discounted</v>
      </c>
      <c r="O3409" t="str">
        <f t="shared" si="161"/>
        <v>Returning</v>
      </c>
    </row>
    <row r="3410" spans="1:15" x14ac:dyDescent="0.25">
      <c r="A3410">
        <v>3409</v>
      </c>
      <c r="B3410">
        <v>34</v>
      </c>
      <c r="C3410" t="s">
        <v>11</v>
      </c>
      <c r="D3410" t="s">
        <v>20</v>
      </c>
      <c r="E3410" t="s">
        <v>39</v>
      </c>
      <c r="F3410" s="1">
        <v>213.67</v>
      </c>
      <c r="G3410" t="s">
        <v>14</v>
      </c>
      <c r="H3410" t="s">
        <v>15</v>
      </c>
      <c r="I3410" s="2">
        <v>3.7</v>
      </c>
      <c r="J3410" s="4">
        <v>22</v>
      </c>
      <c r="K3410" s="3">
        <v>6</v>
      </c>
      <c r="L3410" s="1">
        <f t="shared" si="159"/>
        <v>166.6626</v>
      </c>
      <c r="M3410" t="str" cm="1">
        <f t="array" ref="M3410">_xlfn.IFS(B3410&lt;18,"Under 18",B3410 &lt;=25,"18-25",B3410&lt;=35,"26-35",B3410&lt;=45,"36-45",B3410&lt;=60,"46-60",TRUE,"60+")</f>
        <v>26-35</v>
      </c>
      <c r="N3410" t="str">
        <f t="shared" si="160"/>
        <v>Discounted</v>
      </c>
      <c r="O3410" t="str">
        <f t="shared" si="161"/>
        <v>Returning</v>
      </c>
    </row>
    <row r="3411" spans="1:15" x14ac:dyDescent="0.25">
      <c r="A3411">
        <v>3410</v>
      </c>
      <c r="B3411">
        <v>35</v>
      </c>
      <c r="C3411" t="s">
        <v>11</v>
      </c>
      <c r="D3411" t="s">
        <v>41</v>
      </c>
      <c r="E3411" t="s">
        <v>44</v>
      </c>
      <c r="F3411" s="1">
        <v>97.07</v>
      </c>
      <c r="G3411" t="s">
        <v>19</v>
      </c>
      <c r="H3411" t="s">
        <v>37</v>
      </c>
      <c r="I3411" s="2">
        <v>3.1</v>
      </c>
      <c r="J3411" s="4">
        <v>18</v>
      </c>
      <c r="K3411" s="3">
        <v>4</v>
      </c>
      <c r="L3411" s="1">
        <f t="shared" si="159"/>
        <v>79.597400000000007</v>
      </c>
      <c r="M3411" t="str" cm="1">
        <f t="array" ref="M3411">_xlfn.IFS(B3411&lt;18,"Under 18",B3411 &lt;=25,"18-25",B3411&lt;=35,"26-35",B3411&lt;=45,"36-45",B3411&lt;=60,"46-60",TRUE,"60+")</f>
        <v>26-35</v>
      </c>
      <c r="N3411" t="str">
        <f t="shared" si="160"/>
        <v>Discounted</v>
      </c>
      <c r="O3411" t="str">
        <f t="shared" si="161"/>
        <v>Returning</v>
      </c>
    </row>
    <row r="3412" spans="1:15" x14ac:dyDescent="0.25">
      <c r="A3412">
        <v>3411</v>
      </c>
      <c r="B3412">
        <v>67</v>
      </c>
      <c r="C3412" t="s">
        <v>11</v>
      </c>
      <c r="D3412" t="s">
        <v>12</v>
      </c>
      <c r="E3412" t="s">
        <v>50</v>
      </c>
      <c r="F3412" s="1">
        <v>154.84</v>
      </c>
      <c r="G3412" t="s">
        <v>24</v>
      </c>
      <c r="H3412" t="s">
        <v>15</v>
      </c>
      <c r="I3412" s="2">
        <v>3.9</v>
      </c>
      <c r="J3412" s="4">
        <v>18</v>
      </c>
      <c r="K3412" s="3">
        <v>4</v>
      </c>
      <c r="L3412" s="1">
        <f t="shared" si="159"/>
        <v>126.96880000000002</v>
      </c>
      <c r="M3412" t="str" cm="1">
        <f t="array" ref="M3412">_xlfn.IFS(B3412&lt;18,"Under 18",B3412 &lt;=25,"18-25",B3412&lt;=35,"26-35",B3412&lt;=45,"36-45",B3412&lt;=60,"46-60",TRUE,"60+")</f>
        <v>60+</v>
      </c>
      <c r="N3412" t="str">
        <f t="shared" si="160"/>
        <v>Discounted</v>
      </c>
      <c r="O3412" t="str">
        <f t="shared" si="161"/>
        <v>Returning</v>
      </c>
    </row>
    <row r="3413" spans="1:15" x14ac:dyDescent="0.25">
      <c r="A3413">
        <v>3412</v>
      </c>
      <c r="B3413">
        <v>55</v>
      </c>
      <c r="C3413" t="s">
        <v>11</v>
      </c>
      <c r="D3413" t="s">
        <v>29</v>
      </c>
      <c r="E3413" t="s">
        <v>30</v>
      </c>
      <c r="F3413" s="1">
        <v>92.98</v>
      </c>
      <c r="G3413" t="s">
        <v>24</v>
      </c>
      <c r="H3413" t="s">
        <v>15</v>
      </c>
      <c r="I3413" s="2">
        <v>3.7</v>
      </c>
      <c r="J3413" s="4">
        <v>8</v>
      </c>
      <c r="K3413" s="3">
        <v>4</v>
      </c>
      <c r="L3413" s="1">
        <f t="shared" si="159"/>
        <v>85.541600000000003</v>
      </c>
      <c r="M3413" t="str" cm="1">
        <f t="array" ref="M3413">_xlfn.IFS(B3413&lt;18,"Under 18",B3413 &lt;=25,"18-25",B3413&lt;=35,"26-35",B3413&lt;=45,"36-45",B3413&lt;=60,"46-60",TRUE,"60+")</f>
        <v>46-60</v>
      </c>
      <c r="N3413" t="str">
        <f t="shared" si="160"/>
        <v>Discounted</v>
      </c>
      <c r="O3413" t="str">
        <f t="shared" si="161"/>
        <v>Returning</v>
      </c>
    </row>
    <row r="3414" spans="1:15" x14ac:dyDescent="0.25">
      <c r="A3414">
        <v>3413</v>
      </c>
      <c r="B3414">
        <v>64</v>
      </c>
      <c r="C3414" t="s">
        <v>11</v>
      </c>
      <c r="D3414" t="s">
        <v>29</v>
      </c>
      <c r="E3414" t="s">
        <v>51</v>
      </c>
      <c r="F3414" s="1">
        <v>81.650000000000006</v>
      </c>
      <c r="G3414" t="s">
        <v>19</v>
      </c>
      <c r="H3414" t="s">
        <v>15</v>
      </c>
      <c r="I3414" s="2">
        <v>3.8</v>
      </c>
      <c r="J3414" s="4">
        <v>17</v>
      </c>
      <c r="K3414" s="3">
        <v>6</v>
      </c>
      <c r="L3414" s="1">
        <f t="shared" si="159"/>
        <v>67.769500000000008</v>
      </c>
      <c r="M3414" t="str" cm="1">
        <f t="array" ref="M3414">_xlfn.IFS(B3414&lt;18,"Under 18",B3414 &lt;=25,"18-25",B3414&lt;=35,"26-35",B3414&lt;=45,"36-45",B3414&lt;=60,"46-60",TRUE,"60+")</f>
        <v>60+</v>
      </c>
      <c r="N3414" t="str">
        <f t="shared" si="160"/>
        <v>Discounted</v>
      </c>
      <c r="O3414" t="str">
        <f t="shared" si="161"/>
        <v>Returning</v>
      </c>
    </row>
    <row r="3415" spans="1:15" x14ac:dyDescent="0.25">
      <c r="A3415">
        <v>3414</v>
      </c>
      <c r="B3415">
        <v>39</v>
      </c>
      <c r="C3415" t="s">
        <v>11</v>
      </c>
      <c r="D3415" t="s">
        <v>33</v>
      </c>
      <c r="E3415" t="s">
        <v>40</v>
      </c>
      <c r="F3415" s="1">
        <v>249.4</v>
      </c>
      <c r="G3415" t="s">
        <v>31</v>
      </c>
      <c r="H3415" t="s">
        <v>15</v>
      </c>
      <c r="I3415" s="2">
        <v>3.9</v>
      </c>
      <c r="J3415" s="4">
        <v>21</v>
      </c>
      <c r="K3415" s="3">
        <v>8</v>
      </c>
      <c r="L3415" s="1">
        <f t="shared" si="159"/>
        <v>197.02600000000001</v>
      </c>
      <c r="M3415" t="str" cm="1">
        <f t="array" ref="M3415">_xlfn.IFS(B3415&lt;18,"Under 18",B3415 &lt;=25,"18-25",B3415&lt;=35,"26-35",B3415&lt;=45,"36-45",B3415&lt;=60,"46-60",TRUE,"60+")</f>
        <v>36-45</v>
      </c>
      <c r="N3415" t="str">
        <f t="shared" si="160"/>
        <v>Discounted</v>
      </c>
      <c r="O3415" t="str">
        <f t="shared" si="161"/>
        <v>Returning</v>
      </c>
    </row>
    <row r="3416" spans="1:15" x14ac:dyDescent="0.25">
      <c r="A3416">
        <v>3415</v>
      </c>
      <c r="B3416">
        <v>23</v>
      </c>
      <c r="C3416" t="s">
        <v>16</v>
      </c>
      <c r="D3416" t="s">
        <v>22</v>
      </c>
      <c r="E3416" t="s">
        <v>43</v>
      </c>
      <c r="F3416" s="1">
        <v>268.91000000000003</v>
      </c>
      <c r="G3416" t="s">
        <v>19</v>
      </c>
      <c r="H3416" t="s">
        <v>15</v>
      </c>
      <c r="I3416" s="2">
        <v>4.2</v>
      </c>
      <c r="J3416" s="4">
        <v>13</v>
      </c>
      <c r="K3416" s="3">
        <v>4</v>
      </c>
      <c r="L3416" s="1">
        <f t="shared" si="159"/>
        <v>233.95170000000002</v>
      </c>
      <c r="M3416" t="str" cm="1">
        <f t="array" ref="M3416">_xlfn.IFS(B3416&lt;18,"Under 18",B3416 &lt;=25,"18-25",B3416&lt;=35,"26-35",B3416&lt;=45,"36-45",B3416&lt;=60,"46-60",TRUE,"60+")</f>
        <v>18-25</v>
      </c>
      <c r="N3416" t="str">
        <f t="shared" si="160"/>
        <v>Discounted</v>
      </c>
      <c r="O3416" t="str">
        <f t="shared" si="161"/>
        <v>Returning</v>
      </c>
    </row>
    <row r="3417" spans="1:15" x14ac:dyDescent="0.25">
      <c r="A3417">
        <v>3416</v>
      </c>
      <c r="B3417">
        <v>66</v>
      </c>
      <c r="C3417" t="s">
        <v>16</v>
      </c>
      <c r="D3417" t="s">
        <v>20</v>
      </c>
      <c r="E3417" t="s">
        <v>21</v>
      </c>
      <c r="F3417" s="1">
        <v>81.459999999999994</v>
      </c>
      <c r="G3417" t="s">
        <v>24</v>
      </c>
      <c r="H3417" t="s">
        <v>37</v>
      </c>
      <c r="I3417" s="2">
        <v>3.9</v>
      </c>
      <c r="J3417" s="4">
        <v>20</v>
      </c>
      <c r="K3417" s="3">
        <v>5</v>
      </c>
      <c r="L3417" s="1">
        <f t="shared" si="159"/>
        <v>65.167999999999992</v>
      </c>
      <c r="M3417" t="str" cm="1">
        <f t="array" ref="M3417">_xlfn.IFS(B3417&lt;18,"Under 18",B3417 &lt;=25,"18-25",B3417&lt;=35,"26-35",B3417&lt;=45,"36-45",B3417&lt;=60,"46-60",TRUE,"60+")</f>
        <v>60+</v>
      </c>
      <c r="N3417" t="str">
        <f t="shared" si="160"/>
        <v>Discounted</v>
      </c>
      <c r="O3417" t="str">
        <f t="shared" si="161"/>
        <v>Returning</v>
      </c>
    </row>
    <row r="3418" spans="1:15" x14ac:dyDescent="0.25">
      <c r="A3418">
        <v>3417</v>
      </c>
      <c r="B3418">
        <v>29</v>
      </c>
      <c r="C3418" t="s">
        <v>11</v>
      </c>
      <c r="D3418" t="s">
        <v>41</v>
      </c>
      <c r="E3418" t="s">
        <v>44</v>
      </c>
      <c r="F3418" s="1">
        <v>135.06</v>
      </c>
      <c r="G3418" t="s">
        <v>31</v>
      </c>
      <c r="H3418" t="s">
        <v>15</v>
      </c>
      <c r="I3418" s="2">
        <v>2.2000000000000002</v>
      </c>
      <c r="J3418" s="4">
        <v>19</v>
      </c>
      <c r="K3418" s="3">
        <v>7</v>
      </c>
      <c r="L3418" s="1">
        <f t="shared" si="159"/>
        <v>109.39860000000002</v>
      </c>
      <c r="M3418" t="str" cm="1">
        <f t="array" ref="M3418">_xlfn.IFS(B3418&lt;18,"Under 18",B3418 &lt;=25,"18-25",B3418&lt;=35,"26-35",B3418&lt;=45,"36-45",B3418&lt;=60,"46-60",TRUE,"60+")</f>
        <v>26-35</v>
      </c>
      <c r="N3418" t="str">
        <f t="shared" si="160"/>
        <v>Discounted</v>
      </c>
      <c r="O3418" t="str">
        <f t="shared" si="161"/>
        <v>Returning</v>
      </c>
    </row>
    <row r="3419" spans="1:15" x14ac:dyDescent="0.25">
      <c r="A3419">
        <v>3418</v>
      </c>
      <c r="B3419">
        <v>54</v>
      </c>
      <c r="C3419" t="s">
        <v>11</v>
      </c>
      <c r="D3419" t="s">
        <v>29</v>
      </c>
      <c r="E3419" t="s">
        <v>55</v>
      </c>
      <c r="F3419" s="1">
        <v>127.1</v>
      </c>
      <c r="G3419" t="s">
        <v>14</v>
      </c>
      <c r="H3419" t="s">
        <v>15</v>
      </c>
      <c r="I3419" s="2">
        <v>3.5</v>
      </c>
      <c r="J3419" s="4">
        <v>18</v>
      </c>
      <c r="K3419" s="3">
        <v>4</v>
      </c>
      <c r="L3419" s="1">
        <f t="shared" si="159"/>
        <v>104.22200000000001</v>
      </c>
      <c r="M3419" t="str" cm="1">
        <f t="array" ref="M3419">_xlfn.IFS(B3419&lt;18,"Under 18",B3419 &lt;=25,"18-25",B3419&lt;=35,"26-35",B3419&lt;=45,"36-45",B3419&lt;=60,"46-60",TRUE,"60+")</f>
        <v>46-60</v>
      </c>
      <c r="N3419" t="str">
        <f t="shared" si="160"/>
        <v>Discounted</v>
      </c>
      <c r="O3419" t="str">
        <f t="shared" si="161"/>
        <v>Returning</v>
      </c>
    </row>
    <row r="3420" spans="1:15" x14ac:dyDescent="0.25">
      <c r="A3420">
        <v>3419</v>
      </c>
      <c r="B3420">
        <v>48</v>
      </c>
      <c r="C3420" t="s">
        <v>16</v>
      </c>
      <c r="D3420" t="s">
        <v>33</v>
      </c>
      <c r="E3420" t="s">
        <v>40</v>
      </c>
      <c r="F3420" s="1">
        <v>121.62</v>
      </c>
      <c r="G3420" t="s">
        <v>19</v>
      </c>
      <c r="H3420" t="s">
        <v>15</v>
      </c>
      <c r="I3420" s="2">
        <v>4.4000000000000004</v>
      </c>
      <c r="J3420" s="4">
        <v>6</v>
      </c>
      <c r="K3420" s="3">
        <v>3</v>
      </c>
      <c r="L3420" s="1">
        <f t="shared" si="159"/>
        <v>114.3228</v>
      </c>
      <c r="M3420" t="str" cm="1">
        <f t="array" ref="M3420">_xlfn.IFS(B3420&lt;18,"Under 18",B3420 &lt;=25,"18-25",B3420&lt;=35,"26-35",B3420&lt;=45,"36-45",B3420&lt;=60,"46-60",TRUE,"60+")</f>
        <v>46-60</v>
      </c>
      <c r="N3420" t="str">
        <f t="shared" si="160"/>
        <v>Discounted</v>
      </c>
      <c r="O3420" t="str">
        <f t="shared" si="161"/>
        <v>Returning</v>
      </c>
    </row>
    <row r="3421" spans="1:15" x14ac:dyDescent="0.25">
      <c r="A3421">
        <v>3420</v>
      </c>
      <c r="B3421">
        <v>30</v>
      </c>
      <c r="C3421" t="s">
        <v>11</v>
      </c>
      <c r="D3421" t="s">
        <v>22</v>
      </c>
      <c r="E3421" t="s">
        <v>43</v>
      </c>
      <c r="F3421" s="1">
        <v>194.22</v>
      </c>
      <c r="G3421" t="s">
        <v>19</v>
      </c>
      <c r="H3421" t="s">
        <v>15</v>
      </c>
      <c r="I3421" s="2">
        <v>4.2</v>
      </c>
      <c r="J3421" s="4">
        <v>13</v>
      </c>
      <c r="K3421" s="3">
        <v>4</v>
      </c>
      <c r="L3421" s="1">
        <f t="shared" si="159"/>
        <v>168.97139999999999</v>
      </c>
      <c r="M3421" t="str" cm="1">
        <f t="array" ref="M3421">_xlfn.IFS(B3421&lt;18,"Under 18",B3421 &lt;=25,"18-25",B3421&lt;=35,"26-35",B3421&lt;=45,"36-45",B3421&lt;=60,"46-60",TRUE,"60+")</f>
        <v>26-35</v>
      </c>
      <c r="N3421" t="str">
        <f t="shared" si="160"/>
        <v>Discounted</v>
      </c>
      <c r="O3421" t="str">
        <f t="shared" si="161"/>
        <v>Returning</v>
      </c>
    </row>
    <row r="3422" spans="1:15" x14ac:dyDescent="0.25">
      <c r="A3422">
        <v>3421</v>
      </c>
      <c r="B3422">
        <v>48</v>
      </c>
      <c r="C3422" t="s">
        <v>11</v>
      </c>
      <c r="D3422" t="s">
        <v>33</v>
      </c>
      <c r="E3422" t="s">
        <v>38</v>
      </c>
      <c r="F3422" s="1">
        <v>225.8</v>
      </c>
      <c r="G3422" t="s">
        <v>31</v>
      </c>
      <c r="H3422" t="s">
        <v>15</v>
      </c>
      <c r="I3422" s="2">
        <v>3.2</v>
      </c>
      <c r="J3422" s="4">
        <v>6</v>
      </c>
      <c r="K3422" s="3">
        <v>3</v>
      </c>
      <c r="L3422" s="1">
        <f t="shared" si="159"/>
        <v>212.25200000000001</v>
      </c>
      <c r="M3422" t="str" cm="1">
        <f t="array" ref="M3422">_xlfn.IFS(B3422&lt;18,"Under 18",B3422 &lt;=25,"18-25",B3422&lt;=35,"26-35",B3422&lt;=45,"36-45",B3422&lt;=60,"46-60",TRUE,"60+")</f>
        <v>46-60</v>
      </c>
      <c r="N3422" t="str">
        <f t="shared" si="160"/>
        <v>Discounted</v>
      </c>
      <c r="O3422" t="str">
        <f t="shared" si="161"/>
        <v>Returning</v>
      </c>
    </row>
    <row r="3423" spans="1:15" x14ac:dyDescent="0.25">
      <c r="A3423">
        <v>3422</v>
      </c>
      <c r="B3423">
        <v>47</v>
      </c>
      <c r="C3423" t="s">
        <v>11</v>
      </c>
      <c r="D3423" t="s">
        <v>41</v>
      </c>
      <c r="E3423" t="s">
        <v>42</v>
      </c>
      <c r="F3423" s="1">
        <v>193.59</v>
      </c>
      <c r="G3423" t="s">
        <v>19</v>
      </c>
      <c r="H3423" t="s">
        <v>15</v>
      </c>
      <c r="I3423" s="2">
        <v>3.3</v>
      </c>
      <c r="J3423" s="4">
        <v>16</v>
      </c>
      <c r="K3423" s="3">
        <v>3</v>
      </c>
      <c r="L3423" s="1">
        <f t="shared" si="159"/>
        <v>162.6156</v>
      </c>
      <c r="M3423" t="str" cm="1">
        <f t="array" ref="M3423">_xlfn.IFS(B3423&lt;18,"Under 18",B3423 &lt;=25,"18-25",B3423&lt;=35,"26-35",B3423&lt;=45,"36-45",B3423&lt;=60,"46-60",TRUE,"60+")</f>
        <v>46-60</v>
      </c>
      <c r="N3423" t="str">
        <f t="shared" si="160"/>
        <v>Discounted</v>
      </c>
      <c r="O3423" t="str">
        <f t="shared" si="161"/>
        <v>Returning</v>
      </c>
    </row>
    <row r="3424" spans="1:15" x14ac:dyDescent="0.25">
      <c r="A3424">
        <v>3423</v>
      </c>
      <c r="B3424">
        <v>48</v>
      </c>
      <c r="C3424" t="s">
        <v>16</v>
      </c>
      <c r="D3424" t="s">
        <v>27</v>
      </c>
      <c r="E3424" t="s">
        <v>49</v>
      </c>
      <c r="F3424" s="1">
        <v>2610.9899999999998</v>
      </c>
      <c r="G3424" t="s">
        <v>31</v>
      </c>
      <c r="H3424" t="s">
        <v>15</v>
      </c>
      <c r="I3424" s="2">
        <v>3.5</v>
      </c>
      <c r="J3424" s="4">
        <v>13</v>
      </c>
      <c r="K3424" s="3">
        <v>4</v>
      </c>
      <c r="L3424" s="1">
        <f t="shared" si="159"/>
        <v>2271.5612999999998</v>
      </c>
      <c r="M3424" t="str" cm="1">
        <f t="array" ref="M3424">_xlfn.IFS(B3424&lt;18,"Under 18",B3424 &lt;=25,"18-25",B3424&lt;=35,"26-35",B3424&lt;=45,"36-45",B3424&lt;=60,"46-60",TRUE,"60+")</f>
        <v>46-60</v>
      </c>
      <c r="N3424" t="str">
        <f t="shared" si="160"/>
        <v>Discounted</v>
      </c>
      <c r="O3424" t="str">
        <f t="shared" si="161"/>
        <v>Returning</v>
      </c>
    </row>
    <row r="3425" spans="1:15" x14ac:dyDescent="0.25">
      <c r="A3425">
        <v>3424</v>
      </c>
      <c r="B3425">
        <v>20</v>
      </c>
      <c r="C3425" t="s">
        <v>11</v>
      </c>
      <c r="D3425" t="s">
        <v>33</v>
      </c>
      <c r="E3425" t="s">
        <v>40</v>
      </c>
      <c r="F3425" s="1">
        <v>104.2</v>
      </c>
      <c r="G3425" t="s">
        <v>19</v>
      </c>
      <c r="H3425" t="s">
        <v>15</v>
      </c>
      <c r="I3425" s="2">
        <v>2.8</v>
      </c>
      <c r="J3425" s="4">
        <v>11</v>
      </c>
      <c r="K3425" s="3">
        <v>3</v>
      </c>
      <c r="L3425" s="1">
        <f t="shared" si="159"/>
        <v>92.738</v>
      </c>
      <c r="M3425" t="str" cm="1">
        <f t="array" ref="M3425">_xlfn.IFS(B3425&lt;18,"Under 18",B3425 &lt;=25,"18-25",B3425&lt;=35,"26-35",B3425&lt;=45,"36-45",B3425&lt;=60,"46-60",TRUE,"60+")</f>
        <v>18-25</v>
      </c>
      <c r="N3425" t="str">
        <f t="shared" si="160"/>
        <v>Discounted</v>
      </c>
      <c r="O3425" t="str">
        <f t="shared" si="161"/>
        <v>Returning</v>
      </c>
    </row>
    <row r="3426" spans="1:15" x14ac:dyDescent="0.25">
      <c r="A3426">
        <v>3425</v>
      </c>
      <c r="B3426">
        <v>37</v>
      </c>
      <c r="C3426" t="s">
        <v>16</v>
      </c>
      <c r="D3426" t="s">
        <v>33</v>
      </c>
      <c r="E3426" t="s">
        <v>34</v>
      </c>
      <c r="F3426" s="1">
        <v>159.51</v>
      </c>
      <c r="G3426" t="s">
        <v>24</v>
      </c>
      <c r="H3426" t="s">
        <v>15</v>
      </c>
      <c r="I3426" s="2">
        <v>3.8</v>
      </c>
      <c r="J3426" s="4">
        <v>11</v>
      </c>
      <c r="K3426" s="3">
        <v>3</v>
      </c>
      <c r="L3426" s="1">
        <f t="shared" si="159"/>
        <v>141.9639</v>
      </c>
      <c r="M3426" t="str" cm="1">
        <f t="array" ref="M3426">_xlfn.IFS(B3426&lt;18,"Under 18",B3426 &lt;=25,"18-25",B3426&lt;=35,"26-35",B3426&lt;=45,"36-45",B3426&lt;=60,"46-60",TRUE,"60+")</f>
        <v>36-45</v>
      </c>
      <c r="N3426" t="str">
        <f t="shared" si="160"/>
        <v>Discounted</v>
      </c>
      <c r="O3426" t="str">
        <f t="shared" si="161"/>
        <v>Returning</v>
      </c>
    </row>
    <row r="3427" spans="1:15" x14ac:dyDescent="0.25">
      <c r="A3427">
        <v>3426</v>
      </c>
      <c r="B3427">
        <v>63</v>
      </c>
      <c r="C3427" t="s">
        <v>16</v>
      </c>
      <c r="D3427" t="s">
        <v>17</v>
      </c>
      <c r="E3427" t="s">
        <v>42</v>
      </c>
      <c r="F3427" s="1">
        <v>163.47999999999999</v>
      </c>
      <c r="G3427" t="s">
        <v>14</v>
      </c>
      <c r="H3427" t="s">
        <v>15</v>
      </c>
      <c r="I3427" s="2">
        <v>4</v>
      </c>
      <c r="J3427" s="4">
        <v>18</v>
      </c>
      <c r="K3427" s="3">
        <v>4</v>
      </c>
      <c r="L3427" s="1">
        <f t="shared" si="159"/>
        <v>134.05359999999999</v>
      </c>
      <c r="M3427" t="str" cm="1">
        <f t="array" ref="M3427">_xlfn.IFS(B3427&lt;18,"Under 18",B3427 &lt;=25,"18-25",B3427&lt;=35,"26-35",B3427&lt;=45,"36-45",B3427&lt;=60,"46-60",TRUE,"60+")</f>
        <v>60+</v>
      </c>
      <c r="N3427" t="str">
        <f t="shared" si="160"/>
        <v>Discounted</v>
      </c>
      <c r="O3427" t="str">
        <f t="shared" si="161"/>
        <v>Returning</v>
      </c>
    </row>
    <row r="3428" spans="1:15" x14ac:dyDescent="0.25">
      <c r="A3428">
        <v>3427</v>
      </c>
      <c r="B3428">
        <v>49</v>
      </c>
      <c r="C3428" t="s">
        <v>11</v>
      </c>
      <c r="D3428" t="s">
        <v>22</v>
      </c>
      <c r="E3428" t="s">
        <v>52</v>
      </c>
      <c r="F3428" s="1">
        <v>106.24</v>
      </c>
      <c r="G3428" t="s">
        <v>24</v>
      </c>
      <c r="H3428" t="s">
        <v>15</v>
      </c>
      <c r="I3428" s="2">
        <v>3.5</v>
      </c>
      <c r="J3428" s="4">
        <v>16</v>
      </c>
      <c r="K3428" s="3">
        <v>3</v>
      </c>
      <c r="L3428" s="1">
        <f t="shared" si="159"/>
        <v>89.241599999999991</v>
      </c>
      <c r="M3428" t="str" cm="1">
        <f t="array" ref="M3428">_xlfn.IFS(B3428&lt;18,"Under 18",B3428 &lt;=25,"18-25",B3428&lt;=35,"26-35",B3428&lt;=45,"36-45",B3428&lt;=60,"46-60",TRUE,"60+")</f>
        <v>46-60</v>
      </c>
      <c r="N3428" t="str">
        <f t="shared" si="160"/>
        <v>Discounted</v>
      </c>
      <c r="O3428" t="str">
        <f t="shared" si="161"/>
        <v>Returning</v>
      </c>
    </row>
    <row r="3429" spans="1:15" x14ac:dyDescent="0.25">
      <c r="A3429">
        <v>3428</v>
      </c>
      <c r="B3429">
        <v>40</v>
      </c>
      <c r="C3429" t="s">
        <v>16</v>
      </c>
      <c r="D3429" t="s">
        <v>27</v>
      </c>
      <c r="E3429" t="s">
        <v>53</v>
      </c>
      <c r="F3429" s="1">
        <v>1340.12</v>
      </c>
      <c r="G3429" t="s">
        <v>19</v>
      </c>
      <c r="H3429" t="s">
        <v>15</v>
      </c>
      <c r="I3429" s="2">
        <v>4.0999999999999996</v>
      </c>
      <c r="J3429" s="4">
        <v>28</v>
      </c>
      <c r="K3429" s="3">
        <v>9</v>
      </c>
      <c r="L3429" s="1">
        <f t="shared" si="159"/>
        <v>964.88639999999987</v>
      </c>
      <c r="M3429" t="str" cm="1">
        <f t="array" ref="M3429">_xlfn.IFS(B3429&lt;18,"Under 18",B3429 &lt;=25,"18-25",B3429&lt;=35,"26-35",B3429&lt;=45,"36-45",B3429&lt;=60,"46-60",TRUE,"60+")</f>
        <v>36-45</v>
      </c>
      <c r="N3429" t="str">
        <f t="shared" si="160"/>
        <v>Discounted</v>
      </c>
      <c r="O3429" t="str">
        <f t="shared" si="161"/>
        <v>Returning</v>
      </c>
    </row>
    <row r="3430" spans="1:15" x14ac:dyDescent="0.25">
      <c r="A3430">
        <v>3429</v>
      </c>
      <c r="B3430">
        <v>55</v>
      </c>
      <c r="C3430" t="s">
        <v>11</v>
      </c>
      <c r="D3430" t="s">
        <v>12</v>
      </c>
      <c r="E3430" t="s">
        <v>56</v>
      </c>
      <c r="F3430" s="1">
        <v>66.95</v>
      </c>
      <c r="G3430" t="s">
        <v>19</v>
      </c>
      <c r="H3430" t="s">
        <v>15</v>
      </c>
      <c r="I3430" s="2">
        <v>3.7</v>
      </c>
      <c r="J3430" s="4">
        <v>14</v>
      </c>
      <c r="K3430" s="3">
        <v>2</v>
      </c>
      <c r="L3430" s="1">
        <f t="shared" si="159"/>
        <v>57.576999999999998</v>
      </c>
      <c r="M3430" t="str" cm="1">
        <f t="array" ref="M3430">_xlfn.IFS(B3430&lt;18,"Under 18",B3430 &lt;=25,"18-25",B3430&lt;=35,"26-35",B3430&lt;=45,"36-45",B3430&lt;=60,"46-60",TRUE,"60+")</f>
        <v>46-60</v>
      </c>
      <c r="N3430" t="str">
        <f t="shared" si="160"/>
        <v>Discounted</v>
      </c>
      <c r="O3430" t="str">
        <f t="shared" si="161"/>
        <v>Returning</v>
      </c>
    </row>
    <row r="3431" spans="1:15" x14ac:dyDescent="0.25">
      <c r="A3431">
        <v>3430</v>
      </c>
      <c r="B3431">
        <v>50</v>
      </c>
      <c r="C3431" t="s">
        <v>11</v>
      </c>
      <c r="D3431" t="s">
        <v>41</v>
      </c>
      <c r="E3431" t="s">
        <v>46</v>
      </c>
      <c r="F3431" s="1">
        <v>114.36</v>
      </c>
      <c r="G3431" t="s">
        <v>14</v>
      </c>
      <c r="H3431" t="s">
        <v>15</v>
      </c>
      <c r="I3431" s="2">
        <v>3.3</v>
      </c>
      <c r="J3431" s="4">
        <v>10</v>
      </c>
      <c r="K3431" s="3">
        <v>5</v>
      </c>
      <c r="L3431" s="1">
        <f t="shared" si="159"/>
        <v>102.92400000000001</v>
      </c>
      <c r="M3431" t="str" cm="1">
        <f t="array" ref="M3431">_xlfn.IFS(B3431&lt;18,"Under 18",B3431 &lt;=25,"18-25",B3431&lt;=35,"26-35",B3431&lt;=45,"36-45",B3431&lt;=60,"46-60",TRUE,"60+")</f>
        <v>46-60</v>
      </c>
      <c r="N3431" t="str">
        <f t="shared" si="160"/>
        <v>Discounted</v>
      </c>
      <c r="O3431" t="str">
        <f t="shared" si="161"/>
        <v>Returning</v>
      </c>
    </row>
    <row r="3432" spans="1:15" x14ac:dyDescent="0.25">
      <c r="A3432">
        <v>3431</v>
      </c>
      <c r="B3432">
        <v>63</v>
      </c>
      <c r="C3432" t="s">
        <v>11</v>
      </c>
      <c r="D3432" t="s">
        <v>12</v>
      </c>
      <c r="E3432" t="s">
        <v>56</v>
      </c>
      <c r="F3432" s="1">
        <v>171.7</v>
      </c>
      <c r="G3432" t="s">
        <v>31</v>
      </c>
      <c r="H3432" t="s">
        <v>15</v>
      </c>
      <c r="I3432" s="2">
        <v>3.8</v>
      </c>
      <c r="J3432" s="4">
        <v>17</v>
      </c>
      <c r="K3432" s="3">
        <v>6</v>
      </c>
      <c r="L3432" s="1">
        <f t="shared" si="159"/>
        <v>142.511</v>
      </c>
      <c r="M3432" t="str" cm="1">
        <f t="array" ref="M3432">_xlfn.IFS(B3432&lt;18,"Under 18",B3432 &lt;=25,"18-25",B3432&lt;=35,"26-35",B3432&lt;=45,"36-45",B3432&lt;=60,"46-60",TRUE,"60+")</f>
        <v>60+</v>
      </c>
      <c r="N3432" t="str">
        <f t="shared" si="160"/>
        <v>Discounted</v>
      </c>
      <c r="O3432" t="str">
        <f t="shared" si="161"/>
        <v>Returning</v>
      </c>
    </row>
    <row r="3433" spans="1:15" x14ac:dyDescent="0.25">
      <c r="A3433">
        <v>3432</v>
      </c>
      <c r="B3433">
        <v>36</v>
      </c>
      <c r="C3433" t="s">
        <v>16</v>
      </c>
      <c r="D3433" t="s">
        <v>33</v>
      </c>
      <c r="E3433" t="s">
        <v>40</v>
      </c>
      <c r="F3433" s="1">
        <v>74.53</v>
      </c>
      <c r="G3433" t="s">
        <v>19</v>
      </c>
      <c r="H3433" t="s">
        <v>37</v>
      </c>
      <c r="I3433" s="2">
        <v>4.3</v>
      </c>
      <c r="J3433" s="4">
        <v>11</v>
      </c>
      <c r="K3433" s="3">
        <v>3</v>
      </c>
      <c r="L3433" s="1">
        <f t="shared" si="159"/>
        <v>66.331699999999998</v>
      </c>
      <c r="M3433" t="str" cm="1">
        <f t="array" ref="M3433">_xlfn.IFS(B3433&lt;18,"Under 18",B3433 &lt;=25,"18-25",B3433&lt;=35,"26-35",B3433&lt;=45,"36-45",B3433&lt;=60,"46-60",TRUE,"60+")</f>
        <v>36-45</v>
      </c>
      <c r="N3433" t="str">
        <f t="shared" si="160"/>
        <v>Discounted</v>
      </c>
      <c r="O3433" t="str">
        <f t="shared" si="161"/>
        <v>Returning</v>
      </c>
    </row>
    <row r="3434" spans="1:15" x14ac:dyDescent="0.25">
      <c r="A3434">
        <v>3433</v>
      </c>
      <c r="B3434">
        <v>34</v>
      </c>
      <c r="C3434" t="s">
        <v>11</v>
      </c>
      <c r="D3434" t="s">
        <v>41</v>
      </c>
      <c r="E3434" t="s">
        <v>46</v>
      </c>
      <c r="F3434" s="1">
        <v>47.24</v>
      </c>
      <c r="G3434" t="s">
        <v>19</v>
      </c>
      <c r="H3434" t="s">
        <v>37</v>
      </c>
      <c r="I3434" s="2">
        <v>3.1</v>
      </c>
      <c r="J3434" s="4">
        <v>18</v>
      </c>
      <c r="K3434" s="3">
        <v>4</v>
      </c>
      <c r="L3434" s="1">
        <f t="shared" si="159"/>
        <v>38.736800000000002</v>
      </c>
      <c r="M3434" t="str" cm="1">
        <f t="array" ref="M3434">_xlfn.IFS(B3434&lt;18,"Under 18",B3434 &lt;=25,"18-25",B3434&lt;=35,"26-35",B3434&lt;=45,"36-45",B3434&lt;=60,"46-60",TRUE,"60+")</f>
        <v>26-35</v>
      </c>
      <c r="N3434" t="str">
        <f t="shared" si="160"/>
        <v>Discounted</v>
      </c>
      <c r="O3434" t="str">
        <f t="shared" si="161"/>
        <v>Returning</v>
      </c>
    </row>
    <row r="3435" spans="1:15" x14ac:dyDescent="0.25">
      <c r="A3435">
        <v>3434</v>
      </c>
      <c r="B3435">
        <v>70</v>
      </c>
      <c r="C3435" t="s">
        <v>16</v>
      </c>
      <c r="D3435" t="s">
        <v>33</v>
      </c>
      <c r="E3435" t="s">
        <v>38</v>
      </c>
      <c r="F3435" s="1">
        <v>247.53</v>
      </c>
      <c r="G3435" t="s">
        <v>19</v>
      </c>
      <c r="H3435" t="s">
        <v>15</v>
      </c>
      <c r="I3435" s="2">
        <v>4.0999999999999996</v>
      </c>
      <c r="J3435" s="4">
        <v>12</v>
      </c>
      <c r="K3435" s="3">
        <v>6</v>
      </c>
      <c r="L3435" s="1">
        <f t="shared" si="159"/>
        <v>217.82640000000001</v>
      </c>
      <c r="M3435" t="str" cm="1">
        <f t="array" ref="M3435">_xlfn.IFS(B3435&lt;18,"Under 18",B3435 &lt;=25,"18-25",B3435&lt;=35,"26-35",B3435&lt;=45,"36-45",B3435&lt;=60,"46-60",TRUE,"60+")</f>
        <v>60+</v>
      </c>
      <c r="N3435" t="str">
        <f t="shared" si="160"/>
        <v>Discounted</v>
      </c>
      <c r="O3435" t="str">
        <f t="shared" si="161"/>
        <v>Returning</v>
      </c>
    </row>
    <row r="3436" spans="1:15" x14ac:dyDescent="0.25">
      <c r="A3436">
        <v>3435</v>
      </c>
      <c r="B3436">
        <v>65</v>
      </c>
      <c r="C3436" t="s">
        <v>11</v>
      </c>
      <c r="D3436" t="s">
        <v>29</v>
      </c>
      <c r="E3436" t="s">
        <v>30</v>
      </c>
      <c r="F3436" s="1">
        <v>119.15</v>
      </c>
      <c r="G3436" t="s">
        <v>31</v>
      </c>
      <c r="H3436" t="s">
        <v>15</v>
      </c>
      <c r="I3436" s="2">
        <v>2.9</v>
      </c>
      <c r="J3436" s="4">
        <v>18</v>
      </c>
      <c r="K3436" s="3">
        <v>4</v>
      </c>
      <c r="L3436" s="1">
        <f t="shared" si="159"/>
        <v>97.703000000000017</v>
      </c>
      <c r="M3436" t="str" cm="1">
        <f t="array" ref="M3436">_xlfn.IFS(B3436&lt;18,"Under 18",B3436 &lt;=25,"18-25",B3436&lt;=35,"26-35",B3436&lt;=45,"36-45",B3436&lt;=60,"46-60",TRUE,"60+")</f>
        <v>60+</v>
      </c>
      <c r="N3436" t="str">
        <f t="shared" si="160"/>
        <v>Discounted</v>
      </c>
      <c r="O3436" t="str">
        <f t="shared" si="161"/>
        <v>Returning</v>
      </c>
    </row>
    <row r="3437" spans="1:15" x14ac:dyDescent="0.25">
      <c r="A3437">
        <v>3436</v>
      </c>
      <c r="B3437">
        <v>38</v>
      </c>
      <c r="C3437" t="s">
        <v>16</v>
      </c>
      <c r="D3437" t="s">
        <v>27</v>
      </c>
      <c r="E3437" t="s">
        <v>28</v>
      </c>
      <c r="F3437" s="1">
        <v>2077.59</v>
      </c>
      <c r="G3437" t="s">
        <v>24</v>
      </c>
      <c r="H3437" t="s">
        <v>15</v>
      </c>
      <c r="I3437" s="2">
        <v>3.2</v>
      </c>
      <c r="J3437" s="4">
        <v>8</v>
      </c>
      <c r="K3437" s="3">
        <v>4</v>
      </c>
      <c r="L3437" s="1">
        <f t="shared" si="159"/>
        <v>1911.3828000000003</v>
      </c>
      <c r="M3437" t="str" cm="1">
        <f t="array" ref="M3437">_xlfn.IFS(B3437&lt;18,"Under 18",B3437 &lt;=25,"18-25",B3437&lt;=35,"26-35",B3437&lt;=45,"36-45",B3437&lt;=60,"46-60",TRUE,"60+")</f>
        <v>36-45</v>
      </c>
      <c r="N3437" t="str">
        <f t="shared" si="160"/>
        <v>Discounted</v>
      </c>
      <c r="O3437" t="str">
        <f t="shared" si="161"/>
        <v>Returning</v>
      </c>
    </row>
    <row r="3438" spans="1:15" x14ac:dyDescent="0.25">
      <c r="A3438">
        <v>3437</v>
      </c>
      <c r="B3438">
        <v>24</v>
      </c>
      <c r="C3438" t="s">
        <v>16</v>
      </c>
      <c r="D3438" t="s">
        <v>27</v>
      </c>
      <c r="E3438" t="s">
        <v>28</v>
      </c>
      <c r="F3438" s="1">
        <v>2160.6799999999998</v>
      </c>
      <c r="G3438" t="s">
        <v>24</v>
      </c>
      <c r="H3438" t="s">
        <v>15</v>
      </c>
      <c r="I3438" s="2">
        <v>2.7</v>
      </c>
      <c r="J3438" s="4">
        <v>6</v>
      </c>
      <c r="K3438" s="3">
        <v>3</v>
      </c>
      <c r="L3438" s="1">
        <f t="shared" si="159"/>
        <v>2031.0391999999997</v>
      </c>
      <c r="M3438" t="str" cm="1">
        <f t="array" ref="M3438">_xlfn.IFS(B3438&lt;18,"Under 18",B3438 &lt;=25,"18-25",B3438&lt;=35,"26-35",B3438&lt;=45,"36-45",B3438&lt;=60,"46-60",TRUE,"60+")</f>
        <v>18-25</v>
      </c>
      <c r="N3438" t="str">
        <f t="shared" si="160"/>
        <v>Discounted</v>
      </c>
      <c r="O3438" t="str">
        <f t="shared" si="161"/>
        <v>Returning</v>
      </c>
    </row>
    <row r="3439" spans="1:15" x14ac:dyDescent="0.25">
      <c r="A3439">
        <v>3438</v>
      </c>
      <c r="B3439">
        <v>45</v>
      </c>
      <c r="C3439" t="s">
        <v>16</v>
      </c>
      <c r="D3439" t="s">
        <v>33</v>
      </c>
      <c r="E3439" t="s">
        <v>38</v>
      </c>
      <c r="F3439" s="1">
        <v>179.48</v>
      </c>
      <c r="G3439" t="s">
        <v>14</v>
      </c>
      <c r="H3439" t="s">
        <v>15</v>
      </c>
      <c r="I3439" s="2">
        <v>3.9</v>
      </c>
      <c r="J3439" s="4">
        <v>13</v>
      </c>
      <c r="K3439" s="3">
        <v>4</v>
      </c>
      <c r="L3439" s="1">
        <f t="shared" si="159"/>
        <v>156.14759999999998</v>
      </c>
      <c r="M3439" t="str" cm="1">
        <f t="array" ref="M3439">_xlfn.IFS(B3439&lt;18,"Under 18",B3439 &lt;=25,"18-25",B3439&lt;=35,"26-35",B3439&lt;=45,"36-45",B3439&lt;=60,"46-60",TRUE,"60+")</f>
        <v>36-45</v>
      </c>
      <c r="N3439" t="str">
        <f t="shared" si="160"/>
        <v>Discounted</v>
      </c>
      <c r="O3439" t="str">
        <f t="shared" si="161"/>
        <v>Returning</v>
      </c>
    </row>
    <row r="3440" spans="1:15" x14ac:dyDescent="0.25">
      <c r="A3440">
        <v>3439</v>
      </c>
      <c r="B3440">
        <v>63</v>
      </c>
      <c r="C3440" t="s">
        <v>16</v>
      </c>
      <c r="D3440" t="s">
        <v>22</v>
      </c>
      <c r="E3440" t="s">
        <v>52</v>
      </c>
      <c r="F3440" s="1">
        <v>49.32</v>
      </c>
      <c r="G3440" t="s">
        <v>24</v>
      </c>
      <c r="H3440" t="s">
        <v>37</v>
      </c>
      <c r="I3440" s="2">
        <v>3.6</v>
      </c>
      <c r="J3440" s="4">
        <v>18</v>
      </c>
      <c r="K3440" s="3">
        <v>4</v>
      </c>
      <c r="L3440" s="1">
        <f t="shared" si="159"/>
        <v>40.442400000000006</v>
      </c>
      <c r="M3440" t="str" cm="1">
        <f t="array" ref="M3440">_xlfn.IFS(B3440&lt;18,"Under 18",B3440 &lt;=25,"18-25",B3440&lt;=35,"26-35",B3440&lt;=45,"36-45",B3440&lt;=60,"46-60",TRUE,"60+")</f>
        <v>60+</v>
      </c>
      <c r="N3440" t="str">
        <f t="shared" si="160"/>
        <v>Discounted</v>
      </c>
      <c r="O3440" t="str">
        <f t="shared" si="161"/>
        <v>Returning</v>
      </c>
    </row>
    <row r="3441" spans="1:15" x14ac:dyDescent="0.25">
      <c r="A3441">
        <v>3440</v>
      </c>
      <c r="B3441">
        <v>55</v>
      </c>
      <c r="C3441" t="s">
        <v>16</v>
      </c>
      <c r="D3441" t="s">
        <v>27</v>
      </c>
      <c r="E3441" t="s">
        <v>53</v>
      </c>
      <c r="F3441" s="1">
        <v>844.6</v>
      </c>
      <c r="G3441" t="s">
        <v>24</v>
      </c>
      <c r="H3441" t="s">
        <v>15</v>
      </c>
      <c r="I3441" s="2">
        <v>4.7</v>
      </c>
      <c r="J3441" s="4">
        <v>4</v>
      </c>
      <c r="K3441" s="3">
        <v>2</v>
      </c>
      <c r="L3441" s="1">
        <f t="shared" si="159"/>
        <v>810.81600000000003</v>
      </c>
      <c r="M3441" t="str" cm="1">
        <f t="array" ref="M3441">_xlfn.IFS(B3441&lt;18,"Under 18",B3441 &lt;=25,"18-25",B3441&lt;=35,"26-35",B3441&lt;=45,"36-45",B3441&lt;=60,"46-60",TRUE,"60+")</f>
        <v>46-60</v>
      </c>
      <c r="N3441" t="str">
        <f t="shared" si="160"/>
        <v>Discounted</v>
      </c>
      <c r="O3441" t="str">
        <f t="shared" si="161"/>
        <v>Returning</v>
      </c>
    </row>
    <row r="3442" spans="1:15" x14ac:dyDescent="0.25">
      <c r="A3442">
        <v>3441</v>
      </c>
      <c r="B3442">
        <v>58</v>
      </c>
      <c r="C3442" t="s">
        <v>11</v>
      </c>
      <c r="D3442" t="s">
        <v>25</v>
      </c>
      <c r="E3442" t="s">
        <v>54</v>
      </c>
      <c r="F3442" s="1">
        <v>61.51</v>
      </c>
      <c r="G3442" t="s">
        <v>14</v>
      </c>
      <c r="H3442" t="s">
        <v>15</v>
      </c>
      <c r="I3442" s="2">
        <v>2.9</v>
      </c>
      <c r="J3442" s="4">
        <v>10</v>
      </c>
      <c r="K3442" s="3">
        <v>5</v>
      </c>
      <c r="L3442" s="1">
        <f t="shared" si="159"/>
        <v>55.359000000000002</v>
      </c>
      <c r="M3442" t="str" cm="1">
        <f t="array" ref="M3442">_xlfn.IFS(B3442&lt;18,"Under 18",B3442 &lt;=25,"18-25",B3442&lt;=35,"26-35",B3442&lt;=45,"36-45",B3442&lt;=60,"46-60",TRUE,"60+")</f>
        <v>46-60</v>
      </c>
      <c r="N3442" t="str">
        <f t="shared" si="160"/>
        <v>Discounted</v>
      </c>
      <c r="O3442" t="str">
        <f t="shared" si="161"/>
        <v>Returning</v>
      </c>
    </row>
    <row r="3443" spans="1:15" x14ac:dyDescent="0.25">
      <c r="A3443">
        <v>3442</v>
      </c>
      <c r="B3443">
        <v>20</v>
      </c>
      <c r="C3443" t="s">
        <v>16</v>
      </c>
      <c r="D3443" t="s">
        <v>27</v>
      </c>
      <c r="E3443" t="s">
        <v>28</v>
      </c>
      <c r="F3443" s="1">
        <v>1267.3900000000001</v>
      </c>
      <c r="G3443" t="s">
        <v>31</v>
      </c>
      <c r="H3443" t="s">
        <v>15</v>
      </c>
      <c r="I3443" s="2">
        <v>3.5</v>
      </c>
      <c r="J3443" s="4">
        <v>6</v>
      </c>
      <c r="K3443" s="3">
        <v>3</v>
      </c>
      <c r="L3443" s="1">
        <f t="shared" si="159"/>
        <v>1191.3466000000001</v>
      </c>
      <c r="M3443" t="str" cm="1">
        <f t="array" ref="M3443">_xlfn.IFS(B3443&lt;18,"Under 18",B3443 &lt;=25,"18-25",B3443&lt;=35,"26-35",B3443&lt;=45,"36-45",B3443&lt;=60,"46-60",TRUE,"60+")</f>
        <v>18-25</v>
      </c>
      <c r="N3443" t="str">
        <f t="shared" si="160"/>
        <v>Discounted</v>
      </c>
      <c r="O3443" t="str">
        <f t="shared" si="161"/>
        <v>Returning</v>
      </c>
    </row>
    <row r="3444" spans="1:15" x14ac:dyDescent="0.25">
      <c r="A3444">
        <v>3443</v>
      </c>
      <c r="B3444">
        <v>51</v>
      </c>
      <c r="C3444" t="s">
        <v>11</v>
      </c>
      <c r="D3444" t="s">
        <v>12</v>
      </c>
      <c r="E3444" t="s">
        <v>13</v>
      </c>
      <c r="F3444" s="1">
        <v>89.15</v>
      </c>
      <c r="G3444" t="s">
        <v>31</v>
      </c>
      <c r="H3444" t="s">
        <v>37</v>
      </c>
      <c r="I3444" s="2">
        <v>3</v>
      </c>
      <c r="J3444" s="4">
        <v>14</v>
      </c>
      <c r="K3444" s="3">
        <v>7</v>
      </c>
      <c r="L3444" s="1">
        <f t="shared" si="159"/>
        <v>76.668999999999997</v>
      </c>
      <c r="M3444" t="str" cm="1">
        <f t="array" ref="M3444">_xlfn.IFS(B3444&lt;18,"Under 18",B3444 &lt;=25,"18-25",B3444&lt;=35,"26-35",B3444&lt;=45,"36-45",B3444&lt;=60,"46-60",TRUE,"60+")</f>
        <v>46-60</v>
      </c>
      <c r="N3444" t="str">
        <f t="shared" si="160"/>
        <v>Discounted</v>
      </c>
      <c r="O3444" t="str">
        <f t="shared" si="161"/>
        <v>Returning</v>
      </c>
    </row>
    <row r="3445" spans="1:15" x14ac:dyDescent="0.25">
      <c r="A3445">
        <v>3444</v>
      </c>
      <c r="B3445">
        <v>59</v>
      </c>
      <c r="C3445" t="s">
        <v>11</v>
      </c>
      <c r="D3445" t="s">
        <v>29</v>
      </c>
      <c r="E3445" t="s">
        <v>30</v>
      </c>
      <c r="F3445" s="1">
        <v>31.16</v>
      </c>
      <c r="G3445" t="s">
        <v>14</v>
      </c>
      <c r="H3445" t="s">
        <v>37</v>
      </c>
      <c r="I3445" s="2">
        <v>3.7</v>
      </c>
      <c r="J3445" s="4">
        <v>15</v>
      </c>
      <c r="K3445" s="3">
        <v>5</v>
      </c>
      <c r="L3445" s="1">
        <f t="shared" si="159"/>
        <v>26.486000000000001</v>
      </c>
      <c r="M3445" t="str" cm="1">
        <f t="array" ref="M3445">_xlfn.IFS(B3445&lt;18,"Under 18",B3445 &lt;=25,"18-25",B3445&lt;=35,"26-35",B3445&lt;=45,"36-45",B3445&lt;=60,"46-60",TRUE,"60+")</f>
        <v>46-60</v>
      </c>
      <c r="N3445" t="str">
        <f t="shared" si="160"/>
        <v>Discounted</v>
      </c>
      <c r="O3445" t="str">
        <f t="shared" si="161"/>
        <v>Returning</v>
      </c>
    </row>
    <row r="3446" spans="1:15" x14ac:dyDescent="0.25">
      <c r="A3446">
        <v>3445</v>
      </c>
      <c r="B3446">
        <v>20</v>
      </c>
      <c r="C3446" t="s">
        <v>11</v>
      </c>
      <c r="D3446" t="s">
        <v>25</v>
      </c>
      <c r="E3446" t="s">
        <v>47</v>
      </c>
      <c r="F3446" s="1">
        <v>40.090000000000003</v>
      </c>
      <c r="G3446" t="s">
        <v>19</v>
      </c>
      <c r="H3446" t="s">
        <v>37</v>
      </c>
      <c r="I3446" s="2">
        <v>4.9000000000000004</v>
      </c>
      <c r="J3446" s="4">
        <v>20</v>
      </c>
      <c r="K3446" s="3">
        <v>5</v>
      </c>
      <c r="L3446" s="1">
        <f t="shared" si="159"/>
        <v>32.072000000000003</v>
      </c>
      <c r="M3446" t="str" cm="1">
        <f t="array" ref="M3446">_xlfn.IFS(B3446&lt;18,"Under 18",B3446 &lt;=25,"18-25",B3446&lt;=35,"26-35",B3446&lt;=45,"36-45",B3446&lt;=60,"46-60",TRUE,"60+")</f>
        <v>18-25</v>
      </c>
      <c r="N3446" t="str">
        <f t="shared" si="160"/>
        <v>Discounted</v>
      </c>
      <c r="O3446" t="str">
        <f t="shared" si="161"/>
        <v>Returning</v>
      </c>
    </row>
    <row r="3447" spans="1:15" x14ac:dyDescent="0.25">
      <c r="A3447">
        <v>3446</v>
      </c>
      <c r="B3447">
        <v>33</v>
      </c>
      <c r="C3447" t="s">
        <v>11</v>
      </c>
      <c r="D3447" t="s">
        <v>33</v>
      </c>
      <c r="E3447" t="s">
        <v>40</v>
      </c>
      <c r="F3447" s="1">
        <v>94.64</v>
      </c>
      <c r="G3447" t="s">
        <v>31</v>
      </c>
      <c r="H3447" t="s">
        <v>37</v>
      </c>
      <c r="I3447" s="2">
        <v>4.9000000000000004</v>
      </c>
      <c r="J3447" s="4">
        <v>20</v>
      </c>
      <c r="K3447" s="3">
        <v>5</v>
      </c>
      <c r="L3447" s="1">
        <f t="shared" si="159"/>
        <v>75.712000000000003</v>
      </c>
      <c r="M3447" t="str" cm="1">
        <f t="array" ref="M3447">_xlfn.IFS(B3447&lt;18,"Under 18",B3447 &lt;=25,"18-25",B3447&lt;=35,"26-35",B3447&lt;=45,"36-45",B3447&lt;=60,"46-60",TRUE,"60+")</f>
        <v>26-35</v>
      </c>
      <c r="N3447" t="str">
        <f t="shared" si="160"/>
        <v>Discounted</v>
      </c>
      <c r="O3447" t="str">
        <f t="shared" si="161"/>
        <v>Returning</v>
      </c>
    </row>
    <row r="3448" spans="1:15" x14ac:dyDescent="0.25">
      <c r="A3448">
        <v>3447</v>
      </c>
      <c r="B3448">
        <v>46</v>
      </c>
      <c r="C3448" t="s">
        <v>11</v>
      </c>
      <c r="D3448" t="s">
        <v>25</v>
      </c>
      <c r="E3448" t="s">
        <v>47</v>
      </c>
      <c r="F3448" s="1">
        <v>47.53</v>
      </c>
      <c r="G3448" t="s">
        <v>24</v>
      </c>
      <c r="H3448" t="s">
        <v>37</v>
      </c>
      <c r="I3448" s="2">
        <v>3.4</v>
      </c>
      <c r="J3448" s="4">
        <v>11</v>
      </c>
      <c r="K3448" s="3">
        <v>3</v>
      </c>
      <c r="L3448" s="1">
        <f t="shared" si="159"/>
        <v>42.301700000000004</v>
      </c>
      <c r="M3448" t="str" cm="1">
        <f t="array" ref="M3448">_xlfn.IFS(B3448&lt;18,"Under 18",B3448 &lt;=25,"18-25",B3448&lt;=35,"26-35",B3448&lt;=45,"36-45",B3448&lt;=60,"46-60",TRUE,"60+")</f>
        <v>46-60</v>
      </c>
      <c r="N3448" t="str">
        <f t="shared" si="160"/>
        <v>Discounted</v>
      </c>
      <c r="O3448" t="str">
        <f t="shared" si="161"/>
        <v>Returning</v>
      </c>
    </row>
    <row r="3449" spans="1:15" x14ac:dyDescent="0.25">
      <c r="A3449">
        <v>3448</v>
      </c>
      <c r="B3449">
        <v>29</v>
      </c>
      <c r="C3449" t="s">
        <v>16</v>
      </c>
      <c r="D3449" t="s">
        <v>33</v>
      </c>
      <c r="E3449" t="s">
        <v>40</v>
      </c>
      <c r="F3449" s="1">
        <v>51.72</v>
      </c>
      <c r="G3449" t="s">
        <v>24</v>
      </c>
      <c r="H3449" t="s">
        <v>15</v>
      </c>
      <c r="I3449" s="2">
        <v>3.9</v>
      </c>
      <c r="J3449" s="4">
        <v>17</v>
      </c>
      <c r="K3449" s="3">
        <v>6</v>
      </c>
      <c r="L3449" s="1">
        <f t="shared" si="159"/>
        <v>42.927599999999998</v>
      </c>
      <c r="M3449" t="str" cm="1">
        <f t="array" ref="M3449">_xlfn.IFS(B3449&lt;18,"Under 18",B3449 &lt;=25,"18-25",B3449&lt;=35,"26-35",B3449&lt;=45,"36-45",B3449&lt;=60,"46-60",TRUE,"60+")</f>
        <v>26-35</v>
      </c>
      <c r="N3449" t="str">
        <f t="shared" si="160"/>
        <v>Discounted</v>
      </c>
      <c r="O3449" t="str">
        <f t="shared" si="161"/>
        <v>Returning</v>
      </c>
    </row>
    <row r="3450" spans="1:15" x14ac:dyDescent="0.25">
      <c r="A3450">
        <v>3449</v>
      </c>
      <c r="B3450">
        <v>59</v>
      </c>
      <c r="C3450" t="s">
        <v>11</v>
      </c>
      <c r="D3450" t="s">
        <v>25</v>
      </c>
      <c r="E3450" t="s">
        <v>57</v>
      </c>
      <c r="F3450" s="1">
        <v>63.38</v>
      </c>
      <c r="G3450" t="s">
        <v>14</v>
      </c>
      <c r="H3450" t="s">
        <v>15</v>
      </c>
      <c r="I3450" s="2">
        <v>3.1</v>
      </c>
      <c r="J3450" s="4">
        <v>26</v>
      </c>
      <c r="K3450" s="3">
        <v>8</v>
      </c>
      <c r="L3450" s="1">
        <f t="shared" si="159"/>
        <v>46.901200000000003</v>
      </c>
      <c r="M3450" t="str" cm="1">
        <f t="array" ref="M3450">_xlfn.IFS(B3450&lt;18,"Under 18",B3450 &lt;=25,"18-25",B3450&lt;=35,"26-35",B3450&lt;=45,"36-45",B3450&lt;=60,"46-60",TRUE,"60+")</f>
        <v>46-60</v>
      </c>
      <c r="N3450" t="str">
        <f t="shared" si="160"/>
        <v>Discounted</v>
      </c>
      <c r="O3450" t="str">
        <f t="shared" si="161"/>
        <v>Returning</v>
      </c>
    </row>
    <row r="3451" spans="1:15" x14ac:dyDescent="0.25">
      <c r="A3451">
        <v>3450</v>
      </c>
      <c r="B3451">
        <v>37</v>
      </c>
      <c r="C3451" t="s">
        <v>11</v>
      </c>
      <c r="D3451" t="s">
        <v>29</v>
      </c>
      <c r="E3451" t="s">
        <v>30</v>
      </c>
      <c r="F3451" s="1">
        <v>37.64</v>
      </c>
      <c r="G3451" t="s">
        <v>19</v>
      </c>
      <c r="H3451" t="s">
        <v>15</v>
      </c>
      <c r="I3451" s="2">
        <v>2.9</v>
      </c>
      <c r="J3451" s="4">
        <v>15</v>
      </c>
      <c r="K3451" s="3">
        <v>5</v>
      </c>
      <c r="L3451" s="1">
        <f t="shared" si="159"/>
        <v>31.994</v>
      </c>
      <c r="M3451" t="str" cm="1">
        <f t="array" ref="M3451">_xlfn.IFS(B3451&lt;18,"Under 18",B3451 &lt;=25,"18-25",B3451&lt;=35,"26-35",B3451&lt;=45,"36-45",B3451&lt;=60,"46-60",TRUE,"60+")</f>
        <v>36-45</v>
      </c>
      <c r="N3451" t="str">
        <f t="shared" si="160"/>
        <v>Discounted</v>
      </c>
      <c r="O3451" t="str">
        <f t="shared" si="161"/>
        <v>Returning</v>
      </c>
    </row>
    <row r="3452" spans="1:15" x14ac:dyDescent="0.25">
      <c r="A3452">
        <v>3451</v>
      </c>
      <c r="B3452">
        <v>43</v>
      </c>
      <c r="C3452" t="s">
        <v>11</v>
      </c>
      <c r="D3452" t="s">
        <v>33</v>
      </c>
      <c r="E3452" t="s">
        <v>38</v>
      </c>
      <c r="F3452" s="1">
        <v>183.45</v>
      </c>
      <c r="G3452" t="s">
        <v>14</v>
      </c>
      <c r="H3452" t="s">
        <v>15</v>
      </c>
      <c r="I3452" s="2">
        <v>4.4000000000000004</v>
      </c>
      <c r="J3452" s="4">
        <v>28</v>
      </c>
      <c r="K3452" s="3">
        <v>9</v>
      </c>
      <c r="L3452" s="1">
        <f t="shared" si="159"/>
        <v>132.08399999999997</v>
      </c>
      <c r="M3452" t="str" cm="1">
        <f t="array" ref="M3452">_xlfn.IFS(B3452&lt;18,"Under 18",B3452 &lt;=25,"18-25",B3452&lt;=35,"26-35",B3452&lt;=45,"36-45",B3452&lt;=60,"46-60",TRUE,"60+")</f>
        <v>36-45</v>
      </c>
      <c r="N3452" t="str">
        <f t="shared" si="160"/>
        <v>Discounted</v>
      </c>
      <c r="O3452" t="str">
        <f t="shared" si="161"/>
        <v>Returning</v>
      </c>
    </row>
    <row r="3453" spans="1:15" x14ac:dyDescent="0.25">
      <c r="A3453">
        <v>3452</v>
      </c>
      <c r="B3453">
        <v>38</v>
      </c>
      <c r="C3453" t="s">
        <v>11</v>
      </c>
      <c r="D3453" t="s">
        <v>20</v>
      </c>
      <c r="E3453" t="s">
        <v>39</v>
      </c>
      <c r="F3453" s="1">
        <v>103.8</v>
      </c>
      <c r="G3453" t="s">
        <v>31</v>
      </c>
      <c r="H3453" t="s">
        <v>15</v>
      </c>
      <c r="I3453" s="2">
        <v>3.4</v>
      </c>
      <c r="J3453" s="4">
        <v>21</v>
      </c>
      <c r="K3453" s="3">
        <v>8</v>
      </c>
      <c r="L3453" s="1">
        <f t="shared" si="159"/>
        <v>82.001999999999995</v>
      </c>
      <c r="M3453" t="str" cm="1">
        <f t="array" ref="M3453">_xlfn.IFS(B3453&lt;18,"Under 18",B3453 &lt;=25,"18-25",B3453&lt;=35,"26-35",B3453&lt;=45,"36-45",B3453&lt;=60,"46-60",TRUE,"60+")</f>
        <v>36-45</v>
      </c>
      <c r="N3453" t="str">
        <f t="shared" si="160"/>
        <v>Discounted</v>
      </c>
      <c r="O3453" t="str">
        <f t="shared" si="161"/>
        <v>Returning</v>
      </c>
    </row>
    <row r="3454" spans="1:15" x14ac:dyDescent="0.25">
      <c r="A3454">
        <v>3453</v>
      </c>
      <c r="B3454">
        <v>25</v>
      </c>
      <c r="C3454" t="s">
        <v>16</v>
      </c>
      <c r="D3454" t="s">
        <v>17</v>
      </c>
      <c r="E3454" t="s">
        <v>35</v>
      </c>
      <c r="F3454" s="1">
        <v>86.2</v>
      </c>
      <c r="G3454" t="s">
        <v>19</v>
      </c>
      <c r="H3454" t="s">
        <v>15</v>
      </c>
      <c r="I3454" s="2">
        <v>3.9</v>
      </c>
      <c r="J3454" s="4">
        <v>25</v>
      </c>
      <c r="K3454" s="3">
        <v>10</v>
      </c>
      <c r="L3454" s="1">
        <f t="shared" si="159"/>
        <v>64.650000000000006</v>
      </c>
      <c r="M3454" t="str" cm="1">
        <f t="array" ref="M3454">_xlfn.IFS(B3454&lt;18,"Under 18",B3454 &lt;=25,"18-25",B3454&lt;=35,"26-35",B3454&lt;=45,"36-45",B3454&lt;=60,"46-60",TRUE,"60+")</f>
        <v>18-25</v>
      </c>
      <c r="N3454" t="str">
        <f t="shared" si="160"/>
        <v>Discounted</v>
      </c>
      <c r="O3454" t="str">
        <f t="shared" si="161"/>
        <v>Returning</v>
      </c>
    </row>
    <row r="3455" spans="1:15" x14ac:dyDescent="0.25">
      <c r="A3455">
        <v>3454</v>
      </c>
      <c r="B3455">
        <v>25</v>
      </c>
      <c r="C3455" t="s">
        <v>16</v>
      </c>
      <c r="D3455" t="s">
        <v>20</v>
      </c>
      <c r="E3455" t="s">
        <v>36</v>
      </c>
      <c r="F3455" s="1">
        <v>134.38</v>
      </c>
      <c r="G3455" t="s">
        <v>24</v>
      </c>
      <c r="H3455" t="s">
        <v>15</v>
      </c>
      <c r="I3455" s="2">
        <v>3.8</v>
      </c>
      <c r="J3455" s="4">
        <v>9</v>
      </c>
      <c r="K3455" s="3">
        <v>2</v>
      </c>
      <c r="L3455" s="1">
        <f t="shared" si="159"/>
        <v>122.28579999999999</v>
      </c>
      <c r="M3455" t="str" cm="1">
        <f t="array" ref="M3455">_xlfn.IFS(B3455&lt;18,"Under 18",B3455 &lt;=25,"18-25",B3455&lt;=35,"26-35",B3455&lt;=45,"36-45",B3455&lt;=60,"46-60",TRUE,"60+")</f>
        <v>18-25</v>
      </c>
      <c r="N3455" t="str">
        <f t="shared" si="160"/>
        <v>Discounted</v>
      </c>
      <c r="O3455" t="str">
        <f t="shared" si="161"/>
        <v>Returning</v>
      </c>
    </row>
    <row r="3456" spans="1:15" x14ac:dyDescent="0.25">
      <c r="A3456">
        <v>3455</v>
      </c>
      <c r="B3456">
        <v>50</v>
      </c>
      <c r="C3456" t="s">
        <v>16</v>
      </c>
      <c r="D3456" t="s">
        <v>27</v>
      </c>
      <c r="E3456" t="s">
        <v>53</v>
      </c>
      <c r="F3456" s="1">
        <v>2994.62</v>
      </c>
      <c r="G3456" t="s">
        <v>14</v>
      </c>
      <c r="H3456" t="s">
        <v>15</v>
      </c>
      <c r="I3456" s="2">
        <v>3.6</v>
      </c>
      <c r="J3456" s="4">
        <v>25</v>
      </c>
      <c r="K3456" s="3">
        <v>10</v>
      </c>
      <c r="L3456" s="1">
        <f t="shared" si="159"/>
        <v>2245.9650000000001</v>
      </c>
      <c r="M3456" t="str" cm="1">
        <f t="array" ref="M3456">_xlfn.IFS(B3456&lt;18,"Under 18",B3456 &lt;=25,"18-25",B3456&lt;=35,"26-35",B3456&lt;=45,"36-45",B3456&lt;=60,"46-60",TRUE,"60+")</f>
        <v>46-60</v>
      </c>
      <c r="N3456" t="str">
        <f t="shared" si="160"/>
        <v>Discounted</v>
      </c>
      <c r="O3456" t="str">
        <f t="shared" si="161"/>
        <v>Returning</v>
      </c>
    </row>
    <row r="3457" spans="1:15" x14ac:dyDescent="0.25">
      <c r="A3457">
        <v>3456</v>
      </c>
      <c r="B3457">
        <v>23</v>
      </c>
      <c r="C3457" t="s">
        <v>11</v>
      </c>
      <c r="D3457" t="s">
        <v>41</v>
      </c>
      <c r="E3457" t="s">
        <v>42</v>
      </c>
      <c r="F3457" s="1">
        <v>130.04</v>
      </c>
      <c r="G3457" t="s">
        <v>19</v>
      </c>
      <c r="H3457" t="s">
        <v>15</v>
      </c>
      <c r="I3457" s="2">
        <v>3.8</v>
      </c>
      <c r="J3457" s="4">
        <v>20</v>
      </c>
      <c r="K3457" s="3">
        <v>5</v>
      </c>
      <c r="L3457" s="1">
        <f t="shared" si="159"/>
        <v>104.032</v>
      </c>
      <c r="M3457" t="str" cm="1">
        <f t="array" ref="M3457">_xlfn.IFS(B3457&lt;18,"Under 18",B3457 &lt;=25,"18-25",B3457&lt;=35,"26-35",B3457&lt;=45,"36-45",B3457&lt;=60,"46-60",TRUE,"60+")</f>
        <v>18-25</v>
      </c>
      <c r="N3457" t="str">
        <f t="shared" si="160"/>
        <v>Discounted</v>
      </c>
      <c r="O3457" t="str">
        <f t="shared" si="161"/>
        <v>Returning</v>
      </c>
    </row>
    <row r="3458" spans="1:15" x14ac:dyDescent="0.25">
      <c r="A3458">
        <v>3457</v>
      </c>
      <c r="B3458">
        <v>44</v>
      </c>
      <c r="C3458" t="s">
        <v>11</v>
      </c>
      <c r="D3458" t="s">
        <v>22</v>
      </c>
      <c r="E3458" t="s">
        <v>43</v>
      </c>
      <c r="F3458" s="1">
        <v>218.77</v>
      </c>
      <c r="G3458" t="s">
        <v>24</v>
      </c>
      <c r="H3458" t="s">
        <v>15</v>
      </c>
      <c r="I3458" s="2">
        <v>5</v>
      </c>
      <c r="J3458" s="4">
        <v>28</v>
      </c>
      <c r="K3458" s="3">
        <v>9</v>
      </c>
      <c r="L3458" s="1">
        <f t="shared" si="159"/>
        <v>157.51439999999999</v>
      </c>
      <c r="M3458" t="str" cm="1">
        <f t="array" ref="M3458">_xlfn.IFS(B3458&lt;18,"Under 18",B3458 &lt;=25,"18-25",B3458&lt;=35,"26-35",B3458&lt;=45,"36-45",B3458&lt;=60,"46-60",TRUE,"60+")</f>
        <v>36-45</v>
      </c>
      <c r="N3458" t="str">
        <f t="shared" si="160"/>
        <v>Discounted</v>
      </c>
      <c r="O3458" t="str">
        <f t="shared" si="161"/>
        <v>Returning</v>
      </c>
    </row>
    <row r="3459" spans="1:15" x14ac:dyDescent="0.25">
      <c r="A3459">
        <v>3458</v>
      </c>
      <c r="B3459">
        <v>33</v>
      </c>
      <c r="C3459" t="s">
        <v>11</v>
      </c>
      <c r="D3459" t="s">
        <v>41</v>
      </c>
      <c r="E3459" t="s">
        <v>44</v>
      </c>
      <c r="F3459" s="1">
        <v>110.92</v>
      </c>
      <c r="G3459" t="s">
        <v>24</v>
      </c>
      <c r="H3459" t="s">
        <v>15</v>
      </c>
      <c r="I3459" s="2">
        <v>3.7</v>
      </c>
      <c r="J3459" s="4">
        <v>10</v>
      </c>
      <c r="K3459" s="3">
        <v>5</v>
      </c>
      <c r="L3459" s="1">
        <f t="shared" ref="L3459:L3522" si="162">F3459 * (1 - J3459 / 100)</f>
        <v>99.828000000000003</v>
      </c>
      <c r="M3459" t="str" cm="1">
        <f t="array" ref="M3459">_xlfn.IFS(B3459&lt;18,"Under 18",B3459 &lt;=25,"18-25",B3459&lt;=35,"26-35",B3459&lt;=45,"36-45",B3459&lt;=60,"46-60",TRUE,"60+")</f>
        <v>26-35</v>
      </c>
      <c r="N3459" t="str">
        <f t="shared" ref="N3459:N3522" si="163">IF(J3459&gt;0,"Discounted","No Discount")</f>
        <v>Discounted</v>
      </c>
      <c r="O3459" t="str">
        <f t="shared" ref="O3459:O3522" si="164">IF(K3459&gt;0,"Returning","New")</f>
        <v>Returning</v>
      </c>
    </row>
    <row r="3460" spans="1:15" x14ac:dyDescent="0.25">
      <c r="A3460">
        <v>3459</v>
      </c>
      <c r="B3460">
        <v>20</v>
      </c>
      <c r="C3460" t="s">
        <v>16</v>
      </c>
      <c r="D3460" t="s">
        <v>25</v>
      </c>
      <c r="E3460" t="s">
        <v>57</v>
      </c>
      <c r="F3460" s="1">
        <v>31.55</v>
      </c>
      <c r="G3460" t="s">
        <v>14</v>
      </c>
      <c r="H3460" t="s">
        <v>37</v>
      </c>
      <c r="I3460" s="2">
        <v>4.3</v>
      </c>
      <c r="J3460" s="4">
        <v>12</v>
      </c>
      <c r="K3460" s="3">
        <v>1</v>
      </c>
      <c r="L3460" s="1">
        <f t="shared" si="162"/>
        <v>27.763999999999999</v>
      </c>
      <c r="M3460" t="str" cm="1">
        <f t="array" ref="M3460">_xlfn.IFS(B3460&lt;18,"Under 18",B3460 &lt;=25,"18-25",B3460&lt;=35,"26-35",B3460&lt;=45,"36-45",B3460&lt;=60,"46-60",TRUE,"60+")</f>
        <v>18-25</v>
      </c>
      <c r="N3460" t="str">
        <f t="shared" si="163"/>
        <v>Discounted</v>
      </c>
      <c r="O3460" t="str">
        <f t="shared" si="164"/>
        <v>Returning</v>
      </c>
    </row>
    <row r="3461" spans="1:15" x14ac:dyDescent="0.25">
      <c r="A3461">
        <v>3460</v>
      </c>
      <c r="B3461">
        <v>56</v>
      </c>
      <c r="C3461" t="s">
        <v>11</v>
      </c>
      <c r="D3461" t="s">
        <v>41</v>
      </c>
      <c r="E3461" t="s">
        <v>44</v>
      </c>
      <c r="F3461" s="1">
        <v>66.72</v>
      </c>
      <c r="G3461" t="s">
        <v>24</v>
      </c>
      <c r="H3461" t="s">
        <v>15</v>
      </c>
      <c r="I3461" s="2">
        <v>4.8</v>
      </c>
      <c r="J3461" s="4">
        <v>20</v>
      </c>
      <c r="K3461" s="3">
        <v>5</v>
      </c>
      <c r="L3461" s="1">
        <f t="shared" si="162"/>
        <v>53.376000000000005</v>
      </c>
      <c r="M3461" t="str" cm="1">
        <f t="array" ref="M3461">_xlfn.IFS(B3461&lt;18,"Under 18",B3461 &lt;=25,"18-25",B3461&lt;=35,"26-35",B3461&lt;=45,"36-45",B3461&lt;=60,"46-60",TRUE,"60+")</f>
        <v>46-60</v>
      </c>
      <c r="N3461" t="str">
        <f t="shared" si="163"/>
        <v>Discounted</v>
      </c>
      <c r="O3461" t="str">
        <f t="shared" si="164"/>
        <v>Returning</v>
      </c>
    </row>
    <row r="3462" spans="1:15" x14ac:dyDescent="0.25">
      <c r="A3462">
        <v>3461</v>
      </c>
      <c r="B3462">
        <v>70</v>
      </c>
      <c r="C3462" t="s">
        <v>16</v>
      </c>
      <c r="D3462" t="s">
        <v>33</v>
      </c>
      <c r="E3462" t="s">
        <v>38</v>
      </c>
      <c r="F3462" s="1">
        <v>216.39</v>
      </c>
      <c r="G3462" t="s">
        <v>31</v>
      </c>
      <c r="H3462" t="s">
        <v>15</v>
      </c>
      <c r="I3462" s="2">
        <v>4.5</v>
      </c>
      <c r="J3462" s="4">
        <v>14</v>
      </c>
      <c r="K3462" s="3">
        <v>2</v>
      </c>
      <c r="L3462" s="1">
        <f t="shared" si="162"/>
        <v>186.09539999999998</v>
      </c>
      <c r="M3462" t="str" cm="1">
        <f t="array" ref="M3462">_xlfn.IFS(B3462&lt;18,"Under 18",B3462 &lt;=25,"18-25",B3462&lt;=35,"26-35",B3462&lt;=45,"36-45",B3462&lt;=60,"46-60",TRUE,"60+")</f>
        <v>60+</v>
      </c>
      <c r="N3462" t="str">
        <f t="shared" si="163"/>
        <v>Discounted</v>
      </c>
      <c r="O3462" t="str">
        <f t="shared" si="164"/>
        <v>Returning</v>
      </c>
    </row>
    <row r="3463" spans="1:15" x14ac:dyDescent="0.25">
      <c r="A3463">
        <v>3462</v>
      </c>
      <c r="B3463">
        <v>55</v>
      </c>
      <c r="C3463" t="s">
        <v>11</v>
      </c>
      <c r="D3463" t="s">
        <v>33</v>
      </c>
      <c r="E3463" t="s">
        <v>34</v>
      </c>
      <c r="F3463" s="1">
        <v>166.18</v>
      </c>
      <c r="G3463" t="s">
        <v>31</v>
      </c>
      <c r="H3463" t="s">
        <v>15</v>
      </c>
      <c r="I3463" s="2">
        <v>4.0999999999999996</v>
      </c>
      <c r="J3463" s="4">
        <v>6</v>
      </c>
      <c r="K3463" s="3">
        <v>3</v>
      </c>
      <c r="L3463" s="1">
        <f t="shared" si="162"/>
        <v>156.20920000000001</v>
      </c>
      <c r="M3463" t="str" cm="1">
        <f t="array" ref="M3463">_xlfn.IFS(B3463&lt;18,"Under 18",B3463 &lt;=25,"18-25",B3463&lt;=35,"26-35",B3463&lt;=45,"36-45",B3463&lt;=60,"46-60",TRUE,"60+")</f>
        <v>46-60</v>
      </c>
      <c r="N3463" t="str">
        <f t="shared" si="163"/>
        <v>Discounted</v>
      </c>
      <c r="O3463" t="str">
        <f t="shared" si="164"/>
        <v>Returning</v>
      </c>
    </row>
    <row r="3464" spans="1:15" x14ac:dyDescent="0.25">
      <c r="A3464">
        <v>3463</v>
      </c>
      <c r="B3464">
        <v>24</v>
      </c>
      <c r="C3464" t="s">
        <v>16</v>
      </c>
      <c r="D3464" t="s">
        <v>33</v>
      </c>
      <c r="E3464" t="s">
        <v>38</v>
      </c>
      <c r="F3464" s="1">
        <v>74.739999999999995</v>
      </c>
      <c r="G3464" t="s">
        <v>31</v>
      </c>
      <c r="H3464" t="s">
        <v>37</v>
      </c>
      <c r="I3464" s="2">
        <v>4.0999999999999996</v>
      </c>
      <c r="J3464" s="4">
        <v>14</v>
      </c>
      <c r="K3464" s="3">
        <v>7</v>
      </c>
      <c r="L3464" s="1">
        <f t="shared" si="162"/>
        <v>64.276399999999995</v>
      </c>
      <c r="M3464" t="str" cm="1">
        <f t="array" ref="M3464">_xlfn.IFS(B3464&lt;18,"Under 18",B3464 &lt;=25,"18-25",B3464&lt;=35,"26-35",B3464&lt;=45,"36-45",B3464&lt;=60,"46-60",TRUE,"60+")</f>
        <v>18-25</v>
      </c>
      <c r="N3464" t="str">
        <f t="shared" si="163"/>
        <v>Discounted</v>
      </c>
      <c r="O3464" t="str">
        <f t="shared" si="164"/>
        <v>Returning</v>
      </c>
    </row>
    <row r="3465" spans="1:15" x14ac:dyDescent="0.25">
      <c r="A3465">
        <v>3464</v>
      </c>
      <c r="B3465">
        <v>34</v>
      </c>
      <c r="C3465" t="s">
        <v>11</v>
      </c>
      <c r="D3465" t="s">
        <v>41</v>
      </c>
      <c r="E3465" t="s">
        <v>44</v>
      </c>
      <c r="F3465" s="1">
        <v>77.55</v>
      </c>
      <c r="G3465" t="s">
        <v>19</v>
      </c>
      <c r="H3465" t="s">
        <v>37</v>
      </c>
      <c r="I3465" s="2">
        <v>4.2</v>
      </c>
      <c r="J3465" s="4">
        <v>10</v>
      </c>
      <c r="K3465" s="3">
        <v>5</v>
      </c>
      <c r="L3465" s="1">
        <f t="shared" si="162"/>
        <v>69.795000000000002</v>
      </c>
      <c r="M3465" t="str" cm="1">
        <f t="array" ref="M3465">_xlfn.IFS(B3465&lt;18,"Under 18",B3465 &lt;=25,"18-25",B3465&lt;=35,"26-35",B3465&lt;=45,"36-45",B3465&lt;=60,"46-60",TRUE,"60+")</f>
        <v>26-35</v>
      </c>
      <c r="N3465" t="str">
        <f t="shared" si="163"/>
        <v>Discounted</v>
      </c>
      <c r="O3465" t="str">
        <f t="shared" si="164"/>
        <v>Returning</v>
      </c>
    </row>
    <row r="3466" spans="1:15" x14ac:dyDescent="0.25">
      <c r="A3466">
        <v>3465</v>
      </c>
      <c r="B3466">
        <v>45</v>
      </c>
      <c r="C3466" t="s">
        <v>11</v>
      </c>
      <c r="D3466" t="s">
        <v>33</v>
      </c>
      <c r="E3466" t="s">
        <v>40</v>
      </c>
      <c r="F3466" s="1">
        <v>66.040000000000006</v>
      </c>
      <c r="G3466" t="s">
        <v>19</v>
      </c>
      <c r="H3466" t="s">
        <v>15</v>
      </c>
      <c r="I3466" s="2">
        <v>3.7</v>
      </c>
      <c r="J3466" s="4">
        <v>11</v>
      </c>
      <c r="K3466" s="3">
        <v>3</v>
      </c>
      <c r="L3466" s="1">
        <f t="shared" si="162"/>
        <v>58.775600000000004</v>
      </c>
      <c r="M3466" t="str" cm="1">
        <f t="array" ref="M3466">_xlfn.IFS(B3466&lt;18,"Under 18",B3466 &lt;=25,"18-25",B3466&lt;=35,"26-35",B3466&lt;=45,"36-45",B3466&lt;=60,"46-60",TRUE,"60+")</f>
        <v>36-45</v>
      </c>
      <c r="N3466" t="str">
        <f t="shared" si="163"/>
        <v>Discounted</v>
      </c>
      <c r="O3466" t="str">
        <f t="shared" si="164"/>
        <v>Returning</v>
      </c>
    </row>
    <row r="3467" spans="1:15" x14ac:dyDescent="0.25">
      <c r="A3467">
        <v>3466</v>
      </c>
      <c r="B3467">
        <v>49</v>
      </c>
      <c r="C3467" t="s">
        <v>16</v>
      </c>
      <c r="D3467" t="s">
        <v>33</v>
      </c>
      <c r="E3467" t="s">
        <v>34</v>
      </c>
      <c r="F3467" s="1">
        <v>101</v>
      </c>
      <c r="G3467" t="s">
        <v>14</v>
      </c>
      <c r="H3467" t="s">
        <v>15</v>
      </c>
      <c r="I3467" s="2">
        <v>4.5999999999999996</v>
      </c>
      <c r="J3467" s="4">
        <v>18</v>
      </c>
      <c r="K3467" s="3">
        <v>9</v>
      </c>
      <c r="L3467" s="1">
        <f t="shared" si="162"/>
        <v>82.820000000000007</v>
      </c>
      <c r="M3467" t="str" cm="1">
        <f t="array" ref="M3467">_xlfn.IFS(B3467&lt;18,"Under 18",B3467 &lt;=25,"18-25",B3467&lt;=35,"26-35",B3467&lt;=45,"36-45",B3467&lt;=60,"46-60",TRUE,"60+")</f>
        <v>46-60</v>
      </c>
      <c r="N3467" t="str">
        <f t="shared" si="163"/>
        <v>Discounted</v>
      </c>
      <c r="O3467" t="str">
        <f t="shared" si="164"/>
        <v>Returning</v>
      </c>
    </row>
    <row r="3468" spans="1:15" x14ac:dyDescent="0.25">
      <c r="A3468">
        <v>3467</v>
      </c>
      <c r="B3468">
        <v>68</v>
      </c>
      <c r="C3468" t="s">
        <v>11</v>
      </c>
      <c r="D3468" t="s">
        <v>29</v>
      </c>
      <c r="E3468" t="s">
        <v>30</v>
      </c>
      <c r="F3468" s="1">
        <v>110.3</v>
      </c>
      <c r="G3468" t="s">
        <v>19</v>
      </c>
      <c r="H3468" t="s">
        <v>15</v>
      </c>
      <c r="I3468" s="2">
        <v>2.8</v>
      </c>
      <c r="J3468" s="4">
        <v>14</v>
      </c>
      <c r="K3468" s="3">
        <v>7</v>
      </c>
      <c r="L3468" s="1">
        <f t="shared" si="162"/>
        <v>94.85799999999999</v>
      </c>
      <c r="M3468" t="str" cm="1">
        <f t="array" ref="M3468">_xlfn.IFS(B3468&lt;18,"Under 18",B3468 &lt;=25,"18-25",B3468&lt;=35,"26-35",B3468&lt;=45,"36-45",B3468&lt;=60,"46-60",TRUE,"60+")</f>
        <v>60+</v>
      </c>
      <c r="N3468" t="str">
        <f t="shared" si="163"/>
        <v>Discounted</v>
      </c>
      <c r="O3468" t="str">
        <f t="shared" si="164"/>
        <v>Returning</v>
      </c>
    </row>
    <row r="3469" spans="1:15" x14ac:dyDescent="0.25">
      <c r="A3469">
        <v>3468</v>
      </c>
      <c r="B3469">
        <v>26</v>
      </c>
      <c r="C3469" t="s">
        <v>11</v>
      </c>
      <c r="D3469" t="s">
        <v>29</v>
      </c>
      <c r="E3469" t="s">
        <v>55</v>
      </c>
      <c r="F3469" s="1">
        <v>101.16</v>
      </c>
      <c r="G3469" t="s">
        <v>31</v>
      </c>
      <c r="H3469" t="s">
        <v>15</v>
      </c>
      <c r="I3469" s="2">
        <v>4.0999999999999996</v>
      </c>
      <c r="J3469" s="4">
        <v>16</v>
      </c>
      <c r="K3469" s="3">
        <v>3</v>
      </c>
      <c r="L3469" s="1">
        <f t="shared" si="162"/>
        <v>84.974399999999989</v>
      </c>
      <c r="M3469" t="str" cm="1">
        <f t="array" ref="M3469">_xlfn.IFS(B3469&lt;18,"Under 18",B3469 &lt;=25,"18-25",B3469&lt;=35,"26-35",B3469&lt;=45,"36-45",B3469&lt;=60,"46-60",TRUE,"60+")</f>
        <v>26-35</v>
      </c>
      <c r="N3469" t="str">
        <f t="shared" si="163"/>
        <v>Discounted</v>
      </c>
      <c r="O3469" t="str">
        <f t="shared" si="164"/>
        <v>Returning</v>
      </c>
    </row>
    <row r="3470" spans="1:15" x14ac:dyDescent="0.25">
      <c r="A3470">
        <v>3469</v>
      </c>
      <c r="B3470">
        <v>52</v>
      </c>
      <c r="C3470" t="s">
        <v>11</v>
      </c>
      <c r="D3470" t="s">
        <v>33</v>
      </c>
      <c r="E3470" t="s">
        <v>40</v>
      </c>
      <c r="F3470" s="1">
        <v>236.38</v>
      </c>
      <c r="G3470" t="s">
        <v>19</v>
      </c>
      <c r="H3470" t="s">
        <v>15</v>
      </c>
      <c r="I3470" s="2">
        <v>3.6</v>
      </c>
      <c r="J3470" s="4">
        <v>11</v>
      </c>
      <c r="K3470" s="3">
        <v>3</v>
      </c>
      <c r="L3470" s="1">
        <f t="shared" si="162"/>
        <v>210.37819999999999</v>
      </c>
      <c r="M3470" t="str" cm="1">
        <f t="array" ref="M3470">_xlfn.IFS(B3470&lt;18,"Under 18",B3470 &lt;=25,"18-25",B3470&lt;=35,"26-35",B3470&lt;=45,"36-45",B3470&lt;=60,"46-60",TRUE,"60+")</f>
        <v>46-60</v>
      </c>
      <c r="N3470" t="str">
        <f t="shared" si="163"/>
        <v>Discounted</v>
      </c>
      <c r="O3470" t="str">
        <f t="shared" si="164"/>
        <v>Returning</v>
      </c>
    </row>
    <row r="3471" spans="1:15" x14ac:dyDescent="0.25">
      <c r="A3471">
        <v>3470</v>
      </c>
      <c r="B3471">
        <v>66</v>
      </c>
      <c r="C3471" t="s">
        <v>16</v>
      </c>
      <c r="D3471" t="s">
        <v>17</v>
      </c>
      <c r="E3471" t="s">
        <v>35</v>
      </c>
      <c r="F3471" s="1">
        <v>164.23</v>
      </c>
      <c r="G3471" t="s">
        <v>31</v>
      </c>
      <c r="H3471" t="s">
        <v>15</v>
      </c>
      <c r="I3471" s="2">
        <v>4.0999999999999996</v>
      </c>
      <c r="J3471" s="4">
        <v>17</v>
      </c>
      <c r="K3471" s="3">
        <v>6</v>
      </c>
      <c r="L3471" s="1">
        <f t="shared" si="162"/>
        <v>136.31089999999998</v>
      </c>
      <c r="M3471" t="str" cm="1">
        <f t="array" ref="M3471">_xlfn.IFS(B3471&lt;18,"Under 18",B3471 &lt;=25,"18-25",B3471&lt;=35,"26-35",B3471&lt;=45,"36-45",B3471&lt;=60,"46-60",TRUE,"60+")</f>
        <v>60+</v>
      </c>
      <c r="N3471" t="str">
        <f t="shared" si="163"/>
        <v>Discounted</v>
      </c>
      <c r="O3471" t="str">
        <f t="shared" si="164"/>
        <v>Returning</v>
      </c>
    </row>
    <row r="3472" spans="1:15" x14ac:dyDescent="0.25">
      <c r="A3472">
        <v>3471</v>
      </c>
      <c r="B3472">
        <v>53</v>
      </c>
      <c r="C3472" t="s">
        <v>16</v>
      </c>
      <c r="D3472" t="s">
        <v>20</v>
      </c>
      <c r="E3472" t="s">
        <v>39</v>
      </c>
      <c r="F3472" s="1">
        <v>205.45</v>
      </c>
      <c r="G3472" t="s">
        <v>31</v>
      </c>
      <c r="H3472" t="s">
        <v>15</v>
      </c>
      <c r="I3472" s="2">
        <v>4.2</v>
      </c>
      <c r="J3472" s="4">
        <v>12</v>
      </c>
      <c r="K3472" s="3">
        <v>6</v>
      </c>
      <c r="L3472" s="1">
        <f t="shared" si="162"/>
        <v>180.79599999999999</v>
      </c>
      <c r="M3472" t="str" cm="1">
        <f t="array" ref="M3472">_xlfn.IFS(B3472&lt;18,"Under 18",B3472 &lt;=25,"18-25",B3472&lt;=35,"26-35",B3472&lt;=45,"36-45",B3472&lt;=60,"46-60",TRUE,"60+")</f>
        <v>46-60</v>
      </c>
      <c r="N3472" t="str">
        <f t="shared" si="163"/>
        <v>Discounted</v>
      </c>
      <c r="O3472" t="str">
        <f t="shared" si="164"/>
        <v>Returning</v>
      </c>
    </row>
    <row r="3473" spans="1:15" x14ac:dyDescent="0.25">
      <c r="A3473">
        <v>3472</v>
      </c>
      <c r="B3473">
        <v>44</v>
      </c>
      <c r="C3473" t="s">
        <v>11</v>
      </c>
      <c r="D3473" t="s">
        <v>41</v>
      </c>
      <c r="E3473" t="s">
        <v>46</v>
      </c>
      <c r="F3473" s="1">
        <v>61.41</v>
      </c>
      <c r="G3473" t="s">
        <v>24</v>
      </c>
      <c r="H3473" t="s">
        <v>15</v>
      </c>
      <c r="I3473" s="2">
        <v>4.5999999999999996</v>
      </c>
      <c r="J3473" s="4">
        <v>22</v>
      </c>
      <c r="K3473" s="3">
        <v>6</v>
      </c>
      <c r="L3473" s="1">
        <f t="shared" si="162"/>
        <v>47.899799999999999</v>
      </c>
      <c r="M3473" t="str" cm="1">
        <f t="array" ref="M3473">_xlfn.IFS(B3473&lt;18,"Under 18",B3473 &lt;=25,"18-25",B3473&lt;=35,"26-35",B3473&lt;=45,"36-45",B3473&lt;=60,"46-60",TRUE,"60+")</f>
        <v>36-45</v>
      </c>
      <c r="N3473" t="str">
        <f t="shared" si="163"/>
        <v>Discounted</v>
      </c>
      <c r="O3473" t="str">
        <f t="shared" si="164"/>
        <v>Returning</v>
      </c>
    </row>
    <row r="3474" spans="1:15" x14ac:dyDescent="0.25">
      <c r="A3474">
        <v>3473</v>
      </c>
      <c r="B3474">
        <v>44</v>
      </c>
      <c r="C3474" t="s">
        <v>11</v>
      </c>
      <c r="D3474" t="s">
        <v>12</v>
      </c>
      <c r="E3474" t="s">
        <v>50</v>
      </c>
      <c r="F3474" s="1">
        <v>79.900000000000006</v>
      </c>
      <c r="G3474" t="s">
        <v>24</v>
      </c>
      <c r="H3474" t="s">
        <v>15</v>
      </c>
      <c r="I3474" s="2">
        <v>3.2</v>
      </c>
      <c r="J3474" s="4">
        <v>16</v>
      </c>
      <c r="K3474" s="3">
        <v>3</v>
      </c>
      <c r="L3474" s="1">
        <f t="shared" si="162"/>
        <v>67.116</v>
      </c>
      <c r="M3474" t="str" cm="1">
        <f t="array" ref="M3474">_xlfn.IFS(B3474&lt;18,"Under 18",B3474 &lt;=25,"18-25",B3474&lt;=35,"26-35",B3474&lt;=45,"36-45",B3474&lt;=60,"46-60",TRUE,"60+")</f>
        <v>36-45</v>
      </c>
      <c r="N3474" t="str">
        <f t="shared" si="163"/>
        <v>Discounted</v>
      </c>
      <c r="O3474" t="str">
        <f t="shared" si="164"/>
        <v>Returning</v>
      </c>
    </row>
    <row r="3475" spans="1:15" x14ac:dyDescent="0.25">
      <c r="A3475">
        <v>3474</v>
      </c>
      <c r="B3475">
        <v>37</v>
      </c>
      <c r="C3475" t="s">
        <v>16</v>
      </c>
      <c r="D3475" t="s">
        <v>20</v>
      </c>
      <c r="E3475" t="s">
        <v>39</v>
      </c>
      <c r="F3475" s="1">
        <v>228.81</v>
      </c>
      <c r="G3475" t="s">
        <v>24</v>
      </c>
      <c r="H3475" t="s">
        <v>15</v>
      </c>
      <c r="I3475" s="2">
        <v>3.9</v>
      </c>
      <c r="J3475" s="4">
        <v>22</v>
      </c>
      <c r="K3475" s="3">
        <v>6</v>
      </c>
      <c r="L3475" s="1">
        <f t="shared" si="162"/>
        <v>178.4718</v>
      </c>
      <c r="M3475" t="str" cm="1">
        <f t="array" ref="M3475">_xlfn.IFS(B3475&lt;18,"Under 18",B3475 &lt;=25,"18-25",B3475&lt;=35,"26-35",B3475&lt;=45,"36-45",B3475&lt;=60,"46-60",TRUE,"60+")</f>
        <v>36-45</v>
      </c>
      <c r="N3475" t="str">
        <f t="shared" si="163"/>
        <v>Discounted</v>
      </c>
      <c r="O3475" t="str">
        <f t="shared" si="164"/>
        <v>Returning</v>
      </c>
    </row>
    <row r="3476" spans="1:15" x14ac:dyDescent="0.25">
      <c r="A3476">
        <v>3475</v>
      </c>
      <c r="B3476">
        <v>30</v>
      </c>
      <c r="C3476" t="s">
        <v>11</v>
      </c>
      <c r="D3476" t="s">
        <v>29</v>
      </c>
      <c r="E3476" t="s">
        <v>51</v>
      </c>
      <c r="F3476" s="1">
        <v>146.26</v>
      </c>
      <c r="G3476" t="s">
        <v>24</v>
      </c>
      <c r="H3476" t="s">
        <v>15</v>
      </c>
      <c r="I3476" s="2">
        <v>3.4</v>
      </c>
      <c r="J3476" s="4">
        <v>8</v>
      </c>
      <c r="K3476" s="3">
        <v>4</v>
      </c>
      <c r="L3476" s="1">
        <f t="shared" si="162"/>
        <v>134.5592</v>
      </c>
      <c r="M3476" t="str" cm="1">
        <f t="array" ref="M3476">_xlfn.IFS(B3476&lt;18,"Under 18",B3476 &lt;=25,"18-25",B3476&lt;=35,"26-35",B3476&lt;=45,"36-45",B3476&lt;=60,"46-60",TRUE,"60+")</f>
        <v>26-35</v>
      </c>
      <c r="N3476" t="str">
        <f t="shared" si="163"/>
        <v>Discounted</v>
      </c>
      <c r="O3476" t="str">
        <f t="shared" si="164"/>
        <v>Returning</v>
      </c>
    </row>
    <row r="3477" spans="1:15" x14ac:dyDescent="0.25">
      <c r="A3477">
        <v>3476</v>
      </c>
      <c r="B3477">
        <v>58</v>
      </c>
      <c r="C3477" t="s">
        <v>11</v>
      </c>
      <c r="D3477" t="s">
        <v>29</v>
      </c>
      <c r="E3477" t="s">
        <v>30</v>
      </c>
      <c r="F3477" s="1">
        <v>58.29</v>
      </c>
      <c r="G3477" t="s">
        <v>31</v>
      </c>
      <c r="H3477" t="s">
        <v>37</v>
      </c>
      <c r="I3477" s="2">
        <v>1.9</v>
      </c>
      <c r="J3477" s="4">
        <v>8</v>
      </c>
      <c r="K3477" s="3">
        <v>4</v>
      </c>
      <c r="L3477" s="1">
        <f t="shared" si="162"/>
        <v>53.626800000000003</v>
      </c>
      <c r="M3477" t="str" cm="1">
        <f t="array" ref="M3477">_xlfn.IFS(B3477&lt;18,"Under 18",B3477 &lt;=25,"18-25",B3477&lt;=35,"26-35",B3477&lt;=45,"36-45",B3477&lt;=60,"46-60",TRUE,"60+")</f>
        <v>46-60</v>
      </c>
      <c r="N3477" t="str">
        <f t="shared" si="163"/>
        <v>Discounted</v>
      </c>
      <c r="O3477" t="str">
        <f t="shared" si="164"/>
        <v>Returning</v>
      </c>
    </row>
    <row r="3478" spans="1:15" x14ac:dyDescent="0.25">
      <c r="A3478">
        <v>3477</v>
      </c>
      <c r="B3478">
        <v>42</v>
      </c>
      <c r="C3478" t="s">
        <v>16</v>
      </c>
      <c r="D3478" t="s">
        <v>22</v>
      </c>
      <c r="E3478" t="s">
        <v>23</v>
      </c>
      <c r="F3478" s="1">
        <v>61.68</v>
      </c>
      <c r="G3478" t="s">
        <v>24</v>
      </c>
      <c r="H3478" t="s">
        <v>15</v>
      </c>
      <c r="I3478" s="2">
        <v>5</v>
      </c>
      <c r="J3478" s="4">
        <v>17</v>
      </c>
      <c r="K3478" s="3">
        <v>6</v>
      </c>
      <c r="L3478" s="1">
        <f t="shared" si="162"/>
        <v>51.194399999999995</v>
      </c>
      <c r="M3478" t="str" cm="1">
        <f t="array" ref="M3478">_xlfn.IFS(B3478&lt;18,"Under 18",B3478 &lt;=25,"18-25",B3478&lt;=35,"26-35",B3478&lt;=45,"36-45",B3478&lt;=60,"46-60",TRUE,"60+")</f>
        <v>36-45</v>
      </c>
      <c r="N3478" t="str">
        <f t="shared" si="163"/>
        <v>Discounted</v>
      </c>
      <c r="O3478" t="str">
        <f t="shared" si="164"/>
        <v>Returning</v>
      </c>
    </row>
    <row r="3479" spans="1:15" x14ac:dyDescent="0.25">
      <c r="A3479">
        <v>3478</v>
      </c>
      <c r="B3479">
        <v>46</v>
      </c>
      <c r="C3479" t="s">
        <v>16</v>
      </c>
      <c r="D3479" t="s">
        <v>17</v>
      </c>
      <c r="E3479" t="s">
        <v>18</v>
      </c>
      <c r="F3479" s="1">
        <v>76.22</v>
      </c>
      <c r="G3479" t="s">
        <v>24</v>
      </c>
      <c r="H3479" t="s">
        <v>37</v>
      </c>
      <c r="I3479" s="2">
        <v>4.7</v>
      </c>
      <c r="J3479" s="4">
        <v>16</v>
      </c>
      <c r="K3479" s="3">
        <v>8</v>
      </c>
      <c r="L3479" s="1">
        <f t="shared" si="162"/>
        <v>64.024799999999999</v>
      </c>
      <c r="M3479" t="str" cm="1">
        <f t="array" ref="M3479">_xlfn.IFS(B3479&lt;18,"Under 18",B3479 &lt;=25,"18-25",B3479&lt;=35,"26-35",B3479&lt;=45,"36-45",B3479&lt;=60,"46-60",TRUE,"60+")</f>
        <v>46-60</v>
      </c>
      <c r="N3479" t="str">
        <f t="shared" si="163"/>
        <v>Discounted</v>
      </c>
      <c r="O3479" t="str">
        <f t="shared" si="164"/>
        <v>Returning</v>
      </c>
    </row>
    <row r="3480" spans="1:15" x14ac:dyDescent="0.25">
      <c r="A3480">
        <v>3479</v>
      </c>
      <c r="B3480">
        <v>23</v>
      </c>
      <c r="C3480" t="s">
        <v>11</v>
      </c>
      <c r="D3480" t="s">
        <v>41</v>
      </c>
      <c r="E3480" t="s">
        <v>44</v>
      </c>
      <c r="F3480" s="1">
        <v>93.3</v>
      </c>
      <c r="G3480" t="s">
        <v>14</v>
      </c>
      <c r="H3480" t="s">
        <v>15</v>
      </c>
      <c r="I3480" s="2">
        <v>3.6</v>
      </c>
      <c r="J3480" s="4">
        <v>14</v>
      </c>
      <c r="K3480" s="3">
        <v>2</v>
      </c>
      <c r="L3480" s="1">
        <f t="shared" si="162"/>
        <v>80.238</v>
      </c>
      <c r="M3480" t="str" cm="1">
        <f t="array" ref="M3480">_xlfn.IFS(B3480&lt;18,"Under 18",B3480 &lt;=25,"18-25",B3480&lt;=35,"26-35",B3480&lt;=45,"36-45",B3480&lt;=60,"46-60",TRUE,"60+")</f>
        <v>18-25</v>
      </c>
      <c r="N3480" t="str">
        <f t="shared" si="163"/>
        <v>Discounted</v>
      </c>
      <c r="O3480" t="str">
        <f t="shared" si="164"/>
        <v>Returning</v>
      </c>
    </row>
    <row r="3481" spans="1:15" x14ac:dyDescent="0.25">
      <c r="A3481">
        <v>3480</v>
      </c>
      <c r="B3481">
        <v>41</v>
      </c>
      <c r="C3481" t="s">
        <v>16</v>
      </c>
      <c r="D3481" t="s">
        <v>20</v>
      </c>
      <c r="E3481" t="s">
        <v>39</v>
      </c>
      <c r="F3481" s="1">
        <v>50.96</v>
      </c>
      <c r="G3481" t="s">
        <v>31</v>
      </c>
      <c r="H3481" t="s">
        <v>15</v>
      </c>
      <c r="I3481" s="2">
        <v>3.7</v>
      </c>
      <c r="J3481" s="4">
        <v>22</v>
      </c>
      <c r="K3481" s="3">
        <v>6</v>
      </c>
      <c r="L3481" s="1">
        <f t="shared" si="162"/>
        <v>39.748800000000003</v>
      </c>
      <c r="M3481" t="str" cm="1">
        <f t="array" ref="M3481">_xlfn.IFS(B3481&lt;18,"Under 18",B3481 &lt;=25,"18-25",B3481&lt;=35,"26-35",B3481&lt;=45,"36-45",B3481&lt;=60,"46-60",TRUE,"60+")</f>
        <v>36-45</v>
      </c>
      <c r="N3481" t="str">
        <f t="shared" si="163"/>
        <v>Discounted</v>
      </c>
      <c r="O3481" t="str">
        <f t="shared" si="164"/>
        <v>Returning</v>
      </c>
    </row>
    <row r="3482" spans="1:15" x14ac:dyDescent="0.25">
      <c r="A3482">
        <v>3481</v>
      </c>
      <c r="B3482">
        <v>29</v>
      </c>
      <c r="C3482" t="s">
        <v>16</v>
      </c>
      <c r="D3482" t="s">
        <v>17</v>
      </c>
      <c r="E3482" t="s">
        <v>35</v>
      </c>
      <c r="F3482" s="1">
        <v>88.61</v>
      </c>
      <c r="G3482" t="s">
        <v>24</v>
      </c>
      <c r="H3482" t="s">
        <v>37</v>
      </c>
      <c r="I3482" s="2">
        <v>2.7</v>
      </c>
      <c r="J3482" s="4">
        <v>15</v>
      </c>
      <c r="K3482" s="3">
        <v>5</v>
      </c>
      <c r="L3482" s="1">
        <f t="shared" si="162"/>
        <v>75.3185</v>
      </c>
      <c r="M3482" t="str" cm="1">
        <f t="array" ref="M3482">_xlfn.IFS(B3482&lt;18,"Under 18",B3482 &lt;=25,"18-25",B3482&lt;=35,"26-35",B3482&lt;=45,"36-45",B3482&lt;=60,"46-60",TRUE,"60+")</f>
        <v>26-35</v>
      </c>
      <c r="N3482" t="str">
        <f t="shared" si="163"/>
        <v>Discounted</v>
      </c>
      <c r="O3482" t="str">
        <f t="shared" si="164"/>
        <v>Returning</v>
      </c>
    </row>
    <row r="3483" spans="1:15" x14ac:dyDescent="0.25">
      <c r="A3483">
        <v>3482</v>
      </c>
      <c r="B3483">
        <v>38</v>
      </c>
      <c r="C3483" t="s">
        <v>16</v>
      </c>
      <c r="D3483" t="s">
        <v>33</v>
      </c>
      <c r="E3483" t="s">
        <v>40</v>
      </c>
      <c r="F3483" s="1">
        <v>128.69</v>
      </c>
      <c r="G3483" t="s">
        <v>19</v>
      </c>
      <c r="H3483" t="s">
        <v>15</v>
      </c>
      <c r="I3483" s="2">
        <v>4.0999999999999996</v>
      </c>
      <c r="J3483" s="4">
        <v>12</v>
      </c>
      <c r="K3483" s="3">
        <v>6</v>
      </c>
      <c r="L3483" s="1">
        <f t="shared" si="162"/>
        <v>113.24719999999999</v>
      </c>
      <c r="M3483" t="str" cm="1">
        <f t="array" ref="M3483">_xlfn.IFS(B3483&lt;18,"Under 18",B3483 &lt;=25,"18-25",B3483&lt;=35,"26-35",B3483&lt;=45,"36-45",B3483&lt;=60,"46-60",TRUE,"60+")</f>
        <v>36-45</v>
      </c>
      <c r="N3483" t="str">
        <f t="shared" si="163"/>
        <v>Discounted</v>
      </c>
      <c r="O3483" t="str">
        <f t="shared" si="164"/>
        <v>Returning</v>
      </c>
    </row>
    <row r="3484" spans="1:15" x14ac:dyDescent="0.25">
      <c r="A3484">
        <v>3483</v>
      </c>
      <c r="B3484">
        <v>61</v>
      </c>
      <c r="C3484" t="s">
        <v>11</v>
      </c>
      <c r="D3484" t="s">
        <v>33</v>
      </c>
      <c r="E3484" t="s">
        <v>34</v>
      </c>
      <c r="F3484" s="1">
        <v>58.31</v>
      </c>
      <c r="G3484" t="s">
        <v>31</v>
      </c>
      <c r="H3484" t="s">
        <v>37</v>
      </c>
      <c r="I3484" s="2">
        <v>4.3</v>
      </c>
      <c r="J3484" s="4">
        <v>22</v>
      </c>
      <c r="K3484" s="3">
        <v>6</v>
      </c>
      <c r="L3484" s="1">
        <f t="shared" si="162"/>
        <v>45.4818</v>
      </c>
      <c r="M3484" t="str" cm="1">
        <f t="array" ref="M3484">_xlfn.IFS(B3484&lt;18,"Under 18",B3484 &lt;=25,"18-25",B3484&lt;=35,"26-35",B3484&lt;=45,"36-45",B3484&lt;=60,"46-60",TRUE,"60+")</f>
        <v>60+</v>
      </c>
      <c r="N3484" t="str">
        <f t="shared" si="163"/>
        <v>Discounted</v>
      </c>
      <c r="O3484" t="str">
        <f t="shared" si="164"/>
        <v>Returning</v>
      </c>
    </row>
    <row r="3485" spans="1:15" x14ac:dyDescent="0.25">
      <c r="A3485">
        <v>3484</v>
      </c>
      <c r="B3485">
        <v>33</v>
      </c>
      <c r="C3485" t="s">
        <v>11</v>
      </c>
      <c r="D3485" t="s">
        <v>22</v>
      </c>
      <c r="E3485" t="s">
        <v>52</v>
      </c>
      <c r="F3485" s="1">
        <v>144.94999999999999</v>
      </c>
      <c r="G3485" t="s">
        <v>24</v>
      </c>
      <c r="H3485" t="s">
        <v>15</v>
      </c>
      <c r="I3485" s="2">
        <v>3.6</v>
      </c>
      <c r="J3485" s="4">
        <v>12</v>
      </c>
      <c r="K3485" s="3">
        <v>1</v>
      </c>
      <c r="L3485" s="1">
        <f t="shared" si="162"/>
        <v>127.556</v>
      </c>
      <c r="M3485" t="str" cm="1">
        <f t="array" ref="M3485">_xlfn.IFS(B3485&lt;18,"Under 18",B3485 &lt;=25,"18-25",B3485&lt;=35,"26-35",B3485&lt;=45,"36-45",B3485&lt;=60,"46-60",TRUE,"60+")</f>
        <v>26-35</v>
      </c>
      <c r="N3485" t="str">
        <f t="shared" si="163"/>
        <v>Discounted</v>
      </c>
      <c r="O3485" t="str">
        <f t="shared" si="164"/>
        <v>Returning</v>
      </c>
    </row>
    <row r="3486" spans="1:15" x14ac:dyDescent="0.25">
      <c r="A3486">
        <v>3485</v>
      </c>
      <c r="B3486">
        <v>61</v>
      </c>
      <c r="C3486" t="s">
        <v>16</v>
      </c>
      <c r="D3486" t="s">
        <v>17</v>
      </c>
      <c r="E3486" t="s">
        <v>18</v>
      </c>
      <c r="F3486" s="1">
        <v>160.36000000000001</v>
      </c>
      <c r="G3486" t="s">
        <v>24</v>
      </c>
      <c r="H3486" t="s">
        <v>15</v>
      </c>
      <c r="I3486" s="2">
        <v>2.7</v>
      </c>
      <c r="J3486" s="4">
        <v>6</v>
      </c>
      <c r="K3486" s="3">
        <v>3</v>
      </c>
      <c r="L3486" s="1">
        <f t="shared" si="162"/>
        <v>150.73840000000001</v>
      </c>
      <c r="M3486" t="str" cm="1">
        <f t="array" ref="M3486">_xlfn.IFS(B3486&lt;18,"Under 18",B3486 &lt;=25,"18-25",B3486&lt;=35,"26-35",B3486&lt;=45,"36-45",B3486&lt;=60,"46-60",TRUE,"60+")</f>
        <v>60+</v>
      </c>
      <c r="N3486" t="str">
        <f t="shared" si="163"/>
        <v>Discounted</v>
      </c>
      <c r="O3486" t="str">
        <f t="shared" si="164"/>
        <v>Returning</v>
      </c>
    </row>
    <row r="3487" spans="1:15" x14ac:dyDescent="0.25">
      <c r="A3487">
        <v>3486</v>
      </c>
      <c r="B3487">
        <v>42</v>
      </c>
      <c r="C3487" t="s">
        <v>11</v>
      </c>
      <c r="D3487" t="s">
        <v>33</v>
      </c>
      <c r="E3487" t="s">
        <v>34</v>
      </c>
      <c r="F3487" s="1">
        <v>225.91</v>
      </c>
      <c r="G3487" t="s">
        <v>24</v>
      </c>
      <c r="H3487" t="s">
        <v>15</v>
      </c>
      <c r="I3487" s="2">
        <v>3.7</v>
      </c>
      <c r="J3487" s="4">
        <v>10</v>
      </c>
      <c r="K3487" s="3">
        <v>5</v>
      </c>
      <c r="L3487" s="1">
        <f t="shared" si="162"/>
        <v>203.31899999999999</v>
      </c>
      <c r="M3487" t="str" cm="1">
        <f t="array" ref="M3487">_xlfn.IFS(B3487&lt;18,"Under 18",B3487 &lt;=25,"18-25",B3487&lt;=35,"26-35",B3487&lt;=45,"36-45",B3487&lt;=60,"46-60",TRUE,"60+")</f>
        <v>36-45</v>
      </c>
      <c r="N3487" t="str">
        <f t="shared" si="163"/>
        <v>Discounted</v>
      </c>
      <c r="O3487" t="str">
        <f t="shared" si="164"/>
        <v>Returning</v>
      </c>
    </row>
    <row r="3488" spans="1:15" x14ac:dyDescent="0.25">
      <c r="A3488">
        <v>3487</v>
      </c>
      <c r="B3488">
        <v>28</v>
      </c>
      <c r="C3488" t="s">
        <v>11</v>
      </c>
      <c r="D3488" t="s">
        <v>41</v>
      </c>
      <c r="E3488" t="s">
        <v>42</v>
      </c>
      <c r="F3488" s="1">
        <v>57.14</v>
      </c>
      <c r="G3488" t="s">
        <v>31</v>
      </c>
      <c r="H3488" t="s">
        <v>37</v>
      </c>
      <c r="I3488" s="2">
        <v>3.1</v>
      </c>
      <c r="J3488" s="4">
        <v>13</v>
      </c>
      <c r="K3488" s="3">
        <v>4</v>
      </c>
      <c r="L3488" s="1">
        <f t="shared" si="162"/>
        <v>49.711800000000004</v>
      </c>
      <c r="M3488" t="str" cm="1">
        <f t="array" ref="M3488">_xlfn.IFS(B3488&lt;18,"Under 18",B3488 &lt;=25,"18-25",B3488&lt;=35,"26-35",B3488&lt;=45,"36-45",B3488&lt;=60,"46-60",TRUE,"60+")</f>
        <v>26-35</v>
      </c>
      <c r="N3488" t="str">
        <f t="shared" si="163"/>
        <v>Discounted</v>
      </c>
      <c r="O3488" t="str">
        <f t="shared" si="164"/>
        <v>Returning</v>
      </c>
    </row>
    <row r="3489" spans="1:15" x14ac:dyDescent="0.25">
      <c r="A3489">
        <v>3488</v>
      </c>
      <c r="B3489">
        <v>53</v>
      </c>
      <c r="C3489" t="s">
        <v>16</v>
      </c>
      <c r="D3489" t="s">
        <v>17</v>
      </c>
      <c r="E3489" t="s">
        <v>35</v>
      </c>
      <c r="F3489" s="1">
        <v>133.94</v>
      </c>
      <c r="G3489" t="s">
        <v>14</v>
      </c>
      <c r="H3489" t="s">
        <v>15</v>
      </c>
      <c r="I3489" s="2">
        <v>4.3</v>
      </c>
      <c r="J3489" s="4">
        <v>18</v>
      </c>
      <c r="K3489" s="3">
        <v>4</v>
      </c>
      <c r="L3489" s="1">
        <f t="shared" si="162"/>
        <v>109.83080000000001</v>
      </c>
      <c r="M3489" t="str" cm="1">
        <f t="array" ref="M3489">_xlfn.IFS(B3489&lt;18,"Under 18",B3489 &lt;=25,"18-25",B3489&lt;=35,"26-35",B3489&lt;=45,"36-45",B3489&lt;=60,"46-60",TRUE,"60+")</f>
        <v>46-60</v>
      </c>
      <c r="N3489" t="str">
        <f t="shared" si="163"/>
        <v>Discounted</v>
      </c>
      <c r="O3489" t="str">
        <f t="shared" si="164"/>
        <v>Returning</v>
      </c>
    </row>
    <row r="3490" spans="1:15" x14ac:dyDescent="0.25">
      <c r="A3490">
        <v>3489</v>
      </c>
      <c r="B3490">
        <v>64</v>
      </c>
      <c r="C3490" t="s">
        <v>11</v>
      </c>
      <c r="D3490" t="s">
        <v>29</v>
      </c>
      <c r="E3490" t="s">
        <v>30</v>
      </c>
      <c r="F3490" s="1">
        <v>57.54</v>
      </c>
      <c r="G3490" t="s">
        <v>31</v>
      </c>
      <c r="H3490" t="s">
        <v>15</v>
      </c>
      <c r="I3490" s="2">
        <v>5</v>
      </c>
      <c r="J3490" s="4">
        <v>18</v>
      </c>
      <c r="K3490" s="3">
        <v>4</v>
      </c>
      <c r="L3490" s="1">
        <f t="shared" si="162"/>
        <v>47.1828</v>
      </c>
      <c r="M3490" t="str" cm="1">
        <f t="array" ref="M3490">_xlfn.IFS(B3490&lt;18,"Under 18",B3490 &lt;=25,"18-25",B3490&lt;=35,"26-35",B3490&lt;=45,"36-45",B3490&lt;=60,"46-60",TRUE,"60+")</f>
        <v>60+</v>
      </c>
      <c r="N3490" t="str">
        <f t="shared" si="163"/>
        <v>Discounted</v>
      </c>
      <c r="O3490" t="str">
        <f t="shared" si="164"/>
        <v>Returning</v>
      </c>
    </row>
    <row r="3491" spans="1:15" x14ac:dyDescent="0.25">
      <c r="A3491">
        <v>3490</v>
      </c>
      <c r="B3491">
        <v>64</v>
      </c>
      <c r="C3491" t="s">
        <v>16</v>
      </c>
      <c r="D3491" t="s">
        <v>17</v>
      </c>
      <c r="E3491" t="s">
        <v>18</v>
      </c>
      <c r="F3491" s="1">
        <v>76.87</v>
      </c>
      <c r="G3491" t="s">
        <v>31</v>
      </c>
      <c r="H3491" t="s">
        <v>15</v>
      </c>
      <c r="I3491" s="2">
        <v>3.9</v>
      </c>
      <c r="J3491" s="4">
        <v>6</v>
      </c>
      <c r="K3491" s="3">
        <v>3</v>
      </c>
      <c r="L3491" s="1">
        <f t="shared" si="162"/>
        <v>72.257800000000003</v>
      </c>
      <c r="M3491" t="str" cm="1">
        <f t="array" ref="M3491">_xlfn.IFS(B3491&lt;18,"Under 18",B3491 &lt;=25,"18-25",B3491&lt;=35,"26-35",B3491&lt;=45,"36-45",B3491&lt;=60,"46-60",TRUE,"60+")</f>
        <v>60+</v>
      </c>
      <c r="N3491" t="str">
        <f t="shared" si="163"/>
        <v>Discounted</v>
      </c>
      <c r="O3491" t="str">
        <f t="shared" si="164"/>
        <v>Returning</v>
      </c>
    </row>
    <row r="3492" spans="1:15" x14ac:dyDescent="0.25">
      <c r="A3492">
        <v>3491</v>
      </c>
      <c r="B3492">
        <v>68</v>
      </c>
      <c r="C3492" t="s">
        <v>16</v>
      </c>
      <c r="D3492" t="s">
        <v>20</v>
      </c>
      <c r="E3492" t="s">
        <v>21</v>
      </c>
      <c r="F3492" s="1">
        <v>32.729999999999997</v>
      </c>
      <c r="G3492" t="s">
        <v>19</v>
      </c>
      <c r="H3492" t="s">
        <v>37</v>
      </c>
      <c r="I3492" s="2">
        <v>3.9</v>
      </c>
      <c r="J3492" s="4">
        <v>18</v>
      </c>
      <c r="K3492" s="3">
        <v>9</v>
      </c>
      <c r="L3492" s="1">
        <f t="shared" si="162"/>
        <v>26.8386</v>
      </c>
      <c r="M3492" t="str" cm="1">
        <f t="array" ref="M3492">_xlfn.IFS(B3492&lt;18,"Under 18",B3492 &lt;=25,"18-25",B3492&lt;=35,"26-35",B3492&lt;=45,"36-45",B3492&lt;=60,"46-60",TRUE,"60+")</f>
        <v>60+</v>
      </c>
      <c r="N3492" t="str">
        <f t="shared" si="163"/>
        <v>Discounted</v>
      </c>
      <c r="O3492" t="str">
        <f t="shared" si="164"/>
        <v>Returning</v>
      </c>
    </row>
    <row r="3493" spans="1:15" x14ac:dyDescent="0.25">
      <c r="A3493">
        <v>3492</v>
      </c>
      <c r="B3493">
        <v>34</v>
      </c>
      <c r="C3493" t="s">
        <v>16</v>
      </c>
      <c r="D3493" t="s">
        <v>17</v>
      </c>
      <c r="E3493" t="s">
        <v>35</v>
      </c>
      <c r="F3493" s="1">
        <v>56.59</v>
      </c>
      <c r="G3493" t="s">
        <v>19</v>
      </c>
      <c r="H3493" t="s">
        <v>37</v>
      </c>
      <c r="I3493" s="2">
        <v>3.9</v>
      </c>
      <c r="J3493" s="4">
        <v>18</v>
      </c>
      <c r="K3493" s="3">
        <v>4</v>
      </c>
      <c r="L3493" s="1">
        <f t="shared" si="162"/>
        <v>46.403800000000004</v>
      </c>
      <c r="M3493" t="str" cm="1">
        <f t="array" ref="M3493">_xlfn.IFS(B3493&lt;18,"Under 18",B3493 &lt;=25,"18-25",B3493&lt;=35,"26-35",B3493&lt;=45,"36-45",B3493&lt;=60,"46-60",TRUE,"60+")</f>
        <v>26-35</v>
      </c>
      <c r="N3493" t="str">
        <f t="shared" si="163"/>
        <v>Discounted</v>
      </c>
      <c r="O3493" t="str">
        <f t="shared" si="164"/>
        <v>Returning</v>
      </c>
    </row>
    <row r="3494" spans="1:15" x14ac:dyDescent="0.25">
      <c r="A3494">
        <v>3493</v>
      </c>
      <c r="B3494">
        <v>57</v>
      </c>
      <c r="C3494" t="s">
        <v>11</v>
      </c>
      <c r="D3494" t="s">
        <v>41</v>
      </c>
      <c r="E3494" t="s">
        <v>42</v>
      </c>
      <c r="F3494" s="1">
        <v>113.82</v>
      </c>
      <c r="G3494" t="s">
        <v>14</v>
      </c>
      <c r="H3494" t="s">
        <v>15</v>
      </c>
      <c r="I3494" s="2">
        <v>3.1</v>
      </c>
      <c r="J3494" s="4">
        <v>8</v>
      </c>
      <c r="K3494" s="3">
        <v>4</v>
      </c>
      <c r="L3494" s="1">
        <f t="shared" si="162"/>
        <v>104.7144</v>
      </c>
      <c r="M3494" t="str" cm="1">
        <f t="array" ref="M3494">_xlfn.IFS(B3494&lt;18,"Under 18",B3494 &lt;=25,"18-25",B3494&lt;=35,"26-35",B3494&lt;=45,"36-45",B3494&lt;=60,"46-60",TRUE,"60+")</f>
        <v>46-60</v>
      </c>
      <c r="N3494" t="str">
        <f t="shared" si="163"/>
        <v>Discounted</v>
      </c>
      <c r="O3494" t="str">
        <f t="shared" si="164"/>
        <v>Returning</v>
      </c>
    </row>
    <row r="3495" spans="1:15" x14ac:dyDescent="0.25">
      <c r="A3495">
        <v>3494</v>
      </c>
      <c r="B3495">
        <v>50</v>
      </c>
      <c r="C3495" t="s">
        <v>11</v>
      </c>
      <c r="D3495" t="s">
        <v>41</v>
      </c>
      <c r="E3495" t="s">
        <v>42</v>
      </c>
      <c r="F3495" s="1">
        <v>34.270000000000003</v>
      </c>
      <c r="G3495" t="s">
        <v>31</v>
      </c>
      <c r="H3495" t="s">
        <v>15</v>
      </c>
      <c r="I3495" s="2">
        <v>4.2</v>
      </c>
      <c r="J3495" s="4">
        <v>21</v>
      </c>
      <c r="K3495" s="3">
        <v>8</v>
      </c>
      <c r="L3495" s="1">
        <f t="shared" si="162"/>
        <v>27.073300000000003</v>
      </c>
      <c r="M3495" t="str" cm="1">
        <f t="array" ref="M3495">_xlfn.IFS(B3495&lt;18,"Under 18",B3495 &lt;=25,"18-25",B3495&lt;=35,"26-35",B3495&lt;=45,"36-45",B3495&lt;=60,"46-60",TRUE,"60+")</f>
        <v>46-60</v>
      </c>
      <c r="N3495" t="str">
        <f t="shared" si="163"/>
        <v>Discounted</v>
      </c>
      <c r="O3495" t="str">
        <f t="shared" si="164"/>
        <v>Returning</v>
      </c>
    </row>
    <row r="3496" spans="1:15" x14ac:dyDescent="0.25">
      <c r="A3496">
        <v>3495</v>
      </c>
      <c r="B3496">
        <v>45</v>
      </c>
      <c r="C3496" t="s">
        <v>16</v>
      </c>
      <c r="D3496" t="s">
        <v>27</v>
      </c>
      <c r="E3496" t="s">
        <v>49</v>
      </c>
      <c r="F3496" s="1">
        <v>1460.58</v>
      </c>
      <c r="G3496" t="s">
        <v>24</v>
      </c>
      <c r="H3496" t="s">
        <v>15</v>
      </c>
      <c r="I3496" s="2">
        <v>4.3</v>
      </c>
      <c r="J3496" s="4">
        <v>8</v>
      </c>
      <c r="K3496" s="3">
        <v>4</v>
      </c>
      <c r="L3496" s="1">
        <f t="shared" si="162"/>
        <v>1343.7336</v>
      </c>
      <c r="M3496" t="str" cm="1">
        <f t="array" ref="M3496">_xlfn.IFS(B3496&lt;18,"Under 18",B3496 &lt;=25,"18-25",B3496&lt;=35,"26-35",B3496&lt;=45,"36-45",B3496&lt;=60,"46-60",TRUE,"60+")</f>
        <v>36-45</v>
      </c>
      <c r="N3496" t="str">
        <f t="shared" si="163"/>
        <v>Discounted</v>
      </c>
      <c r="O3496" t="str">
        <f t="shared" si="164"/>
        <v>Returning</v>
      </c>
    </row>
    <row r="3497" spans="1:15" x14ac:dyDescent="0.25">
      <c r="A3497">
        <v>3496</v>
      </c>
      <c r="B3497">
        <v>23</v>
      </c>
      <c r="C3497" t="s">
        <v>16</v>
      </c>
      <c r="D3497" t="s">
        <v>20</v>
      </c>
      <c r="E3497" t="s">
        <v>36</v>
      </c>
      <c r="F3497" s="1">
        <v>207.34</v>
      </c>
      <c r="G3497" t="s">
        <v>31</v>
      </c>
      <c r="H3497" t="s">
        <v>15</v>
      </c>
      <c r="I3497" s="2">
        <v>4.4000000000000004</v>
      </c>
      <c r="J3497" s="4">
        <v>16</v>
      </c>
      <c r="K3497" s="3">
        <v>8</v>
      </c>
      <c r="L3497" s="1">
        <f t="shared" si="162"/>
        <v>174.16559999999998</v>
      </c>
      <c r="M3497" t="str" cm="1">
        <f t="array" ref="M3497">_xlfn.IFS(B3497&lt;18,"Under 18",B3497 &lt;=25,"18-25",B3497&lt;=35,"26-35",B3497&lt;=45,"36-45",B3497&lt;=60,"46-60",TRUE,"60+")</f>
        <v>18-25</v>
      </c>
      <c r="N3497" t="str">
        <f t="shared" si="163"/>
        <v>Discounted</v>
      </c>
      <c r="O3497" t="str">
        <f t="shared" si="164"/>
        <v>Returning</v>
      </c>
    </row>
    <row r="3498" spans="1:15" x14ac:dyDescent="0.25">
      <c r="A3498">
        <v>3497</v>
      </c>
      <c r="B3498">
        <v>33</v>
      </c>
      <c r="C3498" t="s">
        <v>11</v>
      </c>
      <c r="D3498" t="s">
        <v>41</v>
      </c>
      <c r="E3498" t="s">
        <v>42</v>
      </c>
      <c r="F3498" s="1">
        <v>79.55</v>
      </c>
      <c r="G3498" t="s">
        <v>19</v>
      </c>
      <c r="H3498" t="s">
        <v>15</v>
      </c>
      <c r="I3498" s="2">
        <v>4.4000000000000004</v>
      </c>
      <c r="J3498" s="4">
        <v>20</v>
      </c>
      <c r="K3498" s="3">
        <v>5</v>
      </c>
      <c r="L3498" s="1">
        <f t="shared" si="162"/>
        <v>63.64</v>
      </c>
      <c r="M3498" t="str" cm="1">
        <f t="array" ref="M3498">_xlfn.IFS(B3498&lt;18,"Under 18",B3498 &lt;=25,"18-25",B3498&lt;=35,"26-35",B3498&lt;=45,"36-45",B3498&lt;=60,"46-60",TRUE,"60+")</f>
        <v>26-35</v>
      </c>
      <c r="N3498" t="str">
        <f t="shared" si="163"/>
        <v>Discounted</v>
      </c>
      <c r="O3498" t="str">
        <f t="shared" si="164"/>
        <v>Returning</v>
      </c>
    </row>
    <row r="3499" spans="1:15" x14ac:dyDescent="0.25">
      <c r="A3499">
        <v>3498</v>
      </c>
      <c r="B3499">
        <v>38</v>
      </c>
      <c r="C3499" t="s">
        <v>16</v>
      </c>
      <c r="D3499" t="s">
        <v>33</v>
      </c>
      <c r="E3499" t="s">
        <v>38</v>
      </c>
      <c r="F3499" s="1">
        <v>171</v>
      </c>
      <c r="G3499" t="s">
        <v>14</v>
      </c>
      <c r="H3499" t="s">
        <v>15</v>
      </c>
      <c r="I3499" s="2">
        <v>2.7</v>
      </c>
      <c r="J3499" s="4">
        <v>12</v>
      </c>
      <c r="K3499" s="3">
        <v>6</v>
      </c>
      <c r="L3499" s="1">
        <f t="shared" si="162"/>
        <v>150.47999999999999</v>
      </c>
      <c r="M3499" t="str" cm="1">
        <f t="array" ref="M3499">_xlfn.IFS(B3499&lt;18,"Under 18",B3499 &lt;=25,"18-25",B3499&lt;=35,"26-35",B3499&lt;=45,"36-45",B3499&lt;=60,"46-60",TRUE,"60+")</f>
        <v>36-45</v>
      </c>
      <c r="N3499" t="str">
        <f t="shared" si="163"/>
        <v>Discounted</v>
      </c>
      <c r="O3499" t="str">
        <f t="shared" si="164"/>
        <v>Returning</v>
      </c>
    </row>
    <row r="3500" spans="1:15" x14ac:dyDescent="0.25">
      <c r="A3500">
        <v>3499</v>
      </c>
      <c r="B3500">
        <v>50</v>
      </c>
      <c r="C3500" t="s">
        <v>11</v>
      </c>
      <c r="D3500" t="s">
        <v>33</v>
      </c>
      <c r="E3500" t="s">
        <v>38</v>
      </c>
      <c r="F3500" s="1">
        <v>109.47</v>
      </c>
      <c r="G3500" t="s">
        <v>14</v>
      </c>
      <c r="H3500" t="s">
        <v>15</v>
      </c>
      <c r="I3500" s="2">
        <v>3.9</v>
      </c>
      <c r="J3500" s="4">
        <v>15</v>
      </c>
      <c r="K3500" s="3">
        <v>5</v>
      </c>
      <c r="L3500" s="1">
        <f t="shared" si="162"/>
        <v>93.049499999999995</v>
      </c>
      <c r="M3500" t="str" cm="1">
        <f t="array" ref="M3500">_xlfn.IFS(B3500&lt;18,"Under 18",B3500 &lt;=25,"18-25",B3500&lt;=35,"26-35",B3500&lt;=45,"36-45",B3500&lt;=60,"46-60",TRUE,"60+")</f>
        <v>46-60</v>
      </c>
      <c r="N3500" t="str">
        <f t="shared" si="163"/>
        <v>Discounted</v>
      </c>
      <c r="O3500" t="str">
        <f t="shared" si="164"/>
        <v>Returning</v>
      </c>
    </row>
    <row r="3501" spans="1:15" x14ac:dyDescent="0.25">
      <c r="A3501">
        <v>3500</v>
      </c>
      <c r="B3501">
        <v>33</v>
      </c>
      <c r="C3501" t="s">
        <v>16</v>
      </c>
      <c r="D3501" t="s">
        <v>27</v>
      </c>
      <c r="E3501" t="s">
        <v>28</v>
      </c>
      <c r="F3501" s="1">
        <v>2664.84</v>
      </c>
      <c r="G3501" t="s">
        <v>24</v>
      </c>
      <c r="H3501" t="s">
        <v>15</v>
      </c>
      <c r="I3501" s="2">
        <v>5</v>
      </c>
      <c r="J3501" s="4">
        <v>22</v>
      </c>
      <c r="K3501" s="3">
        <v>6</v>
      </c>
      <c r="L3501" s="1">
        <f t="shared" si="162"/>
        <v>2078.5752000000002</v>
      </c>
      <c r="M3501" t="str" cm="1">
        <f t="array" ref="M3501">_xlfn.IFS(B3501&lt;18,"Under 18",B3501 &lt;=25,"18-25",B3501&lt;=35,"26-35",B3501&lt;=45,"36-45",B3501&lt;=60,"46-60",TRUE,"60+")</f>
        <v>26-35</v>
      </c>
      <c r="N3501" t="str">
        <f t="shared" si="163"/>
        <v>Discounted</v>
      </c>
      <c r="O3501" t="str">
        <f t="shared" si="164"/>
        <v>Returning</v>
      </c>
    </row>
    <row r="3502" spans="1:15" x14ac:dyDescent="0.25">
      <c r="A3502">
        <v>3501</v>
      </c>
      <c r="B3502">
        <v>38</v>
      </c>
      <c r="C3502" t="s">
        <v>11</v>
      </c>
      <c r="D3502" t="s">
        <v>12</v>
      </c>
      <c r="E3502" t="s">
        <v>50</v>
      </c>
      <c r="F3502" s="1">
        <v>126.81</v>
      </c>
      <c r="G3502" t="s">
        <v>19</v>
      </c>
      <c r="H3502" t="s">
        <v>15</v>
      </c>
      <c r="I3502" s="2">
        <v>4.0999999999999996</v>
      </c>
      <c r="J3502" s="4">
        <v>15</v>
      </c>
      <c r="K3502" s="3">
        <v>5</v>
      </c>
      <c r="L3502" s="1">
        <f t="shared" si="162"/>
        <v>107.7885</v>
      </c>
      <c r="M3502" t="str" cm="1">
        <f t="array" ref="M3502">_xlfn.IFS(B3502&lt;18,"Under 18",B3502 &lt;=25,"18-25",B3502&lt;=35,"26-35",B3502&lt;=45,"36-45",B3502&lt;=60,"46-60",TRUE,"60+")</f>
        <v>36-45</v>
      </c>
      <c r="N3502" t="str">
        <f t="shared" si="163"/>
        <v>Discounted</v>
      </c>
      <c r="O3502" t="str">
        <f t="shared" si="164"/>
        <v>Returning</v>
      </c>
    </row>
    <row r="3503" spans="1:15" x14ac:dyDescent="0.25">
      <c r="A3503">
        <v>3502</v>
      </c>
      <c r="B3503">
        <v>40</v>
      </c>
      <c r="C3503" t="s">
        <v>16</v>
      </c>
      <c r="D3503" t="s">
        <v>20</v>
      </c>
      <c r="E3503" t="s">
        <v>36</v>
      </c>
      <c r="F3503" s="1">
        <v>200.09</v>
      </c>
      <c r="G3503" t="s">
        <v>31</v>
      </c>
      <c r="H3503" t="s">
        <v>15</v>
      </c>
      <c r="I3503" s="2">
        <v>3.7</v>
      </c>
      <c r="J3503" s="4">
        <v>20</v>
      </c>
      <c r="K3503" s="3">
        <v>5</v>
      </c>
      <c r="L3503" s="1">
        <f t="shared" si="162"/>
        <v>160.072</v>
      </c>
      <c r="M3503" t="str" cm="1">
        <f t="array" ref="M3503">_xlfn.IFS(B3503&lt;18,"Under 18",B3503 &lt;=25,"18-25",B3503&lt;=35,"26-35",B3503&lt;=45,"36-45",B3503&lt;=60,"46-60",TRUE,"60+")</f>
        <v>36-45</v>
      </c>
      <c r="N3503" t="str">
        <f t="shared" si="163"/>
        <v>Discounted</v>
      </c>
      <c r="O3503" t="str">
        <f t="shared" si="164"/>
        <v>Returning</v>
      </c>
    </row>
    <row r="3504" spans="1:15" x14ac:dyDescent="0.25">
      <c r="A3504">
        <v>3503</v>
      </c>
      <c r="B3504">
        <v>37</v>
      </c>
      <c r="C3504" t="s">
        <v>11</v>
      </c>
      <c r="D3504" t="s">
        <v>33</v>
      </c>
      <c r="E3504" t="s">
        <v>40</v>
      </c>
      <c r="F3504" s="1">
        <v>163.18</v>
      </c>
      <c r="G3504" t="s">
        <v>14</v>
      </c>
      <c r="H3504" t="s">
        <v>15</v>
      </c>
      <c r="I3504" s="2">
        <v>4.4000000000000004</v>
      </c>
      <c r="J3504" s="4">
        <v>20</v>
      </c>
      <c r="K3504" s="3">
        <v>5</v>
      </c>
      <c r="L3504" s="1">
        <f t="shared" si="162"/>
        <v>130.54400000000001</v>
      </c>
      <c r="M3504" t="str" cm="1">
        <f t="array" ref="M3504">_xlfn.IFS(B3504&lt;18,"Under 18",B3504 &lt;=25,"18-25",B3504&lt;=35,"26-35",B3504&lt;=45,"36-45",B3504&lt;=60,"46-60",TRUE,"60+")</f>
        <v>36-45</v>
      </c>
      <c r="N3504" t="str">
        <f t="shared" si="163"/>
        <v>Discounted</v>
      </c>
      <c r="O3504" t="str">
        <f t="shared" si="164"/>
        <v>Returning</v>
      </c>
    </row>
    <row r="3505" spans="1:15" x14ac:dyDescent="0.25">
      <c r="A3505">
        <v>3504</v>
      </c>
      <c r="B3505">
        <v>50</v>
      </c>
      <c r="C3505" t="s">
        <v>16</v>
      </c>
      <c r="D3505" t="s">
        <v>20</v>
      </c>
      <c r="E3505" t="s">
        <v>21</v>
      </c>
      <c r="F3505" s="1">
        <v>112.61</v>
      </c>
      <c r="G3505" t="s">
        <v>24</v>
      </c>
      <c r="H3505" t="s">
        <v>15</v>
      </c>
      <c r="I3505" s="2">
        <v>4.5</v>
      </c>
      <c r="J3505" s="4">
        <v>17</v>
      </c>
      <c r="K3505" s="3">
        <v>6</v>
      </c>
      <c r="L3505" s="1">
        <f t="shared" si="162"/>
        <v>93.46629999999999</v>
      </c>
      <c r="M3505" t="str" cm="1">
        <f t="array" ref="M3505">_xlfn.IFS(B3505&lt;18,"Under 18",B3505 &lt;=25,"18-25",B3505&lt;=35,"26-35",B3505&lt;=45,"36-45",B3505&lt;=60,"46-60",TRUE,"60+")</f>
        <v>46-60</v>
      </c>
      <c r="N3505" t="str">
        <f t="shared" si="163"/>
        <v>Discounted</v>
      </c>
      <c r="O3505" t="str">
        <f t="shared" si="164"/>
        <v>Returning</v>
      </c>
    </row>
    <row r="3506" spans="1:15" x14ac:dyDescent="0.25">
      <c r="A3506">
        <v>3505</v>
      </c>
      <c r="B3506">
        <v>47</v>
      </c>
      <c r="C3506" t="s">
        <v>11</v>
      </c>
      <c r="D3506" t="s">
        <v>25</v>
      </c>
      <c r="E3506" t="s">
        <v>26</v>
      </c>
      <c r="F3506" s="1">
        <v>73.2</v>
      </c>
      <c r="G3506" t="s">
        <v>31</v>
      </c>
      <c r="H3506" t="s">
        <v>37</v>
      </c>
      <c r="I3506" s="2">
        <v>3.6</v>
      </c>
      <c r="J3506" s="4">
        <v>22</v>
      </c>
      <c r="K3506" s="3">
        <v>6</v>
      </c>
      <c r="L3506" s="1">
        <f t="shared" si="162"/>
        <v>57.096000000000004</v>
      </c>
      <c r="M3506" t="str" cm="1">
        <f t="array" ref="M3506">_xlfn.IFS(B3506&lt;18,"Under 18",B3506 &lt;=25,"18-25",B3506&lt;=35,"26-35",B3506&lt;=45,"36-45",B3506&lt;=60,"46-60",TRUE,"60+")</f>
        <v>46-60</v>
      </c>
      <c r="N3506" t="str">
        <f t="shared" si="163"/>
        <v>Discounted</v>
      </c>
      <c r="O3506" t="str">
        <f t="shared" si="164"/>
        <v>Returning</v>
      </c>
    </row>
    <row r="3507" spans="1:15" x14ac:dyDescent="0.25">
      <c r="A3507">
        <v>3506</v>
      </c>
      <c r="B3507">
        <v>49</v>
      </c>
      <c r="C3507" t="s">
        <v>11</v>
      </c>
      <c r="D3507" t="s">
        <v>12</v>
      </c>
      <c r="E3507" t="s">
        <v>50</v>
      </c>
      <c r="F3507" s="1">
        <v>41.27</v>
      </c>
      <c r="G3507" t="s">
        <v>14</v>
      </c>
      <c r="H3507" t="s">
        <v>15</v>
      </c>
      <c r="I3507" s="2">
        <v>2.1</v>
      </c>
      <c r="J3507" s="4">
        <v>4</v>
      </c>
      <c r="K3507" s="3">
        <v>2</v>
      </c>
      <c r="L3507" s="1">
        <f t="shared" si="162"/>
        <v>39.619199999999999</v>
      </c>
      <c r="M3507" t="str" cm="1">
        <f t="array" ref="M3507">_xlfn.IFS(B3507&lt;18,"Under 18",B3507 &lt;=25,"18-25",B3507&lt;=35,"26-35",B3507&lt;=45,"36-45",B3507&lt;=60,"46-60",TRUE,"60+")</f>
        <v>46-60</v>
      </c>
      <c r="N3507" t="str">
        <f t="shared" si="163"/>
        <v>Discounted</v>
      </c>
      <c r="O3507" t="str">
        <f t="shared" si="164"/>
        <v>Returning</v>
      </c>
    </row>
    <row r="3508" spans="1:15" x14ac:dyDescent="0.25">
      <c r="A3508">
        <v>3507</v>
      </c>
      <c r="B3508">
        <v>70</v>
      </c>
      <c r="C3508" t="s">
        <v>16</v>
      </c>
      <c r="D3508" t="s">
        <v>27</v>
      </c>
      <c r="E3508" t="s">
        <v>32</v>
      </c>
      <c r="F3508" s="1">
        <v>2742.82</v>
      </c>
      <c r="G3508" t="s">
        <v>31</v>
      </c>
      <c r="H3508" t="s">
        <v>15</v>
      </c>
      <c r="I3508" s="2">
        <v>4</v>
      </c>
      <c r="J3508" s="4">
        <v>22</v>
      </c>
      <c r="K3508" s="3">
        <v>6</v>
      </c>
      <c r="L3508" s="1">
        <f t="shared" si="162"/>
        <v>2139.3996000000002</v>
      </c>
      <c r="M3508" t="str" cm="1">
        <f t="array" ref="M3508">_xlfn.IFS(B3508&lt;18,"Under 18",B3508 &lt;=25,"18-25",B3508&lt;=35,"26-35",B3508&lt;=45,"36-45",B3508&lt;=60,"46-60",TRUE,"60+")</f>
        <v>60+</v>
      </c>
      <c r="N3508" t="str">
        <f t="shared" si="163"/>
        <v>Discounted</v>
      </c>
      <c r="O3508" t="str">
        <f t="shared" si="164"/>
        <v>Returning</v>
      </c>
    </row>
    <row r="3509" spans="1:15" x14ac:dyDescent="0.25">
      <c r="A3509">
        <v>3508</v>
      </c>
      <c r="B3509">
        <v>32</v>
      </c>
      <c r="C3509" t="s">
        <v>11</v>
      </c>
      <c r="D3509" t="s">
        <v>25</v>
      </c>
      <c r="E3509" t="s">
        <v>57</v>
      </c>
      <c r="F3509" s="1">
        <v>9.6999999999999993</v>
      </c>
      <c r="G3509" t="s">
        <v>19</v>
      </c>
      <c r="H3509" t="s">
        <v>15</v>
      </c>
      <c r="I3509" s="2">
        <v>4.4000000000000004</v>
      </c>
      <c r="J3509" s="4">
        <v>10</v>
      </c>
      <c r="K3509" s="3">
        <v>5</v>
      </c>
      <c r="L3509" s="1">
        <f t="shared" si="162"/>
        <v>8.73</v>
      </c>
      <c r="M3509" t="str" cm="1">
        <f t="array" ref="M3509">_xlfn.IFS(B3509&lt;18,"Under 18",B3509 &lt;=25,"18-25",B3509&lt;=35,"26-35",B3509&lt;=45,"36-45",B3509&lt;=60,"46-60",TRUE,"60+")</f>
        <v>26-35</v>
      </c>
      <c r="N3509" t="str">
        <f t="shared" si="163"/>
        <v>Discounted</v>
      </c>
      <c r="O3509" t="str">
        <f t="shared" si="164"/>
        <v>Returning</v>
      </c>
    </row>
    <row r="3510" spans="1:15" x14ac:dyDescent="0.25">
      <c r="A3510">
        <v>3509</v>
      </c>
      <c r="B3510">
        <v>65</v>
      </c>
      <c r="C3510" t="s">
        <v>11</v>
      </c>
      <c r="D3510" t="s">
        <v>12</v>
      </c>
      <c r="E3510" t="s">
        <v>50</v>
      </c>
      <c r="F3510" s="1">
        <v>34.49</v>
      </c>
      <c r="G3510" t="s">
        <v>19</v>
      </c>
      <c r="H3510" t="s">
        <v>15</v>
      </c>
      <c r="I3510" s="2">
        <v>3.1</v>
      </c>
      <c r="J3510" s="4">
        <v>22</v>
      </c>
      <c r="K3510" s="3">
        <v>6</v>
      </c>
      <c r="L3510" s="1">
        <f t="shared" si="162"/>
        <v>26.902200000000004</v>
      </c>
      <c r="M3510" t="str" cm="1">
        <f t="array" ref="M3510">_xlfn.IFS(B3510&lt;18,"Under 18",B3510 &lt;=25,"18-25",B3510&lt;=35,"26-35",B3510&lt;=45,"36-45",B3510&lt;=60,"46-60",TRUE,"60+")</f>
        <v>60+</v>
      </c>
      <c r="N3510" t="str">
        <f t="shared" si="163"/>
        <v>Discounted</v>
      </c>
      <c r="O3510" t="str">
        <f t="shared" si="164"/>
        <v>Returning</v>
      </c>
    </row>
    <row r="3511" spans="1:15" x14ac:dyDescent="0.25">
      <c r="A3511">
        <v>3510</v>
      </c>
      <c r="B3511">
        <v>39</v>
      </c>
      <c r="C3511" t="s">
        <v>16</v>
      </c>
      <c r="D3511" t="s">
        <v>17</v>
      </c>
      <c r="E3511" t="s">
        <v>42</v>
      </c>
      <c r="F3511" s="1">
        <v>84.03</v>
      </c>
      <c r="G3511" t="s">
        <v>24</v>
      </c>
      <c r="H3511" t="s">
        <v>37</v>
      </c>
      <c r="I3511" s="2">
        <v>4</v>
      </c>
      <c r="J3511" s="4">
        <v>11</v>
      </c>
      <c r="K3511" s="3">
        <v>3</v>
      </c>
      <c r="L3511" s="1">
        <f t="shared" si="162"/>
        <v>74.786699999999996</v>
      </c>
      <c r="M3511" t="str" cm="1">
        <f t="array" ref="M3511">_xlfn.IFS(B3511&lt;18,"Under 18",B3511 &lt;=25,"18-25",B3511&lt;=35,"26-35",B3511&lt;=45,"36-45",B3511&lt;=60,"46-60",TRUE,"60+")</f>
        <v>36-45</v>
      </c>
      <c r="N3511" t="str">
        <f t="shared" si="163"/>
        <v>Discounted</v>
      </c>
      <c r="O3511" t="str">
        <f t="shared" si="164"/>
        <v>Returning</v>
      </c>
    </row>
    <row r="3512" spans="1:15" x14ac:dyDescent="0.25">
      <c r="A3512">
        <v>3511</v>
      </c>
      <c r="B3512">
        <v>58</v>
      </c>
      <c r="C3512" t="s">
        <v>16</v>
      </c>
      <c r="D3512" t="s">
        <v>17</v>
      </c>
      <c r="E3512" t="s">
        <v>18</v>
      </c>
      <c r="F3512" s="1">
        <v>147.16999999999999</v>
      </c>
      <c r="G3512" t="s">
        <v>24</v>
      </c>
      <c r="H3512" t="s">
        <v>15</v>
      </c>
      <c r="I3512" s="2">
        <v>4.5</v>
      </c>
      <c r="J3512" s="4">
        <v>6</v>
      </c>
      <c r="K3512" s="3">
        <v>3</v>
      </c>
      <c r="L3512" s="1">
        <f t="shared" si="162"/>
        <v>138.33979999999997</v>
      </c>
      <c r="M3512" t="str" cm="1">
        <f t="array" ref="M3512">_xlfn.IFS(B3512&lt;18,"Under 18",B3512 &lt;=25,"18-25",B3512&lt;=35,"26-35",B3512&lt;=45,"36-45",B3512&lt;=60,"46-60",TRUE,"60+")</f>
        <v>46-60</v>
      </c>
      <c r="N3512" t="str">
        <f t="shared" si="163"/>
        <v>Discounted</v>
      </c>
      <c r="O3512" t="str">
        <f t="shared" si="164"/>
        <v>Returning</v>
      </c>
    </row>
    <row r="3513" spans="1:15" x14ac:dyDescent="0.25">
      <c r="A3513">
        <v>3512</v>
      </c>
      <c r="B3513">
        <v>44</v>
      </c>
      <c r="C3513" t="s">
        <v>11</v>
      </c>
      <c r="D3513" t="s">
        <v>25</v>
      </c>
      <c r="E3513" t="s">
        <v>54</v>
      </c>
      <c r="F3513" s="1">
        <v>29.29</v>
      </c>
      <c r="G3513" t="s">
        <v>31</v>
      </c>
      <c r="H3513" t="s">
        <v>37</v>
      </c>
      <c r="I3513" s="2">
        <v>4.8</v>
      </c>
      <c r="J3513" s="4">
        <v>9</v>
      </c>
      <c r="K3513" s="3">
        <v>2</v>
      </c>
      <c r="L3513" s="1">
        <f t="shared" si="162"/>
        <v>26.6539</v>
      </c>
      <c r="M3513" t="str" cm="1">
        <f t="array" ref="M3513">_xlfn.IFS(B3513&lt;18,"Under 18",B3513 &lt;=25,"18-25",B3513&lt;=35,"26-35",B3513&lt;=45,"36-45",B3513&lt;=60,"46-60",TRUE,"60+")</f>
        <v>36-45</v>
      </c>
      <c r="N3513" t="str">
        <f t="shared" si="163"/>
        <v>Discounted</v>
      </c>
      <c r="O3513" t="str">
        <f t="shared" si="164"/>
        <v>Returning</v>
      </c>
    </row>
    <row r="3514" spans="1:15" x14ac:dyDescent="0.25">
      <c r="A3514">
        <v>3513</v>
      </c>
      <c r="B3514">
        <v>38</v>
      </c>
      <c r="C3514" t="s">
        <v>16</v>
      </c>
      <c r="D3514" t="s">
        <v>22</v>
      </c>
      <c r="E3514" t="s">
        <v>43</v>
      </c>
      <c r="F3514" s="1">
        <v>180.38</v>
      </c>
      <c r="G3514" t="s">
        <v>14</v>
      </c>
      <c r="H3514" t="s">
        <v>15</v>
      </c>
      <c r="I3514" s="2">
        <v>2.9</v>
      </c>
      <c r="J3514" s="4">
        <v>14</v>
      </c>
      <c r="K3514" s="3">
        <v>7</v>
      </c>
      <c r="L3514" s="1">
        <f t="shared" si="162"/>
        <v>155.1268</v>
      </c>
      <c r="M3514" t="str" cm="1">
        <f t="array" ref="M3514">_xlfn.IFS(B3514&lt;18,"Under 18",B3514 &lt;=25,"18-25",B3514&lt;=35,"26-35",B3514&lt;=45,"36-45",B3514&lt;=60,"46-60",TRUE,"60+")</f>
        <v>36-45</v>
      </c>
      <c r="N3514" t="str">
        <f t="shared" si="163"/>
        <v>Discounted</v>
      </c>
      <c r="O3514" t="str">
        <f t="shared" si="164"/>
        <v>Returning</v>
      </c>
    </row>
    <row r="3515" spans="1:15" x14ac:dyDescent="0.25">
      <c r="A3515">
        <v>3514</v>
      </c>
      <c r="B3515">
        <v>65</v>
      </c>
      <c r="C3515" t="s">
        <v>16</v>
      </c>
      <c r="D3515" t="s">
        <v>27</v>
      </c>
      <c r="E3515" t="s">
        <v>53</v>
      </c>
      <c r="F3515" s="1">
        <v>1279.3</v>
      </c>
      <c r="G3515" t="s">
        <v>14</v>
      </c>
      <c r="H3515" t="s">
        <v>15</v>
      </c>
      <c r="I3515" s="2">
        <v>4.4000000000000004</v>
      </c>
      <c r="J3515" s="4">
        <v>11</v>
      </c>
      <c r="K3515" s="3">
        <v>3</v>
      </c>
      <c r="L3515" s="1">
        <f t="shared" si="162"/>
        <v>1138.577</v>
      </c>
      <c r="M3515" t="str" cm="1">
        <f t="array" ref="M3515">_xlfn.IFS(B3515&lt;18,"Under 18",B3515 &lt;=25,"18-25",B3515&lt;=35,"26-35",B3515&lt;=45,"36-45",B3515&lt;=60,"46-60",TRUE,"60+")</f>
        <v>60+</v>
      </c>
      <c r="N3515" t="str">
        <f t="shared" si="163"/>
        <v>Discounted</v>
      </c>
      <c r="O3515" t="str">
        <f t="shared" si="164"/>
        <v>Returning</v>
      </c>
    </row>
    <row r="3516" spans="1:15" x14ac:dyDescent="0.25">
      <c r="A3516">
        <v>3515</v>
      </c>
      <c r="B3516">
        <v>23</v>
      </c>
      <c r="C3516" t="s">
        <v>11</v>
      </c>
      <c r="D3516" t="s">
        <v>41</v>
      </c>
      <c r="E3516" t="s">
        <v>44</v>
      </c>
      <c r="F3516" s="1">
        <v>31.4</v>
      </c>
      <c r="G3516" t="s">
        <v>31</v>
      </c>
      <c r="H3516" t="s">
        <v>37</v>
      </c>
      <c r="I3516" s="2">
        <v>3</v>
      </c>
      <c r="J3516" s="4">
        <v>8</v>
      </c>
      <c r="K3516" s="3">
        <v>4</v>
      </c>
      <c r="L3516" s="1">
        <f t="shared" si="162"/>
        <v>28.888000000000002</v>
      </c>
      <c r="M3516" t="str" cm="1">
        <f t="array" ref="M3516">_xlfn.IFS(B3516&lt;18,"Under 18",B3516 &lt;=25,"18-25",B3516&lt;=35,"26-35",B3516&lt;=45,"36-45",B3516&lt;=60,"46-60",TRUE,"60+")</f>
        <v>18-25</v>
      </c>
      <c r="N3516" t="str">
        <f t="shared" si="163"/>
        <v>Discounted</v>
      </c>
      <c r="O3516" t="str">
        <f t="shared" si="164"/>
        <v>Returning</v>
      </c>
    </row>
    <row r="3517" spans="1:15" x14ac:dyDescent="0.25">
      <c r="A3517">
        <v>3516</v>
      </c>
      <c r="B3517">
        <v>20</v>
      </c>
      <c r="C3517" t="s">
        <v>11</v>
      </c>
      <c r="D3517" t="s">
        <v>25</v>
      </c>
      <c r="E3517" t="s">
        <v>57</v>
      </c>
      <c r="F3517" s="1">
        <v>47.95</v>
      </c>
      <c r="G3517" t="s">
        <v>19</v>
      </c>
      <c r="H3517" t="s">
        <v>15</v>
      </c>
      <c r="I3517" s="2">
        <v>4.3</v>
      </c>
      <c r="J3517" s="4">
        <v>24</v>
      </c>
      <c r="K3517" s="3">
        <v>7</v>
      </c>
      <c r="L3517" s="1">
        <f t="shared" si="162"/>
        <v>36.442</v>
      </c>
      <c r="M3517" t="str" cm="1">
        <f t="array" ref="M3517">_xlfn.IFS(B3517&lt;18,"Under 18",B3517 &lt;=25,"18-25",B3517&lt;=35,"26-35",B3517&lt;=45,"36-45",B3517&lt;=60,"46-60",TRUE,"60+")</f>
        <v>18-25</v>
      </c>
      <c r="N3517" t="str">
        <f t="shared" si="163"/>
        <v>Discounted</v>
      </c>
      <c r="O3517" t="str">
        <f t="shared" si="164"/>
        <v>Returning</v>
      </c>
    </row>
    <row r="3518" spans="1:15" x14ac:dyDescent="0.25">
      <c r="A3518">
        <v>3517</v>
      </c>
      <c r="B3518">
        <v>36</v>
      </c>
      <c r="C3518" t="s">
        <v>11</v>
      </c>
      <c r="D3518" t="s">
        <v>41</v>
      </c>
      <c r="E3518" t="s">
        <v>45</v>
      </c>
      <c r="F3518" s="1">
        <v>98.93</v>
      </c>
      <c r="G3518" t="s">
        <v>19</v>
      </c>
      <c r="H3518" t="s">
        <v>15</v>
      </c>
      <c r="I3518" s="2">
        <v>4.4000000000000004</v>
      </c>
      <c r="J3518" s="4">
        <v>10</v>
      </c>
      <c r="K3518" s="3">
        <v>5</v>
      </c>
      <c r="L3518" s="1">
        <f t="shared" si="162"/>
        <v>89.037000000000006</v>
      </c>
      <c r="M3518" t="str" cm="1">
        <f t="array" ref="M3518">_xlfn.IFS(B3518&lt;18,"Under 18",B3518 &lt;=25,"18-25",B3518&lt;=35,"26-35",B3518&lt;=45,"36-45",B3518&lt;=60,"46-60",TRUE,"60+")</f>
        <v>36-45</v>
      </c>
      <c r="N3518" t="str">
        <f t="shared" si="163"/>
        <v>Discounted</v>
      </c>
      <c r="O3518" t="str">
        <f t="shared" si="164"/>
        <v>Returning</v>
      </c>
    </row>
    <row r="3519" spans="1:15" x14ac:dyDescent="0.25">
      <c r="A3519">
        <v>3518</v>
      </c>
      <c r="B3519">
        <v>46</v>
      </c>
      <c r="C3519" t="s">
        <v>11</v>
      </c>
      <c r="D3519" t="s">
        <v>41</v>
      </c>
      <c r="E3519" t="s">
        <v>45</v>
      </c>
      <c r="F3519" s="1">
        <v>84.09</v>
      </c>
      <c r="G3519" t="s">
        <v>31</v>
      </c>
      <c r="H3519" t="s">
        <v>15</v>
      </c>
      <c r="I3519" s="2">
        <v>3.4</v>
      </c>
      <c r="J3519" s="4">
        <v>4</v>
      </c>
      <c r="K3519" s="3">
        <v>2</v>
      </c>
      <c r="L3519" s="1">
        <f t="shared" si="162"/>
        <v>80.726399999999998</v>
      </c>
      <c r="M3519" t="str" cm="1">
        <f t="array" ref="M3519">_xlfn.IFS(B3519&lt;18,"Under 18",B3519 &lt;=25,"18-25",B3519&lt;=35,"26-35",B3519&lt;=45,"36-45",B3519&lt;=60,"46-60",TRUE,"60+")</f>
        <v>46-60</v>
      </c>
      <c r="N3519" t="str">
        <f t="shared" si="163"/>
        <v>Discounted</v>
      </c>
      <c r="O3519" t="str">
        <f t="shared" si="164"/>
        <v>Returning</v>
      </c>
    </row>
    <row r="3520" spans="1:15" x14ac:dyDescent="0.25">
      <c r="A3520">
        <v>3519</v>
      </c>
      <c r="B3520">
        <v>45</v>
      </c>
      <c r="C3520" t="s">
        <v>16</v>
      </c>
      <c r="D3520" t="s">
        <v>33</v>
      </c>
      <c r="E3520" t="s">
        <v>38</v>
      </c>
      <c r="F3520" s="1">
        <v>174.22</v>
      </c>
      <c r="G3520" t="s">
        <v>31</v>
      </c>
      <c r="H3520" t="s">
        <v>15</v>
      </c>
      <c r="I3520" s="2">
        <v>4</v>
      </c>
      <c r="J3520" s="4">
        <v>13</v>
      </c>
      <c r="K3520" s="3">
        <v>4</v>
      </c>
      <c r="L3520" s="1">
        <f t="shared" si="162"/>
        <v>151.57140000000001</v>
      </c>
      <c r="M3520" t="str" cm="1">
        <f t="array" ref="M3520">_xlfn.IFS(B3520&lt;18,"Under 18",B3520 &lt;=25,"18-25",B3520&lt;=35,"26-35",B3520&lt;=45,"36-45",B3520&lt;=60,"46-60",TRUE,"60+")</f>
        <v>36-45</v>
      </c>
      <c r="N3520" t="str">
        <f t="shared" si="163"/>
        <v>Discounted</v>
      </c>
      <c r="O3520" t="str">
        <f t="shared" si="164"/>
        <v>Returning</v>
      </c>
    </row>
    <row r="3521" spans="1:15" x14ac:dyDescent="0.25">
      <c r="A3521">
        <v>3520</v>
      </c>
      <c r="B3521">
        <v>62</v>
      </c>
      <c r="C3521" t="s">
        <v>16</v>
      </c>
      <c r="D3521" t="s">
        <v>20</v>
      </c>
      <c r="E3521" t="s">
        <v>36</v>
      </c>
      <c r="F3521" s="1">
        <v>50.18</v>
      </c>
      <c r="G3521" t="s">
        <v>19</v>
      </c>
      <c r="H3521" t="s">
        <v>15</v>
      </c>
      <c r="I3521" s="2">
        <v>3.4</v>
      </c>
      <c r="J3521" s="4">
        <v>24</v>
      </c>
      <c r="K3521" s="3">
        <v>7</v>
      </c>
      <c r="L3521" s="1">
        <f t="shared" si="162"/>
        <v>38.136800000000001</v>
      </c>
      <c r="M3521" t="str" cm="1">
        <f t="array" ref="M3521">_xlfn.IFS(B3521&lt;18,"Under 18",B3521 &lt;=25,"18-25",B3521&lt;=35,"26-35",B3521&lt;=45,"36-45",B3521&lt;=60,"46-60",TRUE,"60+")</f>
        <v>60+</v>
      </c>
      <c r="N3521" t="str">
        <f t="shared" si="163"/>
        <v>Discounted</v>
      </c>
      <c r="O3521" t="str">
        <f t="shared" si="164"/>
        <v>Returning</v>
      </c>
    </row>
    <row r="3522" spans="1:15" x14ac:dyDescent="0.25">
      <c r="A3522">
        <v>3521</v>
      </c>
      <c r="B3522">
        <v>66</v>
      </c>
      <c r="C3522" t="s">
        <v>16</v>
      </c>
      <c r="D3522" t="s">
        <v>27</v>
      </c>
      <c r="E3522" t="s">
        <v>32</v>
      </c>
      <c r="F3522" s="1">
        <v>2988.75</v>
      </c>
      <c r="G3522" t="s">
        <v>19</v>
      </c>
      <c r="H3522" t="s">
        <v>15</v>
      </c>
      <c r="I3522" s="2">
        <v>4.0999999999999996</v>
      </c>
      <c r="J3522" s="4">
        <v>8</v>
      </c>
      <c r="K3522" s="3">
        <v>4</v>
      </c>
      <c r="L3522" s="1">
        <f t="shared" si="162"/>
        <v>2749.65</v>
      </c>
      <c r="M3522" t="str" cm="1">
        <f t="array" ref="M3522">_xlfn.IFS(B3522&lt;18,"Under 18",B3522 &lt;=25,"18-25",B3522&lt;=35,"26-35",B3522&lt;=45,"36-45",B3522&lt;=60,"46-60",TRUE,"60+")</f>
        <v>60+</v>
      </c>
      <c r="N3522" t="str">
        <f t="shared" si="163"/>
        <v>Discounted</v>
      </c>
      <c r="O3522" t="str">
        <f t="shared" si="164"/>
        <v>Returning</v>
      </c>
    </row>
    <row r="3523" spans="1:15" x14ac:dyDescent="0.25">
      <c r="A3523">
        <v>3522</v>
      </c>
      <c r="B3523">
        <v>25</v>
      </c>
      <c r="C3523" t="s">
        <v>16</v>
      </c>
      <c r="D3523" t="s">
        <v>33</v>
      </c>
      <c r="E3523" t="s">
        <v>38</v>
      </c>
      <c r="F3523" s="1">
        <v>91.39</v>
      </c>
      <c r="G3523" t="s">
        <v>24</v>
      </c>
      <c r="H3523" t="s">
        <v>37</v>
      </c>
      <c r="I3523" s="2">
        <v>4.5999999999999996</v>
      </c>
      <c r="J3523" s="4">
        <v>21</v>
      </c>
      <c r="K3523" s="3">
        <v>8</v>
      </c>
      <c r="L3523" s="1">
        <f t="shared" ref="L3523:L3586" si="165">F3523 * (1 - J3523 / 100)</f>
        <v>72.198099999999997</v>
      </c>
      <c r="M3523" t="str" cm="1">
        <f t="array" ref="M3523">_xlfn.IFS(B3523&lt;18,"Under 18",B3523 &lt;=25,"18-25",B3523&lt;=35,"26-35",B3523&lt;=45,"36-45",B3523&lt;=60,"46-60",TRUE,"60+")</f>
        <v>18-25</v>
      </c>
      <c r="N3523" t="str">
        <f t="shared" ref="N3523:N3586" si="166">IF(J3523&gt;0,"Discounted","No Discount")</f>
        <v>Discounted</v>
      </c>
      <c r="O3523" t="str">
        <f t="shared" ref="O3523:O3586" si="167">IF(K3523&gt;0,"Returning","New")</f>
        <v>Returning</v>
      </c>
    </row>
    <row r="3524" spans="1:15" x14ac:dyDescent="0.25">
      <c r="A3524">
        <v>3523</v>
      </c>
      <c r="B3524">
        <v>63</v>
      </c>
      <c r="C3524" t="s">
        <v>16</v>
      </c>
      <c r="D3524" t="s">
        <v>33</v>
      </c>
      <c r="E3524" t="s">
        <v>34</v>
      </c>
      <c r="F3524" s="1">
        <v>148.77000000000001</v>
      </c>
      <c r="G3524" t="s">
        <v>24</v>
      </c>
      <c r="H3524" t="s">
        <v>15</v>
      </c>
      <c r="I3524" s="2">
        <v>3.7</v>
      </c>
      <c r="J3524" s="4">
        <v>4</v>
      </c>
      <c r="K3524" s="3">
        <v>2</v>
      </c>
      <c r="L3524" s="1">
        <f t="shared" si="165"/>
        <v>142.8192</v>
      </c>
      <c r="M3524" t="str" cm="1">
        <f t="array" ref="M3524">_xlfn.IFS(B3524&lt;18,"Under 18",B3524 &lt;=25,"18-25",B3524&lt;=35,"26-35",B3524&lt;=45,"36-45",B3524&lt;=60,"46-60",TRUE,"60+")</f>
        <v>60+</v>
      </c>
      <c r="N3524" t="str">
        <f t="shared" si="166"/>
        <v>Discounted</v>
      </c>
      <c r="O3524" t="str">
        <f t="shared" si="167"/>
        <v>Returning</v>
      </c>
    </row>
    <row r="3525" spans="1:15" x14ac:dyDescent="0.25">
      <c r="A3525">
        <v>3524</v>
      </c>
      <c r="B3525">
        <v>68</v>
      </c>
      <c r="C3525" t="s">
        <v>11</v>
      </c>
      <c r="D3525" t="s">
        <v>20</v>
      </c>
      <c r="E3525" t="s">
        <v>39</v>
      </c>
      <c r="F3525" s="1">
        <v>208.26</v>
      </c>
      <c r="G3525" t="s">
        <v>14</v>
      </c>
      <c r="H3525" t="s">
        <v>15</v>
      </c>
      <c r="I3525" s="2">
        <v>3.3</v>
      </c>
      <c r="J3525" s="4">
        <v>6</v>
      </c>
      <c r="K3525" s="3">
        <v>3</v>
      </c>
      <c r="L3525" s="1">
        <f t="shared" si="165"/>
        <v>195.76439999999997</v>
      </c>
      <c r="M3525" t="str" cm="1">
        <f t="array" ref="M3525">_xlfn.IFS(B3525&lt;18,"Under 18",B3525 &lt;=25,"18-25",B3525&lt;=35,"26-35",B3525&lt;=45,"36-45",B3525&lt;=60,"46-60",TRUE,"60+")</f>
        <v>60+</v>
      </c>
      <c r="N3525" t="str">
        <f t="shared" si="166"/>
        <v>Discounted</v>
      </c>
      <c r="O3525" t="str">
        <f t="shared" si="167"/>
        <v>Returning</v>
      </c>
    </row>
    <row r="3526" spans="1:15" x14ac:dyDescent="0.25">
      <c r="A3526">
        <v>3525</v>
      </c>
      <c r="B3526">
        <v>41</v>
      </c>
      <c r="C3526" t="s">
        <v>16</v>
      </c>
      <c r="D3526" t="s">
        <v>25</v>
      </c>
      <c r="E3526" t="s">
        <v>26</v>
      </c>
      <c r="F3526" s="1">
        <v>75.680000000000007</v>
      </c>
      <c r="G3526" t="s">
        <v>14</v>
      </c>
      <c r="H3526" t="s">
        <v>37</v>
      </c>
      <c r="I3526" s="2">
        <v>4.7</v>
      </c>
      <c r="J3526" s="4">
        <v>12</v>
      </c>
      <c r="K3526" s="3">
        <v>1</v>
      </c>
      <c r="L3526" s="1">
        <f t="shared" si="165"/>
        <v>66.598400000000012</v>
      </c>
      <c r="M3526" t="str" cm="1">
        <f t="array" ref="M3526">_xlfn.IFS(B3526&lt;18,"Under 18",B3526 &lt;=25,"18-25",B3526&lt;=35,"26-35",B3526&lt;=45,"36-45",B3526&lt;=60,"46-60",TRUE,"60+")</f>
        <v>36-45</v>
      </c>
      <c r="N3526" t="str">
        <f t="shared" si="166"/>
        <v>Discounted</v>
      </c>
      <c r="O3526" t="str">
        <f t="shared" si="167"/>
        <v>Returning</v>
      </c>
    </row>
    <row r="3527" spans="1:15" x14ac:dyDescent="0.25">
      <c r="A3527">
        <v>3526</v>
      </c>
      <c r="B3527">
        <v>42</v>
      </c>
      <c r="C3527" t="s">
        <v>11</v>
      </c>
      <c r="D3527" t="s">
        <v>41</v>
      </c>
      <c r="E3527" t="s">
        <v>45</v>
      </c>
      <c r="F3527" s="1">
        <v>195.75</v>
      </c>
      <c r="G3527" t="s">
        <v>31</v>
      </c>
      <c r="H3527" t="s">
        <v>15</v>
      </c>
      <c r="I3527" s="2">
        <v>2.7</v>
      </c>
      <c r="J3527" s="4">
        <v>15</v>
      </c>
      <c r="K3527" s="3">
        <v>5</v>
      </c>
      <c r="L3527" s="1">
        <f t="shared" si="165"/>
        <v>166.38749999999999</v>
      </c>
      <c r="M3527" t="str" cm="1">
        <f t="array" ref="M3527">_xlfn.IFS(B3527&lt;18,"Under 18",B3527 &lt;=25,"18-25",B3527&lt;=35,"26-35",B3527&lt;=45,"36-45",B3527&lt;=60,"46-60",TRUE,"60+")</f>
        <v>36-45</v>
      </c>
      <c r="N3527" t="str">
        <f t="shared" si="166"/>
        <v>Discounted</v>
      </c>
      <c r="O3527" t="str">
        <f t="shared" si="167"/>
        <v>Returning</v>
      </c>
    </row>
    <row r="3528" spans="1:15" x14ac:dyDescent="0.25">
      <c r="A3528">
        <v>3527</v>
      </c>
      <c r="B3528">
        <v>20</v>
      </c>
      <c r="C3528" t="s">
        <v>11</v>
      </c>
      <c r="D3528" t="s">
        <v>41</v>
      </c>
      <c r="E3528" t="s">
        <v>44</v>
      </c>
      <c r="F3528" s="1">
        <v>101.76</v>
      </c>
      <c r="G3528" t="s">
        <v>14</v>
      </c>
      <c r="H3528" t="s">
        <v>15</v>
      </c>
      <c r="I3528" s="2">
        <v>3.6</v>
      </c>
      <c r="J3528" s="4">
        <v>4</v>
      </c>
      <c r="K3528" s="3">
        <v>2</v>
      </c>
      <c r="L3528" s="1">
        <f t="shared" si="165"/>
        <v>97.689599999999999</v>
      </c>
      <c r="M3528" t="str" cm="1">
        <f t="array" ref="M3528">_xlfn.IFS(B3528&lt;18,"Under 18",B3528 &lt;=25,"18-25",B3528&lt;=35,"26-35",B3528&lt;=45,"36-45",B3528&lt;=60,"46-60",TRUE,"60+")</f>
        <v>18-25</v>
      </c>
      <c r="N3528" t="str">
        <f t="shared" si="166"/>
        <v>Discounted</v>
      </c>
      <c r="O3528" t="str">
        <f t="shared" si="167"/>
        <v>Returning</v>
      </c>
    </row>
    <row r="3529" spans="1:15" x14ac:dyDescent="0.25">
      <c r="A3529">
        <v>3528</v>
      </c>
      <c r="B3529">
        <v>62</v>
      </c>
      <c r="C3529" t="s">
        <v>16</v>
      </c>
      <c r="D3529" t="s">
        <v>33</v>
      </c>
      <c r="E3529" t="s">
        <v>34</v>
      </c>
      <c r="F3529" s="1">
        <v>162.80000000000001</v>
      </c>
      <c r="G3529" t="s">
        <v>14</v>
      </c>
      <c r="H3529" t="s">
        <v>15</v>
      </c>
      <c r="I3529" s="2">
        <v>4.3</v>
      </c>
      <c r="J3529" s="4">
        <v>22</v>
      </c>
      <c r="K3529" s="3">
        <v>6</v>
      </c>
      <c r="L3529" s="1">
        <f t="shared" si="165"/>
        <v>126.98400000000001</v>
      </c>
      <c r="M3529" t="str" cm="1">
        <f t="array" ref="M3529">_xlfn.IFS(B3529&lt;18,"Under 18",B3529 &lt;=25,"18-25",B3529&lt;=35,"26-35",B3529&lt;=45,"36-45",B3529&lt;=60,"46-60",TRUE,"60+")</f>
        <v>60+</v>
      </c>
      <c r="N3529" t="str">
        <f t="shared" si="166"/>
        <v>Discounted</v>
      </c>
      <c r="O3529" t="str">
        <f t="shared" si="167"/>
        <v>Returning</v>
      </c>
    </row>
    <row r="3530" spans="1:15" x14ac:dyDescent="0.25">
      <c r="A3530">
        <v>3529</v>
      </c>
      <c r="B3530">
        <v>67</v>
      </c>
      <c r="C3530" t="s">
        <v>11</v>
      </c>
      <c r="D3530" t="s">
        <v>41</v>
      </c>
      <c r="E3530" t="s">
        <v>46</v>
      </c>
      <c r="F3530" s="1">
        <v>184.18</v>
      </c>
      <c r="G3530" t="s">
        <v>14</v>
      </c>
      <c r="H3530" t="s">
        <v>15</v>
      </c>
      <c r="I3530" s="2">
        <v>3.2</v>
      </c>
      <c r="J3530" s="4">
        <v>14</v>
      </c>
      <c r="K3530" s="3">
        <v>2</v>
      </c>
      <c r="L3530" s="1">
        <f t="shared" si="165"/>
        <v>158.3948</v>
      </c>
      <c r="M3530" t="str" cm="1">
        <f t="array" ref="M3530">_xlfn.IFS(B3530&lt;18,"Under 18",B3530 &lt;=25,"18-25",B3530&lt;=35,"26-35",B3530&lt;=45,"36-45",B3530&lt;=60,"46-60",TRUE,"60+")</f>
        <v>60+</v>
      </c>
      <c r="N3530" t="str">
        <f t="shared" si="166"/>
        <v>Discounted</v>
      </c>
      <c r="O3530" t="str">
        <f t="shared" si="167"/>
        <v>Returning</v>
      </c>
    </row>
    <row r="3531" spans="1:15" x14ac:dyDescent="0.25">
      <c r="A3531">
        <v>3530</v>
      </c>
      <c r="B3531">
        <v>27</v>
      </c>
      <c r="C3531" t="s">
        <v>11</v>
      </c>
      <c r="D3531" t="s">
        <v>29</v>
      </c>
      <c r="E3531" t="s">
        <v>55</v>
      </c>
      <c r="F3531" s="1">
        <v>92.28</v>
      </c>
      <c r="G3531" t="s">
        <v>24</v>
      </c>
      <c r="H3531" t="s">
        <v>37</v>
      </c>
      <c r="I3531" s="2">
        <v>4.2</v>
      </c>
      <c r="J3531" s="4">
        <v>14</v>
      </c>
      <c r="K3531" s="3">
        <v>2</v>
      </c>
      <c r="L3531" s="1">
        <f t="shared" si="165"/>
        <v>79.360799999999998</v>
      </c>
      <c r="M3531" t="str" cm="1">
        <f t="array" ref="M3531">_xlfn.IFS(B3531&lt;18,"Under 18",B3531 &lt;=25,"18-25",B3531&lt;=35,"26-35",B3531&lt;=45,"36-45",B3531&lt;=60,"46-60",TRUE,"60+")</f>
        <v>26-35</v>
      </c>
      <c r="N3531" t="str">
        <f t="shared" si="166"/>
        <v>Discounted</v>
      </c>
      <c r="O3531" t="str">
        <f t="shared" si="167"/>
        <v>Returning</v>
      </c>
    </row>
    <row r="3532" spans="1:15" x14ac:dyDescent="0.25">
      <c r="A3532">
        <v>3531</v>
      </c>
      <c r="B3532">
        <v>27</v>
      </c>
      <c r="C3532" t="s">
        <v>16</v>
      </c>
      <c r="D3532" t="s">
        <v>22</v>
      </c>
      <c r="E3532" t="s">
        <v>43</v>
      </c>
      <c r="F3532" s="1">
        <v>90.91</v>
      </c>
      <c r="G3532" t="s">
        <v>19</v>
      </c>
      <c r="H3532" t="s">
        <v>15</v>
      </c>
      <c r="I3532" s="2">
        <v>3.6</v>
      </c>
      <c r="J3532" s="4">
        <v>10</v>
      </c>
      <c r="K3532" s="3">
        <v>5</v>
      </c>
      <c r="L3532" s="1">
        <f t="shared" si="165"/>
        <v>81.819000000000003</v>
      </c>
      <c r="M3532" t="str" cm="1">
        <f t="array" ref="M3532">_xlfn.IFS(B3532&lt;18,"Under 18",B3532 &lt;=25,"18-25",B3532&lt;=35,"26-35",B3532&lt;=45,"36-45",B3532&lt;=60,"46-60",TRUE,"60+")</f>
        <v>26-35</v>
      </c>
      <c r="N3532" t="str">
        <f t="shared" si="166"/>
        <v>Discounted</v>
      </c>
      <c r="O3532" t="str">
        <f t="shared" si="167"/>
        <v>Returning</v>
      </c>
    </row>
    <row r="3533" spans="1:15" x14ac:dyDescent="0.25">
      <c r="A3533">
        <v>3532</v>
      </c>
      <c r="B3533">
        <v>69</v>
      </c>
      <c r="C3533" t="s">
        <v>16</v>
      </c>
      <c r="D3533" t="s">
        <v>20</v>
      </c>
      <c r="E3533" t="s">
        <v>36</v>
      </c>
      <c r="F3533" s="1">
        <v>213.7</v>
      </c>
      <c r="G3533" t="s">
        <v>31</v>
      </c>
      <c r="H3533" t="s">
        <v>15</v>
      </c>
      <c r="I3533" s="2">
        <v>3.7</v>
      </c>
      <c r="J3533" s="4">
        <v>6</v>
      </c>
      <c r="K3533" s="3">
        <v>3</v>
      </c>
      <c r="L3533" s="1">
        <f t="shared" si="165"/>
        <v>200.87799999999999</v>
      </c>
      <c r="M3533" t="str" cm="1">
        <f t="array" ref="M3533">_xlfn.IFS(B3533&lt;18,"Under 18",B3533 &lt;=25,"18-25",B3533&lt;=35,"26-35",B3533&lt;=45,"36-45",B3533&lt;=60,"46-60",TRUE,"60+")</f>
        <v>60+</v>
      </c>
      <c r="N3533" t="str">
        <f t="shared" si="166"/>
        <v>Discounted</v>
      </c>
      <c r="O3533" t="str">
        <f t="shared" si="167"/>
        <v>Returning</v>
      </c>
    </row>
    <row r="3534" spans="1:15" x14ac:dyDescent="0.25">
      <c r="A3534">
        <v>3533</v>
      </c>
      <c r="B3534">
        <v>40</v>
      </c>
      <c r="C3534" t="s">
        <v>16</v>
      </c>
      <c r="D3534" t="s">
        <v>27</v>
      </c>
      <c r="E3534" t="s">
        <v>49</v>
      </c>
      <c r="F3534" s="1">
        <v>2397</v>
      </c>
      <c r="G3534" t="s">
        <v>24</v>
      </c>
      <c r="H3534" t="s">
        <v>15</v>
      </c>
      <c r="I3534" s="2">
        <v>4</v>
      </c>
      <c r="J3534" s="4">
        <v>32</v>
      </c>
      <c r="K3534" s="3">
        <v>11</v>
      </c>
      <c r="L3534" s="1">
        <f t="shared" si="165"/>
        <v>1629.9599999999998</v>
      </c>
      <c r="M3534" t="str" cm="1">
        <f t="array" ref="M3534">_xlfn.IFS(B3534&lt;18,"Under 18",B3534 &lt;=25,"18-25",B3534&lt;=35,"26-35",B3534&lt;=45,"36-45",B3534&lt;=60,"46-60",TRUE,"60+")</f>
        <v>36-45</v>
      </c>
      <c r="N3534" t="str">
        <f t="shared" si="166"/>
        <v>Discounted</v>
      </c>
      <c r="O3534" t="str">
        <f t="shared" si="167"/>
        <v>Returning</v>
      </c>
    </row>
    <row r="3535" spans="1:15" x14ac:dyDescent="0.25">
      <c r="A3535">
        <v>3534</v>
      </c>
      <c r="B3535">
        <v>64</v>
      </c>
      <c r="C3535" t="s">
        <v>11</v>
      </c>
      <c r="D3535" t="s">
        <v>12</v>
      </c>
      <c r="E3535" t="s">
        <v>13</v>
      </c>
      <c r="F3535" s="1">
        <v>174.66</v>
      </c>
      <c r="G3535" t="s">
        <v>14</v>
      </c>
      <c r="H3535" t="s">
        <v>15</v>
      </c>
      <c r="I3535" s="2">
        <v>5</v>
      </c>
      <c r="J3535" s="4">
        <v>24</v>
      </c>
      <c r="K3535" s="3">
        <v>7</v>
      </c>
      <c r="L3535" s="1">
        <f t="shared" si="165"/>
        <v>132.74160000000001</v>
      </c>
      <c r="M3535" t="str" cm="1">
        <f t="array" ref="M3535">_xlfn.IFS(B3535&lt;18,"Under 18",B3535 &lt;=25,"18-25",B3535&lt;=35,"26-35",B3535&lt;=45,"36-45",B3535&lt;=60,"46-60",TRUE,"60+")</f>
        <v>60+</v>
      </c>
      <c r="N3535" t="str">
        <f t="shared" si="166"/>
        <v>Discounted</v>
      </c>
      <c r="O3535" t="str">
        <f t="shared" si="167"/>
        <v>Returning</v>
      </c>
    </row>
    <row r="3536" spans="1:15" x14ac:dyDescent="0.25">
      <c r="A3536">
        <v>3535</v>
      </c>
      <c r="B3536">
        <v>34</v>
      </c>
      <c r="C3536" t="s">
        <v>16</v>
      </c>
      <c r="D3536" t="s">
        <v>27</v>
      </c>
      <c r="E3536" t="s">
        <v>32</v>
      </c>
      <c r="F3536" s="1">
        <v>2047.74</v>
      </c>
      <c r="G3536" t="s">
        <v>14</v>
      </c>
      <c r="H3536" t="s">
        <v>15</v>
      </c>
      <c r="I3536" s="2">
        <v>4</v>
      </c>
      <c r="J3536" s="4">
        <v>22</v>
      </c>
      <c r="K3536" s="3">
        <v>6</v>
      </c>
      <c r="L3536" s="1">
        <f t="shared" si="165"/>
        <v>1597.2372</v>
      </c>
      <c r="M3536" t="str" cm="1">
        <f t="array" ref="M3536">_xlfn.IFS(B3536&lt;18,"Under 18",B3536 &lt;=25,"18-25",B3536&lt;=35,"26-35",B3536&lt;=45,"36-45",B3536&lt;=60,"46-60",TRUE,"60+")</f>
        <v>26-35</v>
      </c>
      <c r="N3536" t="str">
        <f t="shared" si="166"/>
        <v>Discounted</v>
      </c>
      <c r="O3536" t="str">
        <f t="shared" si="167"/>
        <v>Returning</v>
      </c>
    </row>
    <row r="3537" spans="1:15" x14ac:dyDescent="0.25">
      <c r="A3537">
        <v>3536</v>
      </c>
      <c r="B3537">
        <v>67</v>
      </c>
      <c r="C3537" t="s">
        <v>11</v>
      </c>
      <c r="D3537" t="s">
        <v>41</v>
      </c>
      <c r="E3537" t="s">
        <v>44</v>
      </c>
      <c r="F3537" s="1">
        <v>148.32</v>
      </c>
      <c r="G3537" t="s">
        <v>19</v>
      </c>
      <c r="H3537" t="s">
        <v>15</v>
      </c>
      <c r="I3537" s="2">
        <v>4.5</v>
      </c>
      <c r="J3537" s="4">
        <v>20</v>
      </c>
      <c r="K3537" s="3">
        <v>5</v>
      </c>
      <c r="L3537" s="1">
        <f t="shared" si="165"/>
        <v>118.65600000000001</v>
      </c>
      <c r="M3537" t="str" cm="1">
        <f t="array" ref="M3537">_xlfn.IFS(B3537&lt;18,"Under 18",B3537 &lt;=25,"18-25",B3537&lt;=35,"26-35",B3537&lt;=45,"36-45",B3537&lt;=60,"46-60",TRUE,"60+")</f>
        <v>60+</v>
      </c>
      <c r="N3537" t="str">
        <f t="shared" si="166"/>
        <v>Discounted</v>
      </c>
      <c r="O3537" t="str">
        <f t="shared" si="167"/>
        <v>Returning</v>
      </c>
    </row>
    <row r="3538" spans="1:15" x14ac:dyDescent="0.25">
      <c r="A3538">
        <v>3537</v>
      </c>
      <c r="B3538">
        <v>27</v>
      </c>
      <c r="C3538" t="s">
        <v>16</v>
      </c>
      <c r="D3538" t="s">
        <v>20</v>
      </c>
      <c r="E3538" t="s">
        <v>21</v>
      </c>
      <c r="F3538" s="1">
        <v>118.03</v>
      </c>
      <c r="G3538" t="s">
        <v>19</v>
      </c>
      <c r="H3538" t="s">
        <v>15</v>
      </c>
      <c r="I3538" s="2">
        <v>4</v>
      </c>
      <c r="J3538" s="4">
        <v>19</v>
      </c>
      <c r="K3538" s="3">
        <v>7</v>
      </c>
      <c r="L3538" s="1">
        <f t="shared" si="165"/>
        <v>95.604300000000009</v>
      </c>
      <c r="M3538" t="str" cm="1">
        <f t="array" ref="M3538">_xlfn.IFS(B3538&lt;18,"Under 18",B3538 &lt;=25,"18-25",B3538&lt;=35,"26-35",B3538&lt;=45,"36-45",B3538&lt;=60,"46-60",TRUE,"60+")</f>
        <v>26-35</v>
      </c>
      <c r="N3538" t="str">
        <f t="shared" si="166"/>
        <v>Discounted</v>
      </c>
      <c r="O3538" t="str">
        <f t="shared" si="167"/>
        <v>Returning</v>
      </c>
    </row>
    <row r="3539" spans="1:15" x14ac:dyDescent="0.25">
      <c r="A3539">
        <v>3538</v>
      </c>
      <c r="B3539">
        <v>33</v>
      </c>
      <c r="C3539" t="s">
        <v>11</v>
      </c>
      <c r="D3539" t="s">
        <v>29</v>
      </c>
      <c r="E3539" t="s">
        <v>55</v>
      </c>
      <c r="F3539" s="1">
        <v>55.18</v>
      </c>
      <c r="G3539" t="s">
        <v>24</v>
      </c>
      <c r="H3539" t="s">
        <v>15</v>
      </c>
      <c r="I3539" s="2">
        <v>3.4</v>
      </c>
      <c r="J3539" s="4">
        <v>13</v>
      </c>
      <c r="K3539" s="3">
        <v>4</v>
      </c>
      <c r="L3539" s="1">
        <f t="shared" si="165"/>
        <v>48.006599999999999</v>
      </c>
      <c r="M3539" t="str" cm="1">
        <f t="array" ref="M3539">_xlfn.IFS(B3539&lt;18,"Under 18",B3539 &lt;=25,"18-25",B3539&lt;=35,"26-35",B3539&lt;=45,"36-45",B3539&lt;=60,"46-60",TRUE,"60+")</f>
        <v>26-35</v>
      </c>
      <c r="N3539" t="str">
        <f t="shared" si="166"/>
        <v>Discounted</v>
      </c>
      <c r="O3539" t="str">
        <f t="shared" si="167"/>
        <v>Returning</v>
      </c>
    </row>
    <row r="3540" spans="1:15" x14ac:dyDescent="0.25">
      <c r="A3540">
        <v>3539</v>
      </c>
      <c r="B3540">
        <v>57</v>
      </c>
      <c r="C3540" t="s">
        <v>11</v>
      </c>
      <c r="D3540" t="s">
        <v>12</v>
      </c>
      <c r="E3540" t="s">
        <v>56</v>
      </c>
      <c r="F3540" s="1">
        <v>39.68</v>
      </c>
      <c r="G3540" t="s">
        <v>31</v>
      </c>
      <c r="H3540" t="s">
        <v>37</v>
      </c>
      <c r="I3540" s="2">
        <v>3.4</v>
      </c>
      <c r="J3540" s="4">
        <v>10</v>
      </c>
      <c r="K3540" s="3">
        <v>5</v>
      </c>
      <c r="L3540" s="1">
        <f t="shared" si="165"/>
        <v>35.712000000000003</v>
      </c>
      <c r="M3540" t="str" cm="1">
        <f t="array" ref="M3540">_xlfn.IFS(B3540&lt;18,"Under 18",B3540 &lt;=25,"18-25",B3540&lt;=35,"26-35",B3540&lt;=45,"36-45",B3540&lt;=60,"46-60",TRUE,"60+")</f>
        <v>46-60</v>
      </c>
      <c r="N3540" t="str">
        <f t="shared" si="166"/>
        <v>Discounted</v>
      </c>
      <c r="O3540" t="str">
        <f t="shared" si="167"/>
        <v>Returning</v>
      </c>
    </row>
    <row r="3541" spans="1:15" x14ac:dyDescent="0.25">
      <c r="A3541">
        <v>3540</v>
      </c>
      <c r="B3541">
        <v>47</v>
      </c>
      <c r="C3541" t="s">
        <v>16</v>
      </c>
      <c r="D3541" t="s">
        <v>33</v>
      </c>
      <c r="E3541" t="s">
        <v>34</v>
      </c>
      <c r="F3541" s="1">
        <v>138.35</v>
      </c>
      <c r="G3541" t="s">
        <v>14</v>
      </c>
      <c r="H3541" t="s">
        <v>15</v>
      </c>
      <c r="I3541" s="2">
        <v>4.5999999999999996</v>
      </c>
      <c r="J3541" s="4">
        <v>15</v>
      </c>
      <c r="K3541" s="3">
        <v>5</v>
      </c>
      <c r="L3541" s="1">
        <f t="shared" si="165"/>
        <v>117.5975</v>
      </c>
      <c r="M3541" t="str" cm="1">
        <f t="array" ref="M3541">_xlfn.IFS(B3541&lt;18,"Under 18",B3541 &lt;=25,"18-25",B3541&lt;=35,"26-35",B3541&lt;=45,"36-45",B3541&lt;=60,"46-60",TRUE,"60+")</f>
        <v>46-60</v>
      </c>
      <c r="N3541" t="str">
        <f t="shared" si="166"/>
        <v>Discounted</v>
      </c>
      <c r="O3541" t="str">
        <f t="shared" si="167"/>
        <v>Returning</v>
      </c>
    </row>
    <row r="3542" spans="1:15" x14ac:dyDescent="0.25">
      <c r="A3542">
        <v>3541</v>
      </c>
      <c r="B3542">
        <v>20</v>
      </c>
      <c r="C3542" t="s">
        <v>11</v>
      </c>
      <c r="D3542" t="s">
        <v>33</v>
      </c>
      <c r="E3542" t="s">
        <v>34</v>
      </c>
      <c r="F3542" s="1">
        <v>80.11</v>
      </c>
      <c r="G3542" t="s">
        <v>24</v>
      </c>
      <c r="H3542" t="s">
        <v>15</v>
      </c>
      <c r="I3542" s="2">
        <v>4.5999999999999996</v>
      </c>
      <c r="J3542" s="4">
        <v>10</v>
      </c>
      <c r="K3542" s="3">
        <v>5</v>
      </c>
      <c r="L3542" s="1">
        <f t="shared" si="165"/>
        <v>72.099000000000004</v>
      </c>
      <c r="M3542" t="str" cm="1">
        <f t="array" ref="M3542">_xlfn.IFS(B3542&lt;18,"Under 18",B3542 &lt;=25,"18-25",B3542&lt;=35,"26-35",B3542&lt;=45,"36-45",B3542&lt;=60,"46-60",TRUE,"60+")</f>
        <v>18-25</v>
      </c>
      <c r="N3542" t="str">
        <f t="shared" si="166"/>
        <v>Discounted</v>
      </c>
      <c r="O3542" t="str">
        <f t="shared" si="167"/>
        <v>Returning</v>
      </c>
    </row>
    <row r="3543" spans="1:15" x14ac:dyDescent="0.25">
      <c r="A3543">
        <v>3542</v>
      </c>
      <c r="B3543">
        <v>58</v>
      </c>
      <c r="C3543" t="s">
        <v>11</v>
      </c>
      <c r="D3543" t="s">
        <v>12</v>
      </c>
      <c r="E3543" t="s">
        <v>13</v>
      </c>
      <c r="F3543" s="1">
        <v>97.52</v>
      </c>
      <c r="G3543" t="s">
        <v>19</v>
      </c>
      <c r="H3543" t="s">
        <v>37</v>
      </c>
      <c r="I3543" s="2">
        <v>2.8</v>
      </c>
      <c r="J3543" s="4">
        <v>10</v>
      </c>
      <c r="K3543" s="3">
        <v>5</v>
      </c>
      <c r="L3543" s="1">
        <f t="shared" si="165"/>
        <v>87.768000000000001</v>
      </c>
      <c r="M3543" t="str" cm="1">
        <f t="array" ref="M3543">_xlfn.IFS(B3543&lt;18,"Under 18",B3543 &lt;=25,"18-25",B3543&lt;=35,"26-35",B3543&lt;=45,"36-45",B3543&lt;=60,"46-60",TRUE,"60+")</f>
        <v>46-60</v>
      </c>
      <c r="N3543" t="str">
        <f t="shared" si="166"/>
        <v>Discounted</v>
      </c>
      <c r="O3543" t="str">
        <f t="shared" si="167"/>
        <v>Returning</v>
      </c>
    </row>
    <row r="3544" spans="1:15" x14ac:dyDescent="0.25">
      <c r="A3544">
        <v>3543</v>
      </c>
      <c r="B3544">
        <v>29</v>
      </c>
      <c r="C3544" t="s">
        <v>11</v>
      </c>
      <c r="D3544" t="s">
        <v>12</v>
      </c>
      <c r="E3544" t="s">
        <v>56</v>
      </c>
      <c r="F3544" s="1">
        <v>135.41999999999999</v>
      </c>
      <c r="G3544" t="s">
        <v>19</v>
      </c>
      <c r="H3544" t="s">
        <v>15</v>
      </c>
      <c r="I3544" s="2">
        <v>3.7</v>
      </c>
      <c r="J3544" s="4">
        <v>10</v>
      </c>
      <c r="K3544" s="3">
        <v>5</v>
      </c>
      <c r="L3544" s="1">
        <f t="shared" si="165"/>
        <v>121.87799999999999</v>
      </c>
      <c r="M3544" t="str" cm="1">
        <f t="array" ref="M3544">_xlfn.IFS(B3544&lt;18,"Under 18",B3544 &lt;=25,"18-25",B3544&lt;=35,"26-35",B3544&lt;=45,"36-45",B3544&lt;=60,"46-60",TRUE,"60+")</f>
        <v>26-35</v>
      </c>
      <c r="N3544" t="str">
        <f t="shared" si="166"/>
        <v>Discounted</v>
      </c>
      <c r="O3544" t="str">
        <f t="shared" si="167"/>
        <v>Returning</v>
      </c>
    </row>
    <row r="3545" spans="1:15" x14ac:dyDescent="0.25">
      <c r="A3545">
        <v>3544</v>
      </c>
      <c r="B3545">
        <v>68</v>
      </c>
      <c r="C3545" t="s">
        <v>16</v>
      </c>
      <c r="D3545" t="s">
        <v>17</v>
      </c>
      <c r="E3545" t="s">
        <v>18</v>
      </c>
      <c r="F3545" s="1">
        <v>95.18</v>
      </c>
      <c r="G3545" t="s">
        <v>14</v>
      </c>
      <c r="H3545" t="s">
        <v>15</v>
      </c>
      <c r="I3545" s="2">
        <v>4.4000000000000004</v>
      </c>
      <c r="J3545" s="4">
        <v>17</v>
      </c>
      <c r="K3545" s="3">
        <v>6</v>
      </c>
      <c r="L3545" s="1">
        <f t="shared" si="165"/>
        <v>78.999400000000009</v>
      </c>
      <c r="M3545" t="str" cm="1">
        <f t="array" ref="M3545">_xlfn.IFS(B3545&lt;18,"Under 18",B3545 &lt;=25,"18-25",B3545&lt;=35,"26-35",B3545&lt;=45,"36-45",B3545&lt;=60,"46-60",TRUE,"60+")</f>
        <v>60+</v>
      </c>
      <c r="N3545" t="str">
        <f t="shared" si="166"/>
        <v>Discounted</v>
      </c>
      <c r="O3545" t="str">
        <f t="shared" si="167"/>
        <v>Returning</v>
      </c>
    </row>
    <row r="3546" spans="1:15" x14ac:dyDescent="0.25">
      <c r="A3546">
        <v>3545</v>
      </c>
      <c r="B3546">
        <v>50</v>
      </c>
      <c r="C3546" t="s">
        <v>11</v>
      </c>
      <c r="D3546" t="s">
        <v>29</v>
      </c>
      <c r="E3546" t="s">
        <v>55</v>
      </c>
      <c r="F3546" s="1">
        <v>121.73</v>
      </c>
      <c r="G3546" t="s">
        <v>24</v>
      </c>
      <c r="H3546" t="s">
        <v>15</v>
      </c>
      <c r="I3546" s="2">
        <v>4.0999999999999996</v>
      </c>
      <c r="J3546" s="4">
        <v>28</v>
      </c>
      <c r="K3546" s="3">
        <v>9</v>
      </c>
      <c r="L3546" s="1">
        <f t="shared" si="165"/>
        <v>87.645600000000002</v>
      </c>
      <c r="M3546" t="str" cm="1">
        <f t="array" ref="M3546">_xlfn.IFS(B3546&lt;18,"Under 18",B3546 &lt;=25,"18-25",B3546&lt;=35,"26-35",B3546&lt;=45,"36-45",B3546&lt;=60,"46-60",TRUE,"60+")</f>
        <v>46-60</v>
      </c>
      <c r="N3546" t="str">
        <f t="shared" si="166"/>
        <v>Discounted</v>
      </c>
      <c r="O3546" t="str">
        <f t="shared" si="167"/>
        <v>Returning</v>
      </c>
    </row>
    <row r="3547" spans="1:15" x14ac:dyDescent="0.25">
      <c r="A3547">
        <v>3546</v>
      </c>
      <c r="B3547">
        <v>21</v>
      </c>
      <c r="C3547" t="s">
        <v>11</v>
      </c>
      <c r="D3547" t="s">
        <v>41</v>
      </c>
      <c r="E3547" t="s">
        <v>46</v>
      </c>
      <c r="F3547" s="1">
        <v>155.07</v>
      </c>
      <c r="G3547" t="s">
        <v>31</v>
      </c>
      <c r="H3547" t="s">
        <v>15</v>
      </c>
      <c r="I3547" s="2">
        <v>3</v>
      </c>
      <c r="J3547" s="4">
        <v>13</v>
      </c>
      <c r="K3547" s="3">
        <v>4</v>
      </c>
      <c r="L3547" s="1">
        <f t="shared" si="165"/>
        <v>134.9109</v>
      </c>
      <c r="M3547" t="str" cm="1">
        <f t="array" ref="M3547">_xlfn.IFS(B3547&lt;18,"Under 18",B3547 &lt;=25,"18-25",B3547&lt;=35,"26-35",B3547&lt;=45,"36-45",B3547&lt;=60,"46-60",TRUE,"60+")</f>
        <v>18-25</v>
      </c>
      <c r="N3547" t="str">
        <f t="shared" si="166"/>
        <v>Discounted</v>
      </c>
      <c r="O3547" t="str">
        <f t="shared" si="167"/>
        <v>Returning</v>
      </c>
    </row>
    <row r="3548" spans="1:15" x14ac:dyDescent="0.25">
      <c r="A3548">
        <v>3547</v>
      </c>
      <c r="B3548">
        <v>65</v>
      </c>
      <c r="C3548" t="s">
        <v>16</v>
      </c>
      <c r="D3548" t="s">
        <v>17</v>
      </c>
      <c r="E3548" t="s">
        <v>18</v>
      </c>
      <c r="F3548" s="1">
        <v>146.36000000000001</v>
      </c>
      <c r="G3548" t="s">
        <v>31</v>
      </c>
      <c r="H3548" t="s">
        <v>15</v>
      </c>
      <c r="I3548" s="2">
        <v>2.5</v>
      </c>
      <c r="J3548" s="4">
        <v>2</v>
      </c>
      <c r="K3548" s="3">
        <v>1</v>
      </c>
      <c r="L3548" s="1">
        <f t="shared" si="165"/>
        <v>143.43280000000001</v>
      </c>
      <c r="M3548" t="str" cm="1">
        <f t="array" ref="M3548">_xlfn.IFS(B3548&lt;18,"Under 18",B3548 &lt;=25,"18-25",B3548&lt;=35,"26-35",B3548&lt;=45,"36-45",B3548&lt;=60,"46-60",TRUE,"60+")</f>
        <v>60+</v>
      </c>
      <c r="N3548" t="str">
        <f t="shared" si="166"/>
        <v>Discounted</v>
      </c>
      <c r="O3548" t="str">
        <f t="shared" si="167"/>
        <v>Returning</v>
      </c>
    </row>
    <row r="3549" spans="1:15" x14ac:dyDescent="0.25">
      <c r="A3549">
        <v>3548</v>
      </c>
      <c r="B3549">
        <v>67</v>
      </c>
      <c r="C3549" t="s">
        <v>16</v>
      </c>
      <c r="D3549" t="s">
        <v>20</v>
      </c>
      <c r="E3549" t="s">
        <v>36</v>
      </c>
      <c r="F3549" s="1">
        <v>222.83</v>
      </c>
      <c r="G3549" t="s">
        <v>31</v>
      </c>
      <c r="H3549" t="s">
        <v>15</v>
      </c>
      <c r="I3549" s="2">
        <v>4.8</v>
      </c>
      <c r="J3549" s="4">
        <v>13</v>
      </c>
      <c r="K3549" s="3">
        <v>4</v>
      </c>
      <c r="L3549" s="1">
        <f t="shared" si="165"/>
        <v>193.8621</v>
      </c>
      <c r="M3549" t="str" cm="1">
        <f t="array" ref="M3549">_xlfn.IFS(B3549&lt;18,"Under 18",B3549 &lt;=25,"18-25",B3549&lt;=35,"26-35",B3549&lt;=45,"36-45",B3549&lt;=60,"46-60",TRUE,"60+")</f>
        <v>60+</v>
      </c>
      <c r="N3549" t="str">
        <f t="shared" si="166"/>
        <v>Discounted</v>
      </c>
      <c r="O3549" t="str">
        <f t="shared" si="167"/>
        <v>Returning</v>
      </c>
    </row>
    <row r="3550" spans="1:15" x14ac:dyDescent="0.25">
      <c r="A3550">
        <v>3549</v>
      </c>
      <c r="B3550">
        <v>28</v>
      </c>
      <c r="C3550" t="s">
        <v>11</v>
      </c>
      <c r="D3550" t="s">
        <v>33</v>
      </c>
      <c r="E3550" t="s">
        <v>38</v>
      </c>
      <c r="F3550" s="1">
        <v>237.96</v>
      </c>
      <c r="G3550" t="s">
        <v>14</v>
      </c>
      <c r="H3550" t="s">
        <v>15</v>
      </c>
      <c r="I3550" s="2">
        <v>4.7</v>
      </c>
      <c r="J3550" s="4">
        <v>9</v>
      </c>
      <c r="K3550" s="3">
        <v>2</v>
      </c>
      <c r="L3550" s="1">
        <f t="shared" si="165"/>
        <v>216.54360000000003</v>
      </c>
      <c r="M3550" t="str" cm="1">
        <f t="array" ref="M3550">_xlfn.IFS(B3550&lt;18,"Under 18",B3550 &lt;=25,"18-25",B3550&lt;=35,"26-35",B3550&lt;=45,"36-45",B3550&lt;=60,"46-60",TRUE,"60+")</f>
        <v>26-35</v>
      </c>
      <c r="N3550" t="str">
        <f t="shared" si="166"/>
        <v>Discounted</v>
      </c>
      <c r="O3550" t="str">
        <f t="shared" si="167"/>
        <v>Returning</v>
      </c>
    </row>
    <row r="3551" spans="1:15" x14ac:dyDescent="0.25">
      <c r="A3551">
        <v>3550</v>
      </c>
      <c r="B3551">
        <v>53</v>
      </c>
      <c r="C3551" t="s">
        <v>11</v>
      </c>
      <c r="D3551" t="s">
        <v>41</v>
      </c>
      <c r="E3551" t="s">
        <v>46</v>
      </c>
      <c r="F3551" s="1">
        <v>182.1</v>
      </c>
      <c r="G3551" t="s">
        <v>14</v>
      </c>
      <c r="H3551" t="s">
        <v>15</v>
      </c>
      <c r="I3551" s="2">
        <v>2.8</v>
      </c>
      <c r="J3551" s="4">
        <v>13</v>
      </c>
      <c r="K3551" s="3">
        <v>4</v>
      </c>
      <c r="L3551" s="1">
        <f t="shared" si="165"/>
        <v>158.42699999999999</v>
      </c>
      <c r="M3551" t="str" cm="1">
        <f t="array" ref="M3551">_xlfn.IFS(B3551&lt;18,"Under 18",B3551 &lt;=25,"18-25",B3551&lt;=35,"26-35",B3551&lt;=45,"36-45",B3551&lt;=60,"46-60",TRUE,"60+")</f>
        <v>46-60</v>
      </c>
      <c r="N3551" t="str">
        <f t="shared" si="166"/>
        <v>Discounted</v>
      </c>
      <c r="O3551" t="str">
        <f t="shared" si="167"/>
        <v>Returning</v>
      </c>
    </row>
    <row r="3552" spans="1:15" x14ac:dyDescent="0.25">
      <c r="A3552">
        <v>3551</v>
      </c>
      <c r="B3552">
        <v>53</v>
      </c>
      <c r="C3552" t="s">
        <v>16</v>
      </c>
      <c r="D3552" t="s">
        <v>27</v>
      </c>
      <c r="E3552" t="s">
        <v>53</v>
      </c>
      <c r="F3552" s="1">
        <v>2807.25</v>
      </c>
      <c r="G3552" t="s">
        <v>31</v>
      </c>
      <c r="H3552" t="s">
        <v>15</v>
      </c>
      <c r="I3552" s="2">
        <v>2.7</v>
      </c>
      <c r="J3552" s="4">
        <v>22</v>
      </c>
      <c r="K3552" s="3">
        <v>6</v>
      </c>
      <c r="L3552" s="1">
        <f t="shared" si="165"/>
        <v>2189.6550000000002</v>
      </c>
      <c r="M3552" t="str" cm="1">
        <f t="array" ref="M3552">_xlfn.IFS(B3552&lt;18,"Under 18",B3552 &lt;=25,"18-25",B3552&lt;=35,"26-35",B3552&lt;=45,"36-45",B3552&lt;=60,"46-60",TRUE,"60+")</f>
        <v>46-60</v>
      </c>
      <c r="N3552" t="str">
        <f t="shared" si="166"/>
        <v>Discounted</v>
      </c>
      <c r="O3552" t="str">
        <f t="shared" si="167"/>
        <v>Returning</v>
      </c>
    </row>
    <row r="3553" spans="1:15" x14ac:dyDescent="0.25">
      <c r="A3553">
        <v>3552</v>
      </c>
      <c r="B3553">
        <v>24</v>
      </c>
      <c r="C3553" t="s">
        <v>16</v>
      </c>
      <c r="D3553" t="s">
        <v>20</v>
      </c>
      <c r="E3553" t="s">
        <v>39</v>
      </c>
      <c r="F3553" s="1">
        <v>140.57</v>
      </c>
      <c r="G3553" t="s">
        <v>14</v>
      </c>
      <c r="H3553" t="s">
        <v>15</v>
      </c>
      <c r="I3553" s="2">
        <v>4.0999999999999996</v>
      </c>
      <c r="J3553" s="4">
        <v>10</v>
      </c>
      <c r="K3553" s="3">
        <v>5</v>
      </c>
      <c r="L3553" s="1">
        <f t="shared" si="165"/>
        <v>126.51299999999999</v>
      </c>
      <c r="M3553" t="str" cm="1">
        <f t="array" ref="M3553">_xlfn.IFS(B3553&lt;18,"Under 18",B3553 &lt;=25,"18-25",B3553&lt;=35,"26-35",B3553&lt;=45,"36-45",B3553&lt;=60,"46-60",TRUE,"60+")</f>
        <v>18-25</v>
      </c>
      <c r="N3553" t="str">
        <f t="shared" si="166"/>
        <v>Discounted</v>
      </c>
      <c r="O3553" t="str">
        <f t="shared" si="167"/>
        <v>Returning</v>
      </c>
    </row>
    <row r="3554" spans="1:15" x14ac:dyDescent="0.25">
      <c r="A3554">
        <v>3553</v>
      </c>
      <c r="B3554">
        <v>68</v>
      </c>
      <c r="C3554" t="s">
        <v>16</v>
      </c>
      <c r="D3554" t="s">
        <v>25</v>
      </c>
      <c r="E3554" t="s">
        <v>57</v>
      </c>
      <c r="F3554" s="1">
        <v>77.77</v>
      </c>
      <c r="G3554" t="s">
        <v>24</v>
      </c>
      <c r="H3554" t="s">
        <v>37</v>
      </c>
      <c r="I3554" s="2">
        <v>3.6</v>
      </c>
      <c r="J3554" s="4">
        <v>10</v>
      </c>
      <c r="K3554" s="3">
        <v>5</v>
      </c>
      <c r="L3554" s="1">
        <f t="shared" si="165"/>
        <v>69.992999999999995</v>
      </c>
      <c r="M3554" t="str" cm="1">
        <f t="array" ref="M3554">_xlfn.IFS(B3554&lt;18,"Under 18",B3554 &lt;=25,"18-25",B3554&lt;=35,"26-35",B3554&lt;=45,"36-45",B3554&lt;=60,"46-60",TRUE,"60+")</f>
        <v>60+</v>
      </c>
      <c r="N3554" t="str">
        <f t="shared" si="166"/>
        <v>Discounted</v>
      </c>
      <c r="O3554" t="str">
        <f t="shared" si="167"/>
        <v>Returning</v>
      </c>
    </row>
    <row r="3555" spans="1:15" x14ac:dyDescent="0.25">
      <c r="A3555">
        <v>3554</v>
      </c>
      <c r="B3555">
        <v>70</v>
      </c>
      <c r="C3555" t="s">
        <v>11</v>
      </c>
      <c r="D3555" t="s">
        <v>33</v>
      </c>
      <c r="E3555" t="s">
        <v>34</v>
      </c>
      <c r="F3555" s="1">
        <v>165.35</v>
      </c>
      <c r="G3555" t="s">
        <v>14</v>
      </c>
      <c r="H3555" t="s">
        <v>15</v>
      </c>
      <c r="I3555" s="2">
        <v>4.0999999999999996</v>
      </c>
      <c r="J3555" s="4">
        <v>6</v>
      </c>
      <c r="K3555" s="3">
        <v>3</v>
      </c>
      <c r="L3555" s="1">
        <f t="shared" si="165"/>
        <v>155.42899999999997</v>
      </c>
      <c r="M3555" t="str" cm="1">
        <f t="array" ref="M3555">_xlfn.IFS(B3555&lt;18,"Under 18",B3555 &lt;=25,"18-25",B3555&lt;=35,"26-35",B3555&lt;=45,"36-45",B3555&lt;=60,"46-60",TRUE,"60+")</f>
        <v>60+</v>
      </c>
      <c r="N3555" t="str">
        <f t="shared" si="166"/>
        <v>Discounted</v>
      </c>
      <c r="O3555" t="str">
        <f t="shared" si="167"/>
        <v>Returning</v>
      </c>
    </row>
    <row r="3556" spans="1:15" x14ac:dyDescent="0.25">
      <c r="A3556">
        <v>3555</v>
      </c>
      <c r="B3556">
        <v>43</v>
      </c>
      <c r="C3556" t="s">
        <v>16</v>
      </c>
      <c r="D3556" t="s">
        <v>20</v>
      </c>
      <c r="E3556" t="s">
        <v>36</v>
      </c>
      <c r="F3556" s="1">
        <v>246.24</v>
      </c>
      <c r="G3556" t="s">
        <v>24</v>
      </c>
      <c r="H3556" t="s">
        <v>15</v>
      </c>
      <c r="I3556" s="2">
        <v>4.5</v>
      </c>
      <c r="J3556" s="4">
        <v>14</v>
      </c>
      <c r="K3556" s="3">
        <v>2</v>
      </c>
      <c r="L3556" s="1">
        <f t="shared" si="165"/>
        <v>211.7664</v>
      </c>
      <c r="M3556" t="str" cm="1">
        <f t="array" ref="M3556">_xlfn.IFS(B3556&lt;18,"Under 18",B3556 &lt;=25,"18-25",B3556&lt;=35,"26-35",B3556&lt;=45,"36-45",B3556&lt;=60,"46-60",TRUE,"60+")</f>
        <v>36-45</v>
      </c>
      <c r="N3556" t="str">
        <f t="shared" si="166"/>
        <v>Discounted</v>
      </c>
      <c r="O3556" t="str">
        <f t="shared" si="167"/>
        <v>Returning</v>
      </c>
    </row>
    <row r="3557" spans="1:15" x14ac:dyDescent="0.25">
      <c r="A3557">
        <v>3556</v>
      </c>
      <c r="B3557">
        <v>26</v>
      </c>
      <c r="C3557" t="s">
        <v>11</v>
      </c>
      <c r="D3557" t="s">
        <v>29</v>
      </c>
      <c r="E3557" t="s">
        <v>51</v>
      </c>
      <c r="F3557" s="1">
        <v>121.85</v>
      </c>
      <c r="G3557" t="s">
        <v>31</v>
      </c>
      <c r="H3557" t="s">
        <v>15</v>
      </c>
      <c r="I3557" s="2">
        <v>4.0999999999999996</v>
      </c>
      <c r="J3557" s="4">
        <v>11</v>
      </c>
      <c r="K3557" s="3">
        <v>3</v>
      </c>
      <c r="L3557" s="1">
        <f t="shared" si="165"/>
        <v>108.4465</v>
      </c>
      <c r="M3557" t="str" cm="1">
        <f t="array" ref="M3557">_xlfn.IFS(B3557&lt;18,"Under 18",B3557 &lt;=25,"18-25",B3557&lt;=35,"26-35",B3557&lt;=45,"36-45",B3557&lt;=60,"46-60",TRUE,"60+")</f>
        <v>26-35</v>
      </c>
      <c r="N3557" t="str">
        <f t="shared" si="166"/>
        <v>Discounted</v>
      </c>
      <c r="O3557" t="str">
        <f t="shared" si="167"/>
        <v>Returning</v>
      </c>
    </row>
    <row r="3558" spans="1:15" x14ac:dyDescent="0.25">
      <c r="A3558">
        <v>3557</v>
      </c>
      <c r="B3558">
        <v>21</v>
      </c>
      <c r="C3558" t="s">
        <v>16</v>
      </c>
      <c r="D3558" t="s">
        <v>20</v>
      </c>
      <c r="E3558" t="s">
        <v>39</v>
      </c>
      <c r="F3558" s="1">
        <v>244.91</v>
      </c>
      <c r="G3558" t="s">
        <v>24</v>
      </c>
      <c r="H3558" t="s">
        <v>15</v>
      </c>
      <c r="I3558" s="2">
        <v>2.9</v>
      </c>
      <c r="J3558" s="4">
        <v>6</v>
      </c>
      <c r="K3558" s="3">
        <v>3</v>
      </c>
      <c r="L3558" s="1">
        <f t="shared" si="165"/>
        <v>230.21539999999999</v>
      </c>
      <c r="M3558" t="str" cm="1">
        <f t="array" ref="M3558">_xlfn.IFS(B3558&lt;18,"Under 18",B3558 &lt;=25,"18-25",B3558&lt;=35,"26-35",B3558&lt;=45,"36-45",B3558&lt;=60,"46-60",TRUE,"60+")</f>
        <v>18-25</v>
      </c>
      <c r="N3558" t="str">
        <f t="shared" si="166"/>
        <v>Discounted</v>
      </c>
      <c r="O3558" t="str">
        <f t="shared" si="167"/>
        <v>Returning</v>
      </c>
    </row>
    <row r="3559" spans="1:15" x14ac:dyDescent="0.25">
      <c r="A3559">
        <v>3558</v>
      </c>
      <c r="B3559">
        <v>68</v>
      </c>
      <c r="C3559" t="s">
        <v>11</v>
      </c>
      <c r="D3559" t="s">
        <v>29</v>
      </c>
      <c r="E3559" t="s">
        <v>51</v>
      </c>
      <c r="F3559" s="1">
        <v>116.21</v>
      </c>
      <c r="G3559" t="s">
        <v>14</v>
      </c>
      <c r="H3559" t="s">
        <v>15</v>
      </c>
      <c r="I3559" s="2">
        <v>3.3</v>
      </c>
      <c r="J3559" s="4">
        <v>28</v>
      </c>
      <c r="K3559" s="3">
        <v>9</v>
      </c>
      <c r="L3559" s="1">
        <f t="shared" si="165"/>
        <v>83.671199999999999</v>
      </c>
      <c r="M3559" t="str" cm="1">
        <f t="array" ref="M3559">_xlfn.IFS(B3559&lt;18,"Under 18",B3559 &lt;=25,"18-25",B3559&lt;=35,"26-35",B3559&lt;=45,"36-45",B3559&lt;=60,"46-60",TRUE,"60+")</f>
        <v>60+</v>
      </c>
      <c r="N3559" t="str">
        <f t="shared" si="166"/>
        <v>Discounted</v>
      </c>
      <c r="O3559" t="str">
        <f t="shared" si="167"/>
        <v>Returning</v>
      </c>
    </row>
    <row r="3560" spans="1:15" x14ac:dyDescent="0.25">
      <c r="A3560">
        <v>3559</v>
      </c>
      <c r="B3560">
        <v>65</v>
      </c>
      <c r="C3560" t="s">
        <v>16</v>
      </c>
      <c r="D3560" t="s">
        <v>25</v>
      </c>
      <c r="E3560" t="s">
        <v>54</v>
      </c>
      <c r="F3560" s="1">
        <v>31.66</v>
      </c>
      <c r="G3560" t="s">
        <v>14</v>
      </c>
      <c r="H3560" t="s">
        <v>37</v>
      </c>
      <c r="I3560" s="2">
        <v>2.4</v>
      </c>
      <c r="J3560" s="4">
        <v>14</v>
      </c>
      <c r="K3560" s="3">
        <v>7</v>
      </c>
      <c r="L3560" s="1">
        <f t="shared" si="165"/>
        <v>27.227599999999999</v>
      </c>
      <c r="M3560" t="str" cm="1">
        <f t="array" ref="M3560">_xlfn.IFS(B3560&lt;18,"Under 18",B3560 &lt;=25,"18-25",B3560&lt;=35,"26-35",B3560&lt;=45,"36-45",B3560&lt;=60,"46-60",TRUE,"60+")</f>
        <v>60+</v>
      </c>
      <c r="N3560" t="str">
        <f t="shared" si="166"/>
        <v>Discounted</v>
      </c>
      <c r="O3560" t="str">
        <f t="shared" si="167"/>
        <v>Returning</v>
      </c>
    </row>
    <row r="3561" spans="1:15" x14ac:dyDescent="0.25">
      <c r="A3561">
        <v>3560</v>
      </c>
      <c r="B3561">
        <v>42</v>
      </c>
      <c r="C3561" t="s">
        <v>16</v>
      </c>
      <c r="D3561" t="s">
        <v>20</v>
      </c>
      <c r="E3561" t="s">
        <v>39</v>
      </c>
      <c r="F3561" s="1">
        <v>150.72</v>
      </c>
      <c r="G3561" t="s">
        <v>31</v>
      </c>
      <c r="H3561" t="s">
        <v>15</v>
      </c>
      <c r="I3561" s="2">
        <v>4.3</v>
      </c>
      <c r="J3561" s="4">
        <v>17</v>
      </c>
      <c r="K3561" s="3">
        <v>6</v>
      </c>
      <c r="L3561" s="1">
        <f t="shared" si="165"/>
        <v>125.0976</v>
      </c>
      <c r="M3561" t="str" cm="1">
        <f t="array" ref="M3561">_xlfn.IFS(B3561&lt;18,"Under 18",B3561 &lt;=25,"18-25",B3561&lt;=35,"26-35",B3561&lt;=45,"36-45",B3561&lt;=60,"46-60",TRUE,"60+")</f>
        <v>36-45</v>
      </c>
      <c r="N3561" t="str">
        <f t="shared" si="166"/>
        <v>Discounted</v>
      </c>
      <c r="O3561" t="str">
        <f t="shared" si="167"/>
        <v>Returning</v>
      </c>
    </row>
    <row r="3562" spans="1:15" x14ac:dyDescent="0.25">
      <c r="A3562">
        <v>3561</v>
      </c>
      <c r="B3562">
        <v>40</v>
      </c>
      <c r="C3562" t="s">
        <v>11</v>
      </c>
      <c r="D3562" t="s">
        <v>33</v>
      </c>
      <c r="E3562" t="s">
        <v>38</v>
      </c>
      <c r="F3562" s="1">
        <v>169.6</v>
      </c>
      <c r="G3562" t="s">
        <v>31</v>
      </c>
      <c r="H3562" t="s">
        <v>15</v>
      </c>
      <c r="I3562" s="2">
        <v>3</v>
      </c>
      <c r="J3562" s="4">
        <v>13</v>
      </c>
      <c r="K3562" s="3">
        <v>4</v>
      </c>
      <c r="L3562" s="1">
        <f t="shared" si="165"/>
        <v>147.55199999999999</v>
      </c>
      <c r="M3562" t="str" cm="1">
        <f t="array" ref="M3562">_xlfn.IFS(B3562&lt;18,"Under 18",B3562 &lt;=25,"18-25",B3562&lt;=35,"26-35",B3562&lt;=45,"36-45",B3562&lt;=60,"46-60",TRUE,"60+")</f>
        <v>36-45</v>
      </c>
      <c r="N3562" t="str">
        <f t="shared" si="166"/>
        <v>Discounted</v>
      </c>
      <c r="O3562" t="str">
        <f t="shared" si="167"/>
        <v>Returning</v>
      </c>
    </row>
    <row r="3563" spans="1:15" x14ac:dyDescent="0.25">
      <c r="A3563">
        <v>3562</v>
      </c>
      <c r="B3563">
        <v>47</v>
      </c>
      <c r="C3563" t="s">
        <v>11</v>
      </c>
      <c r="D3563" t="s">
        <v>20</v>
      </c>
      <c r="E3563" t="s">
        <v>21</v>
      </c>
      <c r="F3563" s="1">
        <v>58.39</v>
      </c>
      <c r="G3563" t="s">
        <v>14</v>
      </c>
      <c r="H3563" t="s">
        <v>37</v>
      </c>
      <c r="I3563" s="2">
        <v>4.4000000000000004</v>
      </c>
      <c r="J3563" s="4">
        <v>16</v>
      </c>
      <c r="K3563" s="3">
        <v>3</v>
      </c>
      <c r="L3563" s="1">
        <f t="shared" si="165"/>
        <v>49.047599999999996</v>
      </c>
      <c r="M3563" t="str" cm="1">
        <f t="array" ref="M3563">_xlfn.IFS(B3563&lt;18,"Under 18",B3563 &lt;=25,"18-25",B3563&lt;=35,"26-35",B3563&lt;=45,"36-45",B3563&lt;=60,"46-60",TRUE,"60+")</f>
        <v>46-60</v>
      </c>
      <c r="N3563" t="str">
        <f t="shared" si="166"/>
        <v>Discounted</v>
      </c>
      <c r="O3563" t="str">
        <f t="shared" si="167"/>
        <v>Returning</v>
      </c>
    </row>
    <row r="3564" spans="1:15" x14ac:dyDescent="0.25">
      <c r="A3564">
        <v>3563</v>
      </c>
      <c r="B3564">
        <v>53</v>
      </c>
      <c r="C3564" t="s">
        <v>11</v>
      </c>
      <c r="D3564" t="s">
        <v>29</v>
      </c>
      <c r="E3564" t="s">
        <v>55</v>
      </c>
      <c r="F3564" s="1">
        <v>68.14</v>
      </c>
      <c r="G3564" t="s">
        <v>14</v>
      </c>
      <c r="H3564" t="s">
        <v>37</v>
      </c>
      <c r="I3564" s="2">
        <v>3.3</v>
      </c>
      <c r="J3564" s="4">
        <v>10</v>
      </c>
      <c r="K3564" s="3">
        <v>5</v>
      </c>
      <c r="L3564" s="1">
        <f t="shared" si="165"/>
        <v>61.326000000000001</v>
      </c>
      <c r="M3564" t="str" cm="1">
        <f t="array" ref="M3564">_xlfn.IFS(B3564&lt;18,"Under 18",B3564 &lt;=25,"18-25",B3564&lt;=35,"26-35",B3564&lt;=45,"36-45",B3564&lt;=60,"46-60",TRUE,"60+")</f>
        <v>46-60</v>
      </c>
      <c r="N3564" t="str">
        <f t="shared" si="166"/>
        <v>Discounted</v>
      </c>
      <c r="O3564" t="str">
        <f t="shared" si="167"/>
        <v>Returning</v>
      </c>
    </row>
    <row r="3565" spans="1:15" x14ac:dyDescent="0.25">
      <c r="A3565">
        <v>3564</v>
      </c>
      <c r="B3565">
        <v>48</v>
      </c>
      <c r="C3565" t="s">
        <v>16</v>
      </c>
      <c r="D3565" t="s">
        <v>33</v>
      </c>
      <c r="E3565" t="s">
        <v>40</v>
      </c>
      <c r="F3565" s="1">
        <v>179.68</v>
      </c>
      <c r="G3565" t="s">
        <v>14</v>
      </c>
      <c r="H3565" t="s">
        <v>15</v>
      </c>
      <c r="I3565" s="2">
        <v>4.9000000000000004</v>
      </c>
      <c r="J3565" s="4">
        <v>28</v>
      </c>
      <c r="K3565" s="3">
        <v>9</v>
      </c>
      <c r="L3565" s="1">
        <f t="shared" si="165"/>
        <v>129.36959999999999</v>
      </c>
      <c r="M3565" t="str" cm="1">
        <f t="array" ref="M3565">_xlfn.IFS(B3565&lt;18,"Under 18",B3565 &lt;=25,"18-25",B3565&lt;=35,"26-35",B3565&lt;=45,"36-45",B3565&lt;=60,"46-60",TRUE,"60+")</f>
        <v>46-60</v>
      </c>
      <c r="N3565" t="str">
        <f t="shared" si="166"/>
        <v>Discounted</v>
      </c>
      <c r="O3565" t="str">
        <f t="shared" si="167"/>
        <v>Returning</v>
      </c>
    </row>
    <row r="3566" spans="1:15" x14ac:dyDescent="0.25">
      <c r="A3566">
        <v>3565</v>
      </c>
      <c r="B3566">
        <v>33</v>
      </c>
      <c r="C3566" t="s">
        <v>16</v>
      </c>
      <c r="D3566" t="s">
        <v>27</v>
      </c>
      <c r="E3566" t="s">
        <v>49</v>
      </c>
      <c r="F3566" s="1">
        <v>2844.72</v>
      </c>
      <c r="G3566" t="s">
        <v>31</v>
      </c>
      <c r="H3566" t="s">
        <v>15</v>
      </c>
      <c r="I3566" s="2">
        <v>3.9</v>
      </c>
      <c r="J3566" s="4">
        <v>8</v>
      </c>
      <c r="K3566" s="3">
        <v>4</v>
      </c>
      <c r="L3566" s="1">
        <f t="shared" si="165"/>
        <v>2617.1423999999997</v>
      </c>
      <c r="M3566" t="str" cm="1">
        <f t="array" ref="M3566">_xlfn.IFS(B3566&lt;18,"Under 18",B3566 &lt;=25,"18-25",B3566&lt;=35,"26-35",B3566&lt;=45,"36-45",B3566&lt;=60,"46-60",TRUE,"60+")</f>
        <v>26-35</v>
      </c>
      <c r="N3566" t="str">
        <f t="shared" si="166"/>
        <v>Discounted</v>
      </c>
      <c r="O3566" t="str">
        <f t="shared" si="167"/>
        <v>Returning</v>
      </c>
    </row>
    <row r="3567" spans="1:15" x14ac:dyDescent="0.25">
      <c r="A3567">
        <v>3566</v>
      </c>
      <c r="B3567">
        <v>42</v>
      </c>
      <c r="C3567" t="s">
        <v>11</v>
      </c>
      <c r="D3567" t="s">
        <v>33</v>
      </c>
      <c r="E3567" t="s">
        <v>40</v>
      </c>
      <c r="F3567" s="1">
        <v>125.92</v>
      </c>
      <c r="G3567" t="s">
        <v>31</v>
      </c>
      <c r="H3567" t="s">
        <v>15</v>
      </c>
      <c r="I3567" s="2">
        <v>2.8</v>
      </c>
      <c r="J3567" s="4">
        <v>10</v>
      </c>
      <c r="K3567" s="3">
        <v>5</v>
      </c>
      <c r="L3567" s="1">
        <f t="shared" si="165"/>
        <v>113.328</v>
      </c>
      <c r="M3567" t="str" cm="1">
        <f t="array" ref="M3567">_xlfn.IFS(B3567&lt;18,"Under 18",B3567 &lt;=25,"18-25",B3567&lt;=35,"26-35",B3567&lt;=45,"36-45",B3567&lt;=60,"46-60",TRUE,"60+")</f>
        <v>36-45</v>
      </c>
      <c r="N3567" t="str">
        <f t="shared" si="166"/>
        <v>Discounted</v>
      </c>
      <c r="O3567" t="str">
        <f t="shared" si="167"/>
        <v>Returning</v>
      </c>
    </row>
    <row r="3568" spans="1:15" x14ac:dyDescent="0.25">
      <c r="A3568">
        <v>3567</v>
      </c>
      <c r="B3568">
        <v>45</v>
      </c>
      <c r="C3568" t="s">
        <v>11</v>
      </c>
      <c r="D3568" t="s">
        <v>29</v>
      </c>
      <c r="E3568" t="s">
        <v>55</v>
      </c>
      <c r="F3568" s="1">
        <v>21.56</v>
      </c>
      <c r="G3568" t="s">
        <v>19</v>
      </c>
      <c r="H3568" t="s">
        <v>37</v>
      </c>
      <c r="I3568" s="2">
        <v>3.4</v>
      </c>
      <c r="J3568" s="4">
        <v>9</v>
      </c>
      <c r="K3568" s="3">
        <v>2</v>
      </c>
      <c r="L3568" s="1">
        <f t="shared" si="165"/>
        <v>19.619599999999998</v>
      </c>
      <c r="M3568" t="str" cm="1">
        <f t="array" ref="M3568">_xlfn.IFS(B3568&lt;18,"Under 18",B3568 &lt;=25,"18-25",B3568&lt;=35,"26-35",B3568&lt;=45,"36-45",B3568&lt;=60,"46-60",TRUE,"60+")</f>
        <v>36-45</v>
      </c>
      <c r="N3568" t="str">
        <f t="shared" si="166"/>
        <v>Discounted</v>
      </c>
      <c r="O3568" t="str">
        <f t="shared" si="167"/>
        <v>Returning</v>
      </c>
    </row>
    <row r="3569" spans="1:15" x14ac:dyDescent="0.25">
      <c r="A3569">
        <v>3568</v>
      </c>
      <c r="B3569">
        <v>42</v>
      </c>
      <c r="C3569" t="s">
        <v>16</v>
      </c>
      <c r="D3569" t="s">
        <v>25</v>
      </c>
      <c r="E3569" t="s">
        <v>57</v>
      </c>
      <c r="F3569" s="1">
        <v>65.64</v>
      </c>
      <c r="G3569" t="s">
        <v>24</v>
      </c>
      <c r="H3569" t="s">
        <v>37</v>
      </c>
      <c r="I3569" s="2">
        <v>2.8</v>
      </c>
      <c r="J3569" s="4">
        <v>10</v>
      </c>
      <c r="K3569" s="3">
        <v>5</v>
      </c>
      <c r="L3569" s="1">
        <f t="shared" si="165"/>
        <v>59.076000000000001</v>
      </c>
      <c r="M3569" t="str" cm="1">
        <f t="array" ref="M3569">_xlfn.IFS(B3569&lt;18,"Under 18",B3569 &lt;=25,"18-25",B3569&lt;=35,"26-35",B3569&lt;=45,"36-45",B3569&lt;=60,"46-60",TRUE,"60+")</f>
        <v>36-45</v>
      </c>
      <c r="N3569" t="str">
        <f t="shared" si="166"/>
        <v>Discounted</v>
      </c>
      <c r="O3569" t="str">
        <f t="shared" si="167"/>
        <v>Returning</v>
      </c>
    </row>
    <row r="3570" spans="1:15" x14ac:dyDescent="0.25">
      <c r="A3570">
        <v>3569</v>
      </c>
      <c r="B3570">
        <v>56</v>
      </c>
      <c r="C3570" t="s">
        <v>11</v>
      </c>
      <c r="D3570" t="s">
        <v>12</v>
      </c>
      <c r="E3570" t="s">
        <v>56</v>
      </c>
      <c r="F3570" s="1">
        <v>110.86</v>
      </c>
      <c r="G3570" t="s">
        <v>14</v>
      </c>
      <c r="H3570" t="s">
        <v>15</v>
      </c>
      <c r="I3570" s="2">
        <v>4</v>
      </c>
      <c r="J3570" s="4">
        <v>22</v>
      </c>
      <c r="K3570" s="3">
        <v>6</v>
      </c>
      <c r="L3570" s="1">
        <f t="shared" si="165"/>
        <v>86.470799999999997</v>
      </c>
      <c r="M3570" t="str" cm="1">
        <f t="array" ref="M3570">_xlfn.IFS(B3570&lt;18,"Under 18",B3570 &lt;=25,"18-25",B3570&lt;=35,"26-35",B3570&lt;=45,"36-45",B3570&lt;=60,"46-60",TRUE,"60+")</f>
        <v>46-60</v>
      </c>
      <c r="N3570" t="str">
        <f t="shared" si="166"/>
        <v>Discounted</v>
      </c>
      <c r="O3570" t="str">
        <f t="shared" si="167"/>
        <v>Returning</v>
      </c>
    </row>
    <row r="3571" spans="1:15" x14ac:dyDescent="0.25">
      <c r="A3571">
        <v>3570</v>
      </c>
      <c r="B3571">
        <v>37</v>
      </c>
      <c r="C3571" t="s">
        <v>11</v>
      </c>
      <c r="D3571" t="s">
        <v>12</v>
      </c>
      <c r="E3571" t="s">
        <v>13</v>
      </c>
      <c r="F3571" s="1">
        <v>35.340000000000003</v>
      </c>
      <c r="G3571" t="s">
        <v>14</v>
      </c>
      <c r="H3571" t="s">
        <v>37</v>
      </c>
      <c r="I3571" s="2">
        <v>3.5</v>
      </c>
      <c r="J3571" s="4">
        <v>13</v>
      </c>
      <c r="K3571" s="3">
        <v>4</v>
      </c>
      <c r="L3571" s="1">
        <f t="shared" si="165"/>
        <v>30.745800000000003</v>
      </c>
      <c r="M3571" t="str" cm="1">
        <f t="array" ref="M3571">_xlfn.IFS(B3571&lt;18,"Under 18",B3571 &lt;=25,"18-25",B3571&lt;=35,"26-35",B3571&lt;=45,"36-45",B3571&lt;=60,"46-60",TRUE,"60+")</f>
        <v>36-45</v>
      </c>
      <c r="N3571" t="str">
        <f t="shared" si="166"/>
        <v>Discounted</v>
      </c>
      <c r="O3571" t="str">
        <f t="shared" si="167"/>
        <v>Returning</v>
      </c>
    </row>
    <row r="3572" spans="1:15" x14ac:dyDescent="0.25">
      <c r="A3572">
        <v>3571</v>
      </c>
      <c r="B3572">
        <v>34</v>
      </c>
      <c r="C3572" t="s">
        <v>11</v>
      </c>
      <c r="D3572" t="s">
        <v>33</v>
      </c>
      <c r="E3572" t="s">
        <v>38</v>
      </c>
      <c r="F3572" s="1">
        <v>41.87</v>
      </c>
      <c r="G3572" t="s">
        <v>19</v>
      </c>
      <c r="H3572" t="s">
        <v>15</v>
      </c>
      <c r="I3572" s="2">
        <v>4</v>
      </c>
      <c r="J3572" s="4">
        <v>8</v>
      </c>
      <c r="K3572" s="3">
        <v>4</v>
      </c>
      <c r="L3572" s="1">
        <f t="shared" si="165"/>
        <v>38.520400000000002</v>
      </c>
      <c r="M3572" t="str" cm="1">
        <f t="array" ref="M3572">_xlfn.IFS(B3572&lt;18,"Under 18",B3572 &lt;=25,"18-25",B3572&lt;=35,"26-35",B3572&lt;=45,"36-45",B3572&lt;=60,"46-60",TRUE,"60+")</f>
        <v>26-35</v>
      </c>
      <c r="N3572" t="str">
        <f t="shared" si="166"/>
        <v>Discounted</v>
      </c>
      <c r="O3572" t="str">
        <f t="shared" si="167"/>
        <v>Returning</v>
      </c>
    </row>
    <row r="3573" spans="1:15" x14ac:dyDescent="0.25">
      <c r="A3573">
        <v>3572</v>
      </c>
      <c r="B3573">
        <v>61</v>
      </c>
      <c r="C3573" t="s">
        <v>16</v>
      </c>
      <c r="D3573" t="s">
        <v>20</v>
      </c>
      <c r="E3573" t="s">
        <v>21</v>
      </c>
      <c r="F3573" s="1">
        <v>43.84</v>
      </c>
      <c r="G3573" t="s">
        <v>31</v>
      </c>
      <c r="H3573" t="s">
        <v>37</v>
      </c>
      <c r="I3573" s="2">
        <v>3.3</v>
      </c>
      <c r="J3573" s="4">
        <v>20</v>
      </c>
      <c r="K3573" s="3">
        <v>5</v>
      </c>
      <c r="L3573" s="1">
        <f t="shared" si="165"/>
        <v>35.072000000000003</v>
      </c>
      <c r="M3573" t="str" cm="1">
        <f t="array" ref="M3573">_xlfn.IFS(B3573&lt;18,"Under 18",B3573 &lt;=25,"18-25",B3573&lt;=35,"26-35",B3573&lt;=45,"36-45",B3573&lt;=60,"46-60",TRUE,"60+")</f>
        <v>60+</v>
      </c>
      <c r="N3573" t="str">
        <f t="shared" si="166"/>
        <v>Discounted</v>
      </c>
      <c r="O3573" t="str">
        <f t="shared" si="167"/>
        <v>Returning</v>
      </c>
    </row>
    <row r="3574" spans="1:15" x14ac:dyDescent="0.25">
      <c r="A3574">
        <v>3573</v>
      </c>
      <c r="B3574">
        <v>34</v>
      </c>
      <c r="C3574" t="s">
        <v>16</v>
      </c>
      <c r="D3574" t="s">
        <v>33</v>
      </c>
      <c r="E3574" t="s">
        <v>38</v>
      </c>
      <c r="F3574" s="1">
        <v>186.06</v>
      </c>
      <c r="G3574" t="s">
        <v>14</v>
      </c>
      <c r="H3574" t="s">
        <v>15</v>
      </c>
      <c r="I3574" s="2">
        <v>3.8</v>
      </c>
      <c r="J3574" s="4">
        <v>16</v>
      </c>
      <c r="K3574" s="3">
        <v>3</v>
      </c>
      <c r="L3574" s="1">
        <f t="shared" si="165"/>
        <v>156.29040000000001</v>
      </c>
      <c r="M3574" t="str" cm="1">
        <f t="array" ref="M3574">_xlfn.IFS(B3574&lt;18,"Under 18",B3574 &lt;=25,"18-25",B3574&lt;=35,"26-35",B3574&lt;=45,"36-45",B3574&lt;=60,"46-60",TRUE,"60+")</f>
        <v>26-35</v>
      </c>
      <c r="N3574" t="str">
        <f t="shared" si="166"/>
        <v>Discounted</v>
      </c>
      <c r="O3574" t="str">
        <f t="shared" si="167"/>
        <v>Returning</v>
      </c>
    </row>
    <row r="3575" spans="1:15" x14ac:dyDescent="0.25">
      <c r="A3575">
        <v>3574</v>
      </c>
      <c r="B3575">
        <v>42</v>
      </c>
      <c r="C3575" t="s">
        <v>16</v>
      </c>
      <c r="D3575" t="s">
        <v>17</v>
      </c>
      <c r="E3575" t="s">
        <v>48</v>
      </c>
      <c r="F3575" s="1">
        <v>183.14</v>
      </c>
      <c r="G3575" t="s">
        <v>24</v>
      </c>
      <c r="H3575" t="s">
        <v>15</v>
      </c>
      <c r="I3575" s="2">
        <v>3.1</v>
      </c>
      <c r="J3575" s="4">
        <v>12</v>
      </c>
      <c r="K3575" s="3">
        <v>6</v>
      </c>
      <c r="L3575" s="1">
        <f t="shared" si="165"/>
        <v>161.16319999999999</v>
      </c>
      <c r="M3575" t="str" cm="1">
        <f t="array" ref="M3575">_xlfn.IFS(B3575&lt;18,"Under 18",B3575 &lt;=25,"18-25",B3575&lt;=35,"26-35",B3575&lt;=45,"36-45",B3575&lt;=60,"46-60",TRUE,"60+")</f>
        <v>36-45</v>
      </c>
      <c r="N3575" t="str">
        <f t="shared" si="166"/>
        <v>Discounted</v>
      </c>
      <c r="O3575" t="str">
        <f t="shared" si="167"/>
        <v>Returning</v>
      </c>
    </row>
    <row r="3576" spans="1:15" x14ac:dyDescent="0.25">
      <c r="A3576">
        <v>3575</v>
      </c>
      <c r="B3576">
        <v>38</v>
      </c>
      <c r="C3576" t="s">
        <v>11</v>
      </c>
      <c r="D3576" t="s">
        <v>12</v>
      </c>
      <c r="E3576" t="s">
        <v>56</v>
      </c>
      <c r="F3576" s="1">
        <v>114.51</v>
      </c>
      <c r="G3576" t="s">
        <v>19</v>
      </c>
      <c r="H3576" t="s">
        <v>15</v>
      </c>
      <c r="I3576" s="2">
        <v>2.7</v>
      </c>
      <c r="J3576" s="4">
        <v>19</v>
      </c>
      <c r="K3576" s="3">
        <v>7</v>
      </c>
      <c r="L3576" s="1">
        <f t="shared" si="165"/>
        <v>92.753100000000003</v>
      </c>
      <c r="M3576" t="str" cm="1">
        <f t="array" ref="M3576">_xlfn.IFS(B3576&lt;18,"Under 18",B3576 &lt;=25,"18-25",B3576&lt;=35,"26-35",B3576&lt;=45,"36-45",B3576&lt;=60,"46-60",TRUE,"60+")</f>
        <v>36-45</v>
      </c>
      <c r="N3576" t="str">
        <f t="shared" si="166"/>
        <v>Discounted</v>
      </c>
      <c r="O3576" t="str">
        <f t="shared" si="167"/>
        <v>Returning</v>
      </c>
    </row>
    <row r="3577" spans="1:15" x14ac:dyDescent="0.25">
      <c r="A3577">
        <v>3576</v>
      </c>
      <c r="B3577">
        <v>58</v>
      </c>
      <c r="C3577" t="s">
        <v>11</v>
      </c>
      <c r="D3577" t="s">
        <v>33</v>
      </c>
      <c r="E3577" t="s">
        <v>34</v>
      </c>
      <c r="F3577" s="1">
        <v>201.39</v>
      </c>
      <c r="G3577" t="s">
        <v>19</v>
      </c>
      <c r="H3577" t="s">
        <v>15</v>
      </c>
      <c r="I3577" s="2">
        <v>3.7</v>
      </c>
      <c r="J3577" s="4">
        <v>14</v>
      </c>
      <c r="K3577" s="3">
        <v>7</v>
      </c>
      <c r="L3577" s="1">
        <f t="shared" si="165"/>
        <v>173.19539999999998</v>
      </c>
      <c r="M3577" t="str" cm="1">
        <f t="array" ref="M3577">_xlfn.IFS(B3577&lt;18,"Under 18",B3577 &lt;=25,"18-25",B3577&lt;=35,"26-35",B3577&lt;=45,"36-45",B3577&lt;=60,"46-60",TRUE,"60+")</f>
        <v>46-60</v>
      </c>
      <c r="N3577" t="str">
        <f t="shared" si="166"/>
        <v>Discounted</v>
      </c>
      <c r="O3577" t="str">
        <f t="shared" si="167"/>
        <v>Returning</v>
      </c>
    </row>
    <row r="3578" spans="1:15" x14ac:dyDescent="0.25">
      <c r="A3578">
        <v>3577</v>
      </c>
      <c r="B3578">
        <v>31</v>
      </c>
      <c r="C3578" t="s">
        <v>16</v>
      </c>
      <c r="D3578" t="s">
        <v>33</v>
      </c>
      <c r="E3578" t="s">
        <v>34</v>
      </c>
      <c r="F3578" s="1">
        <v>141.51</v>
      </c>
      <c r="G3578" t="s">
        <v>24</v>
      </c>
      <c r="H3578" t="s">
        <v>15</v>
      </c>
      <c r="I3578" s="2">
        <v>3.7</v>
      </c>
      <c r="J3578" s="4">
        <v>30</v>
      </c>
      <c r="K3578" s="3">
        <v>10</v>
      </c>
      <c r="L3578" s="1">
        <f t="shared" si="165"/>
        <v>99.056999999999988</v>
      </c>
      <c r="M3578" t="str" cm="1">
        <f t="array" ref="M3578">_xlfn.IFS(B3578&lt;18,"Under 18",B3578 &lt;=25,"18-25",B3578&lt;=35,"26-35",B3578&lt;=45,"36-45",B3578&lt;=60,"46-60",TRUE,"60+")</f>
        <v>26-35</v>
      </c>
      <c r="N3578" t="str">
        <f t="shared" si="166"/>
        <v>Discounted</v>
      </c>
      <c r="O3578" t="str">
        <f t="shared" si="167"/>
        <v>Returning</v>
      </c>
    </row>
    <row r="3579" spans="1:15" x14ac:dyDescent="0.25">
      <c r="A3579">
        <v>3578</v>
      </c>
      <c r="B3579">
        <v>22</v>
      </c>
      <c r="C3579" t="s">
        <v>16</v>
      </c>
      <c r="D3579" t="s">
        <v>17</v>
      </c>
      <c r="E3579" t="s">
        <v>18</v>
      </c>
      <c r="F3579" s="1">
        <v>61.09</v>
      </c>
      <c r="G3579" t="s">
        <v>14</v>
      </c>
      <c r="H3579" t="s">
        <v>15</v>
      </c>
      <c r="I3579" s="2">
        <v>3.2</v>
      </c>
      <c r="J3579" s="4">
        <v>8</v>
      </c>
      <c r="K3579" s="3">
        <v>4</v>
      </c>
      <c r="L3579" s="1">
        <f t="shared" si="165"/>
        <v>56.202800000000003</v>
      </c>
      <c r="M3579" t="str" cm="1">
        <f t="array" ref="M3579">_xlfn.IFS(B3579&lt;18,"Under 18",B3579 &lt;=25,"18-25",B3579&lt;=35,"26-35",B3579&lt;=45,"36-45",B3579&lt;=60,"46-60",TRUE,"60+")</f>
        <v>18-25</v>
      </c>
      <c r="N3579" t="str">
        <f t="shared" si="166"/>
        <v>Discounted</v>
      </c>
      <c r="O3579" t="str">
        <f t="shared" si="167"/>
        <v>Returning</v>
      </c>
    </row>
    <row r="3580" spans="1:15" x14ac:dyDescent="0.25">
      <c r="A3580">
        <v>3579</v>
      </c>
      <c r="B3580">
        <v>54</v>
      </c>
      <c r="C3580" t="s">
        <v>11</v>
      </c>
      <c r="D3580" t="s">
        <v>41</v>
      </c>
      <c r="E3580" t="s">
        <v>45</v>
      </c>
      <c r="F3580" s="1">
        <v>80.7</v>
      </c>
      <c r="G3580" t="s">
        <v>31</v>
      </c>
      <c r="H3580" t="s">
        <v>37</v>
      </c>
      <c r="I3580" s="2">
        <v>3.7</v>
      </c>
      <c r="J3580" s="4">
        <v>21</v>
      </c>
      <c r="K3580" s="3">
        <v>8</v>
      </c>
      <c r="L3580" s="1">
        <f t="shared" si="165"/>
        <v>63.753000000000007</v>
      </c>
      <c r="M3580" t="str" cm="1">
        <f t="array" ref="M3580">_xlfn.IFS(B3580&lt;18,"Under 18",B3580 &lt;=25,"18-25",B3580&lt;=35,"26-35",B3580&lt;=45,"36-45",B3580&lt;=60,"46-60",TRUE,"60+")</f>
        <v>46-60</v>
      </c>
      <c r="N3580" t="str">
        <f t="shared" si="166"/>
        <v>Discounted</v>
      </c>
      <c r="O3580" t="str">
        <f t="shared" si="167"/>
        <v>Returning</v>
      </c>
    </row>
    <row r="3581" spans="1:15" x14ac:dyDescent="0.25">
      <c r="A3581">
        <v>3580</v>
      </c>
      <c r="B3581">
        <v>63</v>
      </c>
      <c r="C3581" t="s">
        <v>11</v>
      </c>
      <c r="D3581" t="s">
        <v>12</v>
      </c>
      <c r="E3581" t="s">
        <v>50</v>
      </c>
      <c r="F3581" s="1">
        <v>88.07</v>
      </c>
      <c r="G3581" t="s">
        <v>14</v>
      </c>
      <c r="H3581" t="s">
        <v>37</v>
      </c>
      <c r="I3581" s="2">
        <v>3.4</v>
      </c>
      <c r="J3581" s="4">
        <v>28</v>
      </c>
      <c r="K3581" s="3">
        <v>9</v>
      </c>
      <c r="L3581" s="1">
        <f t="shared" si="165"/>
        <v>63.410399999999996</v>
      </c>
      <c r="M3581" t="str" cm="1">
        <f t="array" ref="M3581">_xlfn.IFS(B3581&lt;18,"Under 18",B3581 &lt;=25,"18-25",B3581&lt;=35,"26-35",B3581&lt;=45,"36-45",B3581&lt;=60,"46-60",TRUE,"60+")</f>
        <v>60+</v>
      </c>
      <c r="N3581" t="str">
        <f t="shared" si="166"/>
        <v>Discounted</v>
      </c>
      <c r="O3581" t="str">
        <f t="shared" si="167"/>
        <v>Returning</v>
      </c>
    </row>
    <row r="3582" spans="1:15" x14ac:dyDescent="0.25">
      <c r="A3582">
        <v>3581</v>
      </c>
      <c r="B3582">
        <v>47</v>
      </c>
      <c r="C3582" t="s">
        <v>16</v>
      </c>
      <c r="D3582" t="s">
        <v>27</v>
      </c>
      <c r="E3582" t="s">
        <v>53</v>
      </c>
      <c r="F3582" s="1">
        <v>1425.23</v>
      </c>
      <c r="G3582" t="s">
        <v>14</v>
      </c>
      <c r="H3582" t="s">
        <v>15</v>
      </c>
      <c r="I3582" s="2">
        <v>3.5</v>
      </c>
      <c r="J3582" s="4">
        <v>24</v>
      </c>
      <c r="K3582" s="3">
        <v>7</v>
      </c>
      <c r="L3582" s="1">
        <f t="shared" si="165"/>
        <v>1083.1748</v>
      </c>
      <c r="M3582" t="str" cm="1">
        <f t="array" ref="M3582">_xlfn.IFS(B3582&lt;18,"Under 18",B3582 &lt;=25,"18-25",B3582&lt;=35,"26-35",B3582&lt;=45,"36-45",B3582&lt;=60,"46-60",TRUE,"60+")</f>
        <v>46-60</v>
      </c>
      <c r="N3582" t="str">
        <f t="shared" si="166"/>
        <v>Discounted</v>
      </c>
      <c r="O3582" t="str">
        <f t="shared" si="167"/>
        <v>Returning</v>
      </c>
    </row>
    <row r="3583" spans="1:15" x14ac:dyDescent="0.25">
      <c r="A3583">
        <v>3582</v>
      </c>
      <c r="B3583">
        <v>36</v>
      </c>
      <c r="C3583" t="s">
        <v>16</v>
      </c>
      <c r="D3583" t="s">
        <v>17</v>
      </c>
      <c r="E3583" t="s">
        <v>48</v>
      </c>
      <c r="F3583" s="1">
        <v>76.67</v>
      </c>
      <c r="G3583" t="s">
        <v>14</v>
      </c>
      <c r="H3583" t="s">
        <v>37</v>
      </c>
      <c r="I3583" s="2">
        <v>2.8</v>
      </c>
      <c r="J3583" s="4">
        <v>12</v>
      </c>
      <c r="K3583" s="3">
        <v>6</v>
      </c>
      <c r="L3583" s="1">
        <f t="shared" si="165"/>
        <v>67.4696</v>
      </c>
      <c r="M3583" t="str" cm="1">
        <f t="array" ref="M3583">_xlfn.IFS(B3583&lt;18,"Under 18",B3583 &lt;=25,"18-25",B3583&lt;=35,"26-35",B3583&lt;=45,"36-45",B3583&lt;=60,"46-60",TRUE,"60+")</f>
        <v>36-45</v>
      </c>
      <c r="N3583" t="str">
        <f t="shared" si="166"/>
        <v>Discounted</v>
      </c>
      <c r="O3583" t="str">
        <f t="shared" si="167"/>
        <v>Returning</v>
      </c>
    </row>
    <row r="3584" spans="1:15" x14ac:dyDescent="0.25">
      <c r="A3584">
        <v>3583</v>
      </c>
      <c r="B3584">
        <v>47</v>
      </c>
      <c r="C3584" t="s">
        <v>11</v>
      </c>
      <c r="D3584" t="s">
        <v>25</v>
      </c>
      <c r="E3584" t="s">
        <v>47</v>
      </c>
      <c r="F3584" s="1">
        <v>46.13</v>
      </c>
      <c r="G3584" t="s">
        <v>14</v>
      </c>
      <c r="H3584" t="s">
        <v>15</v>
      </c>
      <c r="I3584" s="2">
        <v>3.4</v>
      </c>
      <c r="J3584" s="4">
        <v>14</v>
      </c>
      <c r="K3584" s="3">
        <v>7</v>
      </c>
      <c r="L3584" s="1">
        <f t="shared" si="165"/>
        <v>39.671800000000005</v>
      </c>
      <c r="M3584" t="str" cm="1">
        <f t="array" ref="M3584">_xlfn.IFS(B3584&lt;18,"Under 18",B3584 &lt;=25,"18-25",B3584&lt;=35,"26-35",B3584&lt;=45,"36-45",B3584&lt;=60,"46-60",TRUE,"60+")</f>
        <v>46-60</v>
      </c>
      <c r="N3584" t="str">
        <f t="shared" si="166"/>
        <v>Discounted</v>
      </c>
      <c r="O3584" t="str">
        <f t="shared" si="167"/>
        <v>Returning</v>
      </c>
    </row>
    <row r="3585" spans="1:15" x14ac:dyDescent="0.25">
      <c r="A3585">
        <v>3584</v>
      </c>
      <c r="B3585">
        <v>54</v>
      </c>
      <c r="C3585" t="s">
        <v>16</v>
      </c>
      <c r="D3585" t="s">
        <v>17</v>
      </c>
      <c r="E3585" t="s">
        <v>42</v>
      </c>
      <c r="F3585" s="1">
        <v>42.34</v>
      </c>
      <c r="G3585" t="s">
        <v>14</v>
      </c>
      <c r="H3585" t="s">
        <v>15</v>
      </c>
      <c r="I3585" s="2">
        <v>4.2</v>
      </c>
      <c r="J3585" s="4">
        <v>22</v>
      </c>
      <c r="K3585" s="3">
        <v>6</v>
      </c>
      <c r="L3585" s="1">
        <f t="shared" si="165"/>
        <v>33.025200000000005</v>
      </c>
      <c r="M3585" t="str" cm="1">
        <f t="array" ref="M3585">_xlfn.IFS(B3585&lt;18,"Under 18",B3585 &lt;=25,"18-25",B3585&lt;=35,"26-35",B3585&lt;=45,"36-45",B3585&lt;=60,"46-60",TRUE,"60+")</f>
        <v>46-60</v>
      </c>
      <c r="N3585" t="str">
        <f t="shared" si="166"/>
        <v>Discounted</v>
      </c>
      <c r="O3585" t="str">
        <f t="shared" si="167"/>
        <v>Returning</v>
      </c>
    </row>
    <row r="3586" spans="1:15" x14ac:dyDescent="0.25">
      <c r="A3586">
        <v>3585</v>
      </c>
      <c r="B3586">
        <v>46</v>
      </c>
      <c r="C3586" t="s">
        <v>16</v>
      </c>
      <c r="D3586" t="s">
        <v>20</v>
      </c>
      <c r="E3586" t="s">
        <v>21</v>
      </c>
      <c r="F3586" s="1">
        <v>62.68</v>
      </c>
      <c r="G3586" t="s">
        <v>19</v>
      </c>
      <c r="H3586" t="s">
        <v>15</v>
      </c>
      <c r="I3586" s="2">
        <v>2.2999999999999998</v>
      </c>
      <c r="J3586" s="4">
        <v>13</v>
      </c>
      <c r="K3586" s="3">
        <v>4</v>
      </c>
      <c r="L3586" s="1">
        <f t="shared" si="165"/>
        <v>54.531599999999997</v>
      </c>
      <c r="M3586" t="str" cm="1">
        <f t="array" ref="M3586">_xlfn.IFS(B3586&lt;18,"Under 18",B3586 &lt;=25,"18-25",B3586&lt;=35,"26-35",B3586&lt;=45,"36-45",B3586&lt;=60,"46-60",TRUE,"60+")</f>
        <v>46-60</v>
      </c>
      <c r="N3586" t="str">
        <f t="shared" si="166"/>
        <v>Discounted</v>
      </c>
      <c r="O3586" t="str">
        <f t="shared" si="167"/>
        <v>Returning</v>
      </c>
    </row>
    <row r="3587" spans="1:15" x14ac:dyDescent="0.25">
      <c r="A3587">
        <v>3586</v>
      </c>
      <c r="B3587">
        <v>38</v>
      </c>
      <c r="C3587" t="s">
        <v>16</v>
      </c>
      <c r="D3587" t="s">
        <v>27</v>
      </c>
      <c r="E3587" t="s">
        <v>32</v>
      </c>
      <c r="F3587" s="1">
        <v>2478.7399999999998</v>
      </c>
      <c r="G3587" t="s">
        <v>19</v>
      </c>
      <c r="H3587" t="s">
        <v>15</v>
      </c>
      <c r="I3587" s="2">
        <v>4.9000000000000004</v>
      </c>
      <c r="J3587" s="4">
        <v>32</v>
      </c>
      <c r="K3587" s="3">
        <v>11</v>
      </c>
      <c r="L3587" s="1">
        <f t="shared" ref="L3587:L3650" si="168">F3587 * (1 - J3587 / 100)</f>
        <v>1685.5431999999996</v>
      </c>
      <c r="M3587" t="str" cm="1">
        <f t="array" ref="M3587">_xlfn.IFS(B3587&lt;18,"Under 18",B3587 &lt;=25,"18-25",B3587&lt;=35,"26-35",B3587&lt;=45,"36-45",B3587&lt;=60,"46-60",TRUE,"60+")</f>
        <v>36-45</v>
      </c>
      <c r="N3587" t="str">
        <f t="shared" ref="N3587:N3650" si="169">IF(J3587&gt;0,"Discounted","No Discount")</f>
        <v>Discounted</v>
      </c>
      <c r="O3587" t="str">
        <f t="shared" ref="O3587:O3650" si="170">IF(K3587&gt;0,"Returning","New")</f>
        <v>Returning</v>
      </c>
    </row>
    <row r="3588" spans="1:15" x14ac:dyDescent="0.25">
      <c r="A3588">
        <v>3587</v>
      </c>
      <c r="B3588">
        <v>25</v>
      </c>
      <c r="C3588" t="s">
        <v>11</v>
      </c>
      <c r="D3588" t="s">
        <v>12</v>
      </c>
      <c r="E3588" t="s">
        <v>56</v>
      </c>
      <c r="F3588" s="1">
        <v>84.07</v>
      </c>
      <c r="G3588" t="s">
        <v>19</v>
      </c>
      <c r="H3588" t="s">
        <v>37</v>
      </c>
      <c r="I3588" s="2">
        <v>3.7</v>
      </c>
      <c r="J3588" s="4">
        <v>20</v>
      </c>
      <c r="K3588" s="3">
        <v>5</v>
      </c>
      <c r="L3588" s="1">
        <f t="shared" si="168"/>
        <v>67.256</v>
      </c>
      <c r="M3588" t="str" cm="1">
        <f t="array" ref="M3588">_xlfn.IFS(B3588&lt;18,"Under 18",B3588 &lt;=25,"18-25",B3588&lt;=35,"26-35",B3588&lt;=45,"36-45",B3588&lt;=60,"46-60",TRUE,"60+")</f>
        <v>18-25</v>
      </c>
      <c r="N3588" t="str">
        <f t="shared" si="169"/>
        <v>Discounted</v>
      </c>
      <c r="O3588" t="str">
        <f t="shared" si="170"/>
        <v>Returning</v>
      </c>
    </row>
    <row r="3589" spans="1:15" x14ac:dyDescent="0.25">
      <c r="A3589">
        <v>3588</v>
      </c>
      <c r="B3589">
        <v>68</v>
      </c>
      <c r="C3589" t="s">
        <v>16</v>
      </c>
      <c r="D3589" t="s">
        <v>27</v>
      </c>
      <c r="E3589" t="s">
        <v>53</v>
      </c>
      <c r="F3589" s="1">
        <v>2454.39</v>
      </c>
      <c r="G3589" t="s">
        <v>14</v>
      </c>
      <c r="H3589" t="s">
        <v>15</v>
      </c>
      <c r="I3589" s="2">
        <v>4.0999999999999996</v>
      </c>
      <c r="J3589" s="4">
        <v>20</v>
      </c>
      <c r="K3589" s="3">
        <v>5</v>
      </c>
      <c r="L3589" s="1">
        <f t="shared" si="168"/>
        <v>1963.5119999999999</v>
      </c>
      <c r="M3589" t="str" cm="1">
        <f t="array" ref="M3589">_xlfn.IFS(B3589&lt;18,"Under 18",B3589 &lt;=25,"18-25",B3589&lt;=35,"26-35",B3589&lt;=45,"36-45",B3589&lt;=60,"46-60",TRUE,"60+")</f>
        <v>60+</v>
      </c>
      <c r="N3589" t="str">
        <f t="shared" si="169"/>
        <v>Discounted</v>
      </c>
      <c r="O3589" t="str">
        <f t="shared" si="170"/>
        <v>Returning</v>
      </c>
    </row>
    <row r="3590" spans="1:15" x14ac:dyDescent="0.25">
      <c r="A3590">
        <v>3589</v>
      </c>
      <c r="B3590">
        <v>56</v>
      </c>
      <c r="C3590" t="s">
        <v>16</v>
      </c>
      <c r="D3590" t="s">
        <v>27</v>
      </c>
      <c r="E3590" t="s">
        <v>32</v>
      </c>
      <c r="F3590" s="1">
        <v>1041.3399999999999</v>
      </c>
      <c r="G3590" t="s">
        <v>14</v>
      </c>
      <c r="H3590" t="s">
        <v>15</v>
      </c>
      <c r="I3590" s="2">
        <v>3.4</v>
      </c>
      <c r="J3590" s="4">
        <v>15</v>
      </c>
      <c r="K3590" s="3">
        <v>5</v>
      </c>
      <c r="L3590" s="1">
        <f t="shared" si="168"/>
        <v>885.1389999999999</v>
      </c>
      <c r="M3590" t="str" cm="1">
        <f t="array" ref="M3590">_xlfn.IFS(B3590&lt;18,"Under 18",B3590 &lt;=25,"18-25",B3590&lt;=35,"26-35",B3590&lt;=45,"36-45",B3590&lt;=60,"46-60",TRUE,"60+")</f>
        <v>46-60</v>
      </c>
      <c r="N3590" t="str">
        <f t="shared" si="169"/>
        <v>Discounted</v>
      </c>
      <c r="O3590" t="str">
        <f t="shared" si="170"/>
        <v>Returning</v>
      </c>
    </row>
    <row r="3591" spans="1:15" x14ac:dyDescent="0.25">
      <c r="A3591">
        <v>3590</v>
      </c>
      <c r="B3591">
        <v>56</v>
      </c>
      <c r="C3591" t="s">
        <v>16</v>
      </c>
      <c r="D3591" t="s">
        <v>20</v>
      </c>
      <c r="E3591" t="s">
        <v>39</v>
      </c>
      <c r="F3591" s="1">
        <v>235.44</v>
      </c>
      <c r="G3591" t="s">
        <v>31</v>
      </c>
      <c r="H3591" t="s">
        <v>15</v>
      </c>
      <c r="I3591" s="2">
        <v>2.4</v>
      </c>
      <c r="J3591" s="4">
        <v>15</v>
      </c>
      <c r="K3591" s="3">
        <v>5</v>
      </c>
      <c r="L3591" s="1">
        <f t="shared" si="168"/>
        <v>200.124</v>
      </c>
      <c r="M3591" t="str" cm="1">
        <f t="array" ref="M3591">_xlfn.IFS(B3591&lt;18,"Under 18",B3591 &lt;=25,"18-25",B3591&lt;=35,"26-35",B3591&lt;=45,"36-45",B3591&lt;=60,"46-60",TRUE,"60+")</f>
        <v>46-60</v>
      </c>
      <c r="N3591" t="str">
        <f t="shared" si="169"/>
        <v>Discounted</v>
      </c>
      <c r="O3591" t="str">
        <f t="shared" si="170"/>
        <v>Returning</v>
      </c>
    </row>
    <row r="3592" spans="1:15" x14ac:dyDescent="0.25">
      <c r="A3592">
        <v>3591</v>
      </c>
      <c r="B3592">
        <v>35</v>
      </c>
      <c r="C3592" t="s">
        <v>11</v>
      </c>
      <c r="D3592" t="s">
        <v>29</v>
      </c>
      <c r="E3592" t="s">
        <v>51</v>
      </c>
      <c r="F3592" s="1">
        <v>35.72</v>
      </c>
      <c r="G3592" t="s">
        <v>14</v>
      </c>
      <c r="H3592" t="s">
        <v>15</v>
      </c>
      <c r="I3592" s="2">
        <v>4.3</v>
      </c>
      <c r="J3592" s="4">
        <v>8</v>
      </c>
      <c r="K3592" s="3">
        <v>4</v>
      </c>
      <c r="L3592" s="1">
        <f t="shared" si="168"/>
        <v>32.862400000000001</v>
      </c>
      <c r="M3592" t="str" cm="1">
        <f t="array" ref="M3592">_xlfn.IFS(B3592&lt;18,"Under 18",B3592 &lt;=25,"18-25",B3592&lt;=35,"26-35",B3592&lt;=45,"36-45",B3592&lt;=60,"46-60",TRUE,"60+")</f>
        <v>26-35</v>
      </c>
      <c r="N3592" t="str">
        <f t="shared" si="169"/>
        <v>Discounted</v>
      </c>
      <c r="O3592" t="str">
        <f t="shared" si="170"/>
        <v>Returning</v>
      </c>
    </row>
    <row r="3593" spans="1:15" x14ac:dyDescent="0.25">
      <c r="A3593">
        <v>3592</v>
      </c>
      <c r="B3593">
        <v>27</v>
      </c>
      <c r="C3593" t="s">
        <v>16</v>
      </c>
      <c r="D3593" t="s">
        <v>17</v>
      </c>
      <c r="E3593" t="s">
        <v>18</v>
      </c>
      <c r="F3593" s="1">
        <v>134.71</v>
      </c>
      <c r="G3593" t="s">
        <v>19</v>
      </c>
      <c r="H3593" t="s">
        <v>15</v>
      </c>
      <c r="I3593" s="2">
        <v>3.2</v>
      </c>
      <c r="J3593" s="4">
        <v>16</v>
      </c>
      <c r="K3593" s="3">
        <v>3</v>
      </c>
      <c r="L3593" s="1">
        <f t="shared" si="168"/>
        <v>113.1564</v>
      </c>
      <c r="M3593" t="str" cm="1">
        <f t="array" ref="M3593">_xlfn.IFS(B3593&lt;18,"Under 18",B3593 &lt;=25,"18-25",B3593&lt;=35,"26-35",B3593&lt;=45,"36-45",B3593&lt;=60,"46-60",TRUE,"60+")</f>
        <v>26-35</v>
      </c>
      <c r="N3593" t="str">
        <f t="shared" si="169"/>
        <v>Discounted</v>
      </c>
      <c r="O3593" t="str">
        <f t="shared" si="170"/>
        <v>Returning</v>
      </c>
    </row>
    <row r="3594" spans="1:15" x14ac:dyDescent="0.25">
      <c r="A3594">
        <v>3593</v>
      </c>
      <c r="B3594">
        <v>33</v>
      </c>
      <c r="C3594" t="s">
        <v>11</v>
      </c>
      <c r="D3594" t="s">
        <v>33</v>
      </c>
      <c r="E3594" t="s">
        <v>38</v>
      </c>
      <c r="F3594" s="1">
        <v>148.91999999999999</v>
      </c>
      <c r="G3594" t="s">
        <v>24</v>
      </c>
      <c r="H3594" t="s">
        <v>15</v>
      </c>
      <c r="I3594" s="2">
        <v>4.0999999999999996</v>
      </c>
      <c r="J3594" s="4">
        <v>4</v>
      </c>
      <c r="K3594" s="3">
        <v>2</v>
      </c>
      <c r="L3594" s="1">
        <f t="shared" si="168"/>
        <v>142.96319999999997</v>
      </c>
      <c r="M3594" t="str" cm="1">
        <f t="array" ref="M3594">_xlfn.IFS(B3594&lt;18,"Under 18",B3594 &lt;=25,"18-25",B3594&lt;=35,"26-35",B3594&lt;=45,"36-45",B3594&lt;=60,"46-60",TRUE,"60+")</f>
        <v>26-35</v>
      </c>
      <c r="N3594" t="str">
        <f t="shared" si="169"/>
        <v>Discounted</v>
      </c>
      <c r="O3594" t="str">
        <f t="shared" si="170"/>
        <v>Returning</v>
      </c>
    </row>
    <row r="3595" spans="1:15" x14ac:dyDescent="0.25">
      <c r="A3595">
        <v>3594</v>
      </c>
      <c r="B3595">
        <v>30</v>
      </c>
      <c r="C3595" t="s">
        <v>16</v>
      </c>
      <c r="D3595" t="s">
        <v>17</v>
      </c>
      <c r="E3595" t="s">
        <v>48</v>
      </c>
      <c r="F3595" s="1">
        <v>104.95</v>
      </c>
      <c r="G3595" t="s">
        <v>31</v>
      </c>
      <c r="H3595" t="s">
        <v>15</v>
      </c>
      <c r="I3595" s="2">
        <v>3.9</v>
      </c>
      <c r="J3595" s="4">
        <v>22</v>
      </c>
      <c r="K3595" s="3">
        <v>6</v>
      </c>
      <c r="L3595" s="1">
        <f t="shared" si="168"/>
        <v>81.861000000000004</v>
      </c>
      <c r="M3595" t="str" cm="1">
        <f t="array" ref="M3595">_xlfn.IFS(B3595&lt;18,"Under 18",B3595 &lt;=25,"18-25",B3595&lt;=35,"26-35",B3595&lt;=45,"36-45",B3595&lt;=60,"46-60",TRUE,"60+")</f>
        <v>26-35</v>
      </c>
      <c r="N3595" t="str">
        <f t="shared" si="169"/>
        <v>Discounted</v>
      </c>
      <c r="O3595" t="str">
        <f t="shared" si="170"/>
        <v>Returning</v>
      </c>
    </row>
    <row r="3596" spans="1:15" x14ac:dyDescent="0.25">
      <c r="A3596">
        <v>3595</v>
      </c>
      <c r="B3596">
        <v>49</v>
      </c>
      <c r="C3596" t="s">
        <v>11</v>
      </c>
      <c r="D3596" t="s">
        <v>12</v>
      </c>
      <c r="E3596" t="s">
        <v>13</v>
      </c>
      <c r="F3596" s="1">
        <v>103.47</v>
      </c>
      <c r="G3596" t="s">
        <v>31</v>
      </c>
      <c r="H3596" t="s">
        <v>15</v>
      </c>
      <c r="I3596" s="2">
        <v>3.5</v>
      </c>
      <c r="J3596" s="4">
        <v>26</v>
      </c>
      <c r="K3596" s="3">
        <v>8</v>
      </c>
      <c r="L3596" s="1">
        <f t="shared" si="168"/>
        <v>76.567799999999991</v>
      </c>
      <c r="M3596" t="str" cm="1">
        <f t="array" ref="M3596">_xlfn.IFS(B3596&lt;18,"Under 18",B3596 &lt;=25,"18-25",B3596&lt;=35,"26-35",B3596&lt;=45,"36-45",B3596&lt;=60,"46-60",TRUE,"60+")</f>
        <v>46-60</v>
      </c>
      <c r="N3596" t="str">
        <f t="shared" si="169"/>
        <v>Discounted</v>
      </c>
      <c r="O3596" t="str">
        <f t="shared" si="170"/>
        <v>Returning</v>
      </c>
    </row>
    <row r="3597" spans="1:15" x14ac:dyDescent="0.25">
      <c r="A3597">
        <v>3596</v>
      </c>
      <c r="B3597">
        <v>55</v>
      </c>
      <c r="C3597" t="s">
        <v>11</v>
      </c>
      <c r="D3597" t="s">
        <v>22</v>
      </c>
      <c r="E3597" t="s">
        <v>43</v>
      </c>
      <c r="F3597" s="1">
        <v>298.60000000000002</v>
      </c>
      <c r="G3597" t="s">
        <v>14</v>
      </c>
      <c r="H3597" t="s">
        <v>15</v>
      </c>
      <c r="I3597" s="2">
        <v>4.7</v>
      </c>
      <c r="J3597" s="4">
        <v>17</v>
      </c>
      <c r="K3597" s="3">
        <v>6</v>
      </c>
      <c r="L3597" s="1">
        <f t="shared" si="168"/>
        <v>247.83799999999999</v>
      </c>
      <c r="M3597" t="str" cm="1">
        <f t="array" ref="M3597">_xlfn.IFS(B3597&lt;18,"Under 18",B3597 &lt;=25,"18-25",B3597&lt;=35,"26-35",B3597&lt;=45,"36-45",B3597&lt;=60,"46-60",TRUE,"60+")</f>
        <v>46-60</v>
      </c>
      <c r="N3597" t="str">
        <f t="shared" si="169"/>
        <v>Discounted</v>
      </c>
      <c r="O3597" t="str">
        <f t="shared" si="170"/>
        <v>Returning</v>
      </c>
    </row>
    <row r="3598" spans="1:15" x14ac:dyDescent="0.25">
      <c r="A3598">
        <v>3597</v>
      </c>
      <c r="B3598">
        <v>51</v>
      </c>
      <c r="C3598" t="s">
        <v>16</v>
      </c>
      <c r="D3598" t="s">
        <v>20</v>
      </c>
      <c r="E3598" t="s">
        <v>36</v>
      </c>
      <c r="F3598" s="1">
        <v>39.06</v>
      </c>
      <c r="G3598" t="s">
        <v>19</v>
      </c>
      <c r="H3598" t="s">
        <v>15</v>
      </c>
      <c r="I3598" s="2">
        <v>3.7</v>
      </c>
      <c r="J3598" s="4">
        <v>20</v>
      </c>
      <c r="K3598" s="3">
        <v>5</v>
      </c>
      <c r="L3598" s="1">
        <f t="shared" si="168"/>
        <v>31.248000000000005</v>
      </c>
      <c r="M3598" t="str" cm="1">
        <f t="array" ref="M3598">_xlfn.IFS(B3598&lt;18,"Under 18",B3598 &lt;=25,"18-25",B3598&lt;=35,"26-35",B3598&lt;=45,"36-45",B3598&lt;=60,"46-60",TRUE,"60+")</f>
        <v>46-60</v>
      </c>
      <c r="N3598" t="str">
        <f t="shared" si="169"/>
        <v>Discounted</v>
      </c>
      <c r="O3598" t="str">
        <f t="shared" si="170"/>
        <v>Returning</v>
      </c>
    </row>
    <row r="3599" spans="1:15" x14ac:dyDescent="0.25">
      <c r="A3599">
        <v>3598</v>
      </c>
      <c r="B3599">
        <v>40</v>
      </c>
      <c r="C3599" t="s">
        <v>16</v>
      </c>
      <c r="D3599" t="s">
        <v>17</v>
      </c>
      <c r="E3599" t="s">
        <v>18</v>
      </c>
      <c r="F3599" s="1">
        <v>133.24</v>
      </c>
      <c r="G3599" t="s">
        <v>31</v>
      </c>
      <c r="H3599" t="s">
        <v>15</v>
      </c>
      <c r="I3599" s="2">
        <v>3.8</v>
      </c>
      <c r="J3599" s="4">
        <v>17</v>
      </c>
      <c r="K3599" s="3">
        <v>6</v>
      </c>
      <c r="L3599" s="1">
        <f t="shared" si="168"/>
        <v>110.58920000000001</v>
      </c>
      <c r="M3599" t="str" cm="1">
        <f t="array" ref="M3599">_xlfn.IFS(B3599&lt;18,"Under 18",B3599 &lt;=25,"18-25",B3599&lt;=35,"26-35",B3599&lt;=45,"36-45",B3599&lt;=60,"46-60",TRUE,"60+")</f>
        <v>36-45</v>
      </c>
      <c r="N3599" t="str">
        <f t="shared" si="169"/>
        <v>Discounted</v>
      </c>
      <c r="O3599" t="str">
        <f t="shared" si="170"/>
        <v>Returning</v>
      </c>
    </row>
    <row r="3600" spans="1:15" x14ac:dyDescent="0.25">
      <c r="A3600">
        <v>3599</v>
      </c>
      <c r="B3600">
        <v>42</v>
      </c>
      <c r="C3600" t="s">
        <v>16</v>
      </c>
      <c r="D3600" t="s">
        <v>27</v>
      </c>
      <c r="E3600" t="s">
        <v>28</v>
      </c>
      <c r="F3600" s="1">
        <v>897.41</v>
      </c>
      <c r="G3600" t="s">
        <v>14</v>
      </c>
      <c r="H3600" t="s">
        <v>15</v>
      </c>
      <c r="I3600" s="2">
        <v>3.8</v>
      </c>
      <c r="J3600" s="4">
        <v>19</v>
      </c>
      <c r="K3600" s="3">
        <v>7</v>
      </c>
      <c r="L3600" s="1">
        <f t="shared" si="168"/>
        <v>726.90210000000002</v>
      </c>
      <c r="M3600" t="str" cm="1">
        <f t="array" ref="M3600">_xlfn.IFS(B3600&lt;18,"Under 18",B3600 &lt;=25,"18-25",B3600&lt;=35,"26-35",B3600&lt;=45,"36-45",B3600&lt;=60,"46-60",TRUE,"60+")</f>
        <v>36-45</v>
      </c>
      <c r="N3600" t="str">
        <f t="shared" si="169"/>
        <v>Discounted</v>
      </c>
      <c r="O3600" t="str">
        <f t="shared" si="170"/>
        <v>Returning</v>
      </c>
    </row>
    <row r="3601" spans="1:15" x14ac:dyDescent="0.25">
      <c r="A3601">
        <v>3600</v>
      </c>
      <c r="B3601">
        <v>52</v>
      </c>
      <c r="C3601" t="s">
        <v>16</v>
      </c>
      <c r="D3601" t="s">
        <v>33</v>
      </c>
      <c r="E3601" t="s">
        <v>40</v>
      </c>
      <c r="F3601" s="1">
        <v>86.48</v>
      </c>
      <c r="G3601" t="s">
        <v>24</v>
      </c>
      <c r="H3601" t="s">
        <v>37</v>
      </c>
      <c r="I3601" s="2">
        <v>3.2</v>
      </c>
      <c r="J3601" s="4">
        <v>22</v>
      </c>
      <c r="K3601" s="3">
        <v>6</v>
      </c>
      <c r="L3601" s="1">
        <f t="shared" si="168"/>
        <v>67.454400000000007</v>
      </c>
      <c r="M3601" t="str" cm="1">
        <f t="array" ref="M3601">_xlfn.IFS(B3601&lt;18,"Under 18",B3601 &lt;=25,"18-25",B3601&lt;=35,"26-35",B3601&lt;=45,"36-45",B3601&lt;=60,"46-60",TRUE,"60+")</f>
        <v>46-60</v>
      </c>
      <c r="N3601" t="str">
        <f t="shared" si="169"/>
        <v>Discounted</v>
      </c>
      <c r="O3601" t="str">
        <f t="shared" si="170"/>
        <v>Returning</v>
      </c>
    </row>
    <row r="3602" spans="1:15" x14ac:dyDescent="0.25">
      <c r="A3602">
        <v>3601</v>
      </c>
      <c r="B3602">
        <v>56</v>
      </c>
      <c r="C3602" t="s">
        <v>11</v>
      </c>
      <c r="D3602" t="s">
        <v>33</v>
      </c>
      <c r="E3602" t="s">
        <v>38</v>
      </c>
      <c r="F3602" s="1">
        <v>125.07</v>
      </c>
      <c r="G3602" t="s">
        <v>14</v>
      </c>
      <c r="H3602" t="s">
        <v>15</v>
      </c>
      <c r="I3602" s="2">
        <v>2.8</v>
      </c>
      <c r="J3602" s="4">
        <v>18</v>
      </c>
      <c r="K3602" s="3">
        <v>4</v>
      </c>
      <c r="L3602" s="1">
        <f t="shared" si="168"/>
        <v>102.5574</v>
      </c>
      <c r="M3602" t="str" cm="1">
        <f t="array" ref="M3602">_xlfn.IFS(B3602&lt;18,"Under 18",B3602 &lt;=25,"18-25",B3602&lt;=35,"26-35",B3602&lt;=45,"36-45",B3602&lt;=60,"46-60",TRUE,"60+")</f>
        <v>46-60</v>
      </c>
      <c r="N3602" t="str">
        <f t="shared" si="169"/>
        <v>Discounted</v>
      </c>
      <c r="O3602" t="str">
        <f t="shared" si="170"/>
        <v>Returning</v>
      </c>
    </row>
    <row r="3603" spans="1:15" x14ac:dyDescent="0.25">
      <c r="A3603">
        <v>3602</v>
      </c>
      <c r="B3603">
        <v>46</v>
      </c>
      <c r="C3603" t="s">
        <v>16</v>
      </c>
      <c r="D3603" t="s">
        <v>20</v>
      </c>
      <c r="E3603" t="s">
        <v>36</v>
      </c>
      <c r="F3603" s="1">
        <v>216.22</v>
      </c>
      <c r="G3603" t="s">
        <v>24</v>
      </c>
      <c r="H3603" t="s">
        <v>15</v>
      </c>
      <c r="I3603" s="2">
        <v>3.2</v>
      </c>
      <c r="J3603" s="4">
        <v>22</v>
      </c>
      <c r="K3603" s="3">
        <v>6</v>
      </c>
      <c r="L3603" s="1">
        <f t="shared" si="168"/>
        <v>168.6516</v>
      </c>
      <c r="M3603" t="str" cm="1">
        <f t="array" ref="M3603">_xlfn.IFS(B3603&lt;18,"Under 18",B3603 &lt;=25,"18-25",B3603&lt;=35,"26-35",B3603&lt;=45,"36-45",B3603&lt;=60,"46-60",TRUE,"60+")</f>
        <v>46-60</v>
      </c>
      <c r="N3603" t="str">
        <f t="shared" si="169"/>
        <v>Discounted</v>
      </c>
      <c r="O3603" t="str">
        <f t="shared" si="170"/>
        <v>Returning</v>
      </c>
    </row>
    <row r="3604" spans="1:15" x14ac:dyDescent="0.25">
      <c r="A3604">
        <v>3603</v>
      </c>
      <c r="B3604">
        <v>55</v>
      </c>
      <c r="C3604" t="s">
        <v>11</v>
      </c>
      <c r="D3604" t="s">
        <v>29</v>
      </c>
      <c r="E3604" t="s">
        <v>51</v>
      </c>
      <c r="F3604" s="1">
        <v>29.52</v>
      </c>
      <c r="G3604" t="s">
        <v>19</v>
      </c>
      <c r="H3604" t="s">
        <v>37</v>
      </c>
      <c r="I3604" s="2">
        <v>3.8</v>
      </c>
      <c r="J3604" s="4">
        <v>4</v>
      </c>
      <c r="K3604" s="3">
        <v>2</v>
      </c>
      <c r="L3604" s="1">
        <f t="shared" si="168"/>
        <v>28.339199999999998</v>
      </c>
      <c r="M3604" t="str" cm="1">
        <f t="array" ref="M3604">_xlfn.IFS(B3604&lt;18,"Under 18",B3604 &lt;=25,"18-25",B3604&lt;=35,"26-35",B3604&lt;=45,"36-45",B3604&lt;=60,"46-60",TRUE,"60+")</f>
        <v>46-60</v>
      </c>
      <c r="N3604" t="str">
        <f t="shared" si="169"/>
        <v>Discounted</v>
      </c>
      <c r="O3604" t="str">
        <f t="shared" si="170"/>
        <v>Returning</v>
      </c>
    </row>
    <row r="3605" spans="1:15" x14ac:dyDescent="0.25">
      <c r="A3605">
        <v>3604</v>
      </c>
      <c r="B3605">
        <v>39</v>
      </c>
      <c r="C3605" t="s">
        <v>11</v>
      </c>
      <c r="D3605" t="s">
        <v>41</v>
      </c>
      <c r="E3605" t="s">
        <v>45</v>
      </c>
      <c r="F3605" s="1">
        <v>174.95</v>
      </c>
      <c r="G3605" t="s">
        <v>14</v>
      </c>
      <c r="H3605" t="s">
        <v>15</v>
      </c>
      <c r="I3605" s="2">
        <v>2.9</v>
      </c>
      <c r="J3605" s="4">
        <v>13</v>
      </c>
      <c r="K3605" s="3">
        <v>4</v>
      </c>
      <c r="L3605" s="1">
        <f t="shared" si="168"/>
        <v>152.20649999999998</v>
      </c>
      <c r="M3605" t="str" cm="1">
        <f t="array" ref="M3605">_xlfn.IFS(B3605&lt;18,"Under 18",B3605 &lt;=25,"18-25",B3605&lt;=35,"26-35",B3605&lt;=45,"36-45",B3605&lt;=60,"46-60",TRUE,"60+")</f>
        <v>36-45</v>
      </c>
      <c r="N3605" t="str">
        <f t="shared" si="169"/>
        <v>Discounted</v>
      </c>
      <c r="O3605" t="str">
        <f t="shared" si="170"/>
        <v>Returning</v>
      </c>
    </row>
    <row r="3606" spans="1:15" x14ac:dyDescent="0.25">
      <c r="A3606">
        <v>3605</v>
      </c>
      <c r="B3606">
        <v>49</v>
      </c>
      <c r="C3606" t="s">
        <v>16</v>
      </c>
      <c r="D3606" t="s">
        <v>17</v>
      </c>
      <c r="E3606" t="s">
        <v>18</v>
      </c>
      <c r="F3606" s="1">
        <v>101.38</v>
      </c>
      <c r="G3606" t="s">
        <v>19</v>
      </c>
      <c r="H3606" t="s">
        <v>15</v>
      </c>
      <c r="I3606" s="2">
        <v>3.3</v>
      </c>
      <c r="J3606" s="4">
        <v>12</v>
      </c>
      <c r="K3606" s="3">
        <v>6</v>
      </c>
      <c r="L3606" s="1">
        <f t="shared" si="168"/>
        <v>89.214399999999998</v>
      </c>
      <c r="M3606" t="str" cm="1">
        <f t="array" ref="M3606">_xlfn.IFS(B3606&lt;18,"Under 18",B3606 &lt;=25,"18-25",B3606&lt;=35,"26-35",B3606&lt;=45,"36-45",B3606&lt;=60,"46-60",TRUE,"60+")</f>
        <v>46-60</v>
      </c>
      <c r="N3606" t="str">
        <f t="shared" si="169"/>
        <v>Discounted</v>
      </c>
      <c r="O3606" t="str">
        <f t="shared" si="170"/>
        <v>Returning</v>
      </c>
    </row>
    <row r="3607" spans="1:15" x14ac:dyDescent="0.25">
      <c r="A3607">
        <v>3606</v>
      </c>
      <c r="B3607">
        <v>53</v>
      </c>
      <c r="C3607" t="s">
        <v>16</v>
      </c>
      <c r="D3607" t="s">
        <v>20</v>
      </c>
      <c r="E3607" t="s">
        <v>39</v>
      </c>
      <c r="F3607" s="1">
        <v>61.95</v>
      </c>
      <c r="G3607" t="s">
        <v>24</v>
      </c>
      <c r="H3607" t="s">
        <v>15</v>
      </c>
      <c r="I3607" s="2">
        <v>5</v>
      </c>
      <c r="J3607" s="4">
        <v>28</v>
      </c>
      <c r="K3607" s="3">
        <v>9</v>
      </c>
      <c r="L3607" s="1">
        <f t="shared" si="168"/>
        <v>44.603999999999999</v>
      </c>
      <c r="M3607" t="str" cm="1">
        <f t="array" ref="M3607">_xlfn.IFS(B3607&lt;18,"Under 18",B3607 &lt;=25,"18-25",B3607&lt;=35,"26-35",B3607&lt;=45,"36-45",B3607&lt;=60,"46-60",TRUE,"60+")</f>
        <v>46-60</v>
      </c>
      <c r="N3607" t="str">
        <f t="shared" si="169"/>
        <v>Discounted</v>
      </c>
      <c r="O3607" t="str">
        <f t="shared" si="170"/>
        <v>Returning</v>
      </c>
    </row>
    <row r="3608" spans="1:15" x14ac:dyDescent="0.25">
      <c r="A3608">
        <v>3607</v>
      </c>
      <c r="B3608">
        <v>34</v>
      </c>
      <c r="C3608" t="s">
        <v>11</v>
      </c>
      <c r="D3608" t="s">
        <v>20</v>
      </c>
      <c r="E3608" t="s">
        <v>39</v>
      </c>
      <c r="F3608" s="1">
        <v>117.57</v>
      </c>
      <c r="G3608" t="s">
        <v>14</v>
      </c>
      <c r="H3608" t="s">
        <v>15</v>
      </c>
      <c r="I3608" s="2">
        <v>4.4000000000000004</v>
      </c>
      <c r="J3608" s="4">
        <v>16</v>
      </c>
      <c r="K3608" s="3">
        <v>3</v>
      </c>
      <c r="L3608" s="1">
        <f t="shared" si="168"/>
        <v>98.758799999999994</v>
      </c>
      <c r="M3608" t="str" cm="1">
        <f t="array" ref="M3608">_xlfn.IFS(B3608&lt;18,"Under 18",B3608 &lt;=25,"18-25",B3608&lt;=35,"26-35",B3608&lt;=45,"36-45",B3608&lt;=60,"46-60",TRUE,"60+")</f>
        <v>26-35</v>
      </c>
      <c r="N3608" t="str">
        <f t="shared" si="169"/>
        <v>Discounted</v>
      </c>
      <c r="O3608" t="str">
        <f t="shared" si="170"/>
        <v>Returning</v>
      </c>
    </row>
    <row r="3609" spans="1:15" x14ac:dyDescent="0.25">
      <c r="A3609">
        <v>3608</v>
      </c>
      <c r="B3609">
        <v>70</v>
      </c>
      <c r="C3609" t="s">
        <v>11</v>
      </c>
      <c r="D3609" t="s">
        <v>29</v>
      </c>
      <c r="E3609" t="s">
        <v>30</v>
      </c>
      <c r="F3609" s="1">
        <v>130.01</v>
      </c>
      <c r="G3609" t="s">
        <v>19</v>
      </c>
      <c r="H3609" t="s">
        <v>15</v>
      </c>
      <c r="I3609" s="2">
        <v>4.3</v>
      </c>
      <c r="J3609" s="4">
        <v>15</v>
      </c>
      <c r="K3609" s="3">
        <v>5</v>
      </c>
      <c r="L3609" s="1">
        <f t="shared" si="168"/>
        <v>110.50849999999998</v>
      </c>
      <c r="M3609" t="str" cm="1">
        <f t="array" ref="M3609">_xlfn.IFS(B3609&lt;18,"Under 18",B3609 &lt;=25,"18-25",B3609&lt;=35,"26-35",B3609&lt;=45,"36-45",B3609&lt;=60,"46-60",TRUE,"60+")</f>
        <v>60+</v>
      </c>
      <c r="N3609" t="str">
        <f t="shared" si="169"/>
        <v>Discounted</v>
      </c>
      <c r="O3609" t="str">
        <f t="shared" si="170"/>
        <v>Returning</v>
      </c>
    </row>
    <row r="3610" spans="1:15" x14ac:dyDescent="0.25">
      <c r="A3610">
        <v>3609</v>
      </c>
      <c r="B3610">
        <v>69</v>
      </c>
      <c r="C3610" t="s">
        <v>16</v>
      </c>
      <c r="D3610" t="s">
        <v>20</v>
      </c>
      <c r="E3610" t="s">
        <v>36</v>
      </c>
      <c r="F3610" s="1">
        <v>225.9</v>
      </c>
      <c r="G3610" t="s">
        <v>24</v>
      </c>
      <c r="H3610" t="s">
        <v>15</v>
      </c>
      <c r="I3610" s="2">
        <v>3.8</v>
      </c>
      <c r="J3610" s="4">
        <v>22</v>
      </c>
      <c r="K3610" s="3">
        <v>6</v>
      </c>
      <c r="L3610" s="1">
        <f t="shared" si="168"/>
        <v>176.202</v>
      </c>
      <c r="M3610" t="str" cm="1">
        <f t="array" ref="M3610">_xlfn.IFS(B3610&lt;18,"Under 18",B3610 &lt;=25,"18-25",B3610&lt;=35,"26-35",B3610&lt;=45,"36-45",B3610&lt;=60,"46-60",TRUE,"60+")</f>
        <v>60+</v>
      </c>
      <c r="N3610" t="str">
        <f t="shared" si="169"/>
        <v>Discounted</v>
      </c>
      <c r="O3610" t="str">
        <f t="shared" si="170"/>
        <v>Returning</v>
      </c>
    </row>
    <row r="3611" spans="1:15" x14ac:dyDescent="0.25">
      <c r="A3611">
        <v>3610</v>
      </c>
      <c r="B3611">
        <v>27</v>
      </c>
      <c r="C3611" t="s">
        <v>16</v>
      </c>
      <c r="D3611" t="s">
        <v>20</v>
      </c>
      <c r="E3611" t="s">
        <v>39</v>
      </c>
      <c r="F3611" s="1">
        <v>165.66</v>
      </c>
      <c r="G3611" t="s">
        <v>31</v>
      </c>
      <c r="H3611" t="s">
        <v>15</v>
      </c>
      <c r="I3611" s="2">
        <v>3.4</v>
      </c>
      <c r="J3611" s="4">
        <v>14</v>
      </c>
      <c r="K3611" s="3">
        <v>2</v>
      </c>
      <c r="L3611" s="1">
        <f t="shared" si="168"/>
        <v>142.4676</v>
      </c>
      <c r="M3611" t="str" cm="1">
        <f t="array" ref="M3611">_xlfn.IFS(B3611&lt;18,"Under 18",B3611 &lt;=25,"18-25",B3611&lt;=35,"26-35",B3611&lt;=45,"36-45",B3611&lt;=60,"46-60",TRUE,"60+")</f>
        <v>26-35</v>
      </c>
      <c r="N3611" t="str">
        <f t="shared" si="169"/>
        <v>Discounted</v>
      </c>
      <c r="O3611" t="str">
        <f t="shared" si="170"/>
        <v>Returning</v>
      </c>
    </row>
    <row r="3612" spans="1:15" x14ac:dyDescent="0.25">
      <c r="A3612">
        <v>3611</v>
      </c>
      <c r="B3612">
        <v>30</v>
      </c>
      <c r="C3612" t="s">
        <v>16</v>
      </c>
      <c r="D3612" t="s">
        <v>33</v>
      </c>
      <c r="E3612" t="s">
        <v>40</v>
      </c>
      <c r="F3612" s="1">
        <v>197.71</v>
      </c>
      <c r="G3612" t="s">
        <v>19</v>
      </c>
      <c r="H3612" t="s">
        <v>15</v>
      </c>
      <c r="I3612" s="2">
        <v>3.3</v>
      </c>
      <c r="J3612" s="4">
        <v>17</v>
      </c>
      <c r="K3612" s="3">
        <v>6</v>
      </c>
      <c r="L3612" s="1">
        <f t="shared" si="168"/>
        <v>164.0993</v>
      </c>
      <c r="M3612" t="str" cm="1">
        <f t="array" ref="M3612">_xlfn.IFS(B3612&lt;18,"Under 18",B3612 &lt;=25,"18-25",B3612&lt;=35,"26-35",B3612&lt;=45,"36-45",B3612&lt;=60,"46-60",TRUE,"60+")</f>
        <v>26-35</v>
      </c>
      <c r="N3612" t="str">
        <f t="shared" si="169"/>
        <v>Discounted</v>
      </c>
      <c r="O3612" t="str">
        <f t="shared" si="170"/>
        <v>Returning</v>
      </c>
    </row>
    <row r="3613" spans="1:15" x14ac:dyDescent="0.25">
      <c r="A3613">
        <v>3612</v>
      </c>
      <c r="B3613">
        <v>58</v>
      </c>
      <c r="C3613" t="s">
        <v>16</v>
      </c>
      <c r="D3613" t="s">
        <v>17</v>
      </c>
      <c r="E3613" t="s">
        <v>48</v>
      </c>
      <c r="F3613" s="1">
        <v>104.05</v>
      </c>
      <c r="G3613" t="s">
        <v>14</v>
      </c>
      <c r="H3613" t="s">
        <v>15</v>
      </c>
      <c r="I3613" s="2">
        <v>2.8</v>
      </c>
      <c r="J3613" s="4">
        <v>6</v>
      </c>
      <c r="K3613" s="3">
        <v>3</v>
      </c>
      <c r="L3613" s="1">
        <f t="shared" si="168"/>
        <v>97.806999999999988</v>
      </c>
      <c r="M3613" t="str" cm="1">
        <f t="array" ref="M3613">_xlfn.IFS(B3613&lt;18,"Under 18",B3613 &lt;=25,"18-25",B3613&lt;=35,"26-35",B3613&lt;=45,"36-45",B3613&lt;=60,"46-60",TRUE,"60+")</f>
        <v>46-60</v>
      </c>
      <c r="N3613" t="str">
        <f t="shared" si="169"/>
        <v>Discounted</v>
      </c>
      <c r="O3613" t="str">
        <f t="shared" si="170"/>
        <v>Returning</v>
      </c>
    </row>
    <row r="3614" spans="1:15" x14ac:dyDescent="0.25">
      <c r="A3614">
        <v>3613</v>
      </c>
      <c r="B3614">
        <v>32</v>
      </c>
      <c r="C3614" t="s">
        <v>16</v>
      </c>
      <c r="D3614" t="s">
        <v>25</v>
      </c>
      <c r="E3614" t="s">
        <v>26</v>
      </c>
      <c r="F3614" s="1">
        <v>77.81</v>
      </c>
      <c r="G3614" t="s">
        <v>14</v>
      </c>
      <c r="H3614" t="s">
        <v>15</v>
      </c>
      <c r="I3614" s="2">
        <v>4.2</v>
      </c>
      <c r="J3614" s="4">
        <v>8</v>
      </c>
      <c r="K3614" s="3">
        <v>4</v>
      </c>
      <c r="L3614" s="1">
        <f t="shared" si="168"/>
        <v>71.5852</v>
      </c>
      <c r="M3614" t="str" cm="1">
        <f t="array" ref="M3614">_xlfn.IFS(B3614&lt;18,"Under 18",B3614 &lt;=25,"18-25",B3614&lt;=35,"26-35",B3614&lt;=45,"36-45",B3614&lt;=60,"46-60",TRUE,"60+")</f>
        <v>26-35</v>
      </c>
      <c r="N3614" t="str">
        <f t="shared" si="169"/>
        <v>Discounted</v>
      </c>
      <c r="O3614" t="str">
        <f t="shared" si="170"/>
        <v>Returning</v>
      </c>
    </row>
    <row r="3615" spans="1:15" x14ac:dyDescent="0.25">
      <c r="A3615">
        <v>3614</v>
      </c>
      <c r="B3615">
        <v>43</v>
      </c>
      <c r="C3615" t="s">
        <v>11</v>
      </c>
      <c r="D3615" t="s">
        <v>33</v>
      </c>
      <c r="E3615" t="s">
        <v>40</v>
      </c>
      <c r="F3615" s="1">
        <v>117.91</v>
      </c>
      <c r="G3615" t="s">
        <v>19</v>
      </c>
      <c r="H3615" t="s">
        <v>15</v>
      </c>
      <c r="I3615" s="2">
        <v>4</v>
      </c>
      <c r="J3615" s="4">
        <v>12</v>
      </c>
      <c r="K3615" s="3">
        <v>1</v>
      </c>
      <c r="L3615" s="1">
        <f t="shared" si="168"/>
        <v>103.7608</v>
      </c>
      <c r="M3615" t="str" cm="1">
        <f t="array" ref="M3615">_xlfn.IFS(B3615&lt;18,"Under 18",B3615 &lt;=25,"18-25",B3615&lt;=35,"26-35",B3615&lt;=45,"36-45",B3615&lt;=60,"46-60",TRUE,"60+")</f>
        <v>36-45</v>
      </c>
      <c r="N3615" t="str">
        <f t="shared" si="169"/>
        <v>Discounted</v>
      </c>
      <c r="O3615" t="str">
        <f t="shared" si="170"/>
        <v>Returning</v>
      </c>
    </row>
    <row r="3616" spans="1:15" x14ac:dyDescent="0.25">
      <c r="A3616">
        <v>3615</v>
      </c>
      <c r="B3616">
        <v>26</v>
      </c>
      <c r="C3616" t="s">
        <v>16</v>
      </c>
      <c r="D3616" t="s">
        <v>25</v>
      </c>
      <c r="E3616" t="s">
        <v>54</v>
      </c>
      <c r="F3616" s="1">
        <v>70.44</v>
      </c>
      <c r="G3616" t="s">
        <v>24</v>
      </c>
      <c r="H3616" t="s">
        <v>15</v>
      </c>
      <c r="I3616" s="2">
        <v>2.5</v>
      </c>
      <c r="J3616" s="4">
        <v>19</v>
      </c>
      <c r="K3616" s="3">
        <v>7</v>
      </c>
      <c r="L3616" s="1">
        <f t="shared" si="168"/>
        <v>57.056400000000004</v>
      </c>
      <c r="M3616" t="str" cm="1">
        <f t="array" ref="M3616">_xlfn.IFS(B3616&lt;18,"Under 18",B3616 &lt;=25,"18-25",B3616&lt;=35,"26-35",B3616&lt;=45,"36-45",B3616&lt;=60,"46-60",TRUE,"60+")</f>
        <v>26-35</v>
      </c>
      <c r="N3616" t="str">
        <f t="shared" si="169"/>
        <v>Discounted</v>
      </c>
      <c r="O3616" t="str">
        <f t="shared" si="170"/>
        <v>Returning</v>
      </c>
    </row>
    <row r="3617" spans="1:15" x14ac:dyDescent="0.25">
      <c r="A3617">
        <v>3616</v>
      </c>
      <c r="B3617">
        <v>60</v>
      </c>
      <c r="C3617" t="s">
        <v>11</v>
      </c>
      <c r="D3617" t="s">
        <v>12</v>
      </c>
      <c r="E3617" t="s">
        <v>56</v>
      </c>
      <c r="F3617" s="1">
        <v>104.64</v>
      </c>
      <c r="G3617" t="s">
        <v>14</v>
      </c>
      <c r="H3617" t="s">
        <v>15</v>
      </c>
      <c r="I3617" s="2">
        <v>3.7</v>
      </c>
      <c r="J3617" s="4">
        <v>17</v>
      </c>
      <c r="K3617" s="3">
        <v>6</v>
      </c>
      <c r="L3617" s="1">
        <f t="shared" si="168"/>
        <v>86.851199999999992</v>
      </c>
      <c r="M3617" t="str" cm="1">
        <f t="array" ref="M3617">_xlfn.IFS(B3617&lt;18,"Under 18",B3617 &lt;=25,"18-25",B3617&lt;=35,"26-35",B3617&lt;=45,"36-45",B3617&lt;=60,"46-60",TRUE,"60+")</f>
        <v>46-60</v>
      </c>
      <c r="N3617" t="str">
        <f t="shared" si="169"/>
        <v>Discounted</v>
      </c>
      <c r="O3617" t="str">
        <f t="shared" si="170"/>
        <v>Returning</v>
      </c>
    </row>
    <row r="3618" spans="1:15" x14ac:dyDescent="0.25">
      <c r="A3618">
        <v>3617</v>
      </c>
      <c r="B3618">
        <v>64</v>
      </c>
      <c r="C3618" t="s">
        <v>11</v>
      </c>
      <c r="D3618" t="s">
        <v>29</v>
      </c>
      <c r="E3618" t="s">
        <v>51</v>
      </c>
      <c r="F3618" s="1">
        <v>71.510000000000005</v>
      </c>
      <c r="G3618" t="s">
        <v>24</v>
      </c>
      <c r="H3618" t="s">
        <v>37</v>
      </c>
      <c r="I3618" s="2">
        <v>2.9</v>
      </c>
      <c r="J3618" s="4">
        <v>28</v>
      </c>
      <c r="K3618" s="3">
        <v>9</v>
      </c>
      <c r="L3618" s="1">
        <f t="shared" si="168"/>
        <v>51.487200000000001</v>
      </c>
      <c r="M3618" t="str" cm="1">
        <f t="array" ref="M3618">_xlfn.IFS(B3618&lt;18,"Under 18",B3618 &lt;=25,"18-25",B3618&lt;=35,"26-35",B3618&lt;=45,"36-45",B3618&lt;=60,"46-60",TRUE,"60+")</f>
        <v>60+</v>
      </c>
      <c r="N3618" t="str">
        <f t="shared" si="169"/>
        <v>Discounted</v>
      </c>
      <c r="O3618" t="str">
        <f t="shared" si="170"/>
        <v>Returning</v>
      </c>
    </row>
    <row r="3619" spans="1:15" x14ac:dyDescent="0.25">
      <c r="A3619">
        <v>3618</v>
      </c>
      <c r="B3619">
        <v>53</v>
      </c>
      <c r="C3619" t="s">
        <v>11</v>
      </c>
      <c r="D3619" t="s">
        <v>29</v>
      </c>
      <c r="E3619" t="s">
        <v>55</v>
      </c>
      <c r="F3619" s="1">
        <v>51.04</v>
      </c>
      <c r="G3619" t="s">
        <v>14</v>
      </c>
      <c r="H3619" t="s">
        <v>15</v>
      </c>
      <c r="I3619" s="2">
        <v>4.4000000000000004</v>
      </c>
      <c r="J3619" s="4">
        <v>19</v>
      </c>
      <c r="K3619" s="3">
        <v>7</v>
      </c>
      <c r="L3619" s="1">
        <f t="shared" si="168"/>
        <v>41.342400000000005</v>
      </c>
      <c r="M3619" t="str" cm="1">
        <f t="array" ref="M3619">_xlfn.IFS(B3619&lt;18,"Under 18",B3619 &lt;=25,"18-25",B3619&lt;=35,"26-35",B3619&lt;=45,"36-45",B3619&lt;=60,"46-60",TRUE,"60+")</f>
        <v>46-60</v>
      </c>
      <c r="N3619" t="str">
        <f t="shared" si="169"/>
        <v>Discounted</v>
      </c>
      <c r="O3619" t="str">
        <f t="shared" si="170"/>
        <v>Returning</v>
      </c>
    </row>
    <row r="3620" spans="1:15" x14ac:dyDescent="0.25">
      <c r="A3620">
        <v>3619</v>
      </c>
      <c r="B3620">
        <v>23</v>
      </c>
      <c r="C3620" t="s">
        <v>16</v>
      </c>
      <c r="D3620" t="s">
        <v>17</v>
      </c>
      <c r="E3620" t="s">
        <v>42</v>
      </c>
      <c r="F3620" s="1">
        <v>76.95</v>
      </c>
      <c r="G3620" t="s">
        <v>24</v>
      </c>
      <c r="H3620" t="s">
        <v>15</v>
      </c>
      <c r="I3620" s="2">
        <v>3.8</v>
      </c>
      <c r="J3620" s="4">
        <v>8</v>
      </c>
      <c r="K3620" s="3">
        <v>4</v>
      </c>
      <c r="L3620" s="1">
        <f t="shared" si="168"/>
        <v>70.794000000000011</v>
      </c>
      <c r="M3620" t="str" cm="1">
        <f t="array" ref="M3620">_xlfn.IFS(B3620&lt;18,"Under 18",B3620 &lt;=25,"18-25",B3620&lt;=35,"26-35",B3620&lt;=45,"36-45",B3620&lt;=60,"46-60",TRUE,"60+")</f>
        <v>18-25</v>
      </c>
      <c r="N3620" t="str">
        <f t="shared" si="169"/>
        <v>Discounted</v>
      </c>
      <c r="O3620" t="str">
        <f t="shared" si="170"/>
        <v>Returning</v>
      </c>
    </row>
    <row r="3621" spans="1:15" x14ac:dyDescent="0.25">
      <c r="A3621">
        <v>3620</v>
      </c>
      <c r="B3621">
        <v>32</v>
      </c>
      <c r="C3621" t="s">
        <v>16</v>
      </c>
      <c r="D3621" t="s">
        <v>17</v>
      </c>
      <c r="E3621" t="s">
        <v>42</v>
      </c>
      <c r="F3621" s="1">
        <v>81.88</v>
      </c>
      <c r="G3621" t="s">
        <v>31</v>
      </c>
      <c r="H3621" t="s">
        <v>15</v>
      </c>
      <c r="I3621" s="2">
        <v>3.9</v>
      </c>
      <c r="J3621" s="4">
        <v>8</v>
      </c>
      <c r="K3621" s="3">
        <v>4</v>
      </c>
      <c r="L3621" s="1">
        <f t="shared" si="168"/>
        <v>75.329599999999999</v>
      </c>
      <c r="M3621" t="str" cm="1">
        <f t="array" ref="M3621">_xlfn.IFS(B3621&lt;18,"Under 18",B3621 &lt;=25,"18-25",B3621&lt;=35,"26-35",B3621&lt;=45,"36-45",B3621&lt;=60,"46-60",TRUE,"60+")</f>
        <v>26-35</v>
      </c>
      <c r="N3621" t="str">
        <f t="shared" si="169"/>
        <v>Discounted</v>
      </c>
      <c r="O3621" t="str">
        <f t="shared" si="170"/>
        <v>Returning</v>
      </c>
    </row>
    <row r="3622" spans="1:15" x14ac:dyDescent="0.25">
      <c r="A3622">
        <v>3621</v>
      </c>
      <c r="B3622">
        <v>66</v>
      </c>
      <c r="C3622" t="s">
        <v>16</v>
      </c>
      <c r="D3622" t="s">
        <v>20</v>
      </c>
      <c r="E3622" t="s">
        <v>39</v>
      </c>
      <c r="F3622" s="1">
        <v>65.33</v>
      </c>
      <c r="G3622" t="s">
        <v>19</v>
      </c>
      <c r="H3622" t="s">
        <v>15</v>
      </c>
      <c r="I3622" s="2">
        <v>3.2</v>
      </c>
      <c r="J3622" s="4">
        <v>20</v>
      </c>
      <c r="K3622" s="3">
        <v>5</v>
      </c>
      <c r="L3622" s="1">
        <f t="shared" si="168"/>
        <v>52.264000000000003</v>
      </c>
      <c r="M3622" t="str" cm="1">
        <f t="array" ref="M3622">_xlfn.IFS(B3622&lt;18,"Under 18",B3622 &lt;=25,"18-25",B3622&lt;=35,"26-35",B3622&lt;=45,"36-45",B3622&lt;=60,"46-60",TRUE,"60+")</f>
        <v>60+</v>
      </c>
      <c r="N3622" t="str">
        <f t="shared" si="169"/>
        <v>Discounted</v>
      </c>
      <c r="O3622" t="str">
        <f t="shared" si="170"/>
        <v>Returning</v>
      </c>
    </row>
    <row r="3623" spans="1:15" x14ac:dyDescent="0.25">
      <c r="A3623">
        <v>3622</v>
      </c>
      <c r="B3623">
        <v>47</v>
      </c>
      <c r="C3623" t="s">
        <v>11</v>
      </c>
      <c r="D3623" t="s">
        <v>41</v>
      </c>
      <c r="E3623" t="s">
        <v>45</v>
      </c>
      <c r="F3623" s="1">
        <v>52.4</v>
      </c>
      <c r="G3623" t="s">
        <v>24</v>
      </c>
      <c r="H3623" t="s">
        <v>37</v>
      </c>
      <c r="I3623" s="2">
        <v>3.7</v>
      </c>
      <c r="J3623" s="4">
        <v>24</v>
      </c>
      <c r="K3623" s="3">
        <v>7</v>
      </c>
      <c r="L3623" s="1">
        <f t="shared" si="168"/>
        <v>39.823999999999998</v>
      </c>
      <c r="M3623" t="str" cm="1">
        <f t="array" ref="M3623">_xlfn.IFS(B3623&lt;18,"Under 18",B3623 &lt;=25,"18-25",B3623&lt;=35,"26-35",B3623&lt;=45,"36-45",B3623&lt;=60,"46-60",TRUE,"60+")</f>
        <v>46-60</v>
      </c>
      <c r="N3623" t="str">
        <f t="shared" si="169"/>
        <v>Discounted</v>
      </c>
      <c r="O3623" t="str">
        <f t="shared" si="170"/>
        <v>Returning</v>
      </c>
    </row>
    <row r="3624" spans="1:15" x14ac:dyDescent="0.25">
      <c r="A3624">
        <v>3623</v>
      </c>
      <c r="B3624">
        <v>20</v>
      </c>
      <c r="C3624" t="s">
        <v>16</v>
      </c>
      <c r="D3624" t="s">
        <v>33</v>
      </c>
      <c r="E3624" t="s">
        <v>34</v>
      </c>
      <c r="F3624" s="1">
        <v>205.07</v>
      </c>
      <c r="G3624" t="s">
        <v>19</v>
      </c>
      <c r="H3624" t="s">
        <v>15</v>
      </c>
      <c r="I3624" s="2">
        <v>4.2</v>
      </c>
      <c r="J3624" s="4">
        <v>17</v>
      </c>
      <c r="K3624" s="3">
        <v>6</v>
      </c>
      <c r="L3624" s="1">
        <f t="shared" si="168"/>
        <v>170.20809999999997</v>
      </c>
      <c r="M3624" t="str" cm="1">
        <f t="array" ref="M3624">_xlfn.IFS(B3624&lt;18,"Under 18",B3624 &lt;=25,"18-25",B3624&lt;=35,"26-35",B3624&lt;=45,"36-45",B3624&lt;=60,"46-60",TRUE,"60+")</f>
        <v>18-25</v>
      </c>
      <c r="N3624" t="str">
        <f t="shared" si="169"/>
        <v>Discounted</v>
      </c>
      <c r="O3624" t="str">
        <f t="shared" si="170"/>
        <v>Returning</v>
      </c>
    </row>
    <row r="3625" spans="1:15" x14ac:dyDescent="0.25">
      <c r="A3625">
        <v>3624</v>
      </c>
      <c r="B3625">
        <v>50</v>
      </c>
      <c r="C3625" t="s">
        <v>11</v>
      </c>
      <c r="D3625" t="s">
        <v>29</v>
      </c>
      <c r="E3625" t="s">
        <v>55</v>
      </c>
      <c r="F3625" s="1">
        <v>29.83</v>
      </c>
      <c r="G3625" t="s">
        <v>24</v>
      </c>
      <c r="H3625" t="s">
        <v>15</v>
      </c>
      <c r="I3625" s="2">
        <v>2.4</v>
      </c>
      <c r="J3625" s="4">
        <v>18</v>
      </c>
      <c r="K3625" s="3">
        <v>4</v>
      </c>
      <c r="L3625" s="1">
        <f t="shared" si="168"/>
        <v>24.460599999999999</v>
      </c>
      <c r="M3625" t="str" cm="1">
        <f t="array" ref="M3625">_xlfn.IFS(B3625&lt;18,"Under 18",B3625 &lt;=25,"18-25",B3625&lt;=35,"26-35",B3625&lt;=45,"36-45",B3625&lt;=60,"46-60",TRUE,"60+")</f>
        <v>46-60</v>
      </c>
      <c r="N3625" t="str">
        <f t="shared" si="169"/>
        <v>Discounted</v>
      </c>
      <c r="O3625" t="str">
        <f t="shared" si="170"/>
        <v>Returning</v>
      </c>
    </row>
    <row r="3626" spans="1:15" x14ac:dyDescent="0.25">
      <c r="A3626">
        <v>3625</v>
      </c>
      <c r="B3626">
        <v>68</v>
      </c>
      <c r="C3626" t="s">
        <v>11</v>
      </c>
      <c r="D3626" t="s">
        <v>20</v>
      </c>
      <c r="E3626" t="s">
        <v>21</v>
      </c>
      <c r="F3626" s="1">
        <v>151.76</v>
      </c>
      <c r="G3626" t="s">
        <v>14</v>
      </c>
      <c r="H3626" t="s">
        <v>15</v>
      </c>
      <c r="I3626" s="2">
        <v>4.0999999999999996</v>
      </c>
      <c r="J3626" s="4">
        <v>14</v>
      </c>
      <c r="K3626" s="3">
        <v>7</v>
      </c>
      <c r="L3626" s="1">
        <f t="shared" si="168"/>
        <v>130.5136</v>
      </c>
      <c r="M3626" t="str" cm="1">
        <f t="array" ref="M3626">_xlfn.IFS(B3626&lt;18,"Under 18",B3626 &lt;=25,"18-25",B3626&lt;=35,"26-35",B3626&lt;=45,"36-45",B3626&lt;=60,"46-60",TRUE,"60+")</f>
        <v>60+</v>
      </c>
      <c r="N3626" t="str">
        <f t="shared" si="169"/>
        <v>Discounted</v>
      </c>
      <c r="O3626" t="str">
        <f t="shared" si="170"/>
        <v>Returning</v>
      </c>
    </row>
    <row r="3627" spans="1:15" x14ac:dyDescent="0.25">
      <c r="A3627">
        <v>3626</v>
      </c>
      <c r="B3627">
        <v>47</v>
      </c>
      <c r="C3627" t="s">
        <v>16</v>
      </c>
      <c r="D3627" t="s">
        <v>25</v>
      </c>
      <c r="E3627" t="s">
        <v>57</v>
      </c>
      <c r="F3627" s="1">
        <v>56.84</v>
      </c>
      <c r="G3627" t="s">
        <v>31</v>
      </c>
      <c r="H3627" t="s">
        <v>15</v>
      </c>
      <c r="I3627" s="2">
        <v>3.7</v>
      </c>
      <c r="J3627" s="4">
        <v>10</v>
      </c>
      <c r="K3627" s="3">
        <v>5</v>
      </c>
      <c r="L3627" s="1">
        <f t="shared" si="168"/>
        <v>51.156000000000006</v>
      </c>
      <c r="M3627" t="str" cm="1">
        <f t="array" ref="M3627">_xlfn.IFS(B3627&lt;18,"Under 18",B3627 &lt;=25,"18-25",B3627&lt;=35,"26-35",B3627&lt;=45,"36-45",B3627&lt;=60,"46-60",TRUE,"60+")</f>
        <v>46-60</v>
      </c>
      <c r="N3627" t="str">
        <f t="shared" si="169"/>
        <v>Discounted</v>
      </c>
      <c r="O3627" t="str">
        <f t="shared" si="170"/>
        <v>Returning</v>
      </c>
    </row>
    <row r="3628" spans="1:15" x14ac:dyDescent="0.25">
      <c r="A3628">
        <v>3627</v>
      </c>
      <c r="B3628">
        <v>66</v>
      </c>
      <c r="C3628" t="s">
        <v>11</v>
      </c>
      <c r="D3628" t="s">
        <v>33</v>
      </c>
      <c r="E3628" t="s">
        <v>38</v>
      </c>
      <c r="F3628" s="1">
        <v>228.84</v>
      </c>
      <c r="G3628" t="s">
        <v>19</v>
      </c>
      <c r="H3628" t="s">
        <v>15</v>
      </c>
      <c r="I3628" s="2">
        <v>4.0999999999999996</v>
      </c>
      <c r="J3628" s="4">
        <v>14</v>
      </c>
      <c r="K3628" s="3">
        <v>2</v>
      </c>
      <c r="L3628" s="1">
        <f t="shared" si="168"/>
        <v>196.80240000000001</v>
      </c>
      <c r="M3628" t="str" cm="1">
        <f t="array" ref="M3628">_xlfn.IFS(B3628&lt;18,"Under 18",B3628 &lt;=25,"18-25",B3628&lt;=35,"26-35",B3628&lt;=45,"36-45",B3628&lt;=60,"46-60",TRUE,"60+")</f>
        <v>60+</v>
      </c>
      <c r="N3628" t="str">
        <f t="shared" si="169"/>
        <v>Discounted</v>
      </c>
      <c r="O3628" t="str">
        <f t="shared" si="170"/>
        <v>Returning</v>
      </c>
    </row>
    <row r="3629" spans="1:15" x14ac:dyDescent="0.25">
      <c r="A3629">
        <v>3628</v>
      </c>
      <c r="B3629">
        <v>53</v>
      </c>
      <c r="C3629" t="s">
        <v>11</v>
      </c>
      <c r="D3629" t="s">
        <v>33</v>
      </c>
      <c r="E3629" t="s">
        <v>40</v>
      </c>
      <c r="F3629" s="1">
        <v>130.81</v>
      </c>
      <c r="G3629" t="s">
        <v>31</v>
      </c>
      <c r="H3629" t="s">
        <v>15</v>
      </c>
      <c r="I3629" s="2">
        <v>3.8</v>
      </c>
      <c r="J3629" s="4">
        <v>16</v>
      </c>
      <c r="K3629" s="3">
        <v>8</v>
      </c>
      <c r="L3629" s="1">
        <f t="shared" si="168"/>
        <v>109.88039999999999</v>
      </c>
      <c r="M3629" t="str" cm="1">
        <f t="array" ref="M3629">_xlfn.IFS(B3629&lt;18,"Under 18",B3629 &lt;=25,"18-25",B3629&lt;=35,"26-35",B3629&lt;=45,"36-45",B3629&lt;=60,"46-60",TRUE,"60+")</f>
        <v>46-60</v>
      </c>
      <c r="N3629" t="str">
        <f t="shared" si="169"/>
        <v>Discounted</v>
      </c>
      <c r="O3629" t="str">
        <f t="shared" si="170"/>
        <v>Returning</v>
      </c>
    </row>
    <row r="3630" spans="1:15" x14ac:dyDescent="0.25">
      <c r="A3630">
        <v>3629</v>
      </c>
      <c r="B3630">
        <v>57</v>
      </c>
      <c r="C3630" t="s">
        <v>16</v>
      </c>
      <c r="D3630" t="s">
        <v>33</v>
      </c>
      <c r="E3630" t="s">
        <v>34</v>
      </c>
      <c r="F3630" s="1">
        <v>65.53</v>
      </c>
      <c r="G3630" t="s">
        <v>31</v>
      </c>
      <c r="H3630" t="s">
        <v>37</v>
      </c>
      <c r="I3630" s="2">
        <v>3.9</v>
      </c>
      <c r="J3630" s="4">
        <v>17</v>
      </c>
      <c r="K3630" s="3">
        <v>6</v>
      </c>
      <c r="L3630" s="1">
        <f t="shared" si="168"/>
        <v>54.389899999999997</v>
      </c>
      <c r="M3630" t="str" cm="1">
        <f t="array" ref="M3630">_xlfn.IFS(B3630&lt;18,"Under 18",B3630 &lt;=25,"18-25",B3630&lt;=35,"26-35",B3630&lt;=45,"36-45",B3630&lt;=60,"46-60",TRUE,"60+")</f>
        <v>46-60</v>
      </c>
      <c r="N3630" t="str">
        <f t="shared" si="169"/>
        <v>Discounted</v>
      </c>
      <c r="O3630" t="str">
        <f t="shared" si="170"/>
        <v>Returning</v>
      </c>
    </row>
    <row r="3631" spans="1:15" x14ac:dyDescent="0.25">
      <c r="A3631">
        <v>3630</v>
      </c>
      <c r="B3631">
        <v>60</v>
      </c>
      <c r="C3631" t="s">
        <v>11</v>
      </c>
      <c r="D3631" t="s">
        <v>12</v>
      </c>
      <c r="E3631" t="s">
        <v>50</v>
      </c>
      <c r="F3631" s="1">
        <v>86.31</v>
      </c>
      <c r="G3631" t="s">
        <v>19</v>
      </c>
      <c r="H3631" t="s">
        <v>15</v>
      </c>
      <c r="I3631" s="2">
        <v>4.4000000000000004</v>
      </c>
      <c r="J3631" s="4">
        <v>13</v>
      </c>
      <c r="K3631" s="3">
        <v>4</v>
      </c>
      <c r="L3631" s="1">
        <f t="shared" si="168"/>
        <v>75.089700000000008</v>
      </c>
      <c r="M3631" t="str" cm="1">
        <f t="array" ref="M3631">_xlfn.IFS(B3631&lt;18,"Under 18",B3631 &lt;=25,"18-25",B3631&lt;=35,"26-35",B3631&lt;=45,"36-45",B3631&lt;=60,"46-60",TRUE,"60+")</f>
        <v>46-60</v>
      </c>
      <c r="N3631" t="str">
        <f t="shared" si="169"/>
        <v>Discounted</v>
      </c>
      <c r="O3631" t="str">
        <f t="shared" si="170"/>
        <v>Returning</v>
      </c>
    </row>
    <row r="3632" spans="1:15" x14ac:dyDescent="0.25">
      <c r="A3632">
        <v>3631</v>
      </c>
      <c r="B3632">
        <v>31</v>
      </c>
      <c r="C3632" t="s">
        <v>16</v>
      </c>
      <c r="D3632" t="s">
        <v>20</v>
      </c>
      <c r="E3632" t="s">
        <v>36</v>
      </c>
      <c r="F3632" s="1">
        <v>204.19</v>
      </c>
      <c r="G3632" t="s">
        <v>24</v>
      </c>
      <c r="H3632" t="s">
        <v>15</v>
      </c>
      <c r="I3632" s="2">
        <v>3.4</v>
      </c>
      <c r="J3632" s="4">
        <v>18</v>
      </c>
      <c r="K3632" s="3">
        <v>4</v>
      </c>
      <c r="L3632" s="1">
        <f t="shared" si="168"/>
        <v>167.4358</v>
      </c>
      <c r="M3632" t="str" cm="1">
        <f t="array" ref="M3632">_xlfn.IFS(B3632&lt;18,"Under 18",B3632 &lt;=25,"18-25",B3632&lt;=35,"26-35",B3632&lt;=45,"36-45",B3632&lt;=60,"46-60",TRUE,"60+")</f>
        <v>26-35</v>
      </c>
      <c r="N3632" t="str">
        <f t="shared" si="169"/>
        <v>Discounted</v>
      </c>
      <c r="O3632" t="str">
        <f t="shared" si="170"/>
        <v>Returning</v>
      </c>
    </row>
    <row r="3633" spans="1:15" x14ac:dyDescent="0.25">
      <c r="A3633">
        <v>3632</v>
      </c>
      <c r="B3633">
        <v>68</v>
      </c>
      <c r="C3633" t="s">
        <v>16</v>
      </c>
      <c r="D3633" t="s">
        <v>22</v>
      </c>
      <c r="E3633" t="s">
        <v>23</v>
      </c>
      <c r="F3633" s="1">
        <v>289.19</v>
      </c>
      <c r="G3633" t="s">
        <v>24</v>
      </c>
      <c r="H3633" t="s">
        <v>15</v>
      </c>
      <c r="I3633" s="2">
        <v>3.5</v>
      </c>
      <c r="J3633" s="4">
        <v>9</v>
      </c>
      <c r="K3633" s="3">
        <v>2</v>
      </c>
      <c r="L3633" s="1">
        <f t="shared" si="168"/>
        <v>263.16289999999998</v>
      </c>
      <c r="M3633" t="str" cm="1">
        <f t="array" ref="M3633">_xlfn.IFS(B3633&lt;18,"Under 18",B3633 &lt;=25,"18-25",B3633&lt;=35,"26-35",B3633&lt;=45,"36-45",B3633&lt;=60,"46-60",TRUE,"60+")</f>
        <v>60+</v>
      </c>
      <c r="N3633" t="str">
        <f t="shared" si="169"/>
        <v>Discounted</v>
      </c>
      <c r="O3633" t="str">
        <f t="shared" si="170"/>
        <v>Returning</v>
      </c>
    </row>
    <row r="3634" spans="1:15" x14ac:dyDescent="0.25">
      <c r="A3634">
        <v>3633</v>
      </c>
      <c r="B3634">
        <v>54</v>
      </c>
      <c r="C3634" t="s">
        <v>16</v>
      </c>
      <c r="D3634" t="s">
        <v>20</v>
      </c>
      <c r="E3634" t="s">
        <v>21</v>
      </c>
      <c r="F3634" s="1">
        <v>158.37</v>
      </c>
      <c r="G3634" t="s">
        <v>31</v>
      </c>
      <c r="H3634" t="s">
        <v>15</v>
      </c>
      <c r="I3634" s="2">
        <v>2.2999999999999998</v>
      </c>
      <c r="J3634" s="4">
        <v>12</v>
      </c>
      <c r="K3634" s="3">
        <v>6</v>
      </c>
      <c r="L3634" s="1">
        <f t="shared" si="168"/>
        <v>139.3656</v>
      </c>
      <c r="M3634" t="str" cm="1">
        <f t="array" ref="M3634">_xlfn.IFS(B3634&lt;18,"Under 18",B3634 &lt;=25,"18-25",B3634&lt;=35,"26-35",B3634&lt;=45,"36-45",B3634&lt;=60,"46-60",TRUE,"60+")</f>
        <v>46-60</v>
      </c>
      <c r="N3634" t="str">
        <f t="shared" si="169"/>
        <v>Discounted</v>
      </c>
      <c r="O3634" t="str">
        <f t="shared" si="170"/>
        <v>Returning</v>
      </c>
    </row>
    <row r="3635" spans="1:15" x14ac:dyDescent="0.25">
      <c r="A3635">
        <v>3634</v>
      </c>
      <c r="B3635">
        <v>47</v>
      </c>
      <c r="C3635" t="s">
        <v>11</v>
      </c>
      <c r="D3635" t="s">
        <v>41</v>
      </c>
      <c r="E3635" t="s">
        <v>46</v>
      </c>
      <c r="F3635" s="1">
        <v>71.25</v>
      </c>
      <c r="G3635" t="s">
        <v>31</v>
      </c>
      <c r="H3635" t="s">
        <v>37</v>
      </c>
      <c r="I3635" s="2">
        <v>3.8</v>
      </c>
      <c r="J3635" s="4">
        <v>26</v>
      </c>
      <c r="K3635" s="3">
        <v>8</v>
      </c>
      <c r="L3635" s="1">
        <f t="shared" si="168"/>
        <v>52.725000000000001</v>
      </c>
      <c r="M3635" t="str" cm="1">
        <f t="array" ref="M3635">_xlfn.IFS(B3635&lt;18,"Under 18",B3635 &lt;=25,"18-25",B3635&lt;=35,"26-35",B3635&lt;=45,"36-45",B3635&lt;=60,"46-60",TRUE,"60+")</f>
        <v>46-60</v>
      </c>
      <c r="N3635" t="str">
        <f t="shared" si="169"/>
        <v>Discounted</v>
      </c>
      <c r="O3635" t="str">
        <f t="shared" si="170"/>
        <v>Returning</v>
      </c>
    </row>
    <row r="3636" spans="1:15" x14ac:dyDescent="0.25">
      <c r="A3636">
        <v>3635</v>
      </c>
      <c r="B3636">
        <v>62</v>
      </c>
      <c r="C3636" t="s">
        <v>11</v>
      </c>
      <c r="D3636" t="s">
        <v>12</v>
      </c>
      <c r="E3636" t="s">
        <v>13</v>
      </c>
      <c r="F3636" s="1">
        <v>176.49</v>
      </c>
      <c r="G3636" t="s">
        <v>14</v>
      </c>
      <c r="H3636" t="s">
        <v>15</v>
      </c>
      <c r="I3636" s="2">
        <v>3.4</v>
      </c>
      <c r="J3636" s="4">
        <v>16</v>
      </c>
      <c r="K3636" s="3">
        <v>8</v>
      </c>
      <c r="L3636" s="1">
        <f t="shared" si="168"/>
        <v>148.2516</v>
      </c>
      <c r="M3636" t="str" cm="1">
        <f t="array" ref="M3636">_xlfn.IFS(B3636&lt;18,"Under 18",B3636 &lt;=25,"18-25",B3636&lt;=35,"26-35",B3636&lt;=45,"36-45",B3636&lt;=60,"46-60",TRUE,"60+")</f>
        <v>60+</v>
      </c>
      <c r="N3636" t="str">
        <f t="shared" si="169"/>
        <v>Discounted</v>
      </c>
      <c r="O3636" t="str">
        <f t="shared" si="170"/>
        <v>Returning</v>
      </c>
    </row>
    <row r="3637" spans="1:15" x14ac:dyDescent="0.25">
      <c r="A3637">
        <v>3636</v>
      </c>
      <c r="B3637">
        <v>33</v>
      </c>
      <c r="C3637" t="s">
        <v>11</v>
      </c>
      <c r="D3637" t="s">
        <v>33</v>
      </c>
      <c r="E3637" t="s">
        <v>38</v>
      </c>
      <c r="F3637" s="1">
        <v>60.85</v>
      </c>
      <c r="G3637" t="s">
        <v>14</v>
      </c>
      <c r="H3637" t="s">
        <v>37</v>
      </c>
      <c r="I3637" s="2">
        <v>3.3</v>
      </c>
      <c r="J3637" s="4">
        <v>12</v>
      </c>
      <c r="K3637" s="3">
        <v>6</v>
      </c>
      <c r="L3637" s="1">
        <f t="shared" si="168"/>
        <v>53.548000000000002</v>
      </c>
      <c r="M3637" t="str" cm="1">
        <f t="array" ref="M3637">_xlfn.IFS(B3637&lt;18,"Under 18",B3637 &lt;=25,"18-25",B3637&lt;=35,"26-35",B3637&lt;=45,"36-45",B3637&lt;=60,"46-60",TRUE,"60+")</f>
        <v>26-35</v>
      </c>
      <c r="N3637" t="str">
        <f t="shared" si="169"/>
        <v>Discounted</v>
      </c>
      <c r="O3637" t="str">
        <f t="shared" si="170"/>
        <v>Returning</v>
      </c>
    </row>
    <row r="3638" spans="1:15" x14ac:dyDescent="0.25">
      <c r="A3638">
        <v>3637</v>
      </c>
      <c r="B3638">
        <v>40</v>
      </c>
      <c r="C3638" t="s">
        <v>16</v>
      </c>
      <c r="D3638" t="s">
        <v>33</v>
      </c>
      <c r="E3638" t="s">
        <v>34</v>
      </c>
      <c r="F3638" s="1">
        <v>235.85</v>
      </c>
      <c r="G3638" t="s">
        <v>14</v>
      </c>
      <c r="H3638" t="s">
        <v>15</v>
      </c>
      <c r="I3638" s="2">
        <v>4.0999999999999996</v>
      </c>
      <c r="J3638" s="4">
        <v>30</v>
      </c>
      <c r="K3638" s="3">
        <v>10</v>
      </c>
      <c r="L3638" s="1">
        <f t="shared" si="168"/>
        <v>165.095</v>
      </c>
      <c r="M3638" t="str" cm="1">
        <f t="array" ref="M3638">_xlfn.IFS(B3638&lt;18,"Under 18",B3638 &lt;=25,"18-25",B3638&lt;=35,"26-35",B3638&lt;=45,"36-45",B3638&lt;=60,"46-60",TRUE,"60+")</f>
        <v>36-45</v>
      </c>
      <c r="N3638" t="str">
        <f t="shared" si="169"/>
        <v>Discounted</v>
      </c>
      <c r="O3638" t="str">
        <f t="shared" si="170"/>
        <v>Returning</v>
      </c>
    </row>
    <row r="3639" spans="1:15" x14ac:dyDescent="0.25">
      <c r="A3639">
        <v>3638</v>
      </c>
      <c r="B3639">
        <v>66</v>
      </c>
      <c r="C3639" t="s">
        <v>16</v>
      </c>
      <c r="D3639" t="s">
        <v>27</v>
      </c>
      <c r="E3639" t="s">
        <v>32</v>
      </c>
      <c r="F3639" s="1">
        <v>1417.24</v>
      </c>
      <c r="G3639" t="s">
        <v>24</v>
      </c>
      <c r="H3639" t="s">
        <v>15</v>
      </c>
      <c r="I3639" s="2">
        <v>3.3</v>
      </c>
      <c r="J3639" s="4">
        <v>23</v>
      </c>
      <c r="K3639" s="3">
        <v>9</v>
      </c>
      <c r="L3639" s="1">
        <f t="shared" si="168"/>
        <v>1091.2748000000001</v>
      </c>
      <c r="M3639" t="str" cm="1">
        <f t="array" ref="M3639">_xlfn.IFS(B3639&lt;18,"Under 18",B3639 &lt;=25,"18-25",B3639&lt;=35,"26-35",B3639&lt;=45,"36-45",B3639&lt;=60,"46-60",TRUE,"60+")</f>
        <v>60+</v>
      </c>
      <c r="N3639" t="str">
        <f t="shared" si="169"/>
        <v>Discounted</v>
      </c>
      <c r="O3639" t="str">
        <f t="shared" si="170"/>
        <v>Returning</v>
      </c>
    </row>
    <row r="3640" spans="1:15" x14ac:dyDescent="0.25">
      <c r="A3640">
        <v>3639</v>
      </c>
      <c r="B3640">
        <v>39</v>
      </c>
      <c r="C3640" t="s">
        <v>11</v>
      </c>
      <c r="D3640" t="s">
        <v>41</v>
      </c>
      <c r="E3640" t="s">
        <v>42</v>
      </c>
      <c r="F3640" s="1">
        <v>119.67</v>
      </c>
      <c r="G3640" t="s">
        <v>24</v>
      </c>
      <c r="H3640" t="s">
        <v>15</v>
      </c>
      <c r="I3640" s="2">
        <v>4.3</v>
      </c>
      <c r="J3640" s="4">
        <v>13</v>
      </c>
      <c r="K3640" s="3">
        <v>4</v>
      </c>
      <c r="L3640" s="1">
        <f t="shared" si="168"/>
        <v>104.1129</v>
      </c>
      <c r="M3640" t="str" cm="1">
        <f t="array" ref="M3640">_xlfn.IFS(B3640&lt;18,"Under 18",B3640 &lt;=25,"18-25",B3640&lt;=35,"26-35",B3640&lt;=45,"36-45",B3640&lt;=60,"46-60",TRUE,"60+")</f>
        <v>36-45</v>
      </c>
      <c r="N3640" t="str">
        <f t="shared" si="169"/>
        <v>Discounted</v>
      </c>
      <c r="O3640" t="str">
        <f t="shared" si="170"/>
        <v>Returning</v>
      </c>
    </row>
    <row r="3641" spans="1:15" x14ac:dyDescent="0.25">
      <c r="A3641">
        <v>3640</v>
      </c>
      <c r="B3641">
        <v>63</v>
      </c>
      <c r="C3641" t="s">
        <v>11</v>
      </c>
      <c r="D3641" t="s">
        <v>41</v>
      </c>
      <c r="E3641" t="s">
        <v>46</v>
      </c>
      <c r="F3641" s="1">
        <v>77.59</v>
      </c>
      <c r="G3641" t="s">
        <v>31</v>
      </c>
      <c r="H3641" t="s">
        <v>15</v>
      </c>
      <c r="I3641" s="2">
        <v>4.5</v>
      </c>
      <c r="J3641" s="4">
        <v>18</v>
      </c>
      <c r="K3641" s="3">
        <v>4</v>
      </c>
      <c r="L3641" s="1">
        <f t="shared" si="168"/>
        <v>63.62380000000001</v>
      </c>
      <c r="M3641" t="str" cm="1">
        <f t="array" ref="M3641">_xlfn.IFS(B3641&lt;18,"Under 18",B3641 &lt;=25,"18-25",B3641&lt;=35,"26-35",B3641&lt;=45,"36-45",B3641&lt;=60,"46-60",TRUE,"60+")</f>
        <v>60+</v>
      </c>
      <c r="N3641" t="str">
        <f t="shared" si="169"/>
        <v>Discounted</v>
      </c>
      <c r="O3641" t="str">
        <f t="shared" si="170"/>
        <v>Returning</v>
      </c>
    </row>
    <row r="3642" spans="1:15" x14ac:dyDescent="0.25">
      <c r="A3642">
        <v>3641</v>
      </c>
      <c r="B3642">
        <v>57</v>
      </c>
      <c r="C3642" t="s">
        <v>11</v>
      </c>
      <c r="D3642" t="s">
        <v>33</v>
      </c>
      <c r="E3642" t="s">
        <v>40</v>
      </c>
      <c r="F3642" s="1">
        <v>176.39</v>
      </c>
      <c r="G3642" t="s">
        <v>24</v>
      </c>
      <c r="H3642" t="s">
        <v>15</v>
      </c>
      <c r="I3642" s="2">
        <v>5</v>
      </c>
      <c r="J3642" s="4">
        <v>6</v>
      </c>
      <c r="K3642" s="3">
        <v>3</v>
      </c>
      <c r="L3642" s="1">
        <f t="shared" si="168"/>
        <v>165.80659999999997</v>
      </c>
      <c r="M3642" t="str" cm="1">
        <f t="array" ref="M3642">_xlfn.IFS(B3642&lt;18,"Under 18",B3642 &lt;=25,"18-25",B3642&lt;=35,"26-35",B3642&lt;=45,"36-45",B3642&lt;=60,"46-60",TRUE,"60+")</f>
        <v>46-60</v>
      </c>
      <c r="N3642" t="str">
        <f t="shared" si="169"/>
        <v>Discounted</v>
      </c>
      <c r="O3642" t="str">
        <f t="shared" si="170"/>
        <v>Returning</v>
      </c>
    </row>
    <row r="3643" spans="1:15" x14ac:dyDescent="0.25">
      <c r="A3643">
        <v>3642</v>
      </c>
      <c r="B3643">
        <v>50</v>
      </c>
      <c r="C3643" t="s">
        <v>16</v>
      </c>
      <c r="D3643" t="s">
        <v>27</v>
      </c>
      <c r="E3643" t="s">
        <v>53</v>
      </c>
      <c r="F3643" s="1">
        <v>2463.27</v>
      </c>
      <c r="G3643" t="s">
        <v>14</v>
      </c>
      <c r="H3643" t="s">
        <v>15</v>
      </c>
      <c r="I3643" s="2">
        <v>3.7</v>
      </c>
      <c r="J3643" s="4">
        <v>20</v>
      </c>
      <c r="K3643" s="3">
        <v>5</v>
      </c>
      <c r="L3643" s="1">
        <f t="shared" si="168"/>
        <v>1970.616</v>
      </c>
      <c r="M3643" t="str" cm="1">
        <f t="array" ref="M3643">_xlfn.IFS(B3643&lt;18,"Under 18",B3643 &lt;=25,"18-25",B3643&lt;=35,"26-35",B3643&lt;=45,"36-45",B3643&lt;=60,"46-60",TRUE,"60+")</f>
        <v>46-60</v>
      </c>
      <c r="N3643" t="str">
        <f t="shared" si="169"/>
        <v>Discounted</v>
      </c>
      <c r="O3643" t="str">
        <f t="shared" si="170"/>
        <v>Returning</v>
      </c>
    </row>
    <row r="3644" spans="1:15" x14ac:dyDescent="0.25">
      <c r="A3644">
        <v>3643</v>
      </c>
      <c r="B3644">
        <v>65</v>
      </c>
      <c r="C3644" t="s">
        <v>16</v>
      </c>
      <c r="D3644" t="s">
        <v>20</v>
      </c>
      <c r="E3644" t="s">
        <v>21</v>
      </c>
      <c r="F3644" s="1">
        <v>210.26</v>
      </c>
      <c r="G3644" t="s">
        <v>31</v>
      </c>
      <c r="H3644" t="s">
        <v>15</v>
      </c>
      <c r="I3644" s="2">
        <v>4.5</v>
      </c>
      <c r="J3644" s="4">
        <v>19</v>
      </c>
      <c r="K3644" s="3">
        <v>7</v>
      </c>
      <c r="L3644" s="1">
        <f t="shared" si="168"/>
        <v>170.31059999999999</v>
      </c>
      <c r="M3644" t="str" cm="1">
        <f t="array" ref="M3644">_xlfn.IFS(B3644&lt;18,"Under 18",B3644 &lt;=25,"18-25",B3644&lt;=35,"26-35",B3644&lt;=45,"36-45",B3644&lt;=60,"46-60",TRUE,"60+")</f>
        <v>60+</v>
      </c>
      <c r="N3644" t="str">
        <f t="shared" si="169"/>
        <v>Discounted</v>
      </c>
      <c r="O3644" t="str">
        <f t="shared" si="170"/>
        <v>Returning</v>
      </c>
    </row>
    <row r="3645" spans="1:15" x14ac:dyDescent="0.25">
      <c r="A3645">
        <v>3644</v>
      </c>
      <c r="B3645">
        <v>43</v>
      </c>
      <c r="C3645" t="s">
        <v>16</v>
      </c>
      <c r="D3645" t="s">
        <v>33</v>
      </c>
      <c r="E3645" t="s">
        <v>40</v>
      </c>
      <c r="F3645" s="1">
        <v>43.08</v>
      </c>
      <c r="G3645" t="s">
        <v>14</v>
      </c>
      <c r="H3645" t="s">
        <v>37</v>
      </c>
      <c r="I3645" s="2">
        <v>3.3</v>
      </c>
      <c r="J3645" s="4">
        <v>24</v>
      </c>
      <c r="K3645" s="3">
        <v>7</v>
      </c>
      <c r="L3645" s="1">
        <f t="shared" si="168"/>
        <v>32.7408</v>
      </c>
      <c r="M3645" t="str" cm="1">
        <f t="array" ref="M3645">_xlfn.IFS(B3645&lt;18,"Under 18",B3645 &lt;=25,"18-25",B3645&lt;=35,"26-35",B3645&lt;=45,"36-45",B3645&lt;=60,"46-60",TRUE,"60+")</f>
        <v>36-45</v>
      </c>
      <c r="N3645" t="str">
        <f t="shared" si="169"/>
        <v>Discounted</v>
      </c>
      <c r="O3645" t="str">
        <f t="shared" si="170"/>
        <v>Returning</v>
      </c>
    </row>
    <row r="3646" spans="1:15" x14ac:dyDescent="0.25">
      <c r="A3646">
        <v>3645</v>
      </c>
      <c r="B3646">
        <v>66</v>
      </c>
      <c r="C3646" t="s">
        <v>16</v>
      </c>
      <c r="D3646" t="s">
        <v>27</v>
      </c>
      <c r="E3646" t="s">
        <v>49</v>
      </c>
      <c r="F3646" s="1">
        <v>2061.67</v>
      </c>
      <c r="G3646" t="s">
        <v>24</v>
      </c>
      <c r="H3646" t="s">
        <v>15</v>
      </c>
      <c r="I3646" s="2">
        <v>3.8</v>
      </c>
      <c r="J3646" s="4">
        <v>11</v>
      </c>
      <c r="K3646" s="3">
        <v>3</v>
      </c>
      <c r="L3646" s="1">
        <f t="shared" si="168"/>
        <v>1834.8863000000001</v>
      </c>
      <c r="M3646" t="str" cm="1">
        <f t="array" ref="M3646">_xlfn.IFS(B3646&lt;18,"Under 18",B3646 &lt;=25,"18-25",B3646&lt;=35,"26-35",B3646&lt;=45,"36-45",B3646&lt;=60,"46-60",TRUE,"60+")</f>
        <v>60+</v>
      </c>
      <c r="N3646" t="str">
        <f t="shared" si="169"/>
        <v>Discounted</v>
      </c>
      <c r="O3646" t="str">
        <f t="shared" si="170"/>
        <v>Returning</v>
      </c>
    </row>
    <row r="3647" spans="1:15" x14ac:dyDescent="0.25">
      <c r="A3647">
        <v>3646</v>
      </c>
      <c r="B3647">
        <v>54</v>
      </c>
      <c r="C3647" t="s">
        <v>11</v>
      </c>
      <c r="D3647" t="s">
        <v>29</v>
      </c>
      <c r="E3647" t="s">
        <v>55</v>
      </c>
      <c r="F3647" s="1">
        <v>116.1</v>
      </c>
      <c r="G3647" t="s">
        <v>14</v>
      </c>
      <c r="H3647" t="s">
        <v>15</v>
      </c>
      <c r="I3647" s="2">
        <v>3.3</v>
      </c>
      <c r="J3647" s="4">
        <v>11</v>
      </c>
      <c r="K3647" s="3">
        <v>3</v>
      </c>
      <c r="L3647" s="1">
        <f t="shared" si="168"/>
        <v>103.32899999999999</v>
      </c>
      <c r="M3647" t="str" cm="1">
        <f t="array" ref="M3647">_xlfn.IFS(B3647&lt;18,"Under 18",B3647 &lt;=25,"18-25",B3647&lt;=35,"26-35",B3647&lt;=45,"36-45",B3647&lt;=60,"46-60",TRUE,"60+")</f>
        <v>46-60</v>
      </c>
      <c r="N3647" t="str">
        <f t="shared" si="169"/>
        <v>Discounted</v>
      </c>
      <c r="O3647" t="str">
        <f t="shared" si="170"/>
        <v>Returning</v>
      </c>
    </row>
    <row r="3648" spans="1:15" x14ac:dyDescent="0.25">
      <c r="A3648">
        <v>3647</v>
      </c>
      <c r="B3648">
        <v>21</v>
      </c>
      <c r="C3648" t="s">
        <v>11</v>
      </c>
      <c r="D3648" t="s">
        <v>12</v>
      </c>
      <c r="E3648" t="s">
        <v>56</v>
      </c>
      <c r="F3648" s="1">
        <v>74.010000000000005</v>
      </c>
      <c r="G3648" t="s">
        <v>14</v>
      </c>
      <c r="H3648" t="s">
        <v>15</v>
      </c>
      <c r="I3648" s="2">
        <v>4.0999999999999996</v>
      </c>
      <c r="J3648" s="4">
        <v>22</v>
      </c>
      <c r="K3648" s="3">
        <v>6</v>
      </c>
      <c r="L3648" s="1">
        <f t="shared" si="168"/>
        <v>57.727800000000009</v>
      </c>
      <c r="M3648" t="str" cm="1">
        <f t="array" ref="M3648">_xlfn.IFS(B3648&lt;18,"Under 18",B3648 &lt;=25,"18-25",B3648&lt;=35,"26-35",B3648&lt;=45,"36-45",B3648&lt;=60,"46-60",TRUE,"60+")</f>
        <v>18-25</v>
      </c>
      <c r="N3648" t="str">
        <f t="shared" si="169"/>
        <v>Discounted</v>
      </c>
      <c r="O3648" t="str">
        <f t="shared" si="170"/>
        <v>Returning</v>
      </c>
    </row>
    <row r="3649" spans="1:15" x14ac:dyDescent="0.25">
      <c r="A3649">
        <v>3648</v>
      </c>
      <c r="B3649">
        <v>49</v>
      </c>
      <c r="C3649" t="s">
        <v>11</v>
      </c>
      <c r="D3649" t="s">
        <v>25</v>
      </c>
      <c r="E3649" t="s">
        <v>26</v>
      </c>
      <c r="F3649" s="1">
        <v>63.04</v>
      </c>
      <c r="G3649" t="s">
        <v>24</v>
      </c>
      <c r="H3649" t="s">
        <v>15</v>
      </c>
      <c r="I3649" s="2">
        <v>3.5</v>
      </c>
      <c r="J3649" s="4">
        <v>22</v>
      </c>
      <c r="K3649" s="3">
        <v>6</v>
      </c>
      <c r="L3649" s="1">
        <f t="shared" si="168"/>
        <v>49.171199999999999</v>
      </c>
      <c r="M3649" t="str" cm="1">
        <f t="array" ref="M3649">_xlfn.IFS(B3649&lt;18,"Under 18",B3649 &lt;=25,"18-25",B3649&lt;=35,"26-35",B3649&lt;=45,"36-45",B3649&lt;=60,"46-60",TRUE,"60+")</f>
        <v>46-60</v>
      </c>
      <c r="N3649" t="str">
        <f t="shared" si="169"/>
        <v>Discounted</v>
      </c>
      <c r="O3649" t="str">
        <f t="shared" si="170"/>
        <v>Returning</v>
      </c>
    </row>
    <row r="3650" spans="1:15" x14ac:dyDescent="0.25">
      <c r="A3650">
        <v>3649</v>
      </c>
      <c r="B3650">
        <v>41</v>
      </c>
      <c r="C3650" t="s">
        <v>16</v>
      </c>
      <c r="D3650" t="s">
        <v>17</v>
      </c>
      <c r="E3650" t="s">
        <v>42</v>
      </c>
      <c r="F3650" s="1">
        <v>52.63</v>
      </c>
      <c r="G3650" t="s">
        <v>24</v>
      </c>
      <c r="H3650" t="s">
        <v>37</v>
      </c>
      <c r="I3650" s="2">
        <v>4.4000000000000004</v>
      </c>
      <c r="J3650" s="4">
        <v>16</v>
      </c>
      <c r="K3650" s="3">
        <v>3</v>
      </c>
      <c r="L3650" s="1">
        <f t="shared" si="168"/>
        <v>44.209200000000003</v>
      </c>
      <c r="M3650" t="str" cm="1">
        <f t="array" ref="M3650">_xlfn.IFS(B3650&lt;18,"Under 18",B3650 &lt;=25,"18-25",B3650&lt;=35,"26-35",B3650&lt;=45,"36-45",B3650&lt;=60,"46-60",TRUE,"60+")</f>
        <v>36-45</v>
      </c>
      <c r="N3650" t="str">
        <f t="shared" si="169"/>
        <v>Discounted</v>
      </c>
      <c r="O3650" t="str">
        <f t="shared" si="170"/>
        <v>Returning</v>
      </c>
    </row>
    <row r="3651" spans="1:15" x14ac:dyDescent="0.25">
      <c r="A3651">
        <v>3650</v>
      </c>
      <c r="B3651">
        <v>51</v>
      </c>
      <c r="C3651" t="s">
        <v>16</v>
      </c>
      <c r="D3651" t="s">
        <v>17</v>
      </c>
      <c r="E3651" t="s">
        <v>18</v>
      </c>
      <c r="F3651" s="1">
        <v>159.5</v>
      </c>
      <c r="G3651" t="s">
        <v>19</v>
      </c>
      <c r="H3651" t="s">
        <v>15</v>
      </c>
      <c r="I3651" s="2">
        <v>4.3</v>
      </c>
      <c r="J3651" s="4">
        <v>22</v>
      </c>
      <c r="K3651" s="3">
        <v>6</v>
      </c>
      <c r="L3651" s="1">
        <f t="shared" ref="L3651:L3714" si="171">F3651 * (1 - J3651 / 100)</f>
        <v>124.41000000000001</v>
      </c>
      <c r="M3651" t="str" cm="1">
        <f t="array" ref="M3651">_xlfn.IFS(B3651&lt;18,"Under 18",B3651 &lt;=25,"18-25",B3651&lt;=35,"26-35",B3651&lt;=45,"36-45",B3651&lt;=60,"46-60",TRUE,"60+")</f>
        <v>46-60</v>
      </c>
      <c r="N3651" t="str">
        <f t="shared" ref="N3651:N3714" si="172">IF(J3651&gt;0,"Discounted","No Discount")</f>
        <v>Discounted</v>
      </c>
      <c r="O3651" t="str">
        <f t="shared" ref="O3651:O3714" si="173">IF(K3651&gt;0,"Returning","New")</f>
        <v>Returning</v>
      </c>
    </row>
    <row r="3652" spans="1:15" x14ac:dyDescent="0.25">
      <c r="A3652">
        <v>3651</v>
      </c>
      <c r="B3652">
        <v>63</v>
      </c>
      <c r="C3652" t="s">
        <v>11</v>
      </c>
      <c r="D3652" t="s">
        <v>41</v>
      </c>
      <c r="E3652" t="s">
        <v>44</v>
      </c>
      <c r="F3652" s="1">
        <v>128.85</v>
      </c>
      <c r="G3652" t="s">
        <v>24</v>
      </c>
      <c r="H3652" t="s">
        <v>15</v>
      </c>
      <c r="I3652" s="2">
        <v>2.9</v>
      </c>
      <c r="J3652" s="4">
        <v>11</v>
      </c>
      <c r="K3652" s="3">
        <v>3</v>
      </c>
      <c r="L3652" s="1">
        <f t="shared" si="171"/>
        <v>114.67649999999999</v>
      </c>
      <c r="M3652" t="str" cm="1">
        <f t="array" ref="M3652">_xlfn.IFS(B3652&lt;18,"Under 18",B3652 &lt;=25,"18-25",B3652&lt;=35,"26-35",B3652&lt;=45,"36-45",B3652&lt;=60,"46-60",TRUE,"60+")</f>
        <v>60+</v>
      </c>
      <c r="N3652" t="str">
        <f t="shared" si="172"/>
        <v>Discounted</v>
      </c>
      <c r="O3652" t="str">
        <f t="shared" si="173"/>
        <v>Returning</v>
      </c>
    </row>
    <row r="3653" spans="1:15" x14ac:dyDescent="0.25">
      <c r="A3653">
        <v>3652</v>
      </c>
      <c r="B3653">
        <v>29</v>
      </c>
      <c r="C3653" t="s">
        <v>16</v>
      </c>
      <c r="D3653" t="s">
        <v>20</v>
      </c>
      <c r="E3653" t="s">
        <v>39</v>
      </c>
      <c r="F3653" s="1">
        <v>206.04</v>
      </c>
      <c r="G3653" t="s">
        <v>31</v>
      </c>
      <c r="H3653" t="s">
        <v>15</v>
      </c>
      <c r="I3653" s="2">
        <v>3.5</v>
      </c>
      <c r="J3653" s="4">
        <v>20</v>
      </c>
      <c r="K3653" s="3">
        <v>5</v>
      </c>
      <c r="L3653" s="1">
        <f t="shared" si="171"/>
        <v>164.83199999999999</v>
      </c>
      <c r="M3653" t="str" cm="1">
        <f t="array" ref="M3653">_xlfn.IFS(B3653&lt;18,"Under 18",B3653 &lt;=25,"18-25",B3653&lt;=35,"26-35",B3653&lt;=45,"36-45",B3653&lt;=60,"46-60",TRUE,"60+")</f>
        <v>26-35</v>
      </c>
      <c r="N3653" t="str">
        <f t="shared" si="172"/>
        <v>Discounted</v>
      </c>
      <c r="O3653" t="str">
        <f t="shared" si="173"/>
        <v>Returning</v>
      </c>
    </row>
    <row r="3654" spans="1:15" x14ac:dyDescent="0.25">
      <c r="A3654">
        <v>3653</v>
      </c>
      <c r="B3654">
        <v>68</v>
      </c>
      <c r="C3654" t="s">
        <v>11</v>
      </c>
      <c r="D3654" t="s">
        <v>33</v>
      </c>
      <c r="E3654" t="s">
        <v>38</v>
      </c>
      <c r="F3654" s="1">
        <v>86.55</v>
      </c>
      <c r="G3654" t="s">
        <v>31</v>
      </c>
      <c r="H3654" t="s">
        <v>15</v>
      </c>
      <c r="I3654" s="2">
        <v>5</v>
      </c>
      <c r="J3654" s="4">
        <v>28</v>
      </c>
      <c r="K3654" s="3">
        <v>9</v>
      </c>
      <c r="L3654" s="1">
        <f t="shared" si="171"/>
        <v>62.315999999999995</v>
      </c>
      <c r="M3654" t="str" cm="1">
        <f t="array" ref="M3654">_xlfn.IFS(B3654&lt;18,"Under 18",B3654 &lt;=25,"18-25",B3654&lt;=35,"26-35",B3654&lt;=45,"36-45",B3654&lt;=60,"46-60",TRUE,"60+")</f>
        <v>60+</v>
      </c>
      <c r="N3654" t="str">
        <f t="shared" si="172"/>
        <v>Discounted</v>
      </c>
      <c r="O3654" t="str">
        <f t="shared" si="173"/>
        <v>Returning</v>
      </c>
    </row>
    <row r="3655" spans="1:15" x14ac:dyDescent="0.25">
      <c r="A3655">
        <v>3654</v>
      </c>
      <c r="B3655">
        <v>63</v>
      </c>
      <c r="C3655" t="s">
        <v>16</v>
      </c>
      <c r="D3655" t="s">
        <v>20</v>
      </c>
      <c r="E3655" t="s">
        <v>36</v>
      </c>
      <c r="F3655" s="1">
        <v>138.76</v>
      </c>
      <c r="G3655" t="s">
        <v>19</v>
      </c>
      <c r="H3655" t="s">
        <v>15</v>
      </c>
      <c r="I3655" s="2">
        <v>3.5</v>
      </c>
      <c r="J3655" s="4">
        <v>17</v>
      </c>
      <c r="K3655" s="3">
        <v>6</v>
      </c>
      <c r="L3655" s="1">
        <f t="shared" si="171"/>
        <v>115.17079999999999</v>
      </c>
      <c r="M3655" t="str" cm="1">
        <f t="array" ref="M3655">_xlfn.IFS(B3655&lt;18,"Under 18",B3655 &lt;=25,"18-25",B3655&lt;=35,"26-35",B3655&lt;=45,"36-45",B3655&lt;=60,"46-60",TRUE,"60+")</f>
        <v>60+</v>
      </c>
      <c r="N3655" t="str">
        <f t="shared" si="172"/>
        <v>Discounted</v>
      </c>
      <c r="O3655" t="str">
        <f t="shared" si="173"/>
        <v>Returning</v>
      </c>
    </row>
    <row r="3656" spans="1:15" x14ac:dyDescent="0.25">
      <c r="A3656">
        <v>3655</v>
      </c>
      <c r="B3656">
        <v>49</v>
      </c>
      <c r="C3656" t="s">
        <v>11</v>
      </c>
      <c r="D3656" t="s">
        <v>41</v>
      </c>
      <c r="E3656" t="s">
        <v>44</v>
      </c>
      <c r="F3656" s="1">
        <v>45.93</v>
      </c>
      <c r="G3656" t="s">
        <v>19</v>
      </c>
      <c r="H3656" t="s">
        <v>15</v>
      </c>
      <c r="I3656" s="2">
        <v>5</v>
      </c>
      <c r="J3656" s="4">
        <v>22</v>
      </c>
      <c r="K3656" s="3">
        <v>6</v>
      </c>
      <c r="L3656" s="1">
        <f t="shared" si="171"/>
        <v>35.825400000000002</v>
      </c>
      <c r="M3656" t="str" cm="1">
        <f t="array" ref="M3656">_xlfn.IFS(B3656&lt;18,"Under 18",B3656 &lt;=25,"18-25",B3656&lt;=35,"26-35",B3656&lt;=45,"36-45",B3656&lt;=60,"46-60",TRUE,"60+")</f>
        <v>46-60</v>
      </c>
      <c r="N3656" t="str">
        <f t="shared" si="172"/>
        <v>Discounted</v>
      </c>
      <c r="O3656" t="str">
        <f t="shared" si="173"/>
        <v>Returning</v>
      </c>
    </row>
    <row r="3657" spans="1:15" x14ac:dyDescent="0.25">
      <c r="A3657">
        <v>3656</v>
      </c>
      <c r="B3657">
        <v>56</v>
      </c>
      <c r="C3657" t="s">
        <v>11</v>
      </c>
      <c r="D3657" t="s">
        <v>41</v>
      </c>
      <c r="E3657" t="s">
        <v>42</v>
      </c>
      <c r="F3657" s="1">
        <v>80.56</v>
      </c>
      <c r="G3657" t="s">
        <v>14</v>
      </c>
      <c r="H3657" t="s">
        <v>15</v>
      </c>
      <c r="I3657" s="2">
        <v>3.5</v>
      </c>
      <c r="J3657" s="4">
        <v>14</v>
      </c>
      <c r="K3657" s="3">
        <v>7</v>
      </c>
      <c r="L3657" s="1">
        <f t="shared" si="171"/>
        <v>69.281599999999997</v>
      </c>
      <c r="M3657" t="str" cm="1">
        <f t="array" ref="M3657">_xlfn.IFS(B3657&lt;18,"Under 18",B3657 &lt;=25,"18-25",B3657&lt;=35,"26-35",B3657&lt;=45,"36-45",B3657&lt;=60,"46-60",TRUE,"60+")</f>
        <v>46-60</v>
      </c>
      <c r="N3657" t="str">
        <f t="shared" si="172"/>
        <v>Discounted</v>
      </c>
      <c r="O3657" t="str">
        <f t="shared" si="173"/>
        <v>Returning</v>
      </c>
    </row>
    <row r="3658" spans="1:15" x14ac:dyDescent="0.25">
      <c r="A3658">
        <v>3657</v>
      </c>
      <c r="B3658">
        <v>42</v>
      </c>
      <c r="C3658" t="s">
        <v>16</v>
      </c>
      <c r="D3658" t="s">
        <v>22</v>
      </c>
      <c r="E3658" t="s">
        <v>52</v>
      </c>
      <c r="F3658" s="1">
        <v>133.91</v>
      </c>
      <c r="G3658" t="s">
        <v>31</v>
      </c>
      <c r="H3658" t="s">
        <v>15</v>
      </c>
      <c r="I3658" s="2">
        <v>3.9</v>
      </c>
      <c r="J3658" s="4">
        <v>18</v>
      </c>
      <c r="K3658" s="3">
        <v>4</v>
      </c>
      <c r="L3658" s="1">
        <f t="shared" si="171"/>
        <v>109.8062</v>
      </c>
      <c r="M3658" t="str" cm="1">
        <f t="array" ref="M3658">_xlfn.IFS(B3658&lt;18,"Under 18",B3658 &lt;=25,"18-25",B3658&lt;=35,"26-35",B3658&lt;=45,"36-45",B3658&lt;=60,"46-60",TRUE,"60+")</f>
        <v>36-45</v>
      </c>
      <c r="N3658" t="str">
        <f t="shared" si="172"/>
        <v>Discounted</v>
      </c>
      <c r="O3658" t="str">
        <f t="shared" si="173"/>
        <v>Returning</v>
      </c>
    </row>
    <row r="3659" spans="1:15" x14ac:dyDescent="0.25">
      <c r="A3659">
        <v>3658</v>
      </c>
      <c r="B3659">
        <v>34</v>
      </c>
      <c r="C3659" t="s">
        <v>16</v>
      </c>
      <c r="D3659" t="s">
        <v>27</v>
      </c>
      <c r="E3659" t="s">
        <v>49</v>
      </c>
      <c r="F3659" s="1">
        <v>739.02</v>
      </c>
      <c r="G3659" t="s">
        <v>14</v>
      </c>
      <c r="H3659" t="s">
        <v>15</v>
      </c>
      <c r="I3659" s="2">
        <v>4.3</v>
      </c>
      <c r="J3659" s="4">
        <v>30</v>
      </c>
      <c r="K3659" s="3">
        <v>10</v>
      </c>
      <c r="L3659" s="1">
        <f t="shared" si="171"/>
        <v>517.31399999999996</v>
      </c>
      <c r="M3659" t="str" cm="1">
        <f t="array" ref="M3659">_xlfn.IFS(B3659&lt;18,"Under 18",B3659 &lt;=25,"18-25",B3659&lt;=35,"26-35",B3659&lt;=45,"36-45",B3659&lt;=60,"46-60",TRUE,"60+")</f>
        <v>26-35</v>
      </c>
      <c r="N3659" t="str">
        <f t="shared" si="172"/>
        <v>Discounted</v>
      </c>
      <c r="O3659" t="str">
        <f t="shared" si="173"/>
        <v>Returning</v>
      </c>
    </row>
    <row r="3660" spans="1:15" x14ac:dyDescent="0.25">
      <c r="A3660">
        <v>3659</v>
      </c>
      <c r="B3660">
        <v>49</v>
      </c>
      <c r="C3660" t="s">
        <v>16</v>
      </c>
      <c r="D3660" t="s">
        <v>20</v>
      </c>
      <c r="E3660" t="s">
        <v>21</v>
      </c>
      <c r="F3660" s="1">
        <v>245.64</v>
      </c>
      <c r="G3660" t="s">
        <v>24</v>
      </c>
      <c r="H3660" t="s">
        <v>15</v>
      </c>
      <c r="I3660" s="2">
        <v>4.0999999999999996</v>
      </c>
      <c r="J3660" s="4">
        <v>15</v>
      </c>
      <c r="K3660" s="3">
        <v>5</v>
      </c>
      <c r="L3660" s="1">
        <f t="shared" si="171"/>
        <v>208.79399999999998</v>
      </c>
      <c r="M3660" t="str" cm="1">
        <f t="array" ref="M3660">_xlfn.IFS(B3660&lt;18,"Under 18",B3660 &lt;=25,"18-25",B3660&lt;=35,"26-35",B3660&lt;=45,"36-45",B3660&lt;=60,"46-60",TRUE,"60+")</f>
        <v>46-60</v>
      </c>
      <c r="N3660" t="str">
        <f t="shared" si="172"/>
        <v>Discounted</v>
      </c>
      <c r="O3660" t="str">
        <f t="shared" si="173"/>
        <v>Returning</v>
      </c>
    </row>
    <row r="3661" spans="1:15" x14ac:dyDescent="0.25">
      <c r="A3661">
        <v>3660</v>
      </c>
      <c r="B3661">
        <v>38</v>
      </c>
      <c r="C3661" t="s">
        <v>16</v>
      </c>
      <c r="D3661" t="s">
        <v>17</v>
      </c>
      <c r="E3661" t="s">
        <v>42</v>
      </c>
      <c r="F3661" s="1">
        <v>75.67</v>
      </c>
      <c r="G3661" t="s">
        <v>24</v>
      </c>
      <c r="H3661" t="s">
        <v>37</v>
      </c>
      <c r="I3661" s="2">
        <v>3.8</v>
      </c>
      <c r="J3661" s="4">
        <v>15</v>
      </c>
      <c r="K3661" s="3">
        <v>5</v>
      </c>
      <c r="L3661" s="1">
        <f t="shared" si="171"/>
        <v>64.319500000000005</v>
      </c>
      <c r="M3661" t="str" cm="1">
        <f t="array" ref="M3661">_xlfn.IFS(B3661&lt;18,"Under 18",B3661 &lt;=25,"18-25",B3661&lt;=35,"26-35",B3661&lt;=45,"36-45",B3661&lt;=60,"46-60",TRUE,"60+")</f>
        <v>36-45</v>
      </c>
      <c r="N3661" t="str">
        <f t="shared" si="172"/>
        <v>Discounted</v>
      </c>
      <c r="O3661" t="str">
        <f t="shared" si="173"/>
        <v>Returning</v>
      </c>
    </row>
    <row r="3662" spans="1:15" x14ac:dyDescent="0.25">
      <c r="A3662">
        <v>3661</v>
      </c>
      <c r="B3662">
        <v>51</v>
      </c>
      <c r="C3662" t="s">
        <v>11</v>
      </c>
      <c r="D3662" t="s">
        <v>12</v>
      </c>
      <c r="E3662" t="s">
        <v>56</v>
      </c>
      <c r="F3662" s="1">
        <v>102.13</v>
      </c>
      <c r="G3662" t="s">
        <v>31</v>
      </c>
      <c r="H3662" t="s">
        <v>15</v>
      </c>
      <c r="I3662" s="2">
        <v>4.0999999999999996</v>
      </c>
      <c r="J3662" s="4">
        <v>12</v>
      </c>
      <c r="K3662" s="3">
        <v>6</v>
      </c>
      <c r="L3662" s="1">
        <f t="shared" si="171"/>
        <v>89.874399999999994</v>
      </c>
      <c r="M3662" t="str" cm="1">
        <f t="array" ref="M3662">_xlfn.IFS(B3662&lt;18,"Under 18",B3662 &lt;=25,"18-25",B3662&lt;=35,"26-35",B3662&lt;=45,"36-45",B3662&lt;=60,"46-60",TRUE,"60+")</f>
        <v>46-60</v>
      </c>
      <c r="N3662" t="str">
        <f t="shared" si="172"/>
        <v>Discounted</v>
      </c>
      <c r="O3662" t="str">
        <f t="shared" si="173"/>
        <v>Returning</v>
      </c>
    </row>
    <row r="3663" spans="1:15" x14ac:dyDescent="0.25">
      <c r="A3663">
        <v>3662</v>
      </c>
      <c r="B3663">
        <v>50</v>
      </c>
      <c r="C3663" t="s">
        <v>11</v>
      </c>
      <c r="D3663" t="s">
        <v>41</v>
      </c>
      <c r="E3663" t="s">
        <v>42</v>
      </c>
      <c r="F3663" s="1">
        <v>193.62</v>
      </c>
      <c r="G3663" t="s">
        <v>14</v>
      </c>
      <c r="H3663" t="s">
        <v>15</v>
      </c>
      <c r="I3663" s="2">
        <v>2.9</v>
      </c>
      <c r="J3663" s="4">
        <v>19</v>
      </c>
      <c r="K3663" s="3">
        <v>7</v>
      </c>
      <c r="L3663" s="1">
        <f t="shared" si="171"/>
        <v>156.8322</v>
      </c>
      <c r="M3663" t="str" cm="1">
        <f t="array" ref="M3663">_xlfn.IFS(B3663&lt;18,"Under 18",B3663 &lt;=25,"18-25",B3663&lt;=35,"26-35",B3663&lt;=45,"36-45",B3663&lt;=60,"46-60",TRUE,"60+")</f>
        <v>46-60</v>
      </c>
      <c r="N3663" t="str">
        <f t="shared" si="172"/>
        <v>Discounted</v>
      </c>
      <c r="O3663" t="str">
        <f t="shared" si="173"/>
        <v>Returning</v>
      </c>
    </row>
    <row r="3664" spans="1:15" x14ac:dyDescent="0.25">
      <c r="A3664">
        <v>3663</v>
      </c>
      <c r="B3664">
        <v>27</v>
      </c>
      <c r="C3664" t="s">
        <v>16</v>
      </c>
      <c r="D3664" t="s">
        <v>17</v>
      </c>
      <c r="E3664" t="s">
        <v>48</v>
      </c>
      <c r="F3664" s="1">
        <v>154.24</v>
      </c>
      <c r="G3664" t="s">
        <v>31</v>
      </c>
      <c r="H3664" t="s">
        <v>15</v>
      </c>
      <c r="I3664" s="2">
        <v>4.2</v>
      </c>
      <c r="J3664" s="4">
        <v>22</v>
      </c>
      <c r="K3664" s="3">
        <v>6</v>
      </c>
      <c r="L3664" s="1">
        <f t="shared" si="171"/>
        <v>120.30720000000001</v>
      </c>
      <c r="M3664" t="str" cm="1">
        <f t="array" ref="M3664">_xlfn.IFS(B3664&lt;18,"Under 18",B3664 &lt;=25,"18-25",B3664&lt;=35,"26-35",B3664&lt;=45,"36-45",B3664&lt;=60,"46-60",TRUE,"60+")</f>
        <v>26-35</v>
      </c>
      <c r="N3664" t="str">
        <f t="shared" si="172"/>
        <v>Discounted</v>
      </c>
      <c r="O3664" t="str">
        <f t="shared" si="173"/>
        <v>Returning</v>
      </c>
    </row>
    <row r="3665" spans="1:15" x14ac:dyDescent="0.25">
      <c r="A3665">
        <v>3664</v>
      </c>
      <c r="B3665">
        <v>40</v>
      </c>
      <c r="C3665" t="s">
        <v>16</v>
      </c>
      <c r="D3665" t="s">
        <v>33</v>
      </c>
      <c r="E3665" t="s">
        <v>34</v>
      </c>
      <c r="F3665" s="1">
        <v>70.38</v>
      </c>
      <c r="G3665" t="s">
        <v>31</v>
      </c>
      <c r="H3665" t="s">
        <v>15</v>
      </c>
      <c r="I3665" s="2">
        <v>4.3</v>
      </c>
      <c r="J3665" s="4">
        <v>21</v>
      </c>
      <c r="K3665" s="3">
        <v>8</v>
      </c>
      <c r="L3665" s="1">
        <f t="shared" si="171"/>
        <v>55.600200000000001</v>
      </c>
      <c r="M3665" t="str" cm="1">
        <f t="array" ref="M3665">_xlfn.IFS(B3665&lt;18,"Under 18",B3665 &lt;=25,"18-25",B3665&lt;=35,"26-35",B3665&lt;=45,"36-45",B3665&lt;=60,"46-60",TRUE,"60+")</f>
        <v>36-45</v>
      </c>
      <c r="N3665" t="str">
        <f t="shared" si="172"/>
        <v>Discounted</v>
      </c>
      <c r="O3665" t="str">
        <f t="shared" si="173"/>
        <v>Returning</v>
      </c>
    </row>
    <row r="3666" spans="1:15" x14ac:dyDescent="0.25">
      <c r="A3666">
        <v>3665</v>
      </c>
      <c r="B3666">
        <v>43</v>
      </c>
      <c r="C3666" t="s">
        <v>11</v>
      </c>
      <c r="D3666" t="s">
        <v>25</v>
      </c>
      <c r="E3666" t="s">
        <v>54</v>
      </c>
      <c r="F3666" s="1">
        <v>42.5</v>
      </c>
      <c r="G3666" t="s">
        <v>31</v>
      </c>
      <c r="H3666" t="s">
        <v>37</v>
      </c>
      <c r="I3666" s="2">
        <v>2.4</v>
      </c>
      <c r="J3666" s="4">
        <v>9</v>
      </c>
      <c r="K3666" s="3">
        <v>2</v>
      </c>
      <c r="L3666" s="1">
        <f t="shared" si="171"/>
        <v>38.675000000000004</v>
      </c>
      <c r="M3666" t="str" cm="1">
        <f t="array" ref="M3666">_xlfn.IFS(B3666&lt;18,"Under 18",B3666 &lt;=25,"18-25",B3666&lt;=35,"26-35",B3666&lt;=45,"36-45",B3666&lt;=60,"46-60",TRUE,"60+")</f>
        <v>36-45</v>
      </c>
      <c r="N3666" t="str">
        <f t="shared" si="172"/>
        <v>Discounted</v>
      </c>
      <c r="O3666" t="str">
        <f t="shared" si="173"/>
        <v>Returning</v>
      </c>
    </row>
    <row r="3667" spans="1:15" x14ac:dyDescent="0.25">
      <c r="A3667">
        <v>3666</v>
      </c>
      <c r="B3667">
        <v>57</v>
      </c>
      <c r="C3667" t="s">
        <v>11</v>
      </c>
      <c r="D3667" t="s">
        <v>33</v>
      </c>
      <c r="E3667" t="s">
        <v>40</v>
      </c>
      <c r="F3667" s="1">
        <v>185.73</v>
      </c>
      <c r="G3667" t="s">
        <v>19</v>
      </c>
      <c r="H3667" t="s">
        <v>15</v>
      </c>
      <c r="I3667" s="2">
        <v>5</v>
      </c>
      <c r="J3667" s="4">
        <v>17</v>
      </c>
      <c r="K3667" s="3">
        <v>6</v>
      </c>
      <c r="L3667" s="1">
        <f t="shared" si="171"/>
        <v>154.15589999999997</v>
      </c>
      <c r="M3667" t="str" cm="1">
        <f t="array" ref="M3667">_xlfn.IFS(B3667&lt;18,"Under 18",B3667 &lt;=25,"18-25",B3667&lt;=35,"26-35",B3667&lt;=45,"36-45",B3667&lt;=60,"46-60",TRUE,"60+")</f>
        <v>46-60</v>
      </c>
      <c r="N3667" t="str">
        <f t="shared" si="172"/>
        <v>Discounted</v>
      </c>
      <c r="O3667" t="str">
        <f t="shared" si="173"/>
        <v>Returning</v>
      </c>
    </row>
    <row r="3668" spans="1:15" x14ac:dyDescent="0.25">
      <c r="A3668">
        <v>3667</v>
      </c>
      <c r="B3668">
        <v>20</v>
      </c>
      <c r="C3668" t="s">
        <v>16</v>
      </c>
      <c r="D3668" t="s">
        <v>27</v>
      </c>
      <c r="E3668" t="s">
        <v>49</v>
      </c>
      <c r="F3668" s="1">
        <v>1838.94</v>
      </c>
      <c r="G3668" t="s">
        <v>24</v>
      </c>
      <c r="H3668" t="s">
        <v>15</v>
      </c>
      <c r="I3668" s="2">
        <v>3.8</v>
      </c>
      <c r="J3668" s="4">
        <v>10</v>
      </c>
      <c r="K3668" s="3">
        <v>5</v>
      </c>
      <c r="L3668" s="1">
        <f t="shared" si="171"/>
        <v>1655.046</v>
      </c>
      <c r="M3668" t="str" cm="1">
        <f t="array" ref="M3668">_xlfn.IFS(B3668&lt;18,"Under 18",B3668 &lt;=25,"18-25",B3668&lt;=35,"26-35",B3668&lt;=45,"36-45",B3668&lt;=60,"46-60",TRUE,"60+")</f>
        <v>18-25</v>
      </c>
      <c r="N3668" t="str">
        <f t="shared" si="172"/>
        <v>Discounted</v>
      </c>
      <c r="O3668" t="str">
        <f t="shared" si="173"/>
        <v>Returning</v>
      </c>
    </row>
    <row r="3669" spans="1:15" x14ac:dyDescent="0.25">
      <c r="A3669">
        <v>3668</v>
      </c>
      <c r="B3669">
        <v>25</v>
      </c>
      <c r="C3669" t="s">
        <v>16</v>
      </c>
      <c r="D3669" t="s">
        <v>20</v>
      </c>
      <c r="E3669" t="s">
        <v>36</v>
      </c>
      <c r="F3669" s="1">
        <v>224.19</v>
      </c>
      <c r="G3669" t="s">
        <v>14</v>
      </c>
      <c r="H3669" t="s">
        <v>15</v>
      </c>
      <c r="I3669" s="2">
        <v>3.3</v>
      </c>
      <c r="J3669" s="4">
        <v>18</v>
      </c>
      <c r="K3669" s="3">
        <v>4</v>
      </c>
      <c r="L3669" s="1">
        <f t="shared" si="171"/>
        <v>183.83580000000001</v>
      </c>
      <c r="M3669" t="str" cm="1">
        <f t="array" ref="M3669">_xlfn.IFS(B3669&lt;18,"Under 18",B3669 &lt;=25,"18-25",B3669&lt;=35,"26-35",B3669&lt;=45,"36-45",B3669&lt;=60,"46-60",TRUE,"60+")</f>
        <v>18-25</v>
      </c>
      <c r="N3669" t="str">
        <f t="shared" si="172"/>
        <v>Discounted</v>
      </c>
      <c r="O3669" t="str">
        <f t="shared" si="173"/>
        <v>Returning</v>
      </c>
    </row>
    <row r="3670" spans="1:15" x14ac:dyDescent="0.25">
      <c r="A3670">
        <v>3669</v>
      </c>
      <c r="B3670">
        <v>64</v>
      </c>
      <c r="C3670" t="s">
        <v>16</v>
      </c>
      <c r="D3670" t="s">
        <v>17</v>
      </c>
      <c r="E3670" t="s">
        <v>48</v>
      </c>
      <c r="F3670" s="1">
        <v>64.53</v>
      </c>
      <c r="G3670" t="s">
        <v>31</v>
      </c>
      <c r="H3670" t="s">
        <v>37</v>
      </c>
      <c r="I3670" s="2">
        <v>3.8</v>
      </c>
      <c r="J3670" s="4">
        <v>22</v>
      </c>
      <c r="K3670" s="3">
        <v>6</v>
      </c>
      <c r="L3670" s="1">
        <f t="shared" si="171"/>
        <v>50.333400000000005</v>
      </c>
      <c r="M3670" t="str" cm="1">
        <f t="array" ref="M3670">_xlfn.IFS(B3670&lt;18,"Under 18",B3670 &lt;=25,"18-25",B3670&lt;=35,"26-35",B3670&lt;=45,"36-45",B3670&lt;=60,"46-60",TRUE,"60+")</f>
        <v>60+</v>
      </c>
      <c r="N3670" t="str">
        <f t="shared" si="172"/>
        <v>Discounted</v>
      </c>
      <c r="O3670" t="str">
        <f t="shared" si="173"/>
        <v>Returning</v>
      </c>
    </row>
    <row r="3671" spans="1:15" x14ac:dyDescent="0.25">
      <c r="A3671">
        <v>3670</v>
      </c>
      <c r="B3671">
        <v>43</v>
      </c>
      <c r="C3671" t="s">
        <v>16</v>
      </c>
      <c r="D3671" t="s">
        <v>27</v>
      </c>
      <c r="E3671" t="s">
        <v>53</v>
      </c>
      <c r="F3671" s="1">
        <v>907.49</v>
      </c>
      <c r="G3671" t="s">
        <v>24</v>
      </c>
      <c r="H3671" t="s">
        <v>15</v>
      </c>
      <c r="I3671" s="2">
        <v>4.3</v>
      </c>
      <c r="J3671" s="4">
        <v>8</v>
      </c>
      <c r="K3671" s="3">
        <v>4</v>
      </c>
      <c r="L3671" s="1">
        <f t="shared" si="171"/>
        <v>834.89080000000001</v>
      </c>
      <c r="M3671" t="str" cm="1">
        <f t="array" ref="M3671">_xlfn.IFS(B3671&lt;18,"Under 18",B3671 &lt;=25,"18-25",B3671&lt;=35,"26-35",B3671&lt;=45,"36-45",B3671&lt;=60,"46-60",TRUE,"60+")</f>
        <v>36-45</v>
      </c>
      <c r="N3671" t="str">
        <f t="shared" si="172"/>
        <v>Discounted</v>
      </c>
      <c r="O3671" t="str">
        <f t="shared" si="173"/>
        <v>Returning</v>
      </c>
    </row>
    <row r="3672" spans="1:15" x14ac:dyDescent="0.25">
      <c r="A3672">
        <v>3671</v>
      </c>
      <c r="B3672">
        <v>56</v>
      </c>
      <c r="C3672" t="s">
        <v>11</v>
      </c>
      <c r="D3672" t="s">
        <v>29</v>
      </c>
      <c r="E3672" t="s">
        <v>51</v>
      </c>
      <c r="F3672" s="1">
        <v>91.75</v>
      </c>
      <c r="G3672" t="s">
        <v>14</v>
      </c>
      <c r="H3672" t="s">
        <v>15</v>
      </c>
      <c r="I3672" s="2">
        <v>3.3</v>
      </c>
      <c r="J3672" s="4">
        <v>13</v>
      </c>
      <c r="K3672" s="3">
        <v>4</v>
      </c>
      <c r="L3672" s="1">
        <f t="shared" si="171"/>
        <v>79.822500000000005</v>
      </c>
      <c r="M3672" t="str" cm="1">
        <f t="array" ref="M3672">_xlfn.IFS(B3672&lt;18,"Under 18",B3672 &lt;=25,"18-25",B3672&lt;=35,"26-35",B3672&lt;=45,"36-45",B3672&lt;=60,"46-60",TRUE,"60+")</f>
        <v>46-60</v>
      </c>
      <c r="N3672" t="str">
        <f t="shared" si="172"/>
        <v>Discounted</v>
      </c>
      <c r="O3672" t="str">
        <f t="shared" si="173"/>
        <v>Returning</v>
      </c>
    </row>
    <row r="3673" spans="1:15" x14ac:dyDescent="0.25">
      <c r="A3673">
        <v>3672</v>
      </c>
      <c r="B3673">
        <v>67</v>
      </c>
      <c r="C3673" t="s">
        <v>16</v>
      </c>
      <c r="D3673" t="s">
        <v>17</v>
      </c>
      <c r="E3673" t="s">
        <v>48</v>
      </c>
      <c r="F3673" s="1">
        <v>51.17</v>
      </c>
      <c r="G3673" t="s">
        <v>31</v>
      </c>
      <c r="H3673" t="s">
        <v>37</v>
      </c>
      <c r="I3673" s="2">
        <v>4</v>
      </c>
      <c r="J3673" s="4">
        <v>14</v>
      </c>
      <c r="K3673" s="3">
        <v>2</v>
      </c>
      <c r="L3673" s="1">
        <f t="shared" si="171"/>
        <v>44.0062</v>
      </c>
      <c r="M3673" t="str" cm="1">
        <f t="array" ref="M3673">_xlfn.IFS(B3673&lt;18,"Under 18",B3673 &lt;=25,"18-25",B3673&lt;=35,"26-35",B3673&lt;=45,"36-45",B3673&lt;=60,"46-60",TRUE,"60+")</f>
        <v>60+</v>
      </c>
      <c r="N3673" t="str">
        <f t="shared" si="172"/>
        <v>Discounted</v>
      </c>
      <c r="O3673" t="str">
        <f t="shared" si="173"/>
        <v>Returning</v>
      </c>
    </row>
    <row r="3674" spans="1:15" x14ac:dyDescent="0.25">
      <c r="A3674">
        <v>3673</v>
      </c>
      <c r="B3674">
        <v>60</v>
      </c>
      <c r="C3674" t="s">
        <v>11</v>
      </c>
      <c r="D3674" t="s">
        <v>12</v>
      </c>
      <c r="E3674" t="s">
        <v>13</v>
      </c>
      <c r="F3674" s="1">
        <v>58.89</v>
      </c>
      <c r="G3674" t="s">
        <v>31</v>
      </c>
      <c r="H3674" t="s">
        <v>15</v>
      </c>
      <c r="I3674" s="2">
        <v>4.9000000000000004</v>
      </c>
      <c r="J3674" s="4">
        <v>12</v>
      </c>
      <c r="K3674" s="3">
        <v>1</v>
      </c>
      <c r="L3674" s="1">
        <f t="shared" si="171"/>
        <v>51.8232</v>
      </c>
      <c r="M3674" t="str" cm="1">
        <f t="array" ref="M3674">_xlfn.IFS(B3674&lt;18,"Under 18",B3674 &lt;=25,"18-25",B3674&lt;=35,"26-35",B3674&lt;=45,"36-45",B3674&lt;=60,"46-60",TRUE,"60+")</f>
        <v>46-60</v>
      </c>
      <c r="N3674" t="str">
        <f t="shared" si="172"/>
        <v>Discounted</v>
      </c>
      <c r="O3674" t="str">
        <f t="shared" si="173"/>
        <v>Returning</v>
      </c>
    </row>
    <row r="3675" spans="1:15" x14ac:dyDescent="0.25">
      <c r="A3675">
        <v>3674</v>
      </c>
      <c r="B3675">
        <v>35</v>
      </c>
      <c r="C3675" t="s">
        <v>16</v>
      </c>
      <c r="D3675" t="s">
        <v>22</v>
      </c>
      <c r="E3675" t="s">
        <v>52</v>
      </c>
      <c r="F3675" s="1">
        <v>118.44</v>
      </c>
      <c r="G3675" t="s">
        <v>24</v>
      </c>
      <c r="H3675" t="s">
        <v>15</v>
      </c>
      <c r="I3675" s="2">
        <v>4.7</v>
      </c>
      <c r="J3675" s="4">
        <v>28</v>
      </c>
      <c r="K3675" s="3">
        <v>9</v>
      </c>
      <c r="L3675" s="1">
        <f t="shared" si="171"/>
        <v>85.276799999999994</v>
      </c>
      <c r="M3675" t="str" cm="1">
        <f t="array" ref="M3675">_xlfn.IFS(B3675&lt;18,"Under 18",B3675 &lt;=25,"18-25",B3675&lt;=35,"26-35",B3675&lt;=45,"36-45",B3675&lt;=60,"46-60",TRUE,"60+")</f>
        <v>26-35</v>
      </c>
      <c r="N3675" t="str">
        <f t="shared" si="172"/>
        <v>Discounted</v>
      </c>
      <c r="O3675" t="str">
        <f t="shared" si="173"/>
        <v>Returning</v>
      </c>
    </row>
    <row r="3676" spans="1:15" x14ac:dyDescent="0.25">
      <c r="A3676">
        <v>3675</v>
      </c>
      <c r="B3676">
        <v>35</v>
      </c>
      <c r="C3676" t="s">
        <v>11</v>
      </c>
      <c r="D3676" t="s">
        <v>12</v>
      </c>
      <c r="E3676" t="s">
        <v>13</v>
      </c>
      <c r="F3676" s="1">
        <v>130.35</v>
      </c>
      <c r="G3676" t="s">
        <v>19</v>
      </c>
      <c r="H3676" t="s">
        <v>15</v>
      </c>
      <c r="I3676" s="2">
        <v>3.8</v>
      </c>
      <c r="J3676" s="4">
        <v>24</v>
      </c>
      <c r="K3676" s="3">
        <v>7</v>
      </c>
      <c r="L3676" s="1">
        <f t="shared" si="171"/>
        <v>99.066000000000003</v>
      </c>
      <c r="M3676" t="str" cm="1">
        <f t="array" ref="M3676">_xlfn.IFS(B3676&lt;18,"Under 18",B3676 &lt;=25,"18-25",B3676&lt;=35,"26-35",B3676&lt;=45,"36-45",B3676&lt;=60,"46-60",TRUE,"60+")</f>
        <v>26-35</v>
      </c>
      <c r="N3676" t="str">
        <f t="shared" si="172"/>
        <v>Discounted</v>
      </c>
      <c r="O3676" t="str">
        <f t="shared" si="173"/>
        <v>Returning</v>
      </c>
    </row>
    <row r="3677" spans="1:15" x14ac:dyDescent="0.25">
      <c r="A3677">
        <v>3676</v>
      </c>
      <c r="B3677">
        <v>44</v>
      </c>
      <c r="C3677" t="s">
        <v>11</v>
      </c>
      <c r="D3677" t="s">
        <v>25</v>
      </c>
      <c r="E3677" t="s">
        <v>47</v>
      </c>
      <c r="F3677" s="1">
        <v>53.11</v>
      </c>
      <c r="G3677" t="s">
        <v>24</v>
      </c>
      <c r="H3677" t="s">
        <v>37</v>
      </c>
      <c r="I3677" s="2">
        <v>3.9</v>
      </c>
      <c r="J3677" s="4">
        <v>15</v>
      </c>
      <c r="K3677" s="3">
        <v>5</v>
      </c>
      <c r="L3677" s="1">
        <f t="shared" si="171"/>
        <v>45.143499999999996</v>
      </c>
      <c r="M3677" t="str" cm="1">
        <f t="array" ref="M3677">_xlfn.IFS(B3677&lt;18,"Under 18",B3677 &lt;=25,"18-25",B3677&lt;=35,"26-35",B3677&lt;=45,"36-45",B3677&lt;=60,"46-60",TRUE,"60+")</f>
        <v>36-45</v>
      </c>
      <c r="N3677" t="str">
        <f t="shared" si="172"/>
        <v>Discounted</v>
      </c>
      <c r="O3677" t="str">
        <f t="shared" si="173"/>
        <v>Returning</v>
      </c>
    </row>
    <row r="3678" spans="1:15" x14ac:dyDescent="0.25">
      <c r="A3678">
        <v>3677</v>
      </c>
      <c r="B3678">
        <v>47</v>
      </c>
      <c r="C3678" t="s">
        <v>11</v>
      </c>
      <c r="D3678" t="s">
        <v>12</v>
      </c>
      <c r="E3678" t="s">
        <v>13</v>
      </c>
      <c r="F3678" s="1">
        <v>72</v>
      </c>
      <c r="G3678" t="s">
        <v>19</v>
      </c>
      <c r="H3678" t="s">
        <v>37</v>
      </c>
      <c r="I3678" s="2">
        <v>4.2</v>
      </c>
      <c r="J3678" s="4">
        <v>16</v>
      </c>
      <c r="K3678" s="3">
        <v>8</v>
      </c>
      <c r="L3678" s="1">
        <f t="shared" si="171"/>
        <v>60.48</v>
      </c>
      <c r="M3678" t="str" cm="1">
        <f t="array" ref="M3678">_xlfn.IFS(B3678&lt;18,"Under 18",B3678 &lt;=25,"18-25",B3678&lt;=35,"26-35",B3678&lt;=45,"36-45",B3678&lt;=60,"46-60",TRUE,"60+")</f>
        <v>46-60</v>
      </c>
      <c r="N3678" t="str">
        <f t="shared" si="172"/>
        <v>Discounted</v>
      </c>
      <c r="O3678" t="str">
        <f t="shared" si="173"/>
        <v>Returning</v>
      </c>
    </row>
    <row r="3679" spans="1:15" x14ac:dyDescent="0.25">
      <c r="A3679">
        <v>3678</v>
      </c>
      <c r="B3679">
        <v>54</v>
      </c>
      <c r="C3679" t="s">
        <v>16</v>
      </c>
      <c r="D3679" t="s">
        <v>20</v>
      </c>
      <c r="E3679" t="s">
        <v>39</v>
      </c>
      <c r="F3679" s="1">
        <v>97.9</v>
      </c>
      <c r="G3679" t="s">
        <v>24</v>
      </c>
      <c r="H3679" t="s">
        <v>15</v>
      </c>
      <c r="I3679" s="2">
        <v>3.7</v>
      </c>
      <c r="J3679" s="4">
        <v>10</v>
      </c>
      <c r="K3679" s="3">
        <v>5</v>
      </c>
      <c r="L3679" s="1">
        <f t="shared" si="171"/>
        <v>88.110000000000014</v>
      </c>
      <c r="M3679" t="str" cm="1">
        <f t="array" ref="M3679">_xlfn.IFS(B3679&lt;18,"Under 18",B3679 &lt;=25,"18-25",B3679&lt;=35,"26-35",B3679&lt;=45,"36-45",B3679&lt;=60,"46-60",TRUE,"60+")</f>
        <v>46-60</v>
      </c>
      <c r="N3679" t="str">
        <f t="shared" si="172"/>
        <v>Discounted</v>
      </c>
      <c r="O3679" t="str">
        <f t="shared" si="173"/>
        <v>Returning</v>
      </c>
    </row>
    <row r="3680" spans="1:15" x14ac:dyDescent="0.25">
      <c r="A3680">
        <v>3679</v>
      </c>
      <c r="B3680">
        <v>70</v>
      </c>
      <c r="C3680" t="s">
        <v>11</v>
      </c>
      <c r="D3680" t="s">
        <v>41</v>
      </c>
      <c r="E3680" t="s">
        <v>45</v>
      </c>
      <c r="F3680" s="1">
        <v>131.93</v>
      </c>
      <c r="G3680" t="s">
        <v>14</v>
      </c>
      <c r="H3680" t="s">
        <v>15</v>
      </c>
      <c r="I3680" s="2">
        <v>3.3</v>
      </c>
      <c r="J3680" s="4">
        <v>16</v>
      </c>
      <c r="K3680" s="3">
        <v>3</v>
      </c>
      <c r="L3680" s="1">
        <f t="shared" si="171"/>
        <v>110.8212</v>
      </c>
      <c r="M3680" t="str" cm="1">
        <f t="array" ref="M3680">_xlfn.IFS(B3680&lt;18,"Under 18",B3680 &lt;=25,"18-25",B3680&lt;=35,"26-35",B3680&lt;=45,"36-45",B3680&lt;=60,"46-60",TRUE,"60+")</f>
        <v>60+</v>
      </c>
      <c r="N3680" t="str">
        <f t="shared" si="172"/>
        <v>Discounted</v>
      </c>
      <c r="O3680" t="str">
        <f t="shared" si="173"/>
        <v>Returning</v>
      </c>
    </row>
    <row r="3681" spans="1:15" x14ac:dyDescent="0.25">
      <c r="A3681">
        <v>3680</v>
      </c>
      <c r="B3681">
        <v>56</v>
      </c>
      <c r="C3681" t="s">
        <v>11</v>
      </c>
      <c r="D3681" t="s">
        <v>41</v>
      </c>
      <c r="E3681" t="s">
        <v>42</v>
      </c>
      <c r="F3681" s="1">
        <v>184.09</v>
      </c>
      <c r="G3681" t="s">
        <v>14</v>
      </c>
      <c r="H3681" t="s">
        <v>15</v>
      </c>
      <c r="I3681" s="2">
        <v>3.4</v>
      </c>
      <c r="J3681" s="4">
        <v>22</v>
      </c>
      <c r="K3681" s="3">
        <v>6</v>
      </c>
      <c r="L3681" s="1">
        <f t="shared" si="171"/>
        <v>143.59020000000001</v>
      </c>
      <c r="M3681" t="str" cm="1">
        <f t="array" ref="M3681">_xlfn.IFS(B3681&lt;18,"Under 18",B3681 &lt;=25,"18-25",B3681&lt;=35,"26-35",B3681&lt;=45,"36-45",B3681&lt;=60,"46-60",TRUE,"60+")</f>
        <v>46-60</v>
      </c>
      <c r="N3681" t="str">
        <f t="shared" si="172"/>
        <v>Discounted</v>
      </c>
      <c r="O3681" t="str">
        <f t="shared" si="173"/>
        <v>Returning</v>
      </c>
    </row>
    <row r="3682" spans="1:15" x14ac:dyDescent="0.25">
      <c r="A3682">
        <v>3681</v>
      </c>
      <c r="B3682">
        <v>20</v>
      </c>
      <c r="C3682" t="s">
        <v>11</v>
      </c>
      <c r="D3682" t="s">
        <v>29</v>
      </c>
      <c r="E3682" t="s">
        <v>30</v>
      </c>
      <c r="F3682" s="1">
        <v>58.16</v>
      </c>
      <c r="G3682" t="s">
        <v>19</v>
      </c>
      <c r="H3682" t="s">
        <v>37</v>
      </c>
      <c r="I3682" s="2">
        <v>4.5</v>
      </c>
      <c r="J3682" s="4">
        <v>11</v>
      </c>
      <c r="K3682" s="3">
        <v>3</v>
      </c>
      <c r="L3682" s="1">
        <f t="shared" si="171"/>
        <v>51.7624</v>
      </c>
      <c r="M3682" t="str" cm="1">
        <f t="array" ref="M3682">_xlfn.IFS(B3682&lt;18,"Under 18",B3682 &lt;=25,"18-25",B3682&lt;=35,"26-35",B3682&lt;=45,"36-45",B3682&lt;=60,"46-60",TRUE,"60+")</f>
        <v>18-25</v>
      </c>
      <c r="N3682" t="str">
        <f t="shared" si="172"/>
        <v>Discounted</v>
      </c>
      <c r="O3682" t="str">
        <f t="shared" si="173"/>
        <v>Returning</v>
      </c>
    </row>
    <row r="3683" spans="1:15" x14ac:dyDescent="0.25">
      <c r="A3683">
        <v>3682</v>
      </c>
      <c r="B3683">
        <v>25</v>
      </c>
      <c r="C3683" t="s">
        <v>11</v>
      </c>
      <c r="D3683" t="s">
        <v>12</v>
      </c>
      <c r="E3683" t="s">
        <v>50</v>
      </c>
      <c r="F3683" s="1">
        <v>20.67</v>
      </c>
      <c r="G3683" t="s">
        <v>31</v>
      </c>
      <c r="H3683" t="s">
        <v>15</v>
      </c>
      <c r="I3683" s="2">
        <v>5</v>
      </c>
      <c r="J3683" s="4">
        <v>8</v>
      </c>
      <c r="K3683" s="3">
        <v>4</v>
      </c>
      <c r="L3683" s="1">
        <f t="shared" si="171"/>
        <v>19.016400000000001</v>
      </c>
      <c r="M3683" t="str" cm="1">
        <f t="array" ref="M3683">_xlfn.IFS(B3683&lt;18,"Under 18",B3683 &lt;=25,"18-25",B3683&lt;=35,"26-35",B3683&lt;=45,"36-45",B3683&lt;=60,"46-60",TRUE,"60+")</f>
        <v>18-25</v>
      </c>
      <c r="N3683" t="str">
        <f t="shared" si="172"/>
        <v>Discounted</v>
      </c>
      <c r="O3683" t="str">
        <f t="shared" si="173"/>
        <v>Returning</v>
      </c>
    </row>
    <row r="3684" spans="1:15" x14ac:dyDescent="0.25">
      <c r="A3684">
        <v>3683</v>
      </c>
      <c r="B3684">
        <v>57</v>
      </c>
      <c r="C3684" t="s">
        <v>11</v>
      </c>
      <c r="D3684" t="s">
        <v>29</v>
      </c>
      <c r="E3684" t="s">
        <v>30</v>
      </c>
      <c r="F3684" s="1">
        <v>93.07</v>
      </c>
      <c r="G3684" t="s">
        <v>19</v>
      </c>
      <c r="H3684" t="s">
        <v>15</v>
      </c>
      <c r="I3684" s="2">
        <v>3.4</v>
      </c>
      <c r="J3684" s="4">
        <v>14</v>
      </c>
      <c r="K3684" s="3">
        <v>2</v>
      </c>
      <c r="L3684" s="1">
        <f t="shared" si="171"/>
        <v>80.040199999999999</v>
      </c>
      <c r="M3684" t="str" cm="1">
        <f t="array" ref="M3684">_xlfn.IFS(B3684&lt;18,"Under 18",B3684 &lt;=25,"18-25",B3684&lt;=35,"26-35",B3684&lt;=45,"36-45",B3684&lt;=60,"46-60",TRUE,"60+")</f>
        <v>46-60</v>
      </c>
      <c r="N3684" t="str">
        <f t="shared" si="172"/>
        <v>Discounted</v>
      </c>
      <c r="O3684" t="str">
        <f t="shared" si="173"/>
        <v>Returning</v>
      </c>
    </row>
    <row r="3685" spans="1:15" x14ac:dyDescent="0.25">
      <c r="A3685">
        <v>3684</v>
      </c>
      <c r="B3685">
        <v>30</v>
      </c>
      <c r="C3685" t="s">
        <v>11</v>
      </c>
      <c r="D3685" t="s">
        <v>12</v>
      </c>
      <c r="E3685" t="s">
        <v>50</v>
      </c>
      <c r="F3685" s="1">
        <v>95.38</v>
      </c>
      <c r="G3685" t="s">
        <v>19</v>
      </c>
      <c r="H3685" t="s">
        <v>15</v>
      </c>
      <c r="I3685" s="2">
        <v>5</v>
      </c>
      <c r="J3685" s="4">
        <v>10</v>
      </c>
      <c r="K3685" s="3">
        <v>5</v>
      </c>
      <c r="L3685" s="1">
        <f t="shared" si="171"/>
        <v>85.841999999999999</v>
      </c>
      <c r="M3685" t="str" cm="1">
        <f t="array" ref="M3685">_xlfn.IFS(B3685&lt;18,"Under 18",B3685 &lt;=25,"18-25",B3685&lt;=35,"26-35",B3685&lt;=45,"36-45",B3685&lt;=60,"46-60",TRUE,"60+")</f>
        <v>26-35</v>
      </c>
      <c r="N3685" t="str">
        <f t="shared" si="172"/>
        <v>Discounted</v>
      </c>
      <c r="O3685" t="str">
        <f t="shared" si="173"/>
        <v>Returning</v>
      </c>
    </row>
    <row r="3686" spans="1:15" x14ac:dyDescent="0.25">
      <c r="A3686">
        <v>3685</v>
      </c>
      <c r="B3686">
        <v>20</v>
      </c>
      <c r="C3686" t="s">
        <v>16</v>
      </c>
      <c r="D3686" t="s">
        <v>20</v>
      </c>
      <c r="E3686" t="s">
        <v>21</v>
      </c>
      <c r="F3686" s="1">
        <v>167.54</v>
      </c>
      <c r="G3686" t="s">
        <v>24</v>
      </c>
      <c r="H3686" t="s">
        <v>15</v>
      </c>
      <c r="I3686" s="2">
        <v>3.8</v>
      </c>
      <c r="J3686" s="4">
        <v>20</v>
      </c>
      <c r="K3686" s="3">
        <v>5</v>
      </c>
      <c r="L3686" s="1">
        <f t="shared" si="171"/>
        <v>134.03200000000001</v>
      </c>
      <c r="M3686" t="str" cm="1">
        <f t="array" ref="M3686">_xlfn.IFS(B3686&lt;18,"Under 18",B3686 &lt;=25,"18-25",B3686&lt;=35,"26-35",B3686&lt;=45,"36-45",B3686&lt;=60,"46-60",TRUE,"60+")</f>
        <v>18-25</v>
      </c>
      <c r="N3686" t="str">
        <f t="shared" si="172"/>
        <v>Discounted</v>
      </c>
      <c r="O3686" t="str">
        <f t="shared" si="173"/>
        <v>Returning</v>
      </c>
    </row>
    <row r="3687" spans="1:15" x14ac:dyDescent="0.25">
      <c r="A3687">
        <v>3686</v>
      </c>
      <c r="B3687">
        <v>70</v>
      </c>
      <c r="C3687" t="s">
        <v>16</v>
      </c>
      <c r="D3687" t="s">
        <v>17</v>
      </c>
      <c r="E3687" t="s">
        <v>48</v>
      </c>
      <c r="F3687" s="1">
        <v>78.89</v>
      </c>
      <c r="G3687" t="s">
        <v>31</v>
      </c>
      <c r="H3687" t="s">
        <v>15</v>
      </c>
      <c r="I3687" s="2">
        <v>3.9</v>
      </c>
      <c r="J3687" s="4">
        <v>8</v>
      </c>
      <c r="K3687" s="3">
        <v>4</v>
      </c>
      <c r="L3687" s="1">
        <f t="shared" si="171"/>
        <v>72.578800000000001</v>
      </c>
      <c r="M3687" t="str" cm="1">
        <f t="array" ref="M3687">_xlfn.IFS(B3687&lt;18,"Under 18",B3687 &lt;=25,"18-25",B3687&lt;=35,"26-35",B3687&lt;=45,"36-45",B3687&lt;=60,"46-60",TRUE,"60+")</f>
        <v>60+</v>
      </c>
      <c r="N3687" t="str">
        <f t="shared" si="172"/>
        <v>Discounted</v>
      </c>
      <c r="O3687" t="str">
        <f t="shared" si="173"/>
        <v>Returning</v>
      </c>
    </row>
    <row r="3688" spans="1:15" x14ac:dyDescent="0.25">
      <c r="A3688">
        <v>3687</v>
      </c>
      <c r="B3688">
        <v>28</v>
      </c>
      <c r="C3688" t="s">
        <v>16</v>
      </c>
      <c r="D3688" t="s">
        <v>20</v>
      </c>
      <c r="E3688" t="s">
        <v>21</v>
      </c>
      <c r="F3688" s="1">
        <v>39.159999999999997</v>
      </c>
      <c r="G3688" t="s">
        <v>31</v>
      </c>
      <c r="H3688" t="s">
        <v>37</v>
      </c>
      <c r="I3688" s="2">
        <v>3.9</v>
      </c>
      <c r="J3688" s="4">
        <v>13</v>
      </c>
      <c r="K3688" s="3">
        <v>4</v>
      </c>
      <c r="L3688" s="1">
        <f t="shared" si="171"/>
        <v>34.069199999999995</v>
      </c>
      <c r="M3688" t="str" cm="1">
        <f t="array" ref="M3688">_xlfn.IFS(B3688&lt;18,"Under 18",B3688 &lt;=25,"18-25",B3688&lt;=35,"26-35",B3688&lt;=45,"36-45",B3688&lt;=60,"46-60",TRUE,"60+")</f>
        <v>26-35</v>
      </c>
      <c r="N3688" t="str">
        <f t="shared" si="172"/>
        <v>Discounted</v>
      </c>
      <c r="O3688" t="str">
        <f t="shared" si="173"/>
        <v>Returning</v>
      </c>
    </row>
    <row r="3689" spans="1:15" x14ac:dyDescent="0.25">
      <c r="A3689">
        <v>3688</v>
      </c>
      <c r="B3689">
        <v>35</v>
      </c>
      <c r="C3689" t="s">
        <v>11</v>
      </c>
      <c r="D3689" t="s">
        <v>22</v>
      </c>
      <c r="E3689" t="s">
        <v>23</v>
      </c>
      <c r="F3689" s="1">
        <v>299.25</v>
      </c>
      <c r="G3689" t="s">
        <v>24</v>
      </c>
      <c r="H3689" t="s">
        <v>15</v>
      </c>
      <c r="I3689" s="2">
        <v>3.4</v>
      </c>
      <c r="J3689" s="4">
        <v>10</v>
      </c>
      <c r="K3689" s="3">
        <v>5</v>
      </c>
      <c r="L3689" s="1">
        <f t="shared" si="171"/>
        <v>269.32499999999999</v>
      </c>
      <c r="M3689" t="str" cm="1">
        <f t="array" ref="M3689">_xlfn.IFS(B3689&lt;18,"Under 18",B3689 &lt;=25,"18-25",B3689&lt;=35,"26-35",B3689&lt;=45,"36-45",B3689&lt;=60,"46-60",TRUE,"60+")</f>
        <v>26-35</v>
      </c>
      <c r="N3689" t="str">
        <f t="shared" si="172"/>
        <v>Discounted</v>
      </c>
      <c r="O3689" t="str">
        <f t="shared" si="173"/>
        <v>Returning</v>
      </c>
    </row>
    <row r="3690" spans="1:15" x14ac:dyDescent="0.25">
      <c r="A3690">
        <v>3689</v>
      </c>
      <c r="B3690">
        <v>29</v>
      </c>
      <c r="C3690" t="s">
        <v>11</v>
      </c>
      <c r="D3690" t="s">
        <v>25</v>
      </c>
      <c r="E3690" t="s">
        <v>26</v>
      </c>
      <c r="F3690" s="1">
        <v>70.760000000000005</v>
      </c>
      <c r="G3690" t="s">
        <v>14</v>
      </c>
      <c r="H3690" t="s">
        <v>15</v>
      </c>
      <c r="I3690" s="2">
        <v>3.8</v>
      </c>
      <c r="J3690" s="4">
        <v>13</v>
      </c>
      <c r="K3690" s="3">
        <v>4</v>
      </c>
      <c r="L3690" s="1">
        <f t="shared" si="171"/>
        <v>61.561200000000007</v>
      </c>
      <c r="M3690" t="str" cm="1">
        <f t="array" ref="M3690">_xlfn.IFS(B3690&lt;18,"Under 18",B3690 &lt;=25,"18-25",B3690&lt;=35,"26-35",B3690&lt;=45,"36-45",B3690&lt;=60,"46-60",TRUE,"60+")</f>
        <v>26-35</v>
      </c>
      <c r="N3690" t="str">
        <f t="shared" si="172"/>
        <v>Discounted</v>
      </c>
      <c r="O3690" t="str">
        <f t="shared" si="173"/>
        <v>Returning</v>
      </c>
    </row>
    <row r="3691" spans="1:15" x14ac:dyDescent="0.25">
      <c r="A3691">
        <v>3690</v>
      </c>
      <c r="B3691">
        <v>40</v>
      </c>
      <c r="C3691" t="s">
        <v>11</v>
      </c>
      <c r="D3691" t="s">
        <v>41</v>
      </c>
      <c r="E3691" t="s">
        <v>44</v>
      </c>
      <c r="F3691" s="1">
        <v>191.37</v>
      </c>
      <c r="G3691" t="s">
        <v>19</v>
      </c>
      <c r="H3691" t="s">
        <v>15</v>
      </c>
      <c r="I3691" s="2">
        <v>4.0999999999999996</v>
      </c>
      <c r="J3691" s="4">
        <v>16</v>
      </c>
      <c r="K3691" s="3">
        <v>3</v>
      </c>
      <c r="L3691" s="1">
        <f t="shared" si="171"/>
        <v>160.7508</v>
      </c>
      <c r="M3691" t="str" cm="1">
        <f t="array" ref="M3691">_xlfn.IFS(B3691&lt;18,"Under 18",B3691 &lt;=25,"18-25",B3691&lt;=35,"26-35",B3691&lt;=45,"36-45",B3691&lt;=60,"46-60",TRUE,"60+")</f>
        <v>36-45</v>
      </c>
      <c r="N3691" t="str">
        <f t="shared" si="172"/>
        <v>Discounted</v>
      </c>
      <c r="O3691" t="str">
        <f t="shared" si="173"/>
        <v>Returning</v>
      </c>
    </row>
    <row r="3692" spans="1:15" x14ac:dyDescent="0.25">
      <c r="A3692">
        <v>3691</v>
      </c>
      <c r="B3692">
        <v>34</v>
      </c>
      <c r="C3692" t="s">
        <v>11</v>
      </c>
      <c r="D3692" t="s">
        <v>33</v>
      </c>
      <c r="E3692" t="s">
        <v>40</v>
      </c>
      <c r="F3692" s="1">
        <v>240.46</v>
      </c>
      <c r="G3692" t="s">
        <v>31</v>
      </c>
      <c r="H3692" t="s">
        <v>15</v>
      </c>
      <c r="I3692" s="2">
        <v>5</v>
      </c>
      <c r="J3692" s="4">
        <v>18</v>
      </c>
      <c r="K3692" s="3">
        <v>9</v>
      </c>
      <c r="L3692" s="1">
        <f t="shared" si="171"/>
        <v>197.17720000000003</v>
      </c>
      <c r="M3692" t="str" cm="1">
        <f t="array" ref="M3692">_xlfn.IFS(B3692&lt;18,"Under 18",B3692 &lt;=25,"18-25",B3692&lt;=35,"26-35",B3692&lt;=45,"36-45",B3692&lt;=60,"46-60",TRUE,"60+")</f>
        <v>26-35</v>
      </c>
      <c r="N3692" t="str">
        <f t="shared" si="172"/>
        <v>Discounted</v>
      </c>
      <c r="O3692" t="str">
        <f t="shared" si="173"/>
        <v>Returning</v>
      </c>
    </row>
    <row r="3693" spans="1:15" x14ac:dyDescent="0.25">
      <c r="A3693">
        <v>3692</v>
      </c>
      <c r="B3693">
        <v>57</v>
      </c>
      <c r="C3693" t="s">
        <v>11</v>
      </c>
      <c r="D3693" t="s">
        <v>29</v>
      </c>
      <c r="E3693" t="s">
        <v>51</v>
      </c>
      <c r="F3693" s="1">
        <v>134.16</v>
      </c>
      <c r="G3693" t="s">
        <v>31</v>
      </c>
      <c r="H3693" t="s">
        <v>15</v>
      </c>
      <c r="I3693" s="2">
        <v>4</v>
      </c>
      <c r="J3693" s="4">
        <v>12</v>
      </c>
      <c r="K3693" s="3">
        <v>6</v>
      </c>
      <c r="L3693" s="1">
        <f t="shared" si="171"/>
        <v>118.0608</v>
      </c>
      <c r="M3693" t="str" cm="1">
        <f t="array" ref="M3693">_xlfn.IFS(B3693&lt;18,"Under 18",B3693 &lt;=25,"18-25",B3693&lt;=35,"26-35",B3693&lt;=45,"36-45",B3693&lt;=60,"46-60",TRUE,"60+")</f>
        <v>46-60</v>
      </c>
      <c r="N3693" t="str">
        <f t="shared" si="172"/>
        <v>Discounted</v>
      </c>
      <c r="O3693" t="str">
        <f t="shared" si="173"/>
        <v>Returning</v>
      </c>
    </row>
    <row r="3694" spans="1:15" x14ac:dyDescent="0.25">
      <c r="A3694">
        <v>3693</v>
      </c>
      <c r="B3694">
        <v>50</v>
      </c>
      <c r="C3694" t="s">
        <v>11</v>
      </c>
      <c r="D3694" t="s">
        <v>29</v>
      </c>
      <c r="E3694" t="s">
        <v>55</v>
      </c>
      <c r="F3694" s="1">
        <v>92.73</v>
      </c>
      <c r="G3694" t="s">
        <v>14</v>
      </c>
      <c r="H3694" t="s">
        <v>15</v>
      </c>
      <c r="I3694" s="2">
        <v>4.2</v>
      </c>
      <c r="J3694" s="4">
        <v>26</v>
      </c>
      <c r="K3694" s="3">
        <v>8</v>
      </c>
      <c r="L3694" s="1">
        <f t="shared" si="171"/>
        <v>68.620199999999997</v>
      </c>
      <c r="M3694" t="str" cm="1">
        <f t="array" ref="M3694">_xlfn.IFS(B3694&lt;18,"Under 18",B3694 &lt;=25,"18-25",B3694&lt;=35,"26-35",B3694&lt;=45,"36-45",B3694&lt;=60,"46-60",TRUE,"60+")</f>
        <v>46-60</v>
      </c>
      <c r="N3694" t="str">
        <f t="shared" si="172"/>
        <v>Discounted</v>
      </c>
      <c r="O3694" t="str">
        <f t="shared" si="173"/>
        <v>Returning</v>
      </c>
    </row>
    <row r="3695" spans="1:15" x14ac:dyDescent="0.25">
      <c r="A3695">
        <v>3694</v>
      </c>
      <c r="B3695">
        <v>60</v>
      </c>
      <c r="C3695" t="s">
        <v>11</v>
      </c>
      <c r="D3695" t="s">
        <v>41</v>
      </c>
      <c r="E3695" t="s">
        <v>45</v>
      </c>
      <c r="F3695" s="1">
        <v>169.58</v>
      </c>
      <c r="G3695" t="s">
        <v>14</v>
      </c>
      <c r="H3695" t="s">
        <v>15</v>
      </c>
      <c r="I3695" s="2">
        <v>4.8</v>
      </c>
      <c r="J3695" s="4">
        <v>23</v>
      </c>
      <c r="K3695" s="3">
        <v>9</v>
      </c>
      <c r="L3695" s="1">
        <f t="shared" si="171"/>
        <v>130.57660000000001</v>
      </c>
      <c r="M3695" t="str" cm="1">
        <f t="array" ref="M3695">_xlfn.IFS(B3695&lt;18,"Under 18",B3695 &lt;=25,"18-25",B3695&lt;=35,"26-35",B3695&lt;=45,"36-45",B3695&lt;=60,"46-60",TRUE,"60+")</f>
        <v>46-60</v>
      </c>
      <c r="N3695" t="str">
        <f t="shared" si="172"/>
        <v>Discounted</v>
      </c>
      <c r="O3695" t="str">
        <f t="shared" si="173"/>
        <v>Returning</v>
      </c>
    </row>
    <row r="3696" spans="1:15" x14ac:dyDescent="0.25">
      <c r="A3696">
        <v>3695</v>
      </c>
      <c r="B3696">
        <v>70</v>
      </c>
      <c r="C3696" t="s">
        <v>11</v>
      </c>
      <c r="D3696" t="s">
        <v>41</v>
      </c>
      <c r="E3696" t="s">
        <v>44</v>
      </c>
      <c r="F3696" s="1">
        <v>51.99</v>
      </c>
      <c r="G3696" t="s">
        <v>14</v>
      </c>
      <c r="H3696" t="s">
        <v>37</v>
      </c>
      <c r="I3696" s="2">
        <v>3.4</v>
      </c>
      <c r="J3696" s="4">
        <v>24</v>
      </c>
      <c r="K3696" s="3">
        <v>7</v>
      </c>
      <c r="L3696" s="1">
        <f t="shared" si="171"/>
        <v>39.5124</v>
      </c>
      <c r="M3696" t="str" cm="1">
        <f t="array" ref="M3696">_xlfn.IFS(B3696&lt;18,"Under 18",B3696 &lt;=25,"18-25",B3696&lt;=35,"26-35",B3696&lt;=45,"36-45",B3696&lt;=60,"46-60",TRUE,"60+")</f>
        <v>60+</v>
      </c>
      <c r="N3696" t="str">
        <f t="shared" si="172"/>
        <v>Discounted</v>
      </c>
      <c r="O3696" t="str">
        <f t="shared" si="173"/>
        <v>Returning</v>
      </c>
    </row>
    <row r="3697" spans="1:15" x14ac:dyDescent="0.25">
      <c r="A3697">
        <v>3696</v>
      </c>
      <c r="B3697">
        <v>35</v>
      </c>
      <c r="C3697" t="s">
        <v>11</v>
      </c>
      <c r="D3697" t="s">
        <v>33</v>
      </c>
      <c r="E3697" t="s">
        <v>38</v>
      </c>
      <c r="F3697" s="1">
        <v>220.75</v>
      </c>
      <c r="G3697" t="s">
        <v>31</v>
      </c>
      <c r="H3697" t="s">
        <v>15</v>
      </c>
      <c r="I3697" s="2">
        <v>3.7</v>
      </c>
      <c r="J3697" s="4">
        <v>14</v>
      </c>
      <c r="K3697" s="3">
        <v>7</v>
      </c>
      <c r="L3697" s="1">
        <f t="shared" si="171"/>
        <v>189.845</v>
      </c>
      <c r="M3697" t="str" cm="1">
        <f t="array" ref="M3697">_xlfn.IFS(B3697&lt;18,"Under 18",B3697 &lt;=25,"18-25",B3697&lt;=35,"26-35",B3697&lt;=45,"36-45",B3697&lt;=60,"46-60",TRUE,"60+")</f>
        <v>26-35</v>
      </c>
      <c r="N3697" t="str">
        <f t="shared" si="172"/>
        <v>Discounted</v>
      </c>
      <c r="O3697" t="str">
        <f t="shared" si="173"/>
        <v>Returning</v>
      </c>
    </row>
    <row r="3698" spans="1:15" x14ac:dyDescent="0.25">
      <c r="A3698">
        <v>3697</v>
      </c>
      <c r="B3698">
        <v>31</v>
      </c>
      <c r="C3698" t="s">
        <v>11</v>
      </c>
      <c r="D3698" t="s">
        <v>22</v>
      </c>
      <c r="E3698" t="s">
        <v>23</v>
      </c>
      <c r="F3698" s="1">
        <v>86.63</v>
      </c>
      <c r="G3698" t="s">
        <v>14</v>
      </c>
      <c r="H3698" t="s">
        <v>37</v>
      </c>
      <c r="I3698" s="2">
        <v>4.5</v>
      </c>
      <c r="J3698" s="4">
        <v>20</v>
      </c>
      <c r="K3698" s="3">
        <v>10</v>
      </c>
      <c r="L3698" s="1">
        <f t="shared" si="171"/>
        <v>69.304000000000002</v>
      </c>
      <c r="M3698" t="str" cm="1">
        <f t="array" ref="M3698">_xlfn.IFS(B3698&lt;18,"Under 18",B3698 &lt;=25,"18-25",B3698&lt;=35,"26-35",B3698&lt;=45,"36-45",B3698&lt;=60,"46-60",TRUE,"60+")</f>
        <v>26-35</v>
      </c>
      <c r="N3698" t="str">
        <f t="shared" si="172"/>
        <v>Discounted</v>
      </c>
      <c r="O3698" t="str">
        <f t="shared" si="173"/>
        <v>Returning</v>
      </c>
    </row>
    <row r="3699" spans="1:15" x14ac:dyDescent="0.25">
      <c r="A3699">
        <v>3698</v>
      </c>
      <c r="B3699">
        <v>37</v>
      </c>
      <c r="C3699" t="s">
        <v>16</v>
      </c>
      <c r="D3699" t="s">
        <v>25</v>
      </c>
      <c r="E3699" t="s">
        <v>47</v>
      </c>
      <c r="F3699" s="1">
        <v>43.63</v>
      </c>
      <c r="G3699" t="s">
        <v>14</v>
      </c>
      <c r="H3699" t="s">
        <v>15</v>
      </c>
      <c r="I3699" s="2">
        <v>4.5999999999999996</v>
      </c>
      <c r="J3699" s="4">
        <v>16</v>
      </c>
      <c r="K3699" s="3">
        <v>3</v>
      </c>
      <c r="L3699" s="1">
        <f t="shared" si="171"/>
        <v>36.6492</v>
      </c>
      <c r="M3699" t="str" cm="1">
        <f t="array" ref="M3699">_xlfn.IFS(B3699&lt;18,"Under 18",B3699 &lt;=25,"18-25",B3699&lt;=35,"26-35",B3699&lt;=45,"36-45",B3699&lt;=60,"46-60",TRUE,"60+")</f>
        <v>36-45</v>
      </c>
      <c r="N3699" t="str">
        <f t="shared" si="172"/>
        <v>Discounted</v>
      </c>
      <c r="O3699" t="str">
        <f t="shared" si="173"/>
        <v>Returning</v>
      </c>
    </row>
    <row r="3700" spans="1:15" x14ac:dyDescent="0.25">
      <c r="A3700">
        <v>3699</v>
      </c>
      <c r="B3700">
        <v>63</v>
      </c>
      <c r="C3700" t="s">
        <v>16</v>
      </c>
      <c r="D3700" t="s">
        <v>33</v>
      </c>
      <c r="E3700" t="s">
        <v>40</v>
      </c>
      <c r="F3700" s="1">
        <v>173.53</v>
      </c>
      <c r="G3700" t="s">
        <v>19</v>
      </c>
      <c r="H3700" t="s">
        <v>15</v>
      </c>
      <c r="I3700" s="2">
        <v>4.4000000000000004</v>
      </c>
      <c r="J3700" s="4">
        <v>16</v>
      </c>
      <c r="K3700" s="3">
        <v>3</v>
      </c>
      <c r="L3700" s="1">
        <f t="shared" si="171"/>
        <v>145.76519999999999</v>
      </c>
      <c r="M3700" t="str" cm="1">
        <f t="array" ref="M3700">_xlfn.IFS(B3700&lt;18,"Under 18",B3700 &lt;=25,"18-25",B3700&lt;=35,"26-35",B3700&lt;=45,"36-45",B3700&lt;=60,"46-60",TRUE,"60+")</f>
        <v>60+</v>
      </c>
      <c r="N3700" t="str">
        <f t="shared" si="172"/>
        <v>Discounted</v>
      </c>
      <c r="O3700" t="str">
        <f t="shared" si="173"/>
        <v>Returning</v>
      </c>
    </row>
    <row r="3701" spans="1:15" x14ac:dyDescent="0.25">
      <c r="A3701">
        <v>3700</v>
      </c>
      <c r="B3701">
        <v>46</v>
      </c>
      <c r="C3701" t="s">
        <v>16</v>
      </c>
      <c r="D3701" t="s">
        <v>22</v>
      </c>
      <c r="E3701" t="s">
        <v>23</v>
      </c>
      <c r="F3701" s="1">
        <v>162.93</v>
      </c>
      <c r="G3701" t="s">
        <v>14</v>
      </c>
      <c r="H3701" t="s">
        <v>15</v>
      </c>
      <c r="I3701" s="2">
        <v>4.7</v>
      </c>
      <c r="J3701" s="4">
        <v>18</v>
      </c>
      <c r="K3701" s="3">
        <v>4</v>
      </c>
      <c r="L3701" s="1">
        <f t="shared" si="171"/>
        <v>133.60260000000002</v>
      </c>
      <c r="M3701" t="str" cm="1">
        <f t="array" ref="M3701">_xlfn.IFS(B3701&lt;18,"Under 18",B3701 &lt;=25,"18-25",B3701&lt;=35,"26-35",B3701&lt;=45,"36-45",B3701&lt;=60,"46-60",TRUE,"60+")</f>
        <v>46-60</v>
      </c>
      <c r="N3701" t="str">
        <f t="shared" si="172"/>
        <v>Discounted</v>
      </c>
      <c r="O3701" t="str">
        <f t="shared" si="173"/>
        <v>Returning</v>
      </c>
    </row>
    <row r="3702" spans="1:15" x14ac:dyDescent="0.25">
      <c r="A3702">
        <v>3701</v>
      </c>
      <c r="B3702">
        <v>35</v>
      </c>
      <c r="C3702" t="s">
        <v>11</v>
      </c>
      <c r="D3702" t="s">
        <v>29</v>
      </c>
      <c r="E3702" t="s">
        <v>55</v>
      </c>
      <c r="F3702" s="1">
        <v>75.510000000000005</v>
      </c>
      <c r="G3702" t="s">
        <v>19</v>
      </c>
      <c r="H3702" t="s">
        <v>15</v>
      </c>
      <c r="I3702" s="2">
        <v>4.0999999999999996</v>
      </c>
      <c r="J3702" s="4">
        <v>17</v>
      </c>
      <c r="K3702" s="3">
        <v>6</v>
      </c>
      <c r="L3702" s="1">
        <f t="shared" si="171"/>
        <v>62.673300000000005</v>
      </c>
      <c r="M3702" t="str" cm="1">
        <f t="array" ref="M3702">_xlfn.IFS(B3702&lt;18,"Under 18",B3702 &lt;=25,"18-25",B3702&lt;=35,"26-35",B3702&lt;=45,"36-45",B3702&lt;=60,"46-60",TRUE,"60+")</f>
        <v>26-35</v>
      </c>
      <c r="N3702" t="str">
        <f t="shared" si="172"/>
        <v>Discounted</v>
      </c>
      <c r="O3702" t="str">
        <f t="shared" si="173"/>
        <v>Returning</v>
      </c>
    </row>
    <row r="3703" spans="1:15" x14ac:dyDescent="0.25">
      <c r="A3703">
        <v>3702</v>
      </c>
      <c r="B3703">
        <v>42</v>
      </c>
      <c r="C3703" t="s">
        <v>11</v>
      </c>
      <c r="D3703" t="s">
        <v>33</v>
      </c>
      <c r="E3703" t="s">
        <v>40</v>
      </c>
      <c r="F3703" s="1">
        <v>148.02000000000001</v>
      </c>
      <c r="G3703" t="s">
        <v>24</v>
      </c>
      <c r="H3703" t="s">
        <v>15</v>
      </c>
      <c r="I3703" s="2">
        <v>2.7</v>
      </c>
      <c r="J3703" s="4">
        <v>12</v>
      </c>
      <c r="K3703" s="3">
        <v>6</v>
      </c>
      <c r="L3703" s="1">
        <f t="shared" si="171"/>
        <v>130.2576</v>
      </c>
      <c r="M3703" t="str" cm="1">
        <f t="array" ref="M3703">_xlfn.IFS(B3703&lt;18,"Under 18",B3703 &lt;=25,"18-25",B3703&lt;=35,"26-35",B3703&lt;=45,"36-45",B3703&lt;=60,"46-60",TRUE,"60+")</f>
        <v>36-45</v>
      </c>
      <c r="N3703" t="str">
        <f t="shared" si="172"/>
        <v>Discounted</v>
      </c>
      <c r="O3703" t="str">
        <f t="shared" si="173"/>
        <v>Returning</v>
      </c>
    </row>
    <row r="3704" spans="1:15" x14ac:dyDescent="0.25">
      <c r="A3704">
        <v>3703</v>
      </c>
      <c r="B3704">
        <v>47</v>
      </c>
      <c r="C3704" t="s">
        <v>11</v>
      </c>
      <c r="D3704" t="s">
        <v>29</v>
      </c>
      <c r="E3704" t="s">
        <v>51</v>
      </c>
      <c r="F3704" s="1">
        <v>31.89</v>
      </c>
      <c r="G3704" t="s">
        <v>24</v>
      </c>
      <c r="H3704" t="s">
        <v>37</v>
      </c>
      <c r="I3704" s="2">
        <v>4.3</v>
      </c>
      <c r="J3704" s="4">
        <v>13</v>
      </c>
      <c r="K3704" s="3">
        <v>4</v>
      </c>
      <c r="L3704" s="1">
        <f t="shared" si="171"/>
        <v>27.744299999999999</v>
      </c>
      <c r="M3704" t="str" cm="1">
        <f t="array" ref="M3704">_xlfn.IFS(B3704&lt;18,"Under 18",B3704 &lt;=25,"18-25",B3704&lt;=35,"26-35",B3704&lt;=45,"36-45",B3704&lt;=60,"46-60",TRUE,"60+")</f>
        <v>46-60</v>
      </c>
      <c r="N3704" t="str">
        <f t="shared" si="172"/>
        <v>Discounted</v>
      </c>
      <c r="O3704" t="str">
        <f t="shared" si="173"/>
        <v>Returning</v>
      </c>
    </row>
    <row r="3705" spans="1:15" x14ac:dyDescent="0.25">
      <c r="A3705">
        <v>3704</v>
      </c>
      <c r="B3705">
        <v>62</v>
      </c>
      <c r="C3705" t="s">
        <v>16</v>
      </c>
      <c r="D3705" t="s">
        <v>22</v>
      </c>
      <c r="E3705" t="s">
        <v>43</v>
      </c>
      <c r="F3705" s="1">
        <v>36.04</v>
      </c>
      <c r="G3705" t="s">
        <v>24</v>
      </c>
      <c r="H3705" t="s">
        <v>37</v>
      </c>
      <c r="I3705" s="2">
        <v>3.7</v>
      </c>
      <c r="J3705" s="4">
        <v>18</v>
      </c>
      <c r="K3705" s="3">
        <v>4</v>
      </c>
      <c r="L3705" s="1">
        <f t="shared" si="171"/>
        <v>29.552800000000001</v>
      </c>
      <c r="M3705" t="str" cm="1">
        <f t="array" ref="M3705">_xlfn.IFS(B3705&lt;18,"Under 18",B3705 &lt;=25,"18-25",B3705&lt;=35,"26-35",B3705&lt;=45,"36-45",B3705&lt;=60,"46-60",TRUE,"60+")</f>
        <v>60+</v>
      </c>
      <c r="N3705" t="str">
        <f t="shared" si="172"/>
        <v>Discounted</v>
      </c>
      <c r="O3705" t="str">
        <f t="shared" si="173"/>
        <v>Returning</v>
      </c>
    </row>
    <row r="3706" spans="1:15" x14ac:dyDescent="0.25">
      <c r="A3706">
        <v>3705</v>
      </c>
      <c r="B3706">
        <v>47</v>
      </c>
      <c r="C3706" t="s">
        <v>11</v>
      </c>
      <c r="D3706" t="s">
        <v>29</v>
      </c>
      <c r="E3706" t="s">
        <v>51</v>
      </c>
      <c r="F3706" s="1">
        <v>110.64</v>
      </c>
      <c r="G3706" t="s">
        <v>24</v>
      </c>
      <c r="H3706" t="s">
        <v>15</v>
      </c>
      <c r="I3706" s="2">
        <v>4.0999999999999996</v>
      </c>
      <c r="J3706" s="4">
        <v>10</v>
      </c>
      <c r="K3706" s="3">
        <v>5</v>
      </c>
      <c r="L3706" s="1">
        <f t="shared" si="171"/>
        <v>99.576000000000008</v>
      </c>
      <c r="M3706" t="str" cm="1">
        <f t="array" ref="M3706">_xlfn.IFS(B3706&lt;18,"Under 18",B3706 &lt;=25,"18-25",B3706&lt;=35,"26-35",B3706&lt;=45,"36-45",B3706&lt;=60,"46-60",TRUE,"60+")</f>
        <v>46-60</v>
      </c>
      <c r="N3706" t="str">
        <f t="shared" si="172"/>
        <v>Discounted</v>
      </c>
      <c r="O3706" t="str">
        <f t="shared" si="173"/>
        <v>Returning</v>
      </c>
    </row>
    <row r="3707" spans="1:15" x14ac:dyDescent="0.25">
      <c r="A3707">
        <v>3706</v>
      </c>
      <c r="B3707">
        <v>70</v>
      </c>
      <c r="C3707" t="s">
        <v>11</v>
      </c>
      <c r="D3707" t="s">
        <v>41</v>
      </c>
      <c r="E3707" t="s">
        <v>44</v>
      </c>
      <c r="F3707" s="1">
        <v>166.68</v>
      </c>
      <c r="G3707" t="s">
        <v>19</v>
      </c>
      <c r="H3707" t="s">
        <v>15</v>
      </c>
      <c r="I3707" s="2">
        <v>3.5</v>
      </c>
      <c r="J3707" s="4">
        <v>2</v>
      </c>
      <c r="K3707" s="3">
        <v>1</v>
      </c>
      <c r="L3707" s="1">
        <f t="shared" si="171"/>
        <v>163.34640000000002</v>
      </c>
      <c r="M3707" t="str" cm="1">
        <f t="array" ref="M3707">_xlfn.IFS(B3707&lt;18,"Under 18",B3707 &lt;=25,"18-25",B3707&lt;=35,"26-35",B3707&lt;=45,"36-45",B3707&lt;=60,"46-60",TRUE,"60+")</f>
        <v>60+</v>
      </c>
      <c r="N3707" t="str">
        <f t="shared" si="172"/>
        <v>Discounted</v>
      </c>
      <c r="O3707" t="str">
        <f t="shared" si="173"/>
        <v>Returning</v>
      </c>
    </row>
    <row r="3708" spans="1:15" x14ac:dyDescent="0.25">
      <c r="A3708">
        <v>3707</v>
      </c>
      <c r="B3708">
        <v>56</v>
      </c>
      <c r="C3708" t="s">
        <v>11</v>
      </c>
      <c r="D3708" t="s">
        <v>33</v>
      </c>
      <c r="E3708" t="s">
        <v>34</v>
      </c>
      <c r="F3708" s="1">
        <v>239.19</v>
      </c>
      <c r="G3708" t="s">
        <v>19</v>
      </c>
      <c r="H3708" t="s">
        <v>15</v>
      </c>
      <c r="I3708" s="2">
        <v>5</v>
      </c>
      <c r="J3708" s="4">
        <v>20</v>
      </c>
      <c r="K3708" s="3">
        <v>5</v>
      </c>
      <c r="L3708" s="1">
        <f t="shared" si="171"/>
        <v>191.352</v>
      </c>
      <c r="M3708" t="str" cm="1">
        <f t="array" ref="M3708">_xlfn.IFS(B3708&lt;18,"Under 18",B3708 &lt;=25,"18-25",B3708&lt;=35,"26-35",B3708&lt;=45,"36-45",B3708&lt;=60,"46-60",TRUE,"60+")</f>
        <v>46-60</v>
      </c>
      <c r="N3708" t="str">
        <f t="shared" si="172"/>
        <v>Discounted</v>
      </c>
      <c r="O3708" t="str">
        <f t="shared" si="173"/>
        <v>Returning</v>
      </c>
    </row>
    <row r="3709" spans="1:15" x14ac:dyDescent="0.25">
      <c r="A3709">
        <v>3708</v>
      </c>
      <c r="B3709">
        <v>38</v>
      </c>
      <c r="C3709" t="s">
        <v>16</v>
      </c>
      <c r="D3709" t="s">
        <v>17</v>
      </c>
      <c r="E3709" t="s">
        <v>18</v>
      </c>
      <c r="F3709" s="1">
        <v>51.09</v>
      </c>
      <c r="G3709" t="s">
        <v>31</v>
      </c>
      <c r="H3709" t="s">
        <v>37</v>
      </c>
      <c r="I3709" s="2">
        <v>4.5999999999999996</v>
      </c>
      <c r="J3709" s="4">
        <v>6</v>
      </c>
      <c r="K3709" s="3">
        <v>3</v>
      </c>
      <c r="L3709" s="1">
        <f t="shared" si="171"/>
        <v>48.0246</v>
      </c>
      <c r="M3709" t="str" cm="1">
        <f t="array" ref="M3709">_xlfn.IFS(B3709&lt;18,"Under 18",B3709 &lt;=25,"18-25",B3709&lt;=35,"26-35",B3709&lt;=45,"36-45",B3709&lt;=60,"46-60",TRUE,"60+")</f>
        <v>36-45</v>
      </c>
      <c r="N3709" t="str">
        <f t="shared" si="172"/>
        <v>Discounted</v>
      </c>
      <c r="O3709" t="str">
        <f t="shared" si="173"/>
        <v>Returning</v>
      </c>
    </row>
    <row r="3710" spans="1:15" x14ac:dyDescent="0.25">
      <c r="A3710">
        <v>3709</v>
      </c>
      <c r="B3710">
        <v>67</v>
      </c>
      <c r="C3710" t="s">
        <v>16</v>
      </c>
      <c r="D3710" t="s">
        <v>27</v>
      </c>
      <c r="E3710" t="s">
        <v>49</v>
      </c>
      <c r="F3710" s="1">
        <v>2033.97</v>
      </c>
      <c r="G3710" t="s">
        <v>14</v>
      </c>
      <c r="H3710" t="s">
        <v>15</v>
      </c>
      <c r="I3710" s="2">
        <v>4.3</v>
      </c>
      <c r="J3710" s="4">
        <v>20</v>
      </c>
      <c r="K3710" s="3">
        <v>5</v>
      </c>
      <c r="L3710" s="1">
        <f t="shared" si="171"/>
        <v>1627.1760000000002</v>
      </c>
      <c r="M3710" t="str" cm="1">
        <f t="array" ref="M3710">_xlfn.IFS(B3710&lt;18,"Under 18",B3710 &lt;=25,"18-25",B3710&lt;=35,"26-35",B3710&lt;=45,"36-45",B3710&lt;=60,"46-60",TRUE,"60+")</f>
        <v>60+</v>
      </c>
      <c r="N3710" t="str">
        <f t="shared" si="172"/>
        <v>Discounted</v>
      </c>
      <c r="O3710" t="str">
        <f t="shared" si="173"/>
        <v>Returning</v>
      </c>
    </row>
    <row r="3711" spans="1:15" x14ac:dyDescent="0.25">
      <c r="A3711">
        <v>3710</v>
      </c>
      <c r="B3711">
        <v>32</v>
      </c>
      <c r="C3711" t="s">
        <v>11</v>
      </c>
      <c r="D3711" t="s">
        <v>29</v>
      </c>
      <c r="E3711" t="s">
        <v>30</v>
      </c>
      <c r="F3711" s="1">
        <v>25.5</v>
      </c>
      <c r="G3711" t="s">
        <v>19</v>
      </c>
      <c r="H3711" t="s">
        <v>15</v>
      </c>
      <c r="I3711" s="2">
        <v>4.3</v>
      </c>
      <c r="J3711" s="4">
        <v>21</v>
      </c>
      <c r="K3711" s="3">
        <v>8</v>
      </c>
      <c r="L3711" s="1">
        <f t="shared" si="171"/>
        <v>20.145</v>
      </c>
      <c r="M3711" t="str" cm="1">
        <f t="array" ref="M3711">_xlfn.IFS(B3711&lt;18,"Under 18",B3711 &lt;=25,"18-25",B3711&lt;=35,"26-35",B3711&lt;=45,"36-45",B3711&lt;=60,"46-60",TRUE,"60+")</f>
        <v>26-35</v>
      </c>
      <c r="N3711" t="str">
        <f t="shared" si="172"/>
        <v>Discounted</v>
      </c>
      <c r="O3711" t="str">
        <f t="shared" si="173"/>
        <v>Returning</v>
      </c>
    </row>
    <row r="3712" spans="1:15" x14ac:dyDescent="0.25">
      <c r="A3712">
        <v>3711</v>
      </c>
      <c r="B3712">
        <v>41</v>
      </c>
      <c r="C3712" t="s">
        <v>11</v>
      </c>
      <c r="D3712" t="s">
        <v>33</v>
      </c>
      <c r="E3712" t="s">
        <v>38</v>
      </c>
      <c r="F3712" s="1">
        <v>194.63</v>
      </c>
      <c r="G3712" t="s">
        <v>14</v>
      </c>
      <c r="H3712" t="s">
        <v>15</v>
      </c>
      <c r="I3712" s="2">
        <v>3.6</v>
      </c>
      <c r="J3712" s="4">
        <v>15</v>
      </c>
      <c r="K3712" s="3">
        <v>5</v>
      </c>
      <c r="L3712" s="1">
        <f t="shared" si="171"/>
        <v>165.43549999999999</v>
      </c>
      <c r="M3712" t="str" cm="1">
        <f t="array" ref="M3712">_xlfn.IFS(B3712&lt;18,"Under 18",B3712 &lt;=25,"18-25",B3712&lt;=35,"26-35",B3712&lt;=45,"36-45",B3712&lt;=60,"46-60",TRUE,"60+")</f>
        <v>36-45</v>
      </c>
      <c r="N3712" t="str">
        <f t="shared" si="172"/>
        <v>Discounted</v>
      </c>
      <c r="O3712" t="str">
        <f t="shared" si="173"/>
        <v>Returning</v>
      </c>
    </row>
    <row r="3713" spans="1:15" x14ac:dyDescent="0.25">
      <c r="A3713">
        <v>3712</v>
      </c>
      <c r="B3713">
        <v>65</v>
      </c>
      <c r="C3713" t="s">
        <v>16</v>
      </c>
      <c r="D3713" t="s">
        <v>25</v>
      </c>
      <c r="E3713" t="s">
        <v>57</v>
      </c>
      <c r="F3713" s="1">
        <v>56.5</v>
      </c>
      <c r="G3713" t="s">
        <v>31</v>
      </c>
      <c r="H3713" t="s">
        <v>15</v>
      </c>
      <c r="I3713" s="2">
        <v>3.4</v>
      </c>
      <c r="J3713" s="4">
        <v>20</v>
      </c>
      <c r="K3713" s="3">
        <v>5</v>
      </c>
      <c r="L3713" s="1">
        <f t="shared" si="171"/>
        <v>45.2</v>
      </c>
      <c r="M3713" t="str" cm="1">
        <f t="array" ref="M3713">_xlfn.IFS(B3713&lt;18,"Under 18",B3713 &lt;=25,"18-25",B3713&lt;=35,"26-35",B3713&lt;=45,"36-45",B3713&lt;=60,"46-60",TRUE,"60+")</f>
        <v>60+</v>
      </c>
      <c r="N3713" t="str">
        <f t="shared" si="172"/>
        <v>Discounted</v>
      </c>
      <c r="O3713" t="str">
        <f t="shared" si="173"/>
        <v>Returning</v>
      </c>
    </row>
    <row r="3714" spans="1:15" x14ac:dyDescent="0.25">
      <c r="A3714">
        <v>3713</v>
      </c>
      <c r="B3714">
        <v>46</v>
      </c>
      <c r="C3714" t="s">
        <v>11</v>
      </c>
      <c r="D3714" t="s">
        <v>12</v>
      </c>
      <c r="E3714" t="s">
        <v>56</v>
      </c>
      <c r="F3714" s="1">
        <v>118.52</v>
      </c>
      <c r="G3714" t="s">
        <v>19</v>
      </c>
      <c r="H3714" t="s">
        <v>15</v>
      </c>
      <c r="I3714" s="2">
        <v>5</v>
      </c>
      <c r="J3714" s="4">
        <v>26</v>
      </c>
      <c r="K3714" s="3">
        <v>8</v>
      </c>
      <c r="L3714" s="1">
        <f t="shared" si="171"/>
        <v>87.704799999999992</v>
      </c>
      <c r="M3714" t="str" cm="1">
        <f t="array" ref="M3714">_xlfn.IFS(B3714&lt;18,"Under 18",B3714 &lt;=25,"18-25",B3714&lt;=35,"26-35",B3714&lt;=45,"36-45",B3714&lt;=60,"46-60",TRUE,"60+")</f>
        <v>46-60</v>
      </c>
      <c r="N3714" t="str">
        <f t="shared" si="172"/>
        <v>Discounted</v>
      </c>
      <c r="O3714" t="str">
        <f t="shared" si="173"/>
        <v>Returning</v>
      </c>
    </row>
    <row r="3715" spans="1:15" x14ac:dyDescent="0.25">
      <c r="A3715">
        <v>3714</v>
      </c>
      <c r="B3715">
        <v>50</v>
      </c>
      <c r="C3715" t="s">
        <v>16</v>
      </c>
      <c r="D3715" t="s">
        <v>25</v>
      </c>
      <c r="E3715" t="s">
        <v>57</v>
      </c>
      <c r="F3715" s="1">
        <v>30.62</v>
      </c>
      <c r="G3715" t="s">
        <v>14</v>
      </c>
      <c r="H3715" t="s">
        <v>15</v>
      </c>
      <c r="I3715" s="2">
        <v>4.2</v>
      </c>
      <c r="J3715" s="4">
        <v>26</v>
      </c>
      <c r="K3715" s="3">
        <v>8</v>
      </c>
      <c r="L3715" s="1">
        <f t="shared" ref="L3715:L3778" si="174">F3715 * (1 - J3715 / 100)</f>
        <v>22.658799999999999</v>
      </c>
      <c r="M3715" t="str" cm="1">
        <f t="array" ref="M3715">_xlfn.IFS(B3715&lt;18,"Under 18",B3715 &lt;=25,"18-25",B3715&lt;=35,"26-35",B3715&lt;=45,"36-45",B3715&lt;=60,"46-60",TRUE,"60+")</f>
        <v>46-60</v>
      </c>
      <c r="N3715" t="str">
        <f t="shared" ref="N3715:N3778" si="175">IF(J3715&gt;0,"Discounted","No Discount")</f>
        <v>Discounted</v>
      </c>
      <c r="O3715" t="str">
        <f t="shared" ref="O3715:O3778" si="176">IF(K3715&gt;0,"Returning","New")</f>
        <v>Returning</v>
      </c>
    </row>
    <row r="3716" spans="1:15" x14ac:dyDescent="0.25">
      <c r="A3716">
        <v>3715</v>
      </c>
      <c r="B3716">
        <v>21</v>
      </c>
      <c r="C3716" t="s">
        <v>11</v>
      </c>
      <c r="D3716" t="s">
        <v>33</v>
      </c>
      <c r="E3716" t="s">
        <v>38</v>
      </c>
      <c r="F3716" s="1">
        <v>225.81</v>
      </c>
      <c r="G3716" t="s">
        <v>24</v>
      </c>
      <c r="H3716" t="s">
        <v>15</v>
      </c>
      <c r="I3716" s="2">
        <v>3.2</v>
      </c>
      <c r="J3716" s="4">
        <v>17</v>
      </c>
      <c r="K3716" s="3">
        <v>6</v>
      </c>
      <c r="L3716" s="1">
        <f t="shared" si="174"/>
        <v>187.42230000000001</v>
      </c>
      <c r="M3716" t="str" cm="1">
        <f t="array" ref="M3716">_xlfn.IFS(B3716&lt;18,"Under 18",B3716 &lt;=25,"18-25",B3716&lt;=35,"26-35",B3716&lt;=45,"36-45",B3716&lt;=60,"46-60",TRUE,"60+")</f>
        <v>18-25</v>
      </c>
      <c r="N3716" t="str">
        <f t="shared" si="175"/>
        <v>Discounted</v>
      </c>
      <c r="O3716" t="str">
        <f t="shared" si="176"/>
        <v>Returning</v>
      </c>
    </row>
    <row r="3717" spans="1:15" x14ac:dyDescent="0.25">
      <c r="A3717">
        <v>3716</v>
      </c>
      <c r="B3717">
        <v>38</v>
      </c>
      <c r="C3717" t="s">
        <v>16</v>
      </c>
      <c r="D3717" t="s">
        <v>20</v>
      </c>
      <c r="E3717" t="s">
        <v>36</v>
      </c>
      <c r="F3717" s="1">
        <v>42.08</v>
      </c>
      <c r="G3717" t="s">
        <v>14</v>
      </c>
      <c r="H3717" t="s">
        <v>37</v>
      </c>
      <c r="I3717" s="2">
        <v>4.0999999999999996</v>
      </c>
      <c r="J3717" s="4">
        <v>6</v>
      </c>
      <c r="K3717" s="3">
        <v>3</v>
      </c>
      <c r="L3717" s="1">
        <f t="shared" si="174"/>
        <v>39.555199999999999</v>
      </c>
      <c r="M3717" t="str" cm="1">
        <f t="array" ref="M3717">_xlfn.IFS(B3717&lt;18,"Under 18",B3717 &lt;=25,"18-25",B3717&lt;=35,"26-35",B3717&lt;=45,"36-45",B3717&lt;=60,"46-60",TRUE,"60+")</f>
        <v>36-45</v>
      </c>
      <c r="N3717" t="str">
        <f t="shared" si="175"/>
        <v>Discounted</v>
      </c>
      <c r="O3717" t="str">
        <f t="shared" si="176"/>
        <v>Returning</v>
      </c>
    </row>
    <row r="3718" spans="1:15" x14ac:dyDescent="0.25">
      <c r="A3718">
        <v>3717</v>
      </c>
      <c r="B3718">
        <v>22</v>
      </c>
      <c r="C3718" t="s">
        <v>16</v>
      </c>
      <c r="D3718" t="s">
        <v>20</v>
      </c>
      <c r="E3718" t="s">
        <v>39</v>
      </c>
      <c r="F3718" s="1">
        <v>78.2</v>
      </c>
      <c r="G3718" t="s">
        <v>19</v>
      </c>
      <c r="H3718" t="s">
        <v>37</v>
      </c>
      <c r="I3718" s="2">
        <v>4.0999999999999996</v>
      </c>
      <c r="J3718" s="4">
        <v>15</v>
      </c>
      <c r="K3718" s="3">
        <v>5</v>
      </c>
      <c r="L3718" s="1">
        <f t="shared" si="174"/>
        <v>66.47</v>
      </c>
      <c r="M3718" t="str" cm="1">
        <f t="array" ref="M3718">_xlfn.IFS(B3718&lt;18,"Under 18",B3718 &lt;=25,"18-25",B3718&lt;=35,"26-35",B3718&lt;=45,"36-45",B3718&lt;=60,"46-60",TRUE,"60+")</f>
        <v>18-25</v>
      </c>
      <c r="N3718" t="str">
        <f t="shared" si="175"/>
        <v>Discounted</v>
      </c>
      <c r="O3718" t="str">
        <f t="shared" si="176"/>
        <v>Returning</v>
      </c>
    </row>
    <row r="3719" spans="1:15" x14ac:dyDescent="0.25">
      <c r="A3719">
        <v>3718</v>
      </c>
      <c r="B3719">
        <v>51</v>
      </c>
      <c r="C3719" t="s">
        <v>16</v>
      </c>
      <c r="D3719" t="s">
        <v>20</v>
      </c>
      <c r="E3719" t="s">
        <v>36</v>
      </c>
      <c r="F3719" s="1">
        <v>238.8</v>
      </c>
      <c r="G3719" t="s">
        <v>24</v>
      </c>
      <c r="H3719" t="s">
        <v>15</v>
      </c>
      <c r="I3719" s="2">
        <v>3.2</v>
      </c>
      <c r="J3719" s="4">
        <v>10</v>
      </c>
      <c r="K3719" s="3">
        <v>5</v>
      </c>
      <c r="L3719" s="1">
        <f t="shared" si="174"/>
        <v>214.92000000000002</v>
      </c>
      <c r="M3719" t="str" cm="1">
        <f t="array" ref="M3719">_xlfn.IFS(B3719&lt;18,"Under 18",B3719 &lt;=25,"18-25",B3719&lt;=35,"26-35",B3719&lt;=45,"36-45",B3719&lt;=60,"46-60",TRUE,"60+")</f>
        <v>46-60</v>
      </c>
      <c r="N3719" t="str">
        <f t="shared" si="175"/>
        <v>Discounted</v>
      </c>
      <c r="O3719" t="str">
        <f t="shared" si="176"/>
        <v>Returning</v>
      </c>
    </row>
    <row r="3720" spans="1:15" x14ac:dyDescent="0.25">
      <c r="A3720">
        <v>3719</v>
      </c>
      <c r="B3720">
        <v>29</v>
      </c>
      <c r="C3720" t="s">
        <v>11</v>
      </c>
      <c r="D3720" t="s">
        <v>33</v>
      </c>
      <c r="E3720" t="s">
        <v>34</v>
      </c>
      <c r="F3720" s="1">
        <v>232.13</v>
      </c>
      <c r="G3720" t="s">
        <v>14</v>
      </c>
      <c r="H3720" t="s">
        <v>15</v>
      </c>
      <c r="I3720" s="2">
        <v>3.8</v>
      </c>
      <c r="J3720" s="4">
        <v>16</v>
      </c>
      <c r="K3720" s="3">
        <v>8</v>
      </c>
      <c r="L3720" s="1">
        <f t="shared" si="174"/>
        <v>194.98919999999998</v>
      </c>
      <c r="M3720" t="str" cm="1">
        <f t="array" ref="M3720">_xlfn.IFS(B3720&lt;18,"Under 18",B3720 &lt;=25,"18-25",B3720&lt;=35,"26-35",B3720&lt;=45,"36-45",B3720&lt;=60,"46-60",TRUE,"60+")</f>
        <v>26-35</v>
      </c>
      <c r="N3720" t="str">
        <f t="shared" si="175"/>
        <v>Discounted</v>
      </c>
      <c r="O3720" t="str">
        <f t="shared" si="176"/>
        <v>Returning</v>
      </c>
    </row>
    <row r="3721" spans="1:15" x14ac:dyDescent="0.25">
      <c r="A3721">
        <v>3720</v>
      </c>
      <c r="B3721">
        <v>43</v>
      </c>
      <c r="C3721" t="s">
        <v>16</v>
      </c>
      <c r="D3721" t="s">
        <v>17</v>
      </c>
      <c r="E3721" t="s">
        <v>18</v>
      </c>
      <c r="F3721" s="1">
        <v>63.05</v>
      </c>
      <c r="G3721" t="s">
        <v>24</v>
      </c>
      <c r="H3721" t="s">
        <v>15</v>
      </c>
      <c r="I3721" s="2">
        <v>3.6</v>
      </c>
      <c r="J3721" s="4">
        <v>9</v>
      </c>
      <c r="K3721" s="3">
        <v>2</v>
      </c>
      <c r="L3721" s="1">
        <f t="shared" si="174"/>
        <v>57.375500000000002</v>
      </c>
      <c r="M3721" t="str" cm="1">
        <f t="array" ref="M3721">_xlfn.IFS(B3721&lt;18,"Under 18",B3721 &lt;=25,"18-25",B3721&lt;=35,"26-35",B3721&lt;=45,"36-45",B3721&lt;=60,"46-60",TRUE,"60+")</f>
        <v>36-45</v>
      </c>
      <c r="N3721" t="str">
        <f t="shared" si="175"/>
        <v>Discounted</v>
      </c>
      <c r="O3721" t="str">
        <f t="shared" si="176"/>
        <v>Returning</v>
      </c>
    </row>
    <row r="3722" spans="1:15" x14ac:dyDescent="0.25">
      <c r="A3722">
        <v>3721</v>
      </c>
      <c r="B3722">
        <v>58</v>
      </c>
      <c r="C3722" t="s">
        <v>16</v>
      </c>
      <c r="D3722" t="s">
        <v>20</v>
      </c>
      <c r="E3722" t="s">
        <v>21</v>
      </c>
      <c r="F3722" s="1">
        <v>103.55</v>
      </c>
      <c r="G3722" t="s">
        <v>14</v>
      </c>
      <c r="H3722" t="s">
        <v>15</v>
      </c>
      <c r="I3722" s="2">
        <v>3.3</v>
      </c>
      <c r="J3722" s="4">
        <v>11</v>
      </c>
      <c r="K3722" s="3">
        <v>3</v>
      </c>
      <c r="L3722" s="1">
        <f t="shared" si="174"/>
        <v>92.159499999999994</v>
      </c>
      <c r="M3722" t="str" cm="1">
        <f t="array" ref="M3722">_xlfn.IFS(B3722&lt;18,"Under 18",B3722 &lt;=25,"18-25",B3722&lt;=35,"26-35",B3722&lt;=45,"36-45",B3722&lt;=60,"46-60",TRUE,"60+")</f>
        <v>46-60</v>
      </c>
      <c r="N3722" t="str">
        <f t="shared" si="175"/>
        <v>Discounted</v>
      </c>
      <c r="O3722" t="str">
        <f t="shared" si="176"/>
        <v>Returning</v>
      </c>
    </row>
    <row r="3723" spans="1:15" x14ac:dyDescent="0.25">
      <c r="A3723">
        <v>3722</v>
      </c>
      <c r="B3723">
        <v>62</v>
      </c>
      <c r="C3723" t="s">
        <v>16</v>
      </c>
      <c r="D3723" t="s">
        <v>25</v>
      </c>
      <c r="E3723" t="s">
        <v>54</v>
      </c>
      <c r="F3723" s="1">
        <v>21.14</v>
      </c>
      <c r="G3723" t="s">
        <v>14</v>
      </c>
      <c r="H3723" t="s">
        <v>37</v>
      </c>
      <c r="I3723" s="2">
        <v>4.0999999999999996</v>
      </c>
      <c r="J3723" s="4">
        <v>11</v>
      </c>
      <c r="K3723" s="3">
        <v>3</v>
      </c>
      <c r="L3723" s="1">
        <f t="shared" si="174"/>
        <v>18.814600000000002</v>
      </c>
      <c r="M3723" t="str" cm="1">
        <f t="array" ref="M3723">_xlfn.IFS(B3723&lt;18,"Under 18",B3723 &lt;=25,"18-25",B3723&lt;=35,"26-35",B3723&lt;=45,"36-45",B3723&lt;=60,"46-60",TRUE,"60+")</f>
        <v>60+</v>
      </c>
      <c r="N3723" t="str">
        <f t="shared" si="175"/>
        <v>Discounted</v>
      </c>
      <c r="O3723" t="str">
        <f t="shared" si="176"/>
        <v>Returning</v>
      </c>
    </row>
    <row r="3724" spans="1:15" x14ac:dyDescent="0.25">
      <c r="A3724">
        <v>3723</v>
      </c>
      <c r="B3724">
        <v>69</v>
      </c>
      <c r="C3724" t="s">
        <v>11</v>
      </c>
      <c r="D3724" t="s">
        <v>12</v>
      </c>
      <c r="E3724" t="s">
        <v>50</v>
      </c>
      <c r="F3724" s="1">
        <v>175.97</v>
      </c>
      <c r="G3724" t="s">
        <v>24</v>
      </c>
      <c r="H3724" t="s">
        <v>15</v>
      </c>
      <c r="I3724" s="2">
        <v>3.4</v>
      </c>
      <c r="J3724" s="4">
        <v>8</v>
      </c>
      <c r="K3724" s="3">
        <v>4</v>
      </c>
      <c r="L3724" s="1">
        <f t="shared" si="174"/>
        <v>161.89240000000001</v>
      </c>
      <c r="M3724" t="str" cm="1">
        <f t="array" ref="M3724">_xlfn.IFS(B3724&lt;18,"Under 18",B3724 &lt;=25,"18-25",B3724&lt;=35,"26-35",B3724&lt;=45,"36-45",B3724&lt;=60,"46-60",TRUE,"60+")</f>
        <v>60+</v>
      </c>
      <c r="N3724" t="str">
        <f t="shared" si="175"/>
        <v>Discounted</v>
      </c>
      <c r="O3724" t="str">
        <f t="shared" si="176"/>
        <v>Returning</v>
      </c>
    </row>
    <row r="3725" spans="1:15" x14ac:dyDescent="0.25">
      <c r="A3725">
        <v>3724</v>
      </c>
      <c r="B3725">
        <v>37</v>
      </c>
      <c r="C3725" t="s">
        <v>11</v>
      </c>
      <c r="D3725" t="s">
        <v>12</v>
      </c>
      <c r="E3725" t="s">
        <v>50</v>
      </c>
      <c r="F3725" s="1">
        <v>175.84</v>
      </c>
      <c r="G3725" t="s">
        <v>19</v>
      </c>
      <c r="H3725" t="s">
        <v>15</v>
      </c>
      <c r="I3725" s="2">
        <v>3.9</v>
      </c>
      <c r="J3725" s="4">
        <v>15</v>
      </c>
      <c r="K3725" s="3">
        <v>5</v>
      </c>
      <c r="L3725" s="1">
        <f t="shared" si="174"/>
        <v>149.464</v>
      </c>
      <c r="M3725" t="str" cm="1">
        <f t="array" ref="M3725">_xlfn.IFS(B3725&lt;18,"Under 18",B3725 &lt;=25,"18-25",B3725&lt;=35,"26-35",B3725&lt;=45,"36-45",B3725&lt;=60,"46-60",TRUE,"60+")</f>
        <v>36-45</v>
      </c>
      <c r="N3725" t="str">
        <f t="shared" si="175"/>
        <v>Discounted</v>
      </c>
      <c r="O3725" t="str">
        <f t="shared" si="176"/>
        <v>Returning</v>
      </c>
    </row>
    <row r="3726" spans="1:15" x14ac:dyDescent="0.25">
      <c r="A3726">
        <v>3725</v>
      </c>
      <c r="B3726">
        <v>44</v>
      </c>
      <c r="C3726" t="s">
        <v>16</v>
      </c>
      <c r="D3726" t="s">
        <v>33</v>
      </c>
      <c r="E3726" t="s">
        <v>38</v>
      </c>
      <c r="F3726" s="1">
        <v>199.68</v>
      </c>
      <c r="G3726" t="s">
        <v>31</v>
      </c>
      <c r="H3726" t="s">
        <v>15</v>
      </c>
      <c r="I3726" s="2">
        <v>4.5999999999999996</v>
      </c>
      <c r="J3726" s="4">
        <v>12</v>
      </c>
      <c r="K3726" s="3">
        <v>6</v>
      </c>
      <c r="L3726" s="1">
        <f t="shared" si="174"/>
        <v>175.7184</v>
      </c>
      <c r="M3726" t="str" cm="1">
        <f t="array" ref="M3726">_xlfn.IFS(B3726&lt;18,"Under 18",B3726 &lt;=25,"18-25",B3726&lt;=35,"26-35",B3726&lt;=45,"36-45",B3726&lt;=60,"46-60",TRUE,"60+")</f>
        <v>36-45</v>
      </c>
      <c r="N3726" t="str">
        <f t="shared" si="175"/>
        <v>Discounted</v>
      </c>
      <c r="O3726" t="str">
        <f t="shared" si="176"/>
        <v>Returning</v>
      </c>
    </row>
    <row r="3727" spans="1:15" x14ac:dyDescent="0.25">
      <c r="A3727">
        <v>3726</v>
      </c>
      <c r="B3727">
        <v>56</v>
      </c>
      <c r="C3727" t="s">
        <v>11</v>
      </c>
      <c r="D3727" t="s">
        <v>12</v>
      </c>
      <c r="E3727" t="s">
        <v>56</v>
      </c>
      <c r="F3727" s="1">
        <v>121.61</v>
      </c>
      <c r="G3727" t="s">
        <v>24</v>
      </c>
      <c r="H3727" t="s">
        <v>15</v>
      </c>
      <c r="I3727" s="2">
        <v>3.8</v>
      </c>
      <c r="J3727" s="4">
        <v>8</v>
      </c>
      <c r="K3727" s="3">
        <v>4</v>
      </c>
      <c r="L3727" s="1">
        <f t="shared" si="174"/>
        <v>111.88120000000001</v>
      </c>
      <c r="M3727" t="str" cm="1">
        <f t="array" ref="M3727">_xlfn.IFS(B3727&lt;18,"Under 18",B3727 &lt;=25,"18-25",B3727&lt;=35,"26-35",B3727&lt;=45,"36-45",B3727&lt;=60,"46-60",TRUE,"60+")</f>
        <v>46-60</v>
      </c>
      <c r="N3727" t="str">
        <f t="shared" si="175"/>
        <v>Discounted</v>
      </c>
      <c r="O3727" t="str">
        <f t="shared" si="176"/>
        <v>Returning</v>
      </c>
    </row>
    <row r="3728" spans="1:15" x14ac:dyDescent="0.25">
      <c r="A3728">
        <v>3727</v>
      </c>
      <c r="B3728">
        <v>35</v>
      </c>
      <c r="C3728" t="s">
        <v>16</v>
      </c>
      <c r="D3728" t="s">
        <v>27</v>
      </c>
      <c r="E3728" t="s">
        <v>32</v>
      </c>
      <c r="F3728" s="1">
        <v>2019.58</v>
      </c>
      <c r="G3728" t="s">
        <v>14</v>
      </c>
      <c r="H3728" t="s">
        <v>15</v>
      </c>
      <c r="I3728" s="2">
        <v>3</v>
      </c>
      <c r="J3728" s="4">
        <v>17</v>
      </c>
      <c r="K3728" s="3">
        <v>6</v>
      </c>
      <c r="L3728" s="1">
        <f t="shared" si="174"/>
        <v>1676.2513999999999</v>
      </c>
      <c r="M3728" t="str" cm="1">
        <f t="array" ref="M3728">_xlfn.IFS(B3728&lt;18,"Under 18",B3728 &lt;=25,"18-25",B3728&lt;=35,"26-35",B3728&lt;=45,"36-45",B3728&lt;=60,"46-60",TRUE,"60+")</f>
        <v>26-35</v>
      </c>
      <c r="N3728" t="str">
        <f t="shared" si="175"/>
        <v>Discounted</v>
      </c>
      <c r="O3728" t="str">
        <f t="shared" si="176"/>
        <v>Returning</v>
      </c>
    </row>
    <row r="3729" spans="1:15" x14ac:dyDescent="0.25">
      <c r="A3729">
        <v>3728</v>
      </c>
      <c r="B3729">
        <v>35</v>
      </c>
      <c r="C3729" t="s">
        <v>11</v>
      </c>
      <c r="D3729" t="s">
        <v>29</v>
      </c>
      <c r="E3729" t="s">
        <v>55</v>
      </c>
      <c r="F3729" s="1">
        <v>53.04</v>
      </c>
      <c r="G3729" t="s">
        <v>19</v>
      </c>
      <c r="H3729" t="s">
        <v>15</v>
      </c>
      <c r="I3729" s="2">
        <v>3.5</v>
      </c>
      <c r="J3729" s="4">
        <v>20</v>
      </c>
      <c r="K3729" s="3">
        <v>5</v>
      </c>
      <c r="L3729" s="1">
        <f t="shared" si="174"/>
        <v>42.432000000000002</v>
      </c>
      <c r="M3729" t="str" cm="1">
        <f t="array" ref="M3729">_xlfn.IFS(B3729&lt;18,"Under 18",B3729 &lt;=25,"18-25",B3729&lt;=35,"26-35",B3729&lt;=45,"36-45",B3729&lt;=60,"46-60",TRUE,"60+")</f>
        <v>26-35</v>
      </c>
      <c r="N3729" t="str">
        <f t="shared" si="175"/>
        <v>Discounted</v>
      </c>
      <c r="O3729" t="str">
        <f t="shared" si="176"/>
        <v>Returning</v>
      </c>
    </row>
    <row r="3730" spans="1:15" x14ac:dyDescent="0.25">
      <c r="A3730">
        <v>3729</v>
      </c>
      <c r="B3730">
        <v>62</v>
      </c>
      <c r="C3730" t="s">
        <v>11</v>
      </c>
      <c r="D3730" t="s">
        <v>41</v>
      </c>
      <c r="E3730" t="s">
        <v>45</v>
      </c>
      <c r="F3730" s="1">
        <v>149.16</v>
      </c>
      <c r="G3730" t="s">
        <v>14</v>
      </c>
      <c r="H3730" t="s">
        <v>15</v>
      </c>
      <c r="I3730" s="2">
        <v>3.5</v>
      </c>
      <c r="J3730" s="4">
        <v>20</v>
      </c>
      <c r="K3730" s="3">
        <v>5</v>
      </c>
      <c r="L3730" s="1">
        <f t="shared" si="174"/>
        <v>119.328</v>
      </c>
      <c r="M3730" t="str" cm="1">
        <f t="array" ref="M3730">_xlfn.IFS(B3730&lt;18,"Under 18",B3730 &lt;=25,"18-25",B3730&lt;=35,"26-35",B3730&lt;=45,"36-45",B3730&lt;=60,"46-60",TRUE,"60+")</f>
        <v>60+</v>
      </c>
      <c r="N3730" t="str">
        <f t="shared" si="175"/>
        <v>Discounted</v>
      </c>
      <c r="O3730" t="str">
        <f t="shared" si="176"/>
        <v>Returning</v>
      </c>
    </row>
    <row r="3731" spans="1:15" x14ac:dyDescent="0.25">
      <c r="A3731">
        <v>3730</v>
      </c>
      <c r="B3731">
        <v>48</v>
      </c>
      <c r="C3731" t="s">
        <v>11</v>
      </c>
      <c r="D3731" t="s">
        <v>33</v>
      </c>
      <c r="E3731" t="s">
        <v>38</v>
      </c>
      <c r="F3731" s="1">
        <v>165.93</v>
      </c>
      <c r="G3731" t="s">
        <v>14</v>
      </c>
      <c r="H3731" t="s">
        <v>15</v>
      </c>
      <c r="I3731" s="2">
        <v>3</v>
      </c>
      <c r="J3731" s="4">
        <v>16</v>
      </c>
      <c r="K3731" s="3">
        <v>3</v>
      </c>
      <c r="L3731" s="1">
        <f t="shared" si="174"/>
        <v>139.38120000000001</v>
      </c>
      <c r="M3731" t="str" cm="1">
        <f t="array" ref="M3731">_xlfn.IFS(B3731&lt;18,"Under 18",B3731 &lt;=25,"18-25",B3731&lt;=35,"26-35",B3731&lt;=45,"36-45",B3731&lt;=60,"46-60",TRUE,"60+")</f>
        <v>46-60</v>
      </c>
      <c r="N3731" t="str">
        <f t="shared" si="175"/>
        <v>Discounted</v>
      </c>
      <c r="O3731" t="str">
        <f t="shared" si="176"/>
        <v>Returning</v>
      </c>
    </row>
    <row r="3732" spans="1:15" x14ac:dyDescent="0.25">
      <c r="A3732">
        <v>3731</v>
      </c>
      <c r="B3732">
        <v>38</v>
      </c>
      <c r="C3732" t="s">
        <v>11</v>
      </c>
      <c r="D3732" t="s">
        <v>33</v>
      </c>
      <c r="E3732" t="s">
        <v>38</v>
      </c>
      <c r="F3732" s="1">
        <v>138.47</v>
      </c>
      <c r="G3732" t="s">
        <v>14</v>
      </c>
      <c r="H3732" t="s">
        <v>15</v>
      </c>
      <c r="I3732" s="2">
        <v>4.0999999999999996</v>
      </c>
      <c r="J3732" s="4">
        <v>20</v>
      </c>
      <c r="K3732" s="3">
        <v>5</v>
      </c>
      <c r="L3732" s="1">
        <f t="shared" si="174"/>
        <v>110.77600000000001</v>
      </c>
      <c r="M3732" t="str" cm="1">
        <f t="array" ref="M3732">_xlfn.IFS(B3732&lt;18,"Under 18",B3732 &lt;=25,"18-25",B3732&lt;=35,"26-35",B3732&lt;=45,"36-45",B3732&lt;=60,"46-60",TRUE,"60+")</f>
        <v>36-45</v>
      </c>
      <c r="N3732" t="str">
        <f t="shared" si="175"/>
        <v>Discounted</v>
      </c>
      <c r="O3732" t="str">
        <f t="shared" si="176"/>
        <v>Returning</v>
      </c>
    </row>
    <row r="3733" spans="1:15" x14ac:dyDescent="0.25">
      <c r="A3733">
        <v>3732</v>
      </c>
      <c r="B3733">
        <v>49</v>
      </c>
      <c r="C3733" t="s">
        <v>11</v>
      </c>
      <c r="D3733" t="s">
        <v>41</v>
      </c>
      <c r="E3733" t="s">
        <v>42</v>
      </c>
      <c r="F3733" s="1">
        <v>61.75</v>
      </c>
      <c r="G3733" t="s">
        <v>31</v>
      </c>
      <c r="H3733" t="s">
        <v>37</v>
      </c>
      <c r="I3733" s="2">
        <v>2.9</v>
      </c>
      <c r="J3733" s="4">
        <v>4</v>
      </c>
      <c r="K3733" s="3">
        <v>2</v>
      </c>
      <c r="L3733" s="1">
        <f t="shared" si="174"/>
        <v>59.28</v>
      </c>
      <c r="M3733" t="str" cm="1">
        <f t="array" ref="M3733">_xlfn.IFS(B3733&lt;18,"Under 18",B3733 &lt;=25,"18-25",B3733&lt;=35,"26-35",B3733&lt;=45,"36-45",B3733&lt;=60,"46-60",TRUE,"60+")</f>
        <v>46-60</v>
      </c>
      <c r="N3733" t="str">
        <f t="shared" si="175"/>
        <v>Discounted</v>
      </c>
      <c r="O3733" t="str">
        <f t="shared" si="176"/>
        <v>Returning</v>
      </c>
    </row>
    <row r="3734" spans="1:15" x14ac:dyDescent="0.25">
      <c r="A3734">
        <v>3733</v>
      </c>
      <c r="B3734">
        <v>25</v>
      </c>
      <c r="C3734" t="s">
        <v>16</v>
      </c>
      <c r="D3734" t="s">
        <v>17</v>
      </c>
      <c r="E3734" t="s">
        <v>35</v>
      </c>
      <c r="F3734" s="1">
        <v>186.83</v>
      </c>
      <c r="G3734" t="s">
        <v>31</v>
      </c>
      <c r="H3734" t="s">
        <v>15</v>
      </c>
      <c r="I3734" s="2">
        <v>3.3</v>
      </c>
      <c r="J3734" s="4">
        <v>20</v>
      </c>
      <c r="K3734" s="3">
        <v>5</v>
      </c>
      <c r="L3734" s="1">
        <f t="shared" si="174"/>
        <v>149.46400000000003</v>
      </c>
      <c r="M3734" t="str" cm="1">
        <f t="array" ref="M3734">_xlfn.IFS(B3734&lt;18,"Under 18",B3734 &lt;=25,"18-25",B3734&lt;=35,"26-35",B3734&lt;=45,"36-45",B3734&lt;=60,"46-60",TRUE,"60+")</f>
        <v>18-25</v>
      </c>
      <c r="N3734" t="str">
        <f t="shared" si="175"/>
        <v>Discounted</v>
      </c>
      <c r="O3734" t="str">
        <f t="shared" si="176"/>
        <v>Returning</v>
      </c>
    </row>
    <row r="3735" spans="1:15" x14ac:dyDescent="0.25">
      <c r="A3735">
        <v>3734</v>
      </c>
      <c r="B3735">
        <v>32</v>
      </c>
      <c r="C3735" t="s">
        <v>11</v>
      </c>
      <c r="D3735" t="s">
        <v>22</v>
      </c>
      <c r="E3735" t="s">
        <v>43</v>
      </c>
      <c r="F3735" s="1">
        <v>161.13</v>
      </c>
      <c r="G3735" t="s">
        <v>14</v>
      </c>
      <c r="H3735" t="s">
        <v>15</v>
      </c>
      <c r="I3735" s="2">
        <v>4.5999999999999996</v>
      </c>
      <c r="J3735" s="4">
        <v>24</v>
      </c>
      <c r="K3735" s="3">
        <v>7</v>
      </c>
      <c r="L3735" s="1">
        <f t="shared" si="174"/>
        <v>122.4588</v>
      </c>
      <c r="M3735" t="str" cm="1">
        <f t="array" ref="M3735">_xlfn.IFS(B3735&lt;18,"Under 18",B3735 &lt;=25,"18-25",B3735&lt;=35,"26-35",B3735&lt;=45,"36-45",B3735&lt;=60,"46-60",TRUE,"60+")</f>
        <v>26-35</v>
      </c>
      <c r="N3735" t="str">
        <f t="shared" si="175"/>
        <v>Discounted</v>
      </c>
      <c r="O3735" t="str">
        <f t="shared" si="176"/>
        <v>Returning</v>
      </c>
    </row>
    <row r="3736" spans="1:15" x14ac:dyDescent="0.25">
      <c r="A3736">
        <v>3735</v>
      </c>
      <c r="B3736">
        <v>24</v>
      </c>
      <c r="C3736" t="s">
        <v>11</v>
      </c>
      <c r="D3736" t="s">
        <v>25</v>
      </c>
      <c r="E3736" t="s">
        <v>26</v>
      </c>
      <c r="F3736" s="1">
        <v>34.75</v>
      </c>
      <c r="G3736" t="s">
        <v>24</v>
      </c>
      <c r="H3736" t="s">
        <v>37</v>
      </c>
      <c r="I3736" s="2">
        <v>3.1</v>
      </c>
      <c r="J3736" s="4">
        <v>20</v>
      </c>
      <c r="K3736" s="3">
        <v>5</v>
      </c>
      <c r="L3736" s="1">
        <f t="shared" si="174"/>
        <v>27.8</v>
      </c>
      <c r="M3736" t="str" cm="1">
        <f t="array" ref="M3736">_xlfn.IFS(B3736&lt;18,"Under 18",B3736 &lt;=25,"18-25",B3736&lt;=35,"26-35",B3736&lt;=45,"36-45",B3736&lt;=60,"46-60",TRUE,"60+")</f>
        <v>18-25</v>
      </c>
      <c r="N3736" t="str">
        <f t="shared" si="175"/>
        <v>Discounted</v>
      </c>
      <c r="O3736" t="str">
        <f t="shared" si="176"/>
        <v>Returning</v>
      </c>
    </row>
    <row r="3737" spans="1:15" x14ac:dyDescent="0.25">
      <c r="A3737">
        <v>3736</v>
      </c>
      <c r="B3737">
        <v>52</v>
      </c>
      <c r="C3737" t="s">
        <v>16</v>
      </c>
      <c r="D3737" t="s">
        <v>20</v>
      </c>
      <c r="E3737" t="s">
        <v>39</v>
      </c>
      <c r="F3737" s="1">
        <v>40.54</v>
      </c>
      <c r="G3737" t="s">
        <v>14</v>
      </c>
      <c r="H3737" t="s">
        <v>15</v>
      </c>
      <c r="I3737" s="2">
        <v>5</v>
      </c>
      <c r="J3737" s="4">
        <v>15</v>
      </c>
      <c r="K3737" s="3">
        <v>5</v>
      </c>
      <c r="L3737" s="1">
        <f t="shared" si="174"/>
        <v>34.458999999999996</v>
      </c>
      <c r="M3737" t="str" cm="1">
        <f t="array" ref="M3737">_xlfn.IFS(B3737&lt;18,"Under 18",B3737 &lt;=25,"18-25",B3737&lt;=35,"26-35",B3737&lt;=45,"36-45",B3737&lt;=60,"46-60",TRUE,"60+")</f>
        <v>46-60</v>
      </c>
      <c r="N3737" t="str">
        <f t="shared" si="175"/>
        <v>Discounted</v>
      </c>
      <c r="O3737" t="str">
        <f t="shared" si="176"/>
        <v>Returning</v>
      </c>
    </row>
    <row r="3738" spans="1:15" x14ac:dyDescent="0.25">
      <c r="A3738">
        <v>3737</v>
      </c>
      <c r="B3738">
        <v>38</v>
      </c>
      <c r="C3738" t="s">
        <v>16</v>
      </c>
      <c r="D3738" t="s">
        <v>17</v>
      </c>
      <c r="E3738" t="s">
        <v>35</v>
      </c>
      <c r="F3738" s="1">
        <v>156.15</v>
      </c>
      <c r="G3738" t="s">
        <v>24</v>
      </c>
      <c r="H3738" t="s">
        <v>15</v>
      </c>
      <c r="I3738" s="2">
        <v>4.9000000000000004</v>
      </c>
      <c r="J3738" s="4">
        <v>18</v>
      </c>
      <c r="K3738" s="3">
        <v>4</v>
      </c>
      <c r="L3738" s="1">
        <f t="shared" si="174"/>
        <v>128.04300000000001</v>
      </c>
      <c r="M3738" t="str" cm="1">
        <f t="array" ref="M3738">_xlfn.IFS(B3738&lt;18,"Under 18",B3738 &lt;=25,"18-25",B3738&lt;=35,"26-35",B3738&lt;=45,"36-45",B3738&lt;=60,"46-60",TRUE,"60+")</f>
        <v>36-45</v>
      </c>
      <c r="N3738" t="str">
        <f t="shared" si="175"/>
        <v>Discounted</v>
      </c>
      <c r="O3738" t="str">
        <f t="shared" si="176"/>
        <v>Returning</v>
      </c>
    </row>
    <row r="3739" spans="1:15" x14ac:dyDescent="0.25">
      <c r="A3739">
        <v>3738</v>
      </c>
      <c r="B3739">
        <v>30</v>
      </c>
      <c r="C3739" t="s">
        <v>11</v>
      </c>
      <c r="D3739" t="s">
        <v>41</v>
      </c>
      <c r="E3739" t="s">
        <v>45</v>
      </c>
      <c r="F3739" s="1">
        <v>53.27</v>
      </c>
      <c r="G3739" t="s">
        <v>14</v>
      </c>
      <c r="H3739" t="s">
        <v>37</v>
      </c>
      <c r="I3739" s="2">
        <v>3.2</v>
      </c>
      <c r="J3739" s="4">
        <v>22</v>
      </c>
      <c r="K3739" s="3">
        <v>6</v>
      </c>
      <c r="L3739" s="1">
        <f t="shared" si="174"/>
        <v>41.550600000000003</v>
      </c>
      <c r="M3739" t="str" cm="1">
        <f t="array" ref="M3739">_xlfn.IFS(B3739&lt;18,"Under 18",B3739 &lt;=25,"18-25",B3739&lt;=35,"26-35",B3739&lt;=45,"36-45",B3739&lt;=60,"46-60",TRUE,"60+")</f>
        <v>26-35</v>
      </c>
      <c r="N3739" t="str">
        <f t="shared" si="175"/>
        <v>Discounted</v>
      </c>
      <c r="O3739" t="str">
        <f t="shared" si="176"/>
        <v>Returning</v>
      </c>
    </row>
    <row r="3740" spans="1:15" x14ac:dyDescent="0.25">
      <c r="A3740">
        <v>3739</v>
      </c>
      <c r="B3740">
        <v>70</v>
      </c>
      <c r="C3740" t="s">
        <v>11</v>
      </c>
      <c r="D3740" t="s">
        <v>41</v>
      </c>
      <c r="E3740" t="s">
        <v>44</v>
      </c>
      <c r="F3740" s="1">
        <v>90.81</v>
      </c>
      <c r="G3740" t="s">
        <v>19</v>
      </c>
      <c r="H3740" t="s">
        <v>37</v>
      </c>
      <c r="I3740" s="2">
        <v>4</v>
      </c>
      <c r="J3740" s="4">
        <v>8</v>
      </c>
      <c r="K3740" s="3">
        <v>4</v>
      </c>
      <c r="L3740" s="1">
        <f t="shared" si="174"/>
        <v>83.545200000000008</v>
      </c>
      <c r="M3740" t="str" cm="1">
        <f t="array" ref="M3740">_xlfn.IFS(B3740&lt;18,"Under 18",B3740 &lt;=25,"18-25",B3740&lt;=35,"26-35",B3740&lt;=45,"36-45",B3740&lt;=60,"46-60",TRUE,"60+")</f>
        <v>60+</v>
      </c>
      <c r="N3740" t="str">
        <f t="shared" si="175"/>
        <v>Discounted</v>
      </c>
      <c r="O3740" t="str">
        <f t="shared" si="176"/>
        <v>Returning</v>
      </c>
    </row>
    <row r="3741" spans="1:15" x14ac:dyDescent="0.25">
      <c r="A3741">
        <v>3740</v>
      </c>
      <c r="B3741">
        <v>23</v>
      </c>
      <c r="C3741" t="s">
        <v>11</v>
      </c>
      <c r="D3741" t="s">
        <v>41</v>
      </c>
      <c r="E3741" t="s">
        <v>45</v>
      </c>
      <c r="F3741" s="1">
        <v>101.78</v>
      </c>
      <c r="G3741" t="s">
        <v>24</v>
      </c>
      <c r="H3741" t="s">
        <v>15</v>
      </c>
      <c r="I3741" s="2">
        <v>2.4</v>
      </c>
      <c r="J3741" s="4">
        <v>16</v>
      </c>
      <c r="K3741" s="3">
        <v>3</v>
      </c>
      <c r="L3741" s="1">
        <f t="shared" si="174"/>
        <v>85.495199999999997</v>
      </c>
      <c r="M3741" t="str" cm="1">
        <f t="array" ref="M3741">_xlfn.IFS(B3741&lt;18,"Under 18",B3741 &lt;=25,"18-25",B3741&lt;=35,"26-35",B3741&lt;=45,"36-45",B3741&lt;=60,"46-60",TRUE,"60+")</f>
        <v>18-25</v>
      </c>
      <c r="N3741" t="str">
        <f t="shared" si="175"/>
        <v>Discounted</v>
      </c>
      <c r="O3741" t="str">
        <f t="shared" si="176"/>
        <v>Returning</v>
      </c>
    </row>
    <row r="3742" spans="1:15" x14ac:dyDescent="0.25">
      <c r="A3742">
        <v>3741</v>
      </c>
      <c r="B3742">
        <v>52</v>
      </c>
      <c r="C3742" t="s">
        <v>16</v>
      </c>
      <c r="D3742" t="s">
        <v>33</v>
      </c>
      <c r="E3742" t="s">
        <v>34</v>
      </c>
      <c r="F3742" s="1">
        <v>83.51</v>
      </c>
      <c r="G3742" t="s">
        <v>14</v>
      </c>
      <c r="H3742" t="s">
        <v>15</v>
      </c>
      <c r="I3742" s="2">
        <v>3.5</v>
      </c>
      <c r="J3742" s="4">
        <v>15</v>
      </c>
      <c r="K3742" s="3">
        <v>5</v>
      </c>
      <c r="L3742" s="1">
        <f t="shared" si="174"/>
        <v>70.983500000000006</v>
      </c>
      <c r="M3742" t="str" cm="1">
        <f t="array" ref="M3742">_xlfn.IFS(B3742&lt;18,"Under 18",B3742 &lt;=25,"18-25",B3742&lt;=35,"26-35",B3742&lt;=45,"36-45",B3742&lt;=60,"46-60",TRUE,"60+")</f>
        <v>46-60</v>
      </c>
      <c r="N3742" t="str">
        <f t="shared" si="175"/>
        <v>Discounted</v>
      </c>
      <c r="O3742" t="str">
        <f t="shared" si="176"/>
        <v>Returning</v>
      </c>
    </row>
    <row r="3743" spans="1:15" x14ac:dyDescent="0.25">
      <c r="A3743">
        <v>3742</v>
      </c>
      <c r="B3743">
        <v>35</v>
      </c>
      <c r="C3743" t="s">
        <v>11</v>
      </c>
      <c r="D3743" t="s">
        <v>41</v>
      </c>
      <c r="E3743" t="s">
        <v>45</v>
      </c>
      <c r="F3743" s="1">
        <v>156.25</v>
      </c>
      <c r="G3743" t="s">
        <v>31</v>
      </c>
      <c r="H3743" t="s">
        <v>15</v>
      </c>
      <c r="I3743" s="2">
        <v>4.0999999999999996</v>
      </c>
      <c r="J3743" s="4">
        <v>15</v>
      </c>
      <c r="K3743" s="3">
        <v>5</v>
      </c>
      <c r="L3743" s="1">
        <f t="shared" si="174"/>
        <v>132.8125</v>
      </c>
      <c r="M3743" t="str" cm="1">
        <f t="array" ref="M3743">_xlfn.IFS(B3743&lt;18,"Under 18",B3743 &lt;=25,"18-25",B3743&lt;=35,"26-35",B3743&lt;=45,"36-45",B3743&lt;=60,"46-60",TRUE,"60+")</f>
        <v>26-35</v>
      </c>
      <c r="N3743" t="str">
        <f t="shared" si="175"/>
        <v>Discounted</v>
      </c>
      <c r="O3743" t="str">
        <f t="shared" si="176"/>
        <v>Returning</v>
      </c>
    </row>
    <row r="3744" spans="1:15" x14ac:dyDescent="0.25">
      <c r="A3744">
        <v>3743</v>
      </c>
      <c r="B3744">
        <v>61</v>
      </c>
      <c r="C3744" t="s">
        <v>11</v>
      </c>
      <c r="D3744" t="s">
        <v>33</v>
      </c>
      <c r="E3744" t="s">
        <v>38</v>
      </c>
      <c r="F3744" s="1">
        <v>240.97</v>
      </c>
      <c r="G3744" t="s">
        <v>19</v>
      </c>
      <c r="H3744" t="s">
        <v>15</v>
      </c>
      <c r="I3744" s="2">
        <v>4</v>
      </c>
      <c r="J3744" s="4">
        <v>26</v>
      </c>
      <c r="K3744" s="3">
        <v>8</v>
      </c>
      <c r="L3744" s="1">
        <f t="shared" si="174"/>
        <v>178.31780000000001</v>
      </c>
      <c r="M3744" t="str" cm="1">
        <f t="array" ref="M3744">_xlfn.IFS(B3744&lt;18,"Under 18",B3744 &lt;=25,"18-25",B3744&lt;=35,"26-35",B3744&lt;=45,"36-45",B3744&lt;=60,"46-60",TRUE,"60+")</f>
        <v>60+</v>
      </c>
      <c r="N3744" t="str">
        <f t="shared" si="175"/>
        <v>Discounted</v>
      </c>
      <c r="O3744" t="str">
        <f t="shared" si="176"/>
        <v>Returning</v>
      </c>
    </row>
    <row r="3745" spans="1:15" x14ac:dyDescent="0.25">
      <c r="A3745">
        <v>3744</v>
      </c>
      <c r="B3745">
        <v>25</v>
      </c>
      <c r="C3745" t="s">
        <v>11</v>
      </c>
      <c r="D3745" t="s">
        <v>33</v>
      </c>
      <c r="E3745" t="s">
        <v>40</v>
      </c>
      <c r="F3745" s="1">
        <v>161.52000000000001</v>
      </c>
      <c r="G3745" t="s">
        <v>31</v>
      </c>
      <c r="H3745" t="s">
        <v>15</v>
      </c>
      <c r="I3745" s="2">
        <v>4.2</v>
      </c>
      <c r="J3745" s="4">
        <v>10</v>
      </c>
      <c r="K3745" s="3">
        <v>5</v>
      </c>
      <c r="L3745" s="1">
        <f t="shared" si="174"/>
        <v>145.36800000000002</v>
      </c>
      <c r="M3745" t="str" cm="1">
        <f t="array" ref="M3745">_xlfn.IFS(B3745&lt;18,"Under 18",B3745 &lt;=25,"18-25",B3745&lt;=35,"26-35",B3745&lt;=45,"36-45",B3745&lt;=60,"46-60",TRUE,"60+")</f>
        <v>18-25</v>
      </c>
      <c r="N3745" t="str">
        <f t="shared" si="175"/>
        <v>Discounted</v>
      </c>
      <c r="O3745" t="str">
        <f t="shared" si="176"/>
        <v>Returning</v>
      </c>
    </row>
    <row r="3746" spans="1:15" x14ac:dyDescent="0.25">
      <c r="A3746">
        <v>3745</v>
      </c>
      <c r="B3746">
        <v>60</v>
      </c>
      <c r="C3746" t="s">
        <v>16</v>
      </c>
      <c r="D3746" t="s">
        <v>22</v>
      </c>
      <c r="E3746" t="s">
        <v>43</v>
      </c>
      <c r="F3746" s="1">
        <v>52.07</v>
      </c>
      <c r="G3746" t="s">
        <v>24</v>
      </c>
      <c r="H3746" t="s">
        <v>15</v>
      </c>
      <c r="I3746" s="2">
        <v>5</v>
      </c>
      <c r="J3746" s="4">
        <v>18</v>
      </c>
      <c r="K3746" s="3">
        <v>4</v>
      </c>
      <c r="L3746" s="1">
        <f t="shared" si="174"/>
        <v>42.697400000000002</v>
      </c>
      <c r="M3746" t="str" cm="1">
        <f t="array" ref="M3746">_xlfn.IFS(B3746&lt;18,"Under 18",B3746 &lt;=25,"18-25",B3746&lt;=35,"26-35",B3746&lt;=45,"36-45",B3746&lt;=60,"46-60",TRUE,"60+")</f>
        <v>46-60</v>
      </c>
      <c r="N3746" t="str">
        <f t="shared" si="175"/>
        <v>Discounted</v>
      </c>
      <c r="O3746" t="str">
        <f t="shared" si="176"/>
        <v>Returning</v>
      </c>
    </row>
    <row r="3747" spans="1:15" x14ac:dyDescent="0.25">
      <c r="A3747">
        <v>3746</v>
      </c>
      <c r="B3747">
        <v>21</v>
      </c>
      <c r="C3747" t="s">
        <v>11</v>
      </c>
      <c r="D3747" t="s">
        <v>29</v>
      </c>
      <c r="E3747" t="s">
        <v>55</v>
      </c>
      <c r="F3747" s="1">
        <v>41.3</v>
      </c>
      <c r="G3747" t="s">
        <v>14</v>
      </c>
      <c r="H3747" t="s">
        <v>37</v>
      </c>
      <c r="I3747" s="2">
        <v>3.8</v>
      </c>
      <c r="J3747" s="4">
        <v>8</v>
      </c>
      <c r="K3747" s="3">
        <v>4</v>
      </c>
      <c r="L3747" s="1">
        <f t="shared" si="174"/>
        <v>37.996000000000002</v>
      </c>
      <c r="M3747" t="str" cm="1">
        <f t="array" ref="M3747">_xlfn.IFS(B3747&lt;18,"Under 18",B3747 &lt;=25,"18-25",B3747&lt;=35,"26-35",B3747&lt;=45,"36-45",B3747&lt;=60,"46-60",TRUE,"60+")</f>
        <v>18-25</v>
      </c>
      <c r="N3747" t="str">
        <f t="shared" si="175"/>
        <v>Discounted</v>
      </c>
      <c r="O3747" t="str">
        <f t="shared" si="176"/>
        <v>Returning</v>
      </c>
    </row>
    <row r="3748" spans="1:15" x14ac:dyDescent="0.25">
      <c r="A3748">
        <v>3747</v>
      </c>
      <c r="B3748">
        <v>59</v>
      </c>
      <c r="C3748" t="s">
        <v>11</v>
      </c>
      <c r="D3748" t="s">
        <v>12</v>
      </c>
      <c r="E3748" t="s">
        <v>50</v>
      </c>
      <c r="F3748" s="1">
        <v>77.78</v>
      </c>
      <c r="G3748" t="s">
        <v>31</v>
      </c>
      <c r="H3748" t="s">
        <v>37</v>
      </c>
      <c r="I3748" s="2">
        <v>4</v>
      </c>
      <c r="J3748" s="4">
        <v>13</v>
      </c>
      <c r="K3748" s="3">
        <v>4</v>
      </c>
      <c r="L3748" s="1">
        <f t="shared" si="174"/>
        <v>67.668599999999998</v>
      </c>
      <c r="M3748" t="str" cm="1">
        <f t="array" ref="M3748">_xlfn.IFS(B3748&lt;18,"Under 18",B3748 &lt;=25,"18-25",B3748&lt;=35,"26-35",B3748&lt;=45,"36-45",B3748&lt;=60,"46-60",TRUE,"60+")</f>
        <v>46-60</v>
      </c>
      <c r="N3748" t="str">
        <f t="shared" si="175"/>
        <v>Discounted</v>
      </c>
      <c r="O3748" t="str">
        <f t="shared" si="176"/>
        <v>Returning</v>
      </c>
    </row>
    <row r="3749" spans="1:15" x14ac:dyDescent="0.25">
      <c r="A3749">
        <v>3748</v>
      </c>
      <c r="B3749">
        <v>51</v>
      </c>
      <c r="C3749" t="s">
        <v>11</v>
      </c>
      <c r="D3749" t="s">
        <v>22</v>
      </c>
      <c r="E3749" t="s">
        <v>23</v>
      </c>
      <c r="F3749" s="1">
        <v>74.72</v>
      </c>
      <c r="G3749" t="s">
        <v>19</v>
      </c>
      <c r="H3749" t="s">
        <v>15</v>
      </c>
      <c r="I3749" s="2">
        <v>4</v>
      </c>
      <c r="J3749" s="4">
        <v>8</v>
      </c>
      <c r="K3749" s="3">
        <v>4</v>
      </c>
      <c r="L3749" s="1">
        <f t="shared" si="174"/>
        <v>68.742400000000004</v>
      </c>
      <c r="M3749" t="str" cm="1">
        <f t="array" ref="M3749">_xlfn.IFS(B3749&lt;18,"Under 18",B3749 &lt;=25,"18-25",B3749&lt;=35,"26-35",B3749&lt;=45,"36-45",B3749&lt;=60,"46-60",TRUE,"60+")</f>
        <v>46-60</v>
      </c>
      <c r="N3749" t="str">
        <f t="shared" si="175"/>
        <v>Discounted</v>
      </c>
      <c r="O3749" t="str">
        <f t="shared" si="176"/>
        <v>Returning</v>
      </c>
    </row>
    <row r="3750" spans="1:15" x14ac:dyDescent="0.25">
      <c r="A3750">
        <v>3749</v>
      </c>
      <c r="B3750">
        <v>39</v>
      </c>
      <c r="C3750" t="s">
        <v>11</v>
      </c>
      <c r="D3750" t="s">
        <v>33</v>
      </c>
      <c r="E3750" t="s">
        <v>34</v>
      </c>
      <c r="F3750" s="1">
        <v>88.03</v>
      </c>
      <c r="G3750" t="s">
        <v>14</v>
      </c>
      <c r="H3750" t="s">
        <v>37</v>
      </c>
      <c r="I3750" s="2">
        <v>4</v>
      </c>
      <c r="J3750" s="4">
        <v>10</v>
      </c>
      <c r="K3750" s="3">
        <v>5</v>
      </c>
      <c r="L3750" s="1">
        <f t="shared" si="174"/>
        <v>79.227000000000004</v>
      </c>
      <c r="M3750" t="str" cm="1">
        <f t="array" ref="M3750">_xlfn.IFS(B3750&lt;18,"Under 18",B3750 &lt;=25,"18-25",B3750&lt;=35,"26-35",B3750&lt;=45,"36-45",B3750&lt;=60,"46-60",TRUE,"60+")</f>
        <v>36-45</v>
      </c>
      <c r="N3750" t="str">
        <f t="shared" si="175"/>
        <v>Discounted</v>
      </c>
      <c r="O3750" t="str">
        <f t="shared" si="176"/>
        <v>Returning</v>
      </c>
    </row>
    <row r="3751" spans="1:15" x14ac:dyDescent="0.25">
      <c r="A3751">
        <v>3750</v>
      </c>
      <c r="B3751">
        <v>23</v>
      </c>
      <c r="C3751" t="s">
        <v>11</v>
      </c>
      <c r="D3751" t="s">
        <v>41</v>
      </c>
      <c r="E3751" t="s">
        <v>42</v>
      </c>
      <c r="F3751" s="1">
        <v>83.7</v>
      </c>
      <c r="G3751" t="s">
        <v>19</v>
      </c>
      <c r="H3751" t="s">
        <v>37</v>
      </c>
      <c r="I3751" s="2">
        <v>3.3</v>
      </c>
      <c r="J3751" s="4">
        <v>20</v>
      </c>
      <c r="K3751" s="3">
        <v>5</v>
      </c>
      <c r="L3751" s="1">
        <f t="shared" si="174"/>
        <v>66.960000000000008</v>
      </c>
      <c r="M3751" t="str" cm="1">
        <f t="array" ref="M3751">_xlfn.IFS(B3751&lt;18,"Under 18",B3751 &lt;=25,"18-25",B3751&lt;=35,"26-35",B3751&lt;=45,"36-45",B3751&lt;=60,"46-60",TRUE,"60+")</f>
        <v>18-25</v>
      </c>
      <c r="N3751" t="str">
        <f t="shared" si="175"/>
        <v>Discounted</v>
      </c>
      <c r="O3751" t="str">
        <f t="shared" si="176"/>
        <v>Returning</v>
      </c>
    </row>
    <row r="3752" spans="1:15" x14ac:dyDescent="0.25">
      <c r="A3752">
        <v>3751</v>
      </c>
      <c r="B3752">
        <v>43</v>
      </c>
      <c r="C3752" t="s">
        <v>11</v>
      </c>
      <c r="D3752" t="s">
        <v>41</v>
      </c>
      <c r="E3752" t="s">
        <v>46</v>
      </c>
      <c r="F3752" s="1">
        <v>87.63</v>
      </c>
      <c r="G3752" t="s">
        <v>14</v>
      </c>
      <c r="H3752" t="s">
        <v>37</v>
      </c>
      <c r="I3752" s="2">
        <v>4.5999999999999996</v>
      </c>
      <c r="J3752" s="4">
        <v>4</v>
      </c>
      <c r="K3752" s="3">
        <v>2</v>
      </c>
      <c r="L3752" s="1">
        <f t="shared" si="174"/>
        <v>84.124799999999993</v>
      </c>
      <c r="M3752" t="str" cm="1">
        <f t="array" ref="M3752">_xlfn.IFS(B3752&lt;18,"Under 18",B3752 &lt;=25,"18-25",B3752&lt;=35,"26-35",B3752&lt;=45,"36-45",B3752&lt;=60,"46-60",TRUE,"60+")</f>
        <v>36-45</v>
      </c>
      <c r="N3752" t="str">
        <f t="shared" si="175"/>
        <v>Discounted</v>
      </c>
      <c r="O3752" t="str">
        <f t="shared" si="176"/>
        <v>Returning</v>
      </c>
    </row>
    <row r="3753" spans="1:15" x14ac:dyDescent="0.25">
      <c r="A3753">
        <v>3752</v>
      </c>
      <c r="B3753">
        <v>53</v>
      </c>
      <c r="C3753" t="s">
        <v>11</v>
      </c>
      <c r="D3753" t="s">
        <v>29</v>
      </c>
      <c r="E3753" t="s">
        <v>30</v>
      </c>
      <c r="F3753" s="1">
        <v>78.650000000000006</v>
      </c>
      <c r="G3753" t="s">
        <v>14</v>
      </c>
      <c r="H3753" t="s">
        <v>15</v>
      </c>
      <c r="I3753" s="2">
        <v>3.6</v>
      </c>
      <c r="J3753" s="4">
        <v>12</v>
      </c>
      <c r="K3753" s="3">
        <v>6</v>
      </c>
      <c r="L3753" s="1">
        <f t="shared" si="174"/>
        <v>69.212000000000003</v>
      </c>
      <c r="M3753" t="str" cm="1">
        <f t="array" ref="M3753">_xlfn.IFS(B3753&lt;18,"Under 18",B3753 &lt;=25,"18-25",B3753&lt;=35,"26-35",B3753&lt;=45,"36-45",B3753&lt;=60,"46-60",TRUE,"60+")</f>
        <v>46-60</v>
      </c>
      <c r="N3753" t="str">
        <f t="shared" si="175"/>
        <v>Discounted</v>
      </c>
      <c r="O3753" t="str">
        <f t="shared" si="176"/>
        <v>Returning</v>
      </c>
    </row>
    <row r="3754" spans="1:15" x14ac:dyDescent="0.25">
      <c r="A3754">
        <v>3753</v>
      </c>
      <c r="B3754">
        <v>37</v>
      </c>
      <c r="C3754" t="s">
        <v>11</v>
      </c>
      <c r="D3754" t="s">
        <v>12</v>
      </c>
      <c r="E3754" t="s">
        <v>56</v>
      </c>
      <c r="F3754" s="1">
        <v>29.21</v>
      </c>
      <c r="G3754" t="s">
        <v>31</v>
      </c>
      <c r="H3754" t="s">
        <v>15</v>
      </c>
      <c r="I3754" s="2">
        <v>4.0999999999999996</v>
      </c>
      <c r="J3754" s="4">
        <v>11</v>
      </c>
      <c r="K3754" s="3">
        <v>3</v>
      </c>
      <c r="L3754" s="1">
        <f t="shared" si="174"/>
        <v>25.9969</v>
      </c>
      <c r="M3754" t="str" cm="1">
        <f t="array" ref="M3754">_xlfn.IFS(B3754&lt;18,"Under 18",B3754 &lt;=25,"18-25",B3754&lt;=35,"26-35",B3754&lt;=45,"36-45",B3754&lt;=60,"46-60",TRUE,"60+")</f>
        <v>36-45</v>
      </c>
      <c r="N3754" t="str">
        <f t="shared" si="175"/>
        <v>Discounted</v>
      </c>
      <c r="O3754" t="str">
        <f t="shared" si="176"/>
        <v>Returning</v>
      </c>
    </row>
    <row r="3755" spans="1:15" x14ac:dyDescent="0.25">
      <c r="A3755">
        <v>3754</v>
      </c>
      <c r="B3755">
        <v>54</v>
      </c>
      <c r="C3755" t="s">
        <v>11</v>
      </c>
      <c r="D3755" t="s">
        <v>20</v>
      </c>
      <c r="E3755" t="s">
        <v>39</v>
      </c>
      <c r="F3755" s="1">
        <v>107.34</v>
      </c>
      <c r="G3755" t="s">
        <v>31</v>
      </c>
      <c r="H3755" t="s">
        <v>15</v>
      </c>
      <c r="I3755" s="2">
        <v>3.5</v>
      </c>
      <c r="J3755" s="4">
        <v>19</v>
      </c>
      <c r="K3755" s="3">
        <v>7</v>
      </c>
      <c r="L3755" s="1">
        <f t="shared" si="174"/>
        <v>86.945400000000006</v>
      </c>
      <c r="M3755" t="str" cm="1">
        <f t="array" ref="M3755">_xlfn.IFS(B3755&lt;18,"Under 18",B3755 &lt;=25,"18-25",B3755&lt;=35,"26-35",B3755&lt;=45,"36-45",B3755&lt;=60,"46-60",TRUE,"60+")</f>
        <v>46-60</v>
      </c>
      <c r="N3755" t="str">
        <f t="shared" si="175"/>
        <v>Discounted</v>
      </c>
      <c r="O3755" t="str">
        <f t="shared" si="176"/>
        <v>Returning</v>
      </c>
    </row>
    <row r="3756" spans="1:15" x14ac:dyDescent="0.25">
      <c r="A3756">
        <v>3755</v>
      </c>
      <c r="B3756">
        <v>56</v>
      </c>
      <c r="C3756" t="s">
        <v>16</v>
      </c>
      <c r="D3756" t="s">
        <v>33</v>
      </c>
      <c r="E3756" t="s">
        <v>40</v>
      </c>
      <c r="F3756" s="1">
        <v>241.91</v>
      </c>
      <c r="G3756" t="s">
        <v>31</v>
      </c>
      <c r="H3756" t="s">
        <v>15</v>
      </c>
      <c r="I3756" s="2">
        <v>3.5</v>
      </c>
      <c r="J3756" s="4">
        <v>16</v>
      </c>
      <c r="K3756" s="3">
        <v>3</v>
      </c>
      <c r="L3756" s="1">
        <f t="shared" si="174"/>
        <v>203.20439999999999</v>
      </c>
      <c r="M3756" t="str" cm="1">
        <f t="array" ref="M3756">_xlfn.IFS(B3756&lt;18,"Under 18",B3756 &lt;=25,"18-25",B3756&lt;=35,"26-35",B3756&lt;=45,"36-45",B3756&lt;=60,"46-60",TRUE,"60+")</f>
        <v>46-60</v>
      </c>
      <c r="N3756" t="str">
        <f t="shared" si="175"/>
        <v>Discounted</v>
      </c>
      <c r="O3756" t="str">
        <f t="shared" si="176"/>
        <v>Returning</v>
      </c>
    </row>
    <row r="3757" spans="1:15" x14ac:dyDescent="0.25">
      <c r="A3757">
        <v>3756</v>
      </c>
      <c r="B3757">
        <v>31</v>
      </c>
      <c r="C3757" t="s">
        <v>11</v>
      </c>
      <c r="D3757" t="s">
        <v>29</v>
      </c>
      <c r="E3757" t="s">
        <v>55</v>
      </c>
      <c r="F3757" s="1">
        <v>105.94</v>
      </c>
      <c r="G3757" t="s">
        <v>31</v>
      </c>
      <c r="H3757" t="s">
        <v>15</v>
      </c>
      <c r="I3757" s="2">
        <v>3.3</v>
      </c>
      <c r="J3757" s="4">
        <v>16</v>
      </c>
      <c r="K3757" s="3">
        <v>3</v>
      </c>
      <c r="L3757" s="1">
        <f t="shared" si="174"/>
        <v>88.989599999999996</v>
      </c>
      <c r="M3757" t="str" cm="1">
        <f t="array" ref="M3757">_xlfn.IFS(B3757&lt;18,"Under 18",B3757 &lt;=25,"18-25",B3757&lt;=35,"26-35",B3757&lt;=45,"36-45",B3757&lt;=60,"46-60",TRUE,"60+")</f>
        <v>26-35</v>
      </c>
      <c r="N3757" t="str">
        <f t="shared" si="175"/>
        <v>Discounted</v>
      </c>
      <c r="O3757" t="str">
        <f t="shared" si="176"/>
        <v>Returning</v>
      </c>
    </row>
    <row r="3758" spans="1:15" x14ac:dyDescent="0.25">
      <c r="A3758">
        <v>3757</v>
      </c>
      <c r="B3758">
        <v>47</v>
      </c>
      <c r="C3758" t="s">
        <v>16</v>
      </c>
      <c r="D3758" t="s">
        <v>17</v>
      </c>
      <c r="E3758" t="s">
        <v>48</v>
      </c>
      <c r="F3758" s="1">
        <v>100.06</v>
      </c>
      <c r="G3758" t="s">
        <v>14</v>
      </c>
      <c r="H3758" t="s">
        <v>15</v>
      </c>
      <c r="I3758" s="2">
        <v>3.7</v>
      </c>
      <c r="J3758" s="4">
        <v>18</v>
      </c>
      <c r="K3758" s="3">
        <v>4</v>
      </c>
      <c r="L3758" s="1">
        <f t="shared" si="174"/>
        <v>82.049200000000013</v>
      </c>
      <c r="M3758" t="str" cm="1">
        <f t="array" ref="M3758">_xlfn.IFS(B3758&lt;18,"Under 18",B3758 &lt;=25,"18-25",B3758&lt;=35,"26-35",B3758&lt;=45,"36-45",B3758&lt;=60,"46-60",TRUE,"60+")</f>
        <v>46-60</v>
      </c>
      <c r="N3758" t="str">
        <f t="shared" si="175"/>
        <v>Discounted</v>
      </c>
      <c r="O3758" t="str">
        <f t="shared" si="176"/>
        <v>Returning</v>
      </c>
    </row>
    <row r="3759" spans="1:15" x14ac:dyDescent="0.25">
      <c r="A3759">
        <v>3758</v>
      </c>
      <c r="B3759">
        <v>41</v>
      </c>
      <c r="C3759" t="s">
        <v>11</v>
      </c>
      <c r="D3759" t="s">
        <v>20</v>
      </c>
      <c r="E3759" t="s">
        <v>39</v>
      </c>
      <c r="F3759" s="1">
        <v>53.69</v>
      </c>
      <c r="G3759" t="s">
        <v>19</v>
      </c>
      <c r="H3759" t="s">
        <v>37</v>
      </c>
      <c r="I3759" s="2">
        <v>3.7</v>
      </c>
      <c r="J3759" s="4">
        <v>21</v>
      </c>
      <c r="K3759" s="3">
        <v>8</v>
      </c>
      <c r="L3759" s="1">
        <f t="shared" si="174"/>
        <v>42.415100000000002</v>
      </c>
      <c r="M3759" t="str" cm="1">
        <f t="array" ref="M3759">_xlfn.IFS(B3759&lt;18,"Under 18",B3759 &lt;=25,"18-25",B3759&lt;=35,"26-35",B3759&lt;=45,"36-45",B3759&lt;=60,"46-60",TRUE,"60+")</f>
        <v>36-45</v>
      </c>
      <c r="N3759" t="str">
        <f t="shared" si="175"/>
        <v>Discounted</v>
      </c>
      <c r="O3759" t="str">
        <f t="shared" si="176"/>
        <v>Returning</v>
      </c>
    </row>
    <row r="3760" spans="1:15" x14ac:dyDescent="0.25">
      <c r="A3760">
        <v>3759</v>
      </c>
      <c r="B3760">
        <v>69</v>
      </c>
      <c r="C3760" t="s">
        <v>16</v>
      </c>
      <c r="D3760" t="s">
        <v>17</v>
      </c>
      <c r="E3760" t="s">
        <v>48</v>
      </c>
      <c r="F3760" s="1">
        <v>95.85</v>
      </c>
      <c r="G3760" t="s">
        <v>14</v>
      </c>
      <c r="H3760" t="s">
        <v>15</v>
      </c>
      <c r="I3760" s="2">
        <v>4.3</v>
      </c>
      <c r="J3760" s="4">
        <v>12</v>
      </c>
      <c r="K3760" s="3">
        <v>6</v>
      </c>
      <c r="L3760" s="1">
        <f t="shared" si="174"/>
        <v>84.347999999999999</v>
      </c>
      <c r="M3760" t="str" cm="1">
        <f t="array" ref="M3760">_xlfn.IFS(B3760&lt;18,"Under 18",B3760 &lt;=25,"18-25",B3760&lt;=35,"26-35",B3760&lt;=45,"36-45",B3760&lt;=60,"46-60",TRUE,"60+")</f>
        <v>60+</v>
      </c>
      <c r="N3760" t="str">
        <f t="shared" si="175"/>
        <v>Discounted</v>
      </c>
      <c r="O3760" t="str">
        <f t="shared" si="176"/>
        <v>Returning</v>
      </c>
    </row>
    <row r="3761" spans="1:15" x14ac:dyDescent="0.25">
      <c r="A3761">
        <v>3760</v>
      </c>
      <c r="B3761">
        <v>25</v>
      </c>
      <c r="C3761" t="s">
        <v>11</v>
      </c>
      <c r="D3761" t="s">
        <v>12</v>
      </c>
      <c r="E3761" t="s">
        <v>13</v>
      </c>
      <c r="F3761" s="1">
        <v>177.89</v>
      </c>
      <c r="G3761" t="s">
        <v>19</v>
      </c>
      <c r="H3761" t="s">
        <v>15</v>
      </c>
      <c r="I3761" s="2">
        <v>3.7</v>
      </c>
      <c r="J3761" s="4">
        <v>16</v>
      </c>
      <c r="K3761" s="3">
        <v>8</v>
      </c>
      <c r="L3761" s="1">
        <f t="shared" si="174"/>
        <v>149.42759999999998</v>
      </c>
      <c r="M3761" t="str" cm="1">
        <f t="array" ref="M3761">_xlfn.IFS(B3761&lt;18,"Under 18",B3761 &lt;=25,"18-25",B3761&lt;=35,"26-35",B3761&lt;=45,"36-45",B3761&lt;=60,"46-60",TRUE,"60+")</f>
        <v>18-25</v>
      </c>
      <c r="N3761" t="str">
        <f t="shared" si="175"/>
        <v>Discounted</v>
      </c>
      <c r="O3761" t="str">
        <f t="shared" si="176"/>
        <v>Returning</v>
      </c>
    </row>
    <row r="3762" spans="1:15" x14ac:dyDescent="0.25">
      <c r="A3762">
        <v>3761</v>
      </c>
      <c r="B3762">
        <v>57</v>
      </c>
      <c r="C3762" t="s">
        <v>11</v>
      </c>
      <c r="D3762" t="s">
        <v>12</v>
      </c>
      <c r="E3762" t="s">
        <v>50</v>
      </c>
      <c r="F3762" s="1">
        <v>97</v>
      </c>
      <c r="G3762" t="s">
        <v>24</v>
      </c>
      <c r="H3762" t="s">
        <v>37</v>
      </c>
      <c r="I3762" s="2">
        <v>4.0999999999999996</v>
      </c>
      <c r="J3762" s="4">
        <v>24</v>
      </c>
      <c r="K3762" s="3">
        <v>7</v>
      </c>
      <c r="L3762" s="1">
        <f t="shared" si="174"/>
        <v>73.72</v>
      </c>
      <c r="M3762" t="str" cm="1">
        <f t="array" ref="M3762">_xlfn.IFS(B3762&lt;18,"Under 18",B3762 &lt;=25,"18-25",B3762&lt;=35,"26-35",B3762&lt;=45,"36-45",B3762&lt;=60,"46-60",TRUE,"60+")</f>
        <v>46-60</v>
      </c>
      <c r="N3762" t="str">
        <f t="shared" si="175"/>
        <v>Discounted</v>
      </c>
      <c r="O3762" t="str">
        <f t="shared" si="176"/>
        <v>Returning</v>
      </c>
    </row>
    <row r="3763" spans="1:15" x14ac:dyDescent="0.25">
      <c r="A3763">
        <v>3762</v>
      </c>
      <c r="B3763">
        <v>43</v>
      </c>
      <c r="C3763" t="s">
        <v>16</v>
      </c>
      <c r="D3763" t="s">
        <v>33</v>
      </c>
      <c r="E3763" t="s">
        <v>40</v>
      </c>
      <c r="F3763" s="1">
        <v>135.26</v>
      </c>
      <c r="G3763" t="s">
        <v>19</v>
      </c>
      <c r="H3763" t="s">
        <v>15</v>
      </c>
      <c r="I3763" s="2">
        <v>4.3</v>
      </c>
      <c r="J3763" s="4">
        <v>28</v>
      </c>
      <c r="K3763" s="3">
        <v>9</v>
      </c>
      <c r="L3763" s="1">
        <f t="shared" si="174"/>
        <v>97.387199999999993</v>
      </c>
      <c r="M3763" t="str" cm="1">
        <f t="array" ref="M3763">_xlfn.IFS(B3763&lt;18,"Under 18",B3763 &lt;=25,"18-25",B3763&lt;=35,"26-35",B3763&lt;=45,"36-45",B3763&lt;=60,"46-60",TRUE,"60+")</f>
        <v>36-45</v>
      </c>
      <c r="N3763" t="str">
        <f t="shared" si="175"/>
        <v>Discounted</v>
      </c>
      <c r="O3763" t="str">
        <f t="shared" si="176"/>
        <v>Returning</v>
      </c>
    </row>
    <row r="3764" spans="1:15" x14ac:dyDescent="0.25">
      <c r="A3764">
        <v>3763</v>
      </c>
      <c r="B3764">
        <v>55</v>
      </c>
      <c r="C3764" t="s">
        <v>16</v>
      </c>
      <c r="D3764" t="s">
        <v>20</v>
      </c>
      <c r="E3764" t="s">
        <v>39</v>
      </c>
      <c r="F3764" s="1">
        <v>153.94999999999999</v>
      </c>
      <c r="G3764" t="s">
        <v>19</v>
      </c>
      <c r="H3764" t="s">
        <v>15</v>
      </c>
      <c r="I3764" s="2">
        <v>3.4</v>
      </c>
      <c r="J3764" s="4">
        <v>13</v>
      </c>
      <c r="K3764" s="3">
        <v>4</v>
      </c>
      <c r="L3764" s="1">
        <f t="shared" si="174"/>
        <v>133.9365</v>
      </c>
      <c r="M3764" t="str" cm="1">
        <f t="array" ref="M3764">_xlfn.IFS(B3764&lt;18,"Under 18",B3764 &lt;=25,"18-25",B3764&lt;=35,"26-35",B3764&lt;=45,"36-45",B3764&lt;=60,"46-60",TRUE,"60+")</f>
        <v>46-60</v>
      </c>
      <c r="N3764" t="str">
        <f t="shared" si="175"/>
        <v>Discounted</v>
      </c>
      <c r="O3764" t="str">
        <f t="shared" si="176"/>
        <v>Returning</v>
      </c>
    </row>
    <row r="3765" spans="1:15" x14ac:dyDescent="0.25">
      <c r="A3765">
        <v>3764</v>
      </c>
      <c r="B3765">
        <v>55</v>
      </c>
      <c r="C3765" t="s">
        <v>16</v>
      </c>
      <c r="D3765" t="s">
        <v>20</v>
      </c>
      <c r="E3765" t="s">
        <v>39</v>
      </c>
      <c r="F3765" s="1">
        <v>73.22</v>
      </c>
      <c r="G3765" t="s">
        <v>19</v>
      </c>
      <c r="H3765" t="s">
        <v>37</v>
      </c>
      <c r="I3765" s="2">
        <v>3</v>
      </c>
      <c r="J3765" s="4">
        <v>17</v>
      </c>
      <c r="K3765" s="3">
        <v>6</v>
      </c>
      <c r="L3765" s="1">
        <f t="shared" si="174"/>
        <v>60.772599999999997</v>
      </c>
      <c r="M3765" t="str" cm="1">
        <f t="array" ref="M3765">_xlfn.IFS(B3765&lt;18,"Under 18",B3765 &lt;=25,"18-25",B3765&lt;=35,"26-35",B3765&lt;=45,"36-45",B3765&lt;=60,"46-60",TRUE,"60+")</f>
        <v>46-60</v>
      </c>
      <c r="N3765" t="str">
        <f t="shared" si="175"/>
        <v>Discounted</v>
      </c>
      <c r="O3765" t="str">
        <f t="shared" si="176"/>
        <v>Returning</v>
      </c>
    </row>
    <row r="3766" spans="1:15" x14ac:dyDescent="0.25">
      <c r="A3766">
        <v>3765</v>
      </c>
      <c r="B3766">
        <v>59</v>
      </c>
      <c r="C3766" t="s">
        <v>11</v>
      </c>
      <c r="D3766" t="s">
        <v>41</v>
      </c>
      <c r="E3766" t="s">
        <v>44</v>
      </c>
      <c r="F3766" s="1">
        <v>78.739999999999995</v>
      </c>
      <c r="G3766" t="s">
        <v>14</v>
      </c>
      <c r="H3766" t="s">
        <v>15</v>
      </c>
      <c r="I3766" s="2">
        <v>3.9</v>
      </c>
      <c r="J3766" s="4">
        <v>17</v>
      </c>
      <c r="K3766" s="3">
        <v>6</v>
      </c>
      <c r="L3766" s="1">
        <f t="shared" si="174"/>
        <v>65.354199999999992</v>
      </c>
      <c r="M3766" t="str" cm="1">
        <f t="array" ref="M3766">_xlfn.IFS(B3766&lt;18,"Under 18",B3766 &lt;=25,"18-25",B3766&lt;=35,"26-35",B3766&lt;=45,"36-45",B3766&lt;=60,"46-60",TRUE,"60+")</f>
        <v>46-60</v>
      </c>
      <c r="N3766" t="str">
        <f t="shared" si="175"/>
        <v>Discounted</v>
      </c>
      <c r="O3766" t="str">
        <f t="shared" si="176"/>
        <v>Returning</v>
      </c>
    </row>
    <row r="3767" spans="1:15" x14ac:dyDescent="0.25">
      <c r="A3767">
        <v>3766</v>
      </c>
      <c r="B3767">
        <v>59</v>
      </c>
      <c r="C3767" t="s">
        <v>16</v>
      </c>
      <c r="D3767" t="s">
        <v>20</v>
      </c>
      <c r="E3767" t="s">
        <v>39</v>
      </c>
      <c r="F3767" s="1">
        <v>193.24</v>
      </c>
      <c r="G3767" t="s">
        <v>14</v>
      </c>
      <c r="H3767" t="s">
        <v>15</v>
      </c>
      <c r="I3767" s="2">
        <v>4.0999999999999996</v>
      </c>
      <c r="J3767" s="4">
        <v>8</v>
      </c>
      <c r="K3767" s="3">
        <v>4</v>
      </c>
      <c r="L3767" s="1">
        <f t="shared" si="174"/>
        <v>177.78080000000003</v>
      </c>
      <c r="M3767" t="str" cm="1">
        <f t="array" ref="M3767">_xlfn.IFS(B3767&lt;18,"Under 18",B3767 &lt;=25,"18-25",B3767&lt;=35,"26-35",B3767&lt;=45,"36-45",B3767&lt;=60,"46-60",TRUE,"60+")</f>
        <v>46-60</v>
      </c>
      <c r="N3767" t="str">
        <f t="shared" si="175"/>
        <v>Discounted</v>
      </c>
      <c r="O3767" t="str">
        <f t="shared" si="176"/>
        <v>Returning</v>
      </c>
    </row>
    <row r="3768" spans="1:15" x14ac:dyDescent="0.25">
      <c r="A3768">
        <v>3767</v>
      </c>
      <c r="B3768">
        <v>58</v>
      </c>
      <c r="C3768" t="s">
        <v>11</v>
      </c>
      <c r="D3768" t="s">
        <v>41</v>
      </c>
      <c r="E3768" t="s">
        <v>46</v>
      </c>
      <c r="F3768" s="1">
        <v>123.99</v>
      </c>
      <c r="G3768" t="s">
        <v>31</v>
      </c>
      <c r="H3768" t="s">
        <v>15</v>
      </c>
      <c r="I3768" s="2">
        <v>4.3</v>
      </c>
      <c r="J3768" s="4">
        <v>12</v>
      </c>
      <c r="K3768" s="3">
        <v>6</v>
      </c>
      <c r="L3768" s="1">
        <f t="shared" si="174"/>
        <v>109.1112</v>
      </c>
      <c r="M3768" t="str" cm="1">
        <f t="array" ref="M3768">_xlfn.IFS(B3768&lt;18,"Under 18",B3768 &lt;=25,"18-25",B3768&lt;=35,"26-35",B3768&lt;=45,"36-45",B3768&lt;=60,"46-60",TRUE,"60+")</f>
        <v>46-60</v>
      </c>
      <c r="N3768" t="str">
        <f t="shared" si="175"/>
        <v>Discounted</v>
      </c>
      <c r="O3768" t="str">
        <f t="shared" si="176"/>
        <v>Returning</v>
      </c>
    </row>
    <row r="3769" spans="1:15" x14ac:dyDescent="0.25">
      <c r="A3769">
        <v>3768</v>
      </c>
      <c r="B3769">
        <v>31</v>
      </c>
      <c r="C3769" t="s">
        <v>11</v>
      </c>
      <c r="D3769" t="s">
        <v>12</v>
      </c>
      <c r="E3769" t="s">
        <v>13</v>
      </c>
      <c r="F3769" s="1">
        <v>127.18</v>
      </c>
      <c r="G3769" t="s">
        <v>31</v>
      </c>
      <c r="H3769" t="s">
        <v>15</v>
      </c>
      <c r="I3769" s="2">
        <v>3.3</v>
      </c>
      <c r="J3769" s="4">
        <v>10</v>
      </c>
      <c r="K3769" s="3">
        <v>5</v>
      </c>
      <c r="L3769" s="1">
        <f t="shared" si="174"/>
        <v>114.462</v>
      </c>
      <c r="M3769" t="str" cm="1">
        <f t="array" ref="M3769">_xlfn.IFS(B3769&lt;18,"Under 18",B3769 &lt;=25,"18-25",B3769&lt;=35,"26-35",B3769&lt;=45,"36-45",B3769&lt;=60,"46-60",TRUE,"60+")</f>
        <v>26-35</v>
      </c>
      <c r="N3769" t="str">
        <f t="shared" si="175"/>
        <v>Discounted</v>
      </c>
      <c r="O3769" t="str">
        <f t="shared" si="176"/>
        <v>Returning</v>
      </c>
    </row>
    <row r="3770" spans="1:15" x14ac:dyDescent="0.25">
      <c r="A3770">
        <v>3769</v>
      </c>
      <c r="B3770">
        <v>42</v>
      </c>
      <c r="C3770" t="s">
        <v>16</v>
      </c>
      <c r="D3770" t="s">
        <v>27</v>
      </c>
      <c r="E3770" t="s">
        <v>49</v>
      </c>
      <c r="F3770" s="1">
        <v>2662.7</v>
      </c>
      <c r="G3770" t="s">
        <v>31</v>
      </c>
      <c r="H3770" t="s">
        <v>15</v>
      </c>
      <c r="I3770" s="2">
        <v>3.6</v>
      </c>
      <c r="J3770" s="4">
        <v>19</v>
      </c>
      <c r="K3770" s="3">
        <v>7</v>
      </c>
      <c r="L3770" s="1">
        <f t="shared" si="174"/>
        <v>2156.7869999999998</v>
      </c>
      <c r="M3770" t="str" cm="1">
        <f t="array" ref="M3770">_xlfn.IFS(B3770&lt;18,"Under 18",B3770 &lt;=25,"18-25",B3770&lt;=35,"26-35",B3770&lt;=45,"36-45",B3770&lt;=60,"46-60",TRUE,"60+")</f>
        <v>36-45</v>
      </c>
      <c r="N3770" t="str">
        <f t="shared" si="175"/>
        <v>Discounted</v>
      </c>
      <c r="O3770" t="str">
        <f t="shared" si="176"/>
        <v>Returning</v>
      </c>
    </row>
    <row r="3771" spans="1:15" x14ac:dyDescent="0.25">
      <c r="A3771">
        <v>3770</v>
      </c>
      <c r="B3771">
        <v>68</v>
      </c>
      <c r="C3771" t="s">
        <v>16</v>
      </c>
      <c r="D3771" t="s">
        <v>33</v>
      </c>
      <c r="E3771" t="s">
        <v>34</v>
      </c>
      <c r="F3771" s="1">
        <v>207</v>
      </c>
      <c r="G3771" t="s">
        <v>31</v>
      </c>
      <c r="H3771" t="s">
        <v>15</v>
      </c>
      <c r="I3771" s="2">
        <v>5</v>
      </c>
      <c r="J3771" s="4">
        <v>26</v>
      </c>
      <c r="K3771" s="3">
        <v>8</v>
      </c>
      <c r="L3771" s="1">
        <f t="shared" si="174"/>
        <v>153.18</v>
      </c>
      <c r="M3771" t="str" cm="1">
        <f t="array" ref="M3771">_xlfn.IFS(B3771&lt;18,"Under 18",B3771 &lt;=25,"18-25",B3771&lt;=35,"26-35",B3771&lt;=45,"36-45",B3771&lt;=60,"46-60",TRUE,"60+")</f>
        <v>60+</v>
      </c>
      <c r="N3771" t="str">
        <f t="shared" si="175"/>
        <v>Discounted</v>
      </c>
      <c r="O3771" t="str">
        <f t="shared" si="176"/>
        <v>Returning</v>
      </c>
    </row>
    <row r="3772" spans="1:15" x14ac:dyDescent="0.25">
      <c r="A3772">
        <v>3771</v>
      </c>
      <c r="B3772">
        <v>54</v>
      </c>
      <c r="C3772" t="s">
        <v>11</v>
      </c>
      <c r="D3772" t="s">
        <v>12</v>
      </c>
      <c r="E3772" t="s">
        <v>13</v>
      </c>
      <c r="F3772" s="1">
        <v>148.96</v>
      </c>
      <c r="G3772" t="s">
        <v>14</v>
      </c>
      <c r="H3772" t="s">
        <v>15</v>
      </c>
      <c r="I3772" s="2">
        <v>4</v>
      </c>
      <c r="J3772" s="4">
        <v>22</v>
      </c>
      <c r="K3772" s="3">
        <v>6</v>
      </c>
      <c r="L3772" s="1">
        <f t="shared" si="174"/>
        <v>116.18880000000001</v>
      </c>
      <c r="M3772" t="str" cm="1">
        <f t="array" ref="M3772">_xlfn.IFS(B3772&lt;18,"Under 18",B3772 &lt;=25,"18-25",B3772&lt;=35,"26-35",B3772&lt;=45,"36-45",B3772&lt;=60,"46-60",TRUE,"60+")</f>
        <v>46-60</v>
      </c>
      <c r="N3772" t="str">
        <f t="shared" si="175"/>
        <v>Discounted</v>
      </c>
      <c r="O3772" t="str">
        <f t="shared" si="176"/>
        <v>Returning</v>
      </c>
    </row>
    <row r="3773" spans="1:15" x14ac:dyDescent="0.25">
      <c r="A3773">
        <v>3772</v>
      </c>
      <c r="B3773">
        <v>33</v>
      </c>
      <c r="C3773" t="s">
        <v>16</v>
      </c>
      <c r="D3773" t="s">
        <v>17</v>
      </c>
      <c r="E3773" t="s">
        <v>48</v>
      </c>
      <c r="F3773" s="1">
        <v>91.42</v>
      </c>
      <c r="G3773" t="s">
        <v>14</v>
      </c>
      <c r="H3773" t="s">
        <v>37</v>
      </c>
      <c r="I3773" s="2">
        <v>4.5</v>
      </c>
      <c r="J3773" s="4">
        <v>14</v>
      </c>
      <c r="K3773" s="3">
        <v>2</v>
      </c>
      <c r="L3773" s="1">
        <f t="shared" si="174"/>
        <v>78.621200000000002</v>
      </c>
      <c r="M3773" t="str" cm="1">
        <f t="array" ref="M3773">_xlfn.IFS(B3773&lt;18,"Under 18",B3773 &lt;=25,"18-25",B3773&lt;=35,"26-35",B3773&lt;=45,"36-45",B3773&lt;=60,"46-60",TRUE,"60+")</f>
        <v>26-35</v>
      </c>
      <c r="N3773" t="str">
        <f t="shared" si="175"/>
        <v>Discounted</v>
      </c>
      <c r="O3773" t="str">
        <f t="shared" si="176"/>
        <v>Returning</v>
      </c>
    </row>
    <row r="3774" spans="1:15" x14ac:dyDescent="0.25">
      <c r="A3774">
        <v>3773</v>
      </c>
      <c r="B3774">
        <v>45</v>
      </c>
      <c r="C3774" t="s">
        <v>11</v>
      </c>
      <c r="D3774" t="s">
        <v>33</v>
      </c>
      <c r="E3774" t="s">
        <v>38</v>
      </c>
      <c r="F3774" s="1">
        <v>153.68</v>
      </c>
      <c r="G3774" t="s">
        <v>19</v>
      </c>
      <c r="H3774" t="s">
        <v>15</v>
      </c>
      <c r="I3774" s="2">
        <v>4</v>
      </c>
      <c r="J3774" s="4">
        <v>20</v>
      </c>
      <c r="K3774" s="3">
        <v>5</v>
      </c>
      <c r="L3774" s="1">
        <f t="shared" si="174"/>
        <v>122.94400000000002</v>
      </c>
      <c r="M3774" t="str" cm="1">
        <f t="array" ref="M3774">_xlfn.IFS(B3774&lt;18,"Under 18",B3774 &lt;=25,"18-25",B3774&lt;=35,"26-35",B3774&lt;=45,"36-45",B3774&lt;=60,"46-60",TRUE,"60+")</f>
        <v>36-45</v>
      </c>
      <c r="N3774" t="str">
        <f t="shared" si="175"/>
        <v>Discounted</v>
      </c>
      <c r="O3774" t="str">
        <f t="shared" si="176"/>
        <v>Returning</v>
      </c>
    </row>
    <row r="3775" spans="1:15" x14ac:dyDescent="0.25">
      <c r="A3775">
        <v>3774</v>
      </c>
      <c r="B3775">
        <v>68</v>
      </c>
      <c r="C3775" t="s">
        <v>16</v>
      </c>
      <c r="D3775" t="s">
        <v>20</v>
      </c>
      <c r="E3775" t="s">
        <v>39</v>
      </c>
      <c r="F3775" s="1">
        <v>110.62</v>
      </c>
      <c r="G3775" t="s">
        <v>14</v>
      </c>
      <c r="H3775" t="s">
        <v>15</v>
      </c>
      <c r="I3775" s="2">
        <v>3.9</v>
      </c>
      <c r="J3775" s="4">
        <v>15</v>
      </c>
      <c r="K3775" s="3">
        <v>5</v>
      </c>
      <c r="L3775" s="1">
        <f t="shared" si="174"/>
        <v>94.027000000000001</v>
      </c>
      <c r="M3775" t="str" cm="1">
        <f t="array" ref="M3775">_xlfn.IFS(B3775&lt;18,"Under 18",B3775 &lt;=25,"18-25",B3775&lt;=35,"26-35",B3775&lt;=45,"36-45",B3775&lt;=60,"46-60",TRUE,"60+")</f>
        <v>60+</v>
      </c>
      <c r="N3775" t="str">
        <f t="shared" si="175"/>
        <v>Discounted</v>
      </c>
      <c r="O3775" t="str">
        <f t="shared" si="176"/>
        <v>Returning</v>
      </c>
    </row>
    <row r="3776" spans="1:15" x14ac:dyDescent="0.25">
      <c r="A3776">
        <v>3775</v>
      </c>
      <c r="B3776">
        <v>43</v>
      </c>
      <c r="C3776" t="s">
        <v>11</v>
      </c>
      <c r="D3776" t="s">
        <v>12</v>
      </c>
      <c r="E3776" t="s">
        <v>56</v>
      </c>
      <c r="F3776" s="1">
        <v>178.57</v>
      </c>
      <c r="G3776" t="s">
        <v>14</v>
      </c>
      <c r="H3776" t="s">
        <v>15</v>
      </c>
      <c r="I3776" s="2">
        <v>3.2</v>
      </c>
      <c r="J3776" s="4">
        <v>16</v>
      </c>
      <c r="K3776" s="3">
        <v>3</v>
      </c>
      <c r="L3776" s="1">
        <f t="shared" si="174"/>
        <v>149.99879999999999</v>
      </c>
      <c r="M3776" t="str" cm="1">
        <f t="array" ref="M3776">_xlfn.IFS(B3776&lt;18,"Under 18",B3776 &lt;=25,"18-25",B3776&lt;=35,"26-35",B3776&lt;=45,"36-45",B3776&lt;=60,"46-60",TRUE,"60+")</f>
        <v>36-45</v>
      </c>
      <c r="N3776" t="str">
        <f t="shared" si="175"/>
        <v>Discounted</v>
      </c>
      <c r="O3776" t="str">
        <f t="shared" si="176"/>
        <v>Returning</v>
      </c>
    </row>
    <row r="3777" spans="1:15" x14ac:dyDescent="0.25">
      <c r="A3777">
        <v>3776</v>
      </c>
      <c r="B3777">
        <v>23</v>
      </c>
      <c r="C3777" t="s">
        <v>16</v>
      </c>
      <c r="D3777" t="s">
        <v>17</v>
      </c>
      <c r="E3777" t="s">
        <v>48</v>
      </c>
      <c r="F3777" s="1">
        <v>84.91</v>
      </c>
      <c r="G3777" t="s">
        <v>24</v>
      </c>
      <c r="H3777" t="s">
        <v>15</v>
      </c>
      <c r="I3777" s="2">
        <v>2.6</v>
      </c>
      <c r="J3777" s="4">
        <v>18</v>
      </c>
      <c r="K3777" s="3">
        <v>9</v>
      </c>
      <c r="L3777" s="1">
        <f t="shared" si="174"/>
        <v>69.626199999999997</v>
      </c>
      <c r="M3777" t="str" cm="1">
        <f t="array" ref="M3777">_xlfn.IFS(B3777&lt;18,"Under 18",B3777 &lt;=25,"18-25",B3777&lt;=35,"26-35",B3777&lt;=45,"36-45",B3777&lt;=60,"46-60",TRUE,"60+")</f>
        <v>18-25</v>
      </c>
      <c r="N3777" t="str">
        <f t="shared" si="175"/>
        <v>Discounted</v>
      </c>
      <c r="O3777" t="str">
        <f t="shared" si="176"/>
        <v>Returning</v>
      </c>
    </row>
    <row r="3778" spans="1:15" x14ac:dyDescent="0.25">
      <c r="A3778">
        <v>3777</v>
      </c>
      <c r="B3778">
        <v>59</v>
      </c>
      <c r="C3778" t="s">
        <v>11</v>
      </c>
      <c r="D3778" t="s">
        <v>12</v>
      </c>
      <c r="E3778" t="s">
        <v>50</v>
      </c>
      <c r="F3778" s="1">
        <v>95.39</v>
      </c>
      <c r="G3778" t="s">
        <v>14</v>
      </c>
      <c r="H3778" t="s">
        <v>15</v>
      </c>
      <c r="I3778" s="2">
        <v>5</v>
      </c>
      <c r="J3778" s="4">
        <v>9</v>
      </c>
      <c r="K3778" s="3">
        <v>2</v>
      </c>
      <c r="L3778" s="1">
        <f t="shared" si="174"/>
        <v>86.804900000000004</v>
      </c>
      <c r="M3778" t="str" cm="1">
        <f t="array" ref="M3778">_xlfn.IFS(B3778&lt;18,"Under 18",B3778 &lt;=25,"18-25",B3778&lt;=35,"26-35",B3778&lt;=45,"36-45",B3778&lt;=60,"46-60",TRUE,"60+")</f>
        <v>46-60</v>
      </c>
      <c r="N3778" t="str">
        <f t="shared" si="175"/>
        <v>Discounted</v>
      </c>
      <c r="O3778" t="str">
        <f t="shared" si="176"/>
        <v>Returning</v>
      </c>
    </row>
    <row r="3779" spans="1:15" x14ac:dyDescent="0.25">
      <c r="A3779">
        <v>3778</v>
      </c>
      <c r="B3779">
        <v>21</v>
      </c>
      <c r="C3779" t="s">
        <v>16</v>
      </c>
      <c r="D3779" t="s">
        <v>27</v>
      </c>
      <c r="E3779" t="s">
        <v>32</v>
      </c>
      <c r="F3779" s="1">
        <v>1512.5</v>
      </c>
      <c r="G3779" t="s">
        <v>19</v>
      </c>
      <c r="H3779" t="s">
        <v>15</v>
      </c>
      <c r="I3779" s="2">
        <v>4</v>
      </c>
      <c r="J3779" s="4">
        <v>15</v>
      </c>
      <c r="K3779" s="3">
        <v>5</v>
      </c>
      <c r="L3779" s="1">
        <f t="shared" ref="L3779:L3842" si="177">F3779 * (1 - J3779 / 100)</f>
        <v>1285.625</v>
      </c>
      <c r="M3779" t="str" cm="1">
        <f t="array" ref="M3779">_xlfn.IFS(B3779&lt;18,"Under 18",B3779 &lt;=25,"18-25",B3779&lt;=35,"26-35",B3779&lt;=45,"36-45",B3779&lt;=60,"46-60",TRUE,"60+")</f>
        <v>18-25</v>
      </c>
      <c r="N3779" t="str">
        <f t="shared" ref="N3779:N3842" si="178">IF(J3779&gt;0,"Discounted","No Discount")</f>
        <v>Discounted</v>
      </c>
      <c r="O3779" t="str">
        <f t="shared" ref="O3779:O3842" si="179">IF(K3779&gt;0,"Returning","New")</f>
        <v>Returning</v>
      </c>
    </row>
    <row r="3780" spans="1:15" x14ac:dyDescent="0.25">
      <c r="A3780">
        <v>3779</v>
      </c>
      <c r="B3780">
        <v>35</v>
      </c>
      <c r="C3780" t="s">
        <v>11</v>
      </c>
      <c r="D3780" t="s">
        <v>33</v>
      </c>
      <c r="E3780" t="s">
        <v>38</v>
      </c>
      <c r="F3780" s="1">
        <v>68.790000000000006</v>
      </c>
      <c r="G3780" t="s">
        <v>19</v>
      </c>
      <c r="H3780" t="s">
        <v>37</v>
      </c>
      <c r="I3780" s="2">
        <v>5</v>
      </c>
      <c r="J3780" s="4">
        <v>20</v>
      </c>
      <c r="K3780" s="3">
        <v>5</v>
      </c>
      <c r="L3780" s="1">
        <f t="shared" si="177"/>
        <v>55.032000000000011</v>
      </c>
      <c r="M3780" t="str" cm="1">
        <f t="array" ref="M3780">_xlfn.IFS(B3780&lt;18,"Under 18",B3780 &lt;=25,"18-25",B3780&lt;=35,"26-35",B3780&lt;=45,"36-45",B3780&lt;=60,"46-60",TRUE,"60+")</f>
        <v>26-35</v>
      </c>
      <c r="N3780" t="str">
        <f t="shared" si="178"/>
        <v>Discounted</v>
      </c>
      <c r="O3780" t="str">
        <f t="shared" si="179"/>
        <v>Returning</v>
      </c>
    </row>
    <row r="3781" spans="1:15" x14ac:dyDescent="0.25">
      <c r="A3781">
        <v>3780</v>
      </c>
      <c r="B3781">
        <v>26</v>
      </c>
      <c r="C3781" t="s">
        <v>11</v>
      </c>
      <c r="D3781" t="s">
        <v>29</v>
      </c>
      <c r="E3781" t="s">
        <v>55</v>
      </c>
      <c r="F3781" s="1">
        <v>30.17</v>
      </c>
      <c r="G3781" t="s">
        <v>19</v>
      </c>
      <c r="H3781" t="s">
        <v>15</v>
      </c>
      <c r="I3781" s="2">
        <v>2.8</v>
      </c>
      <c r="J3781" s="4">
        <v>13</v>
      </c>
      <c r="K3781" s="3">
        <v>4</v>
      </c>
      <c r="L3781" s="1">
        <f t="shared" si="177"/>
        <v>26.247900000000001</v>
      </c>
      <c r="M3781" t="str" cm="1">
        <f t="array" ref="M3781">_xlfn.IFS(B3781&lt;18,"Under 18",B3781 &lt;=25,"18-25",B3781&lt;=35,"26-35",B3781&lt;=45,"36-45",B3781&lt;=60,"46-60",TRUE,"60+")</f>
        <v>26-35</v>
      </c>
      <c r="N3781" t="str">
        <f t="shared" si="178"/>
        <v>Discounted</v>
      </c>
      <c r="O3781" t="str">
        <f t="shared" si="179"/>
        <v>Returning</v>
      </c>
    </row>
    <row r="3782" spans="1:15" x14ac:dyDescent="0.25">
      <c r="A3782">
        <v>3781</v>
      </c>
      <c r="B3782">
        <v>40</v>
      </c>
      <c r="C3782" t="s">
        <v>16</v>
      </c>
      <c r="D3782" t="s">
        <v>20</v>
      </c>
      <c r="E3782" t="s">
        <v>36</v>
      </c>
      <c r="F3782" s="1">
        <v>199.87</v>
      </c>
      <c r="G3782" t="s">
        <v>14</v>
      </c>
      <c r="H3782" t="s">
        <v>15</v>
      </c>
      <c r="I3782" s="2">
        <v>3.1</v>
      </c>
      <c r="J3782" s="4">
        <v>7</v>
      </c>
      <c r="K3782" s="3">
        <v>1</v>
      </c>
      <c r="L3782" s="1">
        <f t="shared" si="177"/>
        <v>185.87909999999999</v>
      </c>
      <c r="M3782" t="str" cm="1">
        <f t="array" ref="M3782">_xlfn.IFS(B3782&lt;18,"Under 18",B3782 &lt;=25,"18-25",B3782&lt;=35,"26-35",B3782&lt;=45,"36-45",B3782&lt;=60,"46-60",TRUE,"60+")</f>
        <v>36-45</v>
      </c>
      <c r="N3782" t="str">
        <f t="shared" si="178"/>
        <v>Discounted</v>
      </c>
      <c r="O3782" t="str">
        <f t="shared" si="179"/>
        <v>Returning</v>
      </c>
    </row>
    <row r="3783" spans="1:15" x14ac:dyDescent="0.25">
      <c r="A3783">
        <v>3782</v>
      </c>
      <c r="B3783">
        <v>24</v>
      </c>
      <c r="C3783" t="s">
        <v>11</v>
      </c>
      <c r="D3783" t="s">
        <v>29</v>
      </c>
      <c r="E3783" t="s">
        <v>55</v>
      </c>
      <c r="F3783" s="1">
        <v>47.98</v>
      </c>
      <c r="G3783" t="s">
        <v>31</v>
      </c>
      <c r="H3783" t="s">
        <v>15</v>
      </c>
      <c r="I3783" s="2">
        <v>4.5999999999999996</v>
      </c>
      <c r="J3783" s="4">
        <v>4</v>
      </c>
      <c r="K3783" s="3">
        <v>2</v>
      </c>
      <c r="L3783" s="1">
        <f t="shared" si="177"/>
        <v>46.060799999999993</v>
      </c>
      <c r="M3783" t="str" cm="1">
        <f t="array" ref="M3783">_xlfn.IFS(B3783&lt;18,"Under 18",B3783 &lt;=25,"18-25",B3783&lt;=35,"26-35",B3783&lt;=45,"36-45",B3783&lt;=60,"46-60",TRUE,"60+")</f>
        <v>18-25</v>
      </c>
      <c r="N3783" t="str">
        <f t="shared" si="178"/>
        <v>Discounted</v>
      </c>
      <c r="O3783" t="str">
        <f t="shared" si="179"/>
        <v>Returning</v>
      </c>
    </row>
    <row r="3784" spans="1:15" x14ac:dyDescent="0.25">
      <c r="A3784">
        <v>3783</v>
      </c>
      <c r="B3784">
        <v>68</v>
      </c>
      <c r="C3784" t="s">
        <v>11</v>
      </c>
      <c r="D3784" t="s">
        <v>41</v>
      </c>
      <c r="E3784" t="s">
        <v>45</v>
      </c>
      <c r="F3784" s="1">
        <v>184.65</v>
      </c>
      <c r="G3784" t="s">
        <v>31</v>
      </c>
      <c r="H3784" t="s">
        <v>15</v>
      </c>
      <c r="I3784" s="2">
        <v>3.4</v>
      </c>
      <c r="J3784" s="4">
        <v>14</v>
      </c>
      <c r="K3784" s="3">
        <v>2</v>
      </c>
      <c r="L3784" s="1">
        <f t="shared" si="177"/>
        <v>158.79900000000001</v>
      </c>
      <c r="M3784" t="str" cm="1">
        <f t="array" ref="M3784">_xlfn.IFS(B3784&lt;18,"Under 18",B3784 &lt;=25,"18-25",B3784&lt;=35,"26-35",B3784&lt;=45,"36-45",B3784&lt;=60,"46-60",TRUE,"60+")</f>
        <v>60+</v>
      </c>
      <c r="N3784" t="str">
        <f t="shared" si="178"/>
        <v>Discounted</v>
      </c>
      <c r="O3784" t="str">
        <f t="shared" si="179"/>
        <v>Returning</v>
      </c>
    </row>
    <row r="3785" spans="1:15" x14ac:dyDescent="0.25">
      <c r="A3785">
        <v>3784</v>
      </c>
      <c r="B3785">
        <v>39</v>
      </c>
      <c r="C3785" t="s">
        <v>11</v>
      </c>
      <c r="D3785" t="s">
        <v>20</v>
      </c>
      <c r="E3785" t="s">
        <v>21</v>
      </c>
      <c r="F3785" s="1">
        <v>101.5</v>
      </c>
      <c r="G3785" t="s">
        <v>31</v>
      </c>
      <c r="H3785" t="s">
        <v>15</v>
      </c>
      <c r="I3785" s="2">
        <v>4.5</v>
      </c>
      <c r="J3785" s="4">
        <v>20</v>
      </c>
      <c r="K3785" s="3">
        <v>5</v>
      </c>
      <c r="L3785" s="1">
        <f t="shared" si="177"/>
        <v>81.2</v>
      </c>
      <c r="M3785" t="str" cm="1">
        <f t="array" ref="M3785">_xlfn.IFS(B3785&lt;18,"Under 18",B3785 &lt;=25,"18-25",B3785&lt;=35,"26-35",B3785&lt;=45,"36-45",B3785&lt;=60,"46-60",TRUE,"60+")</f>
        <v>36-45</v>
      </c>
      <c r="N3785" t="str">
        <f t="shared" si="178"/>
        <v>Discounted</v>
      </c>
      <c r="O3785" t="str">
        <f t="shared" si="179"/>
        <v>Returning</v>
      </c>
    </row>
    <row r="3786" spans="1:15" x14ac:dyDescent="0.25">
      <c r="A3786">
        <v>3785</v>
      </c>
      <c r="B3786">
        <v>27</v>
      </c>
      <c r="C3786" t="s">
        <v>16</v>
      </c>
      <c r="D3786" t="s">
        <v>27</v>
      </c>
      <c r="E3786" t="s">
        <v>28</v>
      </c>
      <c r="F3786" s="1">
        <v>502.45</v>
      </c>
      <c r="G3786" t="s">
        <v>24</v>
      </c>
      <c r="H3786" t="s">
        <v>15</v>
      </c>
      <c r="I3786" s="2">
        <v>5</v>
      </c>
      <c r="J3786" s="4">
        <v>16</v>
      </c>
      <c r="K3786" s="3">
        <v>3</v>
      </c>
      <c r="L3786" s="1">
        <f t="shared" si="177"/>
        <v>422.05799999999999</v>
      </c>
      <c r="M3786" t="str" cm="1">
        <f t="array" ref="M3786">_xlfn.IFS(B3786&lt;18,"Under 18",B3786 &lt;=25,"18-25",B3786&lt;=35,"26-35",B3786&lt;=45,"36-45",B3786&lt;=60,"46-60",TRUE,"60+")</f>
        <v>26-35</v>
      </c>
      <c r="N3786" t="str">
        <f t="shared" si="178"/>
        <v>Discounted</v>
      </c>
      <c r="O3786" t="str">
        <f t="shared" si="179"/>
        <v>Returning</v>
      </c>
    </row>
    <row r="3787" spans="1:15" x14ac:dyDescent="0.25">
      <c r="A3787">
        <v>3786</v>
      </c>
      <c r="B3787">
        <v>29</v>
      </c>
      <c r="C3787" t="s">
        <v>11</v>
      </c>
      <c r="D3787" t="s">
        <v>29</v>
      </c>
      <c r="E3787" t="s">
        <v>55</v>
      </c>
      <c r="F3787" s="1">
        <v>137</v>
      </c>
      <c r="G3787" t="s">
        <v>14</v>
      </c>
      <c r="H3787" t="s">
        <v>15</v>
      </c>
      <c r="I3787" s="2">
        <v>4.7</v>
      </c>
      <c r="J3787" s="4">
        <v>22</v>
      </c>
      <c r="K3787" s="3">
        <v>6</v>
      </c>
      <c r="L3787" s="1">
        <f t="shared" si="177"/>
        <v>106.86</v>
      </c>
      <c r="M3787" t="str" cm="1">
        <f t="array" ref="M3787">_xlfn.IFS(B3787&lt;18,"Under 18",B3787 &lt;=25,"18-25",B3787&lt;=35,"26-35",B3787&lt;=45,"36-45",B3787&lt;=60,"46-60",TRUE,"60+")</f>
        <v>26-35</v>
      </c>
      <c r="N3787" t="str">
        <f t="shared" si="178"/>
        <v>Discounted</v>
      </c>
      <c r="O3787" t="str">
        <f t="shared" si="179"/>
        <v>Returning</v>
      </c>
    </row>
    <row r="3788" spans="1:15" x14ac:dyDescent="0.25">
      <c r="A3788">
        <v>3787</v>
      </c>
      <c r="B3788">
        <v>21</v>
      </c>
      <c r="C3788" t="s">
        <v>16</v>
      </c>
      <c r="D3788" t="s">
        <v>20</v>
      </c>
      <c r="E3788" t="s">
        <v>39</v>
      </c>
      <c r="F3788" s="1">
        <v>137.18</v>
      </c>
      <c r="G3788" t="s">
        <v>31</v>
      </c>
      <c r="H3788" t="s">
        <v>15</v>
      </c>
      <c r="I3788" s="2">
        <v>2.8</v>
      </c>
      <c r="J3788" s="4">
        <v>12</v>
      </c>
      <c r="K3788" s="3">
        <v>6</v>
      </c>
      <c r="L3788" s="1">
        <f t="shared" si="177"/>
        <v>120.7184</v>
      </c>
      <c r="M3788" t="str" cm="1">
        <f t="array" ref="M3788">_xlfn.IFS(B3788&lt;18,"Under 18",B3788 &lt;=25,"18-25",B3788&lt;=35,"26-35",B3788&lt;=45,"36-45",B3788&lt;=60,"46-60",TRUE,"60+")</f>
        <v>18-25</v>
      </c>
      <c r="N3788" t="str">
        <f t="shared" si="178"/>
        <v>Discounted</v>
      </c>
      <c r="O3788" t="str">
        <f t="shared" si="179"/>
        <v>Returning</v>
      </c>
    </row>
    <row r="3789" spans="1:15" x14ac:dyDescent="0.25">
      <c r="A3789">
        <v>3788</v>
      </c>
      <c r="B3789">
        <v>52</v>
      </c>
      <c r="C3789" t="s">
        <v>11</v>
      </c>
      <c r="D3789" t="s">
        <v>20</v>
      </c>
      <c r="E3789" t="s">
        <v>21</v>
      </c>
      <c r="F3789" s="1">
        <v>129.61000000000001</v>
      </c>
      <c r="G3789" t="s">
        <v>14</v>
      </c>
      <c r="H3789" t="s">
        <v>15</v>
      </c>
      <c r="I3789" s="2">
        <v>3.8</v>
      </c>
      <c r="J3789" s="4">
        <v>11</v>
      </c>
      <c r="K3789" s="3">
        <v>3</v>
      </c>
      <c r="L3789" s="1">
        <f t="shared" si="177"/>
        <v>115.35290000000002</v>
      </c>
      <c r="M3789" t="str" cm="1">
        <f t="array" ref="M3789">_xlfn.IFS(B3789&lt;18,"Under 18",B3789 &lt;=25,"18-25",B3789&lt;=35,"26-35",B3789&lt;=45,"36-45",B3789&lt;=60,"46-60",TRUE,"60+")</f>
        <v>46-60</v>
      </c>
      <c r="N3789" t="str">
        <f t="shared" si="178"/>
        <v>Discounted</v>
      </c>
      <c r="O3789" t="str">
        <f t="shared" si="179"/>
        <v>Returning</v>
      </c>
    </row>
    <row r="3790" spans="1:15" x14ac:dyDescent="0.25">
      <c r="A3790">
        <v>3789</v>
      </c>
      <c r="B3790">
        <v>39</v>
      </c>
      <c r="C3790" t="s">
        <v>11</v>
      </c>
      <c r="D3790" t="s">
        <v>33</v>
      </c>
      <c r="E3790" t="s">
        <v>40</v>
      </c>
      <c r="F3790" s="1">
        <v>129.19</v>
      </c>
      <c r="G3790" t="s">
        <v>19</v>
      </c>
      <c r="H3790" t="s">
        <v>15</v>
      </c>
      <c r="I3790" s="2">
        <v>3.5</v>
      </c>
      <c r="J3790" s="4">
        <v>11</v>
      </c>
      <c r="K3790" s="3">
        <v>3</v>
      </c>
      <c r="L3790" s="1">
        <f t="shared" si="177"/>
        <v>114.9791</v>
      </c>
      <c r="M3790" t="str" cm="1">
        <f t="array" ref="M3790">_xlfn.IFS(B3790&lt;18,"Under 18",B3790 &lt;=25,"18-25",B3790&lt;=35,"26-35",B3790&lt;=45,"36-45",B3790&lt;=60,"46-60",TRUE,"60+")</f>
        <v>36-45</v>
      </c>
      <c r="N3790" t="str">
        <f t="shared" si="178"/>
        <v>Discounted</v>
      </c>
      <c r="O3790" t="str">
        <f t="shared" si="179"/>
        <v>Returning</v>
      </c>
    </row>
    <row r="3791" spans="1:15" x14ac:dyDescent="0.25">
      <c r="A3791">
        <v>3790</v>
      </c>
      <c r="B3791">
        <v>65</v>
      </c>
      <c r="C3791" t="s">
        <v>16</v>
      </c>
      <c r="D3791" t="s">
        <v>20</v>
      </c>
      <c r="E3791" t="s">
        <v>21</v>
      </c>
      <c r="F3791" s="1">
        <v>154.65</v>
      </c>
      <c r="G3791" t="s">
        <v>24</v>
      </c>
      <c r="H3791" t="s">
        <v>15</v>
      </c>
      <c r="I3791" s="2">
        <v>3.1</v>
      </c>
      <c r="J3791" s="4">
        <v>18</v>
      </c>
      <c r="K3791" s="3">
        <v>4</v>
      </c>
      <c r="L3791" s="1">
        <f t="shared" si="177"/>
        <v>126.81300000000002</v>
      </c>
      <c r="M3791" t="str" cm="1">
        <f t="array" ref="M3791">_xlfn.IFS(B3791&lt;18,"Under 18",B3791 &lt;=25,"18-25",B3791&lt;=35,"26-35",B3791&lt;=45,"36-45",B3791&lt;=60,"46-60",TRUE,"60+")</f>
        <v>60+</v>
      </c>
      <c r="N3791" t="str">
        <f t="shared" si="178"/>
        <v>Discounted</v>
      </c>
      <c r="O3791" t="str">
        <f t="shared" si="179"/>
        <v>Returning</v>
      </c>
    </row>
    <row r="3792" spans="1:15" x14ac:dyDescent="0.25">
      <c r="A3792">
        <v>3791</v>
      </c>
      <c r="B3792">
        <v>67</v>
      </c>
      <c r="C3792" t="s">
        <v>11</v>
      </c>
      <c r="D3792" t="s">
        <v>41</v>
      </c>
      <c r="E3792" t="s">
        <v>42</v>
      </c>
      <c r="F3792" s="1">
        <v>54.55</v>
      </c>
      <c r="G3792" t="s">
        <v>14</v>
      </c>
      <c r="H3792" t="s">
        <v>15</v>
      </c>
      <c r="I3792" s="2">
        <v>4.7</v>
      </c>
      <c r="J3792" s="4">
        <v>19</v>
      </c>
      <c r="K3792" s="3">
        <v>7</v>
      </c>
      <c r="L3792" s="1">
        <f t="shared" si="177"/>
        <v>44.185499999999998</v>
      </c>
      <c r="M3792" t="str" cm="1">
        <f t="array" ref="M3792">_xlfn.IFS(B3792&lt;18,"Under 18",B3792 &lt;=25,"18-25",B3792&lt;=35,"26-35",B3792&lt;=45,"36-45",B3792&lt;=60,"46-60",TRUE,"60+")</f>
        <v>60+</v>
      </c>
      <c r="N3792" t="str">
        <f t="shared" si="178"/>
        <v>Discounted</v>
      </c>
      <c r="O3792" t="str">
        <f t="shared" si="179"/>
        <v>Returning</v>
      </c>
    </row>
    <row r="3793" spans="1:15" x14ac:dyDescent="0.25">
      <c r="A3793">
        <v>3792</v>
      </c>
      <c r="B3793">
        <v>21</v>
      </c>
      <c r="C3793" t="s">
        <v>16</v>
      </c>
      <c r="D3793" t="s">
        <v>20</v>
      </c>
      <c r="E3793" t="s">
        <v>36</v>
      </c>
      <c r="F3793" s="1">
        <v>77.209999999999994</v>
      </c>
      <c r="G3793" t="s">
        <v>19</v>
      </c>
      <c r="H3793" t="s">
        <v>15</v>
      </c>
      <c r="I3793" s="2">
        <v>4.3</v>
      </c>
      <c r="J3793" s="4">
        <v>19</v>
      </c>
      <c r="K3793" s="3">
        <v>7</v>
      </c>
      <c r="L3793" s="1">
        <f t="shared" si="177"/>
        <v>62.540100000000002</v>
      </c>
      <c r="M3793" t="str" cm="1">
        <f t="array" ref="M3793">_xlfn.IFS(B3793&lt;18,"Under 18",B3793 &lt;=25,"18-25",B3793&lt;=35,"26-35",B3793&lt;=45,"36-45",B3793&lt;=60,"46-60",TRUE,"60+")</f>
        <v>18-25</v>
      </c>
      <c r="N3793" t="str">
        <f t="shared" si="178"/>
        <v>Discounted</v>
      </c>
      <c r="O3793" t="str">
        <f t="shared" si="179"/>
        <v>Returning</v>
      </c>
    </row>
    <row r="3794" spans="1:15" x14ac:dyDescent="0.25">
      <c r="A3794">
        <v>3793</v>
      </c>
      <c r="B3794">
        <v>62</v>
      </c>
      <c r="C3794" t="s">
        <v>16</v>
      </c>
      <c r="D3794" t="s">
        <v>27</v>
      </c>
      <c r="E3794" t="s">
        <v>49</v>
      </c>
      <c r="F3794" s="1">
        <v>1865.21</v>
      </c>
      <c r="G3794" t="s">
        <v>24</v>
      </c>
      <c r="H3794" t="s">
        <v>15</v>
      </c>
      <c r="I3794" s="2">
        <v>3.9</v>
      </c>
      <c r="J3794" s="4">
        <v>14</v>
      </c>
      <c r="K3794" s="3">
        <v>2</v>
      </c>
      <c r="L3794" s="1">
        <f t="shared" si="177"/>
        <v>1604.0806</v>
      </c>
      <c r="M3794" t="str" cm="1">
        <f t="array" ref="M3794">_xlfn.IFS(B3794&lt;18,"Under 18",B3794 &lt;=25,"18-25",B3794&lt;=35,"26-35",B3794&lt;=45,"36-45",B3794&lt;=60,"46-60",TRUE,"60+")</f>
        <v>60+</v>
      </c>
      <c r="N3794" t="str">
        <f t="shared" si="178"/>
        <v>Discounted</v>
      </c>
      <c r="O3794" t="str">
        <f t="shared" si="179"/>
        <v>Returning</v>
      </c>
    </row>
    <row r="3795" spans="1:15" x14ac:dyDescent="0.25">
      <c r="A3795">
        <v>3794</v>
      </c>
      <c r="B3795">
        <v>52</v>
      </c>
      <c r="C3795" t="s">
        <v>11</v>
      </c>
      <c r="D3795" t="s">
        <v>29</v>
      </c>
      <c r="E3795" t="s">
        <v>55</v>
      </c>
      <c r="F3795" s="1">
        <v>97.56</v>
      </c>
      <c r="G3795" t="s">
        <v>31</v>
      </c>
      <c r="H3795" t="s">
        <v>15</v>
      </c>
      <c r="I3795" s="2">
        <v>3.6</v>
      </c>
      <c r="J3795" s="4">
        <v>15</v>
      </c>
      <c r="K3795" s="3">
        <v>5</v>
      </c>
      <c r="L3795" s="1">
        <f t="shared" si="177"/>
        <v>82.926000000000002</v>
      </c>
      <c r="M3795" t="str" cm="1">
        <f t="array" ref="M3795">_xlfn.IFS(B3795&lt;18,"Under 18",B3795 &lt;=25,"18-25",B3795&lt;=35,"26-35",B3795&lt;=45,"36-45",B3795&lt;=60,"46-60",TRUE,"60+")</f>
        <v>46-60</v>
      </c>
      <c r="N3795" t="str">
        <f t="shared" si="178"/>
        <v>Discounted</v>
      </c>
      <c r="O3795" t="str">
        <f t="shared" si="179"/>
        <v>Returning</v>
      </c>
    </row>
    <row r="3796" spans="1:15" x14ac:dyDescent="0.25">
      <c r="A3796">
        <v>3795</v>
      </c>
      <c r="B3796">
        <v>28</v>
      </c>
      <c r="C3796" t="s">
        <v>16</v>
      </c>
      <c r="D3796" t="s">
        <v>27</v>
      </c>
      <c r="E3796" t="s">
        <v>32</v>
      </c>
      <c r="F3796" s="1">
        <v>2248.23</v>
      </c>
      <c r="G3796" t="s">
        <v>19</v>
      </c>
      <c r="H3796" t="s">
        <v>15</v>
      </c>
      <c r="I3796" s="2">
        <v>3.6</v>
      </c>
      <c r="J3796" s="4">
        <v>23</v>
      </c>
      <c r="K3796" s="3">
        <v>9</v>
      </c>
      <c r="L3796" s="1">
        <f t="shared" si="177"/>
        <v>1731.1371000000001</v>
      </c>
      <c r="M3796" t="str" cm="1">
        <f t="array" ref="M3796">_xlfn.IFS(B3796&lt;18,"Under 18",B3796 &lt;=25,"18-25",B3796&lt;=35,"26-35",B3796&lt;=45,"36-45",B3796&lt;=60,"46-60",TRUE,"60+")</f>
        <v>26-35</v>
      </c>
      <c r="N3796" t="str">
        <f t="shared" si="178"/>
        <v>Discounted</v>
      </c>
      <c r="O3796" t="str">
        <f t="shared" si="179"/>
        <v>Returning</v>
      </c>
    </row>
    <row r="3797" spans="1:15" x14ac:dyDescent="0.25">
      <c r="A3797">
        <v>3796</v>
      </c>
      <c r="B3797">
        <v>59</v>
      </c>
      <c r="C3797" t="s">
        <v>11</v>
      </c>
      <c r="D3797" t="s">
        <v>25</v>
      </c>
      <c r="E3797" t="s">
        <v>54</v>
      </c>
      <c r="F3797" s="1">
        <v>26.78</v>
      </c>
      <c r="G3797" t="s">
        <v>24</v>
      </c>
      <c r="H3797" t="s">
        <v>15</v>
      </c>
      <c r="I3797" s="2">
        <v>5</v>
      </c>
      <c r="J3797" s="4">
        <v>19</v>
      </c>
      <c r="K3797" s="3">
        <v>7</v>
      </c>
      <c r="L3797" s="1">
        <f t="shared" si="177"/>
        <v>21.691800000000001</v>
      </c>
      <c r="M3797" t="str" cm="1">
        <f t="array" ref="M3797">_xlfn.IFS(B3797&lt;18,"Under 18",B3797 &lt;=25,"18-25",B3797&lt;=35,"26-35",B3797&lt;=45,"36-45",B3797&lt;=60,"46-60",TRUE,"60+")</f>
        <v>46-60</v>
      </c>
      <c r="N3797" t="str">
        <f t="shared" si="178"/>
        <v>Discounted</v>
      </c>
      <c r="O3797" t="str">
        <f t="shared" si="179"/>
        <v>Returning</v>
      </c>
    </row>
    <row r="3798" spans="1:15" x14ac:dyDescent="0.25">
      <c r="A3798">
        <v>3797</v>
      </c>
      <c r="B3798">
        <v>67</v>
      </c>
      <c r="C3798" t="s">
        <v>11</v>
      </c>
      <c r="D3798" t="s">
        <v>29</v>
      </c>
      <c r="E3798" t="s">
        <v>30</v>
      </c>
      <c r="F3798" s="1">
        <v>99.35</v>
      </c>
      <c r="G3798" t="s">
        <v>14</v>
      </c>
      <c r="H3798" t="s">
        <v>37</v>
      </c>
      <c r="I3798" s="2">
        <v>4</v>
      </c>
      <c r="J3798" s="4">
        <v>15</v>
      </c>
      <c r="K3798" s="3">
        <v>5</v>
      </c>
      <c r="L3798" s="1">
        <f t="shared" si="177"/>
        <v>84.447499999999991</v>
      </c>
      <c r="M3798" t="str" cm="1">
        <f t="array" ref="M3798">_xlfn.IFS(B3798&lt;18,"Under 18",B3798 &lt;=25,"18-25",B3798&lt;=35,"26-35",B3798&lt;=45,"36-45",B3798&lt;=60,"46-60",TRUE,"60+")</f>
        <v>60+</v>
      </c>
      <c r="N3798" t="str">
        <f t="shared" si="178"/>
        <v>Discounted</v>
      </c>
      <c r="O3798" t="str">
        <f t="shared" si="179"/>
        <v>Returning</v>
      </c>
    </row>
    <row r="3799" spans="1:15" x14ac:dyDescent="0.25">
      <c r="A3799">
        <v>3798</v>
      </c>
      <c r="B3799">
        <v>35</v>
      </c>
      <c r="C3799" t="s">
        <v>16</v>
      </c>
      <c r="D3799" t="s">
        <v>27</v>
      </c>
      <c r="E3799" t="s">
        <v>32</v>
      </c>
      <c r="F3799" s="1">
        <v>1797.25</v>
      </c>
      <c r="G3799" t="s">
        <v>24</v>
      </c>
      <c r="H3799" t="s">
        <v>15</v>
      </c>
      <c r="I3799" s="2">
        <v>4.5</v>
      </c>
      <c r="J3799" s="4">
        <v>8</v>
      </c>
      <c r="K3799" s="3">
        <v>4</v>
      </c>
      <c r="L3799" s="1">
        <f t="shared" si="177"/>
        <v>1653.47</v>
      </c>
      <c r="M3799" t="str" cm="1">
        <f t="array" ref="M3799">_xlfn.IFS(B3799&lt;18,"Under 18",B3799 &lt;=25,"18-25",B3799&lt;=35,"26-35",B3799&lt;=45,"36-45",B3799&lt;=60,"46-60",TRUE,"60+")</f>
        <v>26-35</v>
      </c>
      <c r="N3799" t="str">
        <f t="shared" si="178"/>
        <v>Discounted</v>
      </c>
      <c r="O3799" t="str">
        <f t="shared" si="179"/>
        <v>Returning</v>
      </c>
    </row>
    <row r="3800" spans="1:15" x14ac:dyDescent="0.25">
      <c r="A3800">
        <v>3799</v>
      </c>
      <c r="B3800">
        <v>68</v>
      </c>
      <c r="C3800" t="s">
        <v>16</v>
      </c>
      <c r="D3800" t="s">
        <v>27</v>
      </c>
      <c r="E3800" t="s">
        <v>53</v>
      </c>
      <c r="F3800" s="1">
        <v>2202.2600000000002</v>
      </c>
      <c r="G3800" t="s">
        <v>19</v>
      </c>
      <c r="H3800" t="s">
        <v>15</v>
      </c>
      <c r="I3800" s="2">
        <v>3.9</v>
      </c>
      <c r="J3800" s="4">
        <v>15</v>
      </c>
      <c r="K3800" s="3">
        <v>5</v>
      </c>
      <c r="L3800" s="1">
        <f t="shared" si="177"/>
        <v>1871.921</v>
      </c>
      <c r="M3800" t="str" cm="1">
        <f t="array" ref="M3800">_xlfn.IFS(B3800&lt;18,"Under 18",B3800 &lt;=25,"18-25",B3800&lt;=35,"26-35",B3800&lt;=45,"36-45",B3800&lt;=60,"46-60",TRUE,"60+")</f>
        <v>60+</v>
      </c>
      <c r="N3800" t="str">
        <f t="shared" si="178"/>
        <v>Discounted</v>
      </c>
      <c r="O3800" t="str">
        <f t="shared" si="179"/>
        <v>Returning</v>
      </c>
    </row>
    <row r="3801" spans="1:15" x14ac:dyDescent="0.25">
      <c r="A3801">
        <v>3800</v>
      </c>
      <c r="B3801">
        <v>43</v>
      </c>
      <c r="C3801" t="s">
        <v>11</v>
      </c>
      <c r="D3801" t="s">
        <v>12</v>
      </c>
      <c r="E3801" t="s">
        <v>56</v>
      </c>
      <c r="F3801" s="1">
        <v>109.12</v>
      </c>
      <c r="G3801" t="s">
        <v>24</v>
      </c>
      <c r="H3801" t="s">
        <v>15</v>
      </c>
      <c r="I3801" s="2">
        <v>3.6</v>
      </c>
      <c r="J3801" s="4">
        <v>16</v>
      </c>
      <c r="K3801" s="3">
        <v>3</v>
      </c>
      <c r="L3801" s="1">
        <f t="shared" si="177"/>
        <v>91.660799999999995</v>
      </c>
      <c r="M3801" t="str" cm="1">
        <f t="array" ref="M3801">_xlfn.IFS(B3801&lt;18,"Under 18",B3801 &lt;=25,"18-25",B3801&lt;=35,"26-35",B3801&lt;=45,"36-45",B3801&lt;=60,"46-60",TRUE,"60+")</f>
        <v>36-45</v>
      </c>
      <c r="N3801" t="str">
        <f t="shared" si="178"/>
        <v>Discounted</v>
      </c>
      <c r="O3801" t="str">
        <f t="shared" si="179"/>
        <v>Returning</v>
      </c>
    </row>
    <row r="3802" spans="1:15" x14ac:dyDescent="0.25">
      <c r="A3802">
        <v>3801</v>
      </c>
      <c r="B3802">
        <v>21</v>
      </c>
      <c r="C3802" t="s">
        <v>11</v>
      </c>
      <c r="D3802" t="s">
        <v>29</v>
      </c>
      <c r="E3802" t="s">
        <v>55</v>
      </c>
      <c r="F3802" s="1">
        <v>76.900000000000006</v>
      </c>
      <c r="G3802" t="s">
        <v>19</v>
      </c>
      <c r="H3802" t="s">
        <v>15</v>
      </c>
      <c r="I3802" s="2">
        <v>4.9000000000000004</v>
      </c>
      <c r="J3802" s="4">
        <v>17</v>
      </c>
      <c r="K3802" s="3">
        <v>6</v>
      </c>
      <c r="L3802" s="1">
        <f t="shared" si="177"/>
        <v>63.826999999999998</v>
      </c>
      <c r="M3802" t="str" cm="1">
        <f t="array" ref="M3802">_xlfn.IFS(B3802&lt;18,"Under 18",B3802 &lt;=25,"18-25",B3802&lt;=35,"26-35",B3802&lt;=45,"36-45",B3802&lt;=60,"46-60",TRUE,"60+")</f>
        <v>18-25</v>
      </c>
      <c r="N3802" t="str">
        <f t="shared" si="178"/>
        <v>Discounted</v>
      </c>
      <c r="O3802" t="str">
        <f t="shared" si="179"/>
        <v>Returning</v>
      </c>
    </row>
    <row r="3803" spans="1:15" x14ac:dyDescent="0.25">
      <c r="A3803">
        <v>3802</v>
      </c>
      <c r="B3803">
        <v>51</v>
      </c>
      <c r="C3803" t="s">
        <v>11</v>
      </c>
      <c r="D3803" t="s">
        <v>12</v>
      </c>
      <c r="E3803" t="s">
        <v>56</v>
      </c>
      <c r="F3803" s="1">
        <v>99.61</v>
      </c>
      <c r="G3803" t="s">
        <v>24</v>
      </c>
      <c r="H3803" t="s">
        <v>15</v>
      </c>
      <c r="I3803" s="2">
        <v>3.8</v>
      </c>
      <c r="J3803" s="4">
        <v>20</v>
      </c>
      <c r="K3803" s="3">
        <v>10</v>
      </c>
      <c r="L3803" s="1">
        <f t="shared" si="177"/>
        <v>79.688000000000002</v>
      </c>
      <c r="M3803" t="str" cm="1">
        <f t="array" ref="M3803">_xlfn.IFS(B3803&lt;18,"Under 18",B3803 &lt;=25,"18-25",B3803&lt;=35,"26-35",B3803&lt;=45,"36-45",B3803&lt;=60,"46-60",TRUE,"60+")</f>
        <v>46-60</v>
      </c>
      <c r="N3803" t="str">
        <f t="shared" si="178"/>
        <v>Discounted</v>
      </c>
      <c r="O3803" t="str">
        <f t="shared" si="179"/>
        <v>Returning</v>
      </c>
    </row>
    <row r="3804" spans="1:15" x14ac:dyDescent="0.25">
      <c r="A3804">
        <v>3803</v>
      </c>
      <c r="B3804">
        <v>64</v>
      </c>
      <c r="C3804" t="s">
        <v>11</v>
      </c>
      <c r="D3804" t="s">
        <v>29</v>
      </c>
      <c r="E3804" t="s">
        <v>30</v>
      </c>
      <c r="F3804" s="1">
        <v>81.88</v>
      </c>
      <c r="G3804" t="s">
        <v>14</v>
      </c>
      <c r="H3804" t="s">
        <v>37</v>
      </c>
      <c r="I3804" s="2">
        <v>4.5999999999999996</v>
      </c>
      <c r="J3804" s="4">
        <v>18</v>
      </c>
      <c r="K3804" s="3">
        <v>4</v>
      </c>
      <c r="L3804" s="1">
        <f t="shared" si="177"/>
        <v>67.141599999999997</v>
      </c>
      <c r="M3804" t="str" cm="1">
        <f t="array" ref="M3804">_xlfn.IFS(B3804&lt;18,"Under 18",B3804 &lt;=25,"18-25",B3804&lt;=35,"26-35",B3804&lt;=45,"36-45",B3804&lt;=60,"46-60",TRUE,"60+")</f>
        <v>60+</v>
      </c>
      <c r="N3804" t="str">
        <f t="shared" si="178"/>
        <v>Discounted</v>
      </c>
      <c r="O3804" t="str">
        <f t="shared" si="179"/>
        <v>Returning</v>
      </c>
    </row>
    <row r="3805" spans="1:15" x14ac:dyDescent="0.25">
      <c r="A3805">
        <v>3804</v>
      </c>
      <c r="B3805">
        <v>38</v>
      </c>
      <c r="C3805" t="s">
        <v>11</v>
      </c>
      <c r="D3805" t="s">
        <v>20</v>
      </c>
      <c r="E3805" t="s">
        <v>36</v>
      </c>
      <c r="F3805" s="1">
        <v>211.85</v>
      </c>
      <c r="G3805" t="s">
        <v>31</v>
      </c>
      <c r="H3805" t="s">
        <v>15</v>
      </c>
      <c r="I3805" s="2">
        <v>4.5</v>
      </c>
      <c r="J3805" s="4">
        <v>2</v>
      </c>
      <c r="K3805" s="3">
        <v>1</v>
      </c>
      <c r="L3805" s="1">
        <f t="shared" si="177"/>
        <v>207.613</v>
      </c>
      <c r="M3805" t="str" cm="1">
        <f t="array" ref="M3805">_xlfn.IFS(B3805&lt;18,"Under 18",B3805 &lt;=25,"18-25",B3805&lt;=35,"26-35",B3805&lt;=45,"36-45",B3805&lt;=60,"46-60",TRUE,"60+")</f>
        <v>36-45</v>
      </c>
      <c r="N3805" t="str">
        <f t="shared" si="178"/>
        <v>Discounted</v>
      </c>
      <c r="O3805" t="str">
        <f t="shared" si="179"/>
        <v>Returning</v>
      </c>
    </row>
    <row r="3806" spans="1:15" x14ac:dyDescent="0.25">
      <c r="A3806">
        <v>3805</v>
      </c>
      <c r="B3806">
        <v>60</v>
      </c>
      <c r="C3806" t="s">
        <v>11</v>
      </c>
      <c r="D3806" t="s">
        <v>29</v>
      </c>
      <c r="E3806" t="s">
        <v>51</v>
      </c>
      <c r="F3806" s="1">
        <v>72.84</v>
      </c>
      <c r="G3806" t="s">
        <v>19</v>
      </c>
      <c r="H3806" t="s">
        <v>15</v>
      </c>
      <c r="I3806" s="2">
        <v>4.5</v>
      </c>
      <c r="J3806" s="4">
        <v>13</v>
      </c>
      <c r="K3806" s="3">
        <v>4</v>
      </c>
      <c r="L3806" s="1">
        <f t="shared" si="177"/>
        <v>63.370800000000003</v>
      </c>
      <c r="M3806" t="str" cm="1">
        <f t="array" ref="M3806">_xlfn.IFS(B3806&lt;18,"Under 18",B3806 &lt;=25,"18-25",B3806&lt;=35,"26-35",B3806&lt;=45,"36-45",B3806&lt;=60,"46-60",TRUE,"60+")</f>
        <v>46-60</v>
      </c>
      <c r="N3806" t="str">
        <f t="shared" si="178"/>
        <v>Discounted</v>
      </c>
      <c r="O3806" t="str">
        <f t="shared" si="179"/>
        <v>Returning</v>
      </c>
    </row>
    <row r="3807" spans="1:15" x14ac:dyDescent="0.25">
      <c r="A3807">
        <v>3806</v>
      </c>
      <c r="B3807">
        <v>33</v>
      </c>
      <c r="C3807" t="s">
        <v>11</v>
      </c>
      <c r="D3807" t="s">
        <v>12</v>
      </c>
      <c r="E3807" t="s">
        <v>56</v>
      </c>
      <c r="F3807" s="1">
        <v>126.38</v>
      </c>
      <c r="G3807" t="s">
        <v>24</v>
      </c>
      <c r="H3807" t="s">
        <v>15</v>
      </c>
      <c r="I3807" s="2">
        <v>2.8</v>
      </c>
      <c r="J3807" s="4">
        <v>12</v>
      </c>
      <c r="K3807" s="3">
        <v>6</v>
      </c>
      <c r="L3807" s="1">
        <f t="shared" si="177"/>
        <v>111.2144</v>
      </c>
      <c r="M3807" t="str" cm="1">
        <f t="array" ref="M3807">_xlfn.IFS(B3807&lt;18,"Under 18",B3807 &lt;=25,"18-25",B3807&lt;=35,"26-35",B3807&lt;=45,"36-45",B3807&lt;=60,"46-60",TRUE,"60+")</f>
        <v>26-35</v>
      </c>
      <c r="N3807" t="str">
        <f t="shared" si="178"/>
        <v>Discounted</v>
      </c>
      <c r="O3807" t="str">
        <f t="shared" si="179"/>
        <v>Returning</v>
      </c>
    </row>
    <row r="3808" spans="1:15" x14ac:dyDescent="0.25">
      <c r="A3808">
        <v>3807</v>
      </c>
      <c r="B3808">
        <v>25</v>
      </c>
      <c r="C3808" t="s">
        <v>11</v>
      </c>
      <c r="D3808" t="s">
        <v>20</v>
      </c>
      <c r="E3808" t="s">
        <v>39</v>
      </c>
      <c r="F3808" s="1">
        <v>91.07</v>
      </c>
      <c r="G3808" t="s">
        <v>31</v>
      </c>
      <c r="H3808" t="s">
        <v>15</v>
      </c>
      <c r="I3808" s="2">
        <v>4.0999999999999996</v>
      </c>
      <c r="J3808" s="4">
        <v>30</v>
      </c>
      <c r="K3808" s="3">
        <v>10</v>
      </c>
      <c r="L3808" s="1">
        <f t="shared" si="177"/>
        <v>63.748999999999988</v>
      </c>
      <c r="M3808" t="str" cm="1">
        <f t="array" ref="M3808">_xlfn.IFS(B3808&lt;18,"Under 18",B3808 &lt;=25,"18-25",B3808&lt;=35,"26-35",B3808&lt;=45,"36-45",B3808&lt;=60,"46-60",TRUE,"60+")</f>
        <v>18-25</v>
      </c>
      <c r="N3808" t="str">
        <f t="shared" si="178"/>
        <v>Discounted</v>
      </c>
      <c r="O3808" t="str">
        <f t="shared" si="179"/>
        <v>Returning</v>
      </c>
    </row>
    <row r="3809" spans="1:15" x14ac:dyDescent="0.25">
      <c r="A3809">
        <v>3808</v>
      </c>
      <c r="B3809">
        <v>42</v>
      </c>
      <c r="C3809" t="s">
        <v>16</v>
      </c>
      <c r="D3809" t="s">
        <v>17</v>
      </c>
      <c r="E3809" t="s">
        <v>48</v>
      </c>
      <c r="F3809" s="1">
        <v>104.3</v>
      </c>
      <c r="G3809" t="s">
        <v>31</v>
      </c>
      <c r="H3809" t="s">
        <v>15</v>
      </c>
      <c r="I3809" s="2">
        <v>4.7</v>
      </c>
      <c r="J3809" s="4">
        <v>11</v>
      </c>
      <c r="K3809" s="3">
        <v>3</v>
      </c>
      <c r="L3809" s="1">
        <f t="shared" si="177"/>
        <v>92.826999999999998</v>
      </c>
      <c r="M3809" t="str" cm="1">
        <f t="array" ref="M3809">_xlfn.IFS(B3809&lt;18,"Under 18",B3809 &lt;=25,"18-25",B3809&lt;=35,"26-35",B3809&lt;=45,"36-45",B3809&lt;=60,"46-60",TRUE,"60+")</f>
        <v>36-45</v>
      </c>
      <c r="N3809" t="str">
        <f t="shared" si="178"/>
        <v>Discounted</v>
      </c>
      <c r="O3809" t="str">
        <f t="shared" si="179"/>
        <v>Returning</v>
      </c>
    </row>
    <row r="3810" spans="1:15" x14ac:dyDescent="0.25">
      <c r="A3810">
        <v>3809</v>
      </c>
      <c r="B3810">
        <v>36</v>
      </c>
      <c r="C3810" t="s">
        <v>11</v>
      </c>
      <c r="D3810" t="s">
        <v>33</v>
      </c>
      <c r="E3810" t="s">
        <v>34</v>
      </c>
      <c r="F3810" s="1">
        <v>142.78</v>
      </c>
      <c r="G3810" t="s">
        <v>19</v>
      </c>
      <c r="H3810" t="s">
        <v>15</v>
      </c>
      <c r="I3810" s="2">
        <v>3.7</v>
      </c>
      <c r="J3810" s="4">
        <v>24</v>
      </c>
      <c r="K3810" s="3">
        <v>7</v>
      </c>
      <c r="L3810" s="1">
        <f t="shared" si="177"/>
        <v>108.5128</v>
      </c>
      <c r="M3810" t="str" cm="1">
        <f t="array" ref="M3810">_xlfn.IFS(B3810&lt;18,"Under 18",B3810 &lt;=25,"18-25",B3810&lt;=35,"26-35",B3810&lt;=45,"36-45",B3810&lt;=60,"46-60",TRUE,"60+")</f>
        <v>36-45</v>
      </c>
      <c r="N3810" t="str">
        <f t="shared" si="178"/>
        <v>Discounted</v>
      </c>
      <c r="O3810" t="str">
        <f t="shared" si="179"/>
        <v>Returning</v>
      </c>
    </row>
    <row r="3811" spans="1:15" x14ac:dyDescent="0.25">
      <c r="A3811">
        <v>3810</v>
      </c>
      <c r="B3811">
        <v>64</v>
      </c>
      <c r="C3811" t="s">
        <v>11</v>
      </c>
      <c r="D3811" t="s">
        <v>41</v>
      </c>
      <c r="E3811" t="s">
        <v>44</v>
      </c>
      <c r="F3811" s="1">
        <v>152.88</v>
      </c>
      <c r="G3811" t="s">
        <v>14</v>
      </c>
      <c r="H3811" t="s">
        <v>15</v>
      </c>
      <c r="I3811" s="2">
        <v>4</v>
      </c>
      <c r="J3811" s="4">
        <v>12</v>
      </c>
      <c r="K3811" s="3">
        <v>6</v>
      </c>
      <c r="L3811" s="1">
        <f t="shared" si="177"/>
        <v>134.53440000000001</v>
      </c>
      <c r="M3811" t="str" cm="1">
        <f t="array" ref="M3811">_xlfn.IFS(B3811&lt;18,"Under 18",B3811 &lt;=25,"18-25",B3811&lt;=35,"26-35",B3811&lt;=45,"36-45",B3811&lt;=60,"46-60",TRUE,"60+")</f>
        <v>60+</v>
      </c>
      <c r="N3811" t="str">
        <f t="shared" si="178"/>
        <v>Discounted</v>
      </c>
      <c r="O3811" t="str">
        <f t="shared" si="179"/>
        <v>Returning</v>
      </c>
    </row>
    <row r="3812" spans="1:15" x14ac:dyDescent="0.25">
      <c r="A3812">
        <v>3811</v>
      </c>
      <c r="B3812">
        <v>33</v>
      </c>
      <c r="C3812" t="s">
        <v>11</v>
      </c>
      <c r="D3812" t="s">
        <v>12</v>
      </c>
      <c r="E3812" t="s">
        <v>56</v>
      </c>
      <c r="F3812" s="1">
        <v>92.62</v>
      </c>
      <c r="G3812" t="s">
        <v>14</v>
      </c>
      <c r="H3812" t="s">
        <v>15</v>
      </c>
      <c r="I3812" s="2">
        <v>3.4</v>
      </c>
      <c r="J3812" s="4">
        <v>10</v>
      </c>
      <c r="K3812" s="3">
        <v>5</v>
      </c>
      <c r="L3812" s="1">
        <f t="shared" si="177"/>
        <v>83.358000000000004</v>
      </c>
      <c r="M3812" t="str" cm="1">
        <f t="array" ref="M3812">_xlfn.IFS(B3812&lt;18,"Under 18",B3812 &lt;=25,"18-25",B3812&lt;=35,"26-35",B3812&lt;=45,"36-45",B3812&lt;=60,"46-60",TRUE,"60+")</f>
        <v>26-35</v>
      </c>
      <c r="N3812" t="str">
        <f t="shared" si="178"/>
        <v>Discounted</v>
      </c>
      <c r="O3812" t="str">
        <f t="shared" si="179"/>
        <v>Returning</v>
      </c>
    </row>
    <row r="3813" spans="1:15" x14ac:dyDescent="0.25">
      <c r="A3813">
        <v>3812</v>
      </c>
      <c r="B3813">
        <v>24</v>
      </c>
      <c r="C3813" t="s">
        <v>11</v>
      </c>
      <c r="D3813" t="s">
        <v>29</v>
      </c>
      <c r="E3813" t="s">
        <v>51</v>
      </c>
      <c r="F3813" s="1">
        <v>35.21</v>
      </c>
      <c r="G3813" t="s">
        <v>31</v>
      </c>
      <c r="H3813" t="s">
        <v>15</v>
      </c>
      <c r="I3813" s="2">
        <v>3.5</v>
      </c>
      <c r="J3813" s="4">
        <v>7</v>
      </c>
      <c r="K3813" s="3">
        <v>1</v>
      </c>
      <c r="L3813" s="1">
        <f t="shared" si="177"/>
        <v>32.7453</v>
      </c>
      <c r="M3813" t="str" cm="1">
        <f t="array" ref="M3813">_xlfn.IFS(B3813&lt;18,"Under 18",B3813 &lt;=25,"18-25",B3813&lt;=35,"26-35",B3813&lt;=45,"36-45",B3813&lt;=60,"46-60",TRUE,"60+")</f>
        <v>18-25</v>
      </c>
      <c r="N3813" t="str">
        <f t="shared" si="178"/>
        <v>Discounted</v>
      </c>
      <c r="O3813" t="str">
        <f t="shared" si="179"/>
        <v>Returning</v>
      </c>
    </row>
    <row r="3814" spans="1:15" x14ac:dyDescent="0.25">
      <c r="A3814">
        <v>3813</v>
      </c>
      <c r="B3814">
        <v>55</v>
      </c>
      <c r="C3814" t="s">
        <v>11</v>
      </c>
      <c r="D3814" t="s">
        <v>29</v>
      </c>
      <c r="E3814" t="s">
        <v>51</v>
      </c>
      <c r="F3814" s="1">
        <v>63.85</v>
      </c>
      <c r="G3814" t="s">
        <v>24</v>
      </c>
      <c r="H3814" t="s">
        <v>15</v>
      </c>
      <c r="I3814" s="2">
        <v>4</v>
      </c>
      <c r="J3814" s="4">
        <v>17</v>
      </c>
      <c r="K3814" s="3">
        <v>6</v>
      </c>
      <c r="L3814" s="1">
        <f t="shared" si="177"/>
        <v>52.9955</v>
      </c>
      <c r="M3814" t="str" cm="1">
        <f t="array" ref="M3814">_xlfn.IFS(B3814&lt;18,"Under 18",B3814 &lt;=25,"18-25",B3814&lt;=35,"26-35",B3814&lt;=45,"36-45",B3814&lt;=60,"46-60",TRUE,"60+")</f>
        <v>46-60</v>
      </c>
      <c r="N3814" t="str">
        <f t="shared" si="178"/>
        <v>Discounted</v>
      </c>
      <c r="O3814" t="str">
        <f t="shared" si="179"/>
        <v>Returning</v>
      </c>
    </row>
    <row r="3815" spans="1:15" x14ac:dyDescent="0.25">
      <c r="A3815">
        <v>3814</v>
      </c>
      <c r="B3815">
        <v>31</v>
      </c>
      <c r="C3815" t="s">
        <v>16</v>
      </c>
      <c r="D3815" t="s">
        <v>27</v>
      </c>
      <c r="E3815" t="s">
        <v>32</v>
      </c>
      <c r="F3815" s="1">
        <v>1015.78</v>
      </c>
      <c r="G3815" t="s">
        <v>14</v>
      </c>
      <c r="H3815" t="s">
        <v>15</v>
      </c>
      <c r="I3815" s="2">
        <v>3.7</v>
      </c>
      <c r="J3815" s="4">
        <v>12</v>
      </c>
      <c r="K3815" s="3">
        <v>6</v>
      </c>
      <c r="L3815" s="1">
        <f t="shared" si="177"/>
        <v>893.88639999999998</v>
      </c>
      <c r="M3815" t="str" cm="1">
        <f t="array" ref="M3815">_xlfn.IFS(B3815&lt;18,"Under 18",B3815 &lt;=25,"18-25",B3815&lt;=35,"26-35",B3815&lt;=45,"36-45",B3815&lt;=60,"46-60",TRUE,"60+")</f>
        <v>26-35</v>
      </c>
      <c r="N3815" t="str">
        <f t="shared" si="178"/>
        <v>Discounted</v>
      </c>
      <c r="O3815" t="str">
        <f t="shared" si="179"/>
        <v>Returning</v>
      </c>
    </row>
    <row r="3816" spans="1:15" x14ac:dyDescent="0.25">
      <c r="A3816">
        <v>3815</v>
      </c>
      <c r="B3816">
        <v>49</v>
      </c>
      <c r="C3816" t="s">
        <v>16</v>
      </c>
      <c r="D3816" t="s">
        <v>17</v>
      </c>
      <c r="E3816" t="s">
        <v>42</v>
      </c>
      <c r="F3816" s="1">
        <v>60.79</v>
      </c>
      <c r="G3816" t="s">
        <v>14</v>
      </c>
      <c r="H3816" t="s">
        <v>15</v>
      </c>
      <c r="I3816" s="2">
        <v>3.9</v>
      </c>
      <c r="J3816" s="4">
        <v>4</v>
      </c>
      <c r="K3816" s="3">
        <v>2</v>
      </c>
      <c r="L3816" s="1">
        <f t="shared" si="177"/>
        <v>58.358399999999996</v>
      </c>
      <c r="M3816" t="str" cm="1">
        <f t="array" ref="M3816">_xlfn.IFS(B3816&lt;18,"Under 18",B3816 &lt;=25,"18-25",B3816&lt;=35,"26-35",B3816&lt;=45,"36-45",B3816&lt;=60,"46-60",TRUE,"60+")</f>
        <v>46-60</v>
      </c>
      <c r="N3816" t="str">
        <f t="shared" si="178"/>
        <v>Discounted</v>
      </c>
      <c r="O3816" t="str">
        <f t="shared" si="179"/>
        <v>Returning</v>
      </c>
    </row>
    <row r="3817" spans="1:15" x14ac:dyDescent="0.25">
      <c r="A3817">
        <v>3816</v>
      </c>
      <c r="B3817">
        <v>61</v>
      </c>
      <c r="C3817" t="s">
        <v>11</v>
      </c>
      <c r="D3817" t="s">
        <v>41</v>
      </c>
      <c r="E3817" t="s">
        <v>46</v>
      </c>
      <c r="F3817" s="1">
        <v>189.41</v>
      </c>
      <c r="G3817" t="s">
        <v>24</v>
      </c>
      <c r="H3817" t="s">
        <v>15</v>
      </c>
      <c r="I3817" s="2">
        <v>3.2</v>
      </c>
      <c r="J3817" s="4">
        <v>6</v>
      </c>
      <c r="K3817" s="3">
        <v>3</v>
      </c>
      <c r="L3817" s="1">
        <f t="shared" si="177"/>
        <v>178.0454</v>
      </c>
      <c r="M3817" t="str" cm="1">
        <f t="array" ref="M3817">_xlfn.IFS(B3817&lt;18,"Under 18",B3817 &lt;=25,"18-25",B3817&lt;=35,"26-35",B3817&lt;=45,"36-45",B3817&lt;=60,"46-60",TRUE,"60+")</f>
        <v>60+</v>
      </c>
      <c r="N3817" t="str">
        <f t="shared" si="178"/>
        <v>Discounted</v>
      </c>
      <c r="O3817" t="str">
        <f t="shared" si="179"/>
        <v>Returning</v>
      </c>
    </row>
    <row r="3818" spans="1:15" x14ac:dyDescent="0.25">
      <c r="A3818">
        <v>3817</v>
      </c>
      <c r="B3818">
        <v>24</v>
      </c>
      <c r="C3818" t="s">
        <v>16</v>
      </c>
      <c r="D3818" t="s">
        <v>25</v>
      </c>
      <c r="E3818" t="s">
        <v>57</v>
      </c>
      <c r="F3818" s="1">
        <v>38.06</v>
      </c>
      <c r="G3818" t="s">
        <v>19</v>
      </c>
      <c r="H3818" t="s">
        <v>37</v>
      </c>
      <c r="I3818" s="2">
        <v>4.7</v>
      </c>
      <c r="J3818" s="4">
        <v>20</v>
      </c>
      <c r="K3818" s="3">
        <v>5</v>
      </c>
      <c r="L3818" s="1">
        <f t="shared" si="177"/>
        <v>30.448000000000004</v>
      </c>
      <c r="M3818" t="str" cm="1">
        <f t="array" ref="M3818">_xlfn.IFS(B3818&lt;18,"Under 18",B3818 &lt;=25,"18-25",B3818&lt;=35,"26-35",B3818&lt;=45,"36-45",B3818&lt;=60,"46-60",TRUE,"60+")</f>
        <v>18-25</v>
      </c>
      <c r="N3818" t="str">
        <f t="shared" si="178"/>
        <v>Discounted</v>
      </c>
      <c r="O3818" t="str">
        <f t="shared" si="179"/>
        <v>Returning</v>
      </c>
    </row>
    <row r="3819" spans="1:15" x14ac:dyDescent="0.25">
      <c r="A3819">
        <v>3818</v>
      </c>
      <c r="B3819">
        <v>32</v>
      </c>
      <c r="C3819" t="s">
        <v>11</v>
      </c>
      <c r="D3819" t="s">
        <v>29</v>
      </c>
      <c r="E3819" t="s">
        <v>55</v>
      </c>
      <c r="F3819" s="1">
        <v>148.62</v>
      </c>
      <c r="G3819" t="s">
        <v>14</v>
      </c>
      <c r="H3819" t="s">
        <v>15</v>
      </c>
      <c r="I3819" s="2">
        <v>3.1</v>
      </c>
      <c r="J3819" s="4">
        <v>4</v>
      </c>
      <c r="K3819" s="3">
        <v>2</v>
      </c>
      <c r="L3819" s="1">
        <f t="shared" si="177"/>
        <v>142.67519999999999</v>
      </c>
      <c r="M3819" t="str" cm="1">
        <f t="array" ref="M3819">_xlfn.IFS(B3819&lt;18,"Under 18",B3819 &lt;=25,"18-25",B3819&lt;=35,"26-35",B3819&lt;=45,"36-45",B3819&lt;=60,"46-60",TRUE,"60+")</f>
        <v>26-35</v>
      </c>
      <c r="N3819" t="str">
        <f t="shared" si="178"/>
        <v>Discounted</v>
      </c>
      <c r="O3819" t="str">
        <f t="shared" si="179"/>
        <v>Returning</v>
      </c>
    </row>
    <row r="3820" spans="1:15" x14ac:dyDescent="0.25">
      <c r="A3820">
        <v>3819</v>
      </c>
      <c r="B3820">
        <v>39</v>
      </c>
      <c r="C3820" t="s">
        <v>16</v>
      </c>
      <c r="D3820" t="s">
        <v>25</v>
      </c>
      <c r="E3820" t="s">
        <v>47</v>
      </c>
      <c r="F3820" s="1">
        <v>70.510000000000005</v>
      </c>
      <c r="G3820" t="s">
        <v>31</v>
      </c>
      <c r="H3820" t="s">
        <v>15</v>
      </c>
      <c r="I3820" s="2">
        <v>4.0999999999999996</v>
      </c>
      <c r="J3820" s="4">
        <v>18</v>
      </c>
      <c r="K3820" s="3">
        <v>4</v>
      </c>
      <c r="L3820" s="1">
        <f t="shared" si="177"/>
        <v>57.818200000000012</v>
      </c>
      <c r="M3820" t="str" cm="1">
        <f t="array" ref="M3820">_xlfn.IFS(B3820&lt;18,"Under 18",B3820 &lt;=25,"18-25",B3820&lt;=35,"26-35",B3820&lt;=45,"36-45",B3820&lt;=60,"46-60",TRUE,"60+")</f>
        <v>36-45</v>
      </c>
      <c r="N3820" t="str">
        <f t="shared" si="178"/>
        <v>Discounted</v>
      </c>
      <c r="O3820" t="str">
        <f t="shared" si="179"/>
        <v>Returning</v>
      </c>
    </row>
    <row r="3821" spans="1:15" x14ac:dyDescent="0.25">
      <c r="A3821">
        <v>3820</v>
      </c>
      <c r="B3821">
        <v>47</v>
      </c>
      <c r="C3821" t="s">
        <v>16</v>
      </c>
      <c r="D3821" t="s">
        <v>17</v>
      </c>
      <c r="E3821" t="s">
        <v>35</v>
      </c>
      <c r="F3821" s="1">
        <v>86.22</v>
      </c>
      <c r="G3821" t="s">
        <v>14</v>
      </c>
      <c r="H3821" t="s">
        <v>37</v>
      </c>
      <c r="I3821" s="2">
        <v>5</v>
      </c>
      <c r="J3821" s="4">
        <v>28</v>
      </c>
      <c r="K3821" s="3">
        <v>9</v>
      </c>
      <c r="L3821" s="1">
        <f t="shared" si="177"/>
        <v>62.078399999999995</v>
      </c>
      <c r="M3821" t="str" cm="1">
        <f t="array" ref="M3821">_xlfn.IFS(B3821&lt;18,"Under 18",B3821 &lt;=25,"18-25",B3821&lt;=35,"26-35",B3821&lt;=45,"36-45",B3821&lt;=60,"46-60",TRUE,"60+")</f>
        <v>46-60</v>
      </c>
      <c r="N3821" t="str">
        <f t="shared" si="178"/>
        <v>Discounted</v>
      </c>
      <c r="O3821" t="str">
        <f t="shared" si="179"/>
        <v>Returning</v>
      </c>
    </row>
    <row r="3822" spans="1:15" x14ac:dyDescent="0.25">
      <c r="A3822">
        <v>3821</v>
      </c>
      <c r="B3822">
        <v>41</v>
      </c>
      <c r="C3822" t="s">
        <v>16</v>
      </c>
      <c r="D3822" t="s">
        <v>25</v>
      </c>
      <c r="E3822" t="s">
        <v>54</v>
      </c>
      <c r="F3822" s="1">
        <v>14.42</v>
      </c>
      <c r="G3822" t="s">
        <v>31</v>
      </c>
      <c r="H3822" t="s">
        <v>37</v>
      </c>
      <c r="I3822" s="2">
        <v>3.8</v>
      </c>
      <c r="J3822" s="4">
        <v>16</v>
      </c>
      <c r="K3822" s="3">
        <v>3</v>
      </c>
      <c r="L3822" s="1">
        <f t="shared" si="177"/>
        <v>12.1128</v>
      </c>
      <c r="M3822" t="str" cm="1">
        <f t="array" ref="M3822">_xlfn.IFS(B3822&lt;18,"Under 18",B3822 &lt;=25,"18-25",B3822&lt;=35,"26-35",B3822&lt;=45,"36-45",B3822&lt;=60,"46-60",TRUE,"60+")</f>
        <v>36-45</v>
      </c>
      <c r="N3822" t="str">
        <f t="shared" si="178"/>
        <v>Discounted</v>
      </c>
      <c r="O3822" t="str">
        <f t="shared" si="179"/>
        <v>Returning</v>
      </c>
    </row>
    <row r="3823" spans="1:15" x14ac:dyDescent="0.25">
      <c r="A3823">
        <v>3822</v>
      </c>
      <c r="B3823">
        <v>70</v>
      </c>
      <c r="C3823" t="s">
        <v>16</v>
      </c>
      <c r="D3823" t="s">
        <v>17</v>
      </c>
      <c r="E3823" t="s">
        <v>48</v>
      </c>
      <c r="F3823" s="1">
        <v>189.46</v>
      </c>
      <c r="G3823" t="s">
        <v>31</v>
      </c>
      <c r="H3823" t="s">
        <v>15</v>
      </c>
      <c r="I3823" s="2">
        <v>4.3</v>
      </c>
      <c r="J3823" s="4">
        <v>20</v>
      </c>
      <c r="K3823" s="3">
        <v>5</v>
      </c>
      <c r="L3823" s="1">
        <f t="shared" si="177"/>
        <v>151.56800000000001</v>
      </c>
      <c r="M3823" t="str" cm="1">
        <f t="array" ref="M3823">_xlfn.IFS(B3823&lt;18,"Under 18",B3823 &lt;=25,"18-25",B3823&lt;=35,"26-35",B3823&lt;=45,"36-45",B3823&lt;=60,"46-60",TRUE,"60+")</f>
        <v>60+</v>
      </c>
      <c r="N3823" t="str">
        <f t="shared" si="178"/>
        <v>Discounted</v>
      </c>
      <c r="O3823" t="str">
        <f t="shared" si="179"/>
        <v>Returning</v>
      </c>
    </row>
    <row r="3824" spans="1:15" x14ac:dyDescent="0.25">
      <c r="A3824">
        <v>3823</v>
      </c>
      <c r="B3824">
        <v>56</v>
      </c>
      <c r="C3824" t="s">
        <v>11</v>
      </c>
      <c r="D3824" t="s">
        <v>29</v>
      </c>
      <c r="E3824" t="s">
        <v>30</v>
      </c>
      <c r="F3824" s="1">
        <v>68.849999999999994</v>
      </c>
      <c r="G3824" t="s">
        <v>14</v>
      </c>
      <c r="H3824" t="s">
        <v>37</v>
      </c>
      <c r="I3824" s="2">
        <v>5</v>
      </c>
      <c r="J3824" s="4">
        <v>10</v>
      </c>
      <c r="K3824" s="3">
        <v>5</v>
      </c>
      <c r="L3824" s="1">
        <f t="shared" si="177"/>
        <v>61.964999999999996</v>
      </c>
      <c r="M3824" t="str" cm="1">
        <f t="array" ref="M3824">_xlfn.IFS(B3824&lt;18,"Under 18",B3824 &lt;=25,"18-25",B3824&lt;=35,"26-35",B3824&lt;=45,"36-45",B3824&lt;=60,"46-60",TRUE,"60+")</f>
        <v>46-60</v>
      </c>
      <c r="N3824" t="str">
        <f t="shared" si="178"/>
        <v>Discounted</v>
      </c>
      <c r="O3824" t="str">
        <f t="shared" si="179"/>
        <v>Returning</v>
      </c>
    </row>
    <row r="3825" spans="1:15" x14ac:dyDescent="0.25">
      <c r="A3825">
        <v>3824</v>
      </c>
      <c r="B3825">
        <v>30</v>
      </c>
      <c r="C3825" t="s">
        <v>16</v>
      </c>
      <c r="D3825" t="s">
        <v>27</v>
      </c>
      <c r="E3825" t="s">
        <v>28</v>
      </c>
      <c r="F3825" s="1">
        <v>1289.45</v>
      </c>
      <c r="G3825" t="s">
        <v>19</v>
      </c>
      <c r="H3825" t="s">
        <v>15</v>
      </c>
      <c r="I3825" s="2">
        <v>3.9</v>
      </c>
      <c r="J3825" s="4">
        <v>24</v>
      </c>
      <c r="K3825" s="3">
        <v>7</v>
      </c>
      <c r="L3825" s="1">
        <f t="shared" si="177"/>
        <v>979.98200000000008</v>
      </c>
      <c r="M3825" t="str" cm="1">
        <f t="array" ref="M3825">_xlfn.IFS(B3825&lt;18,"Under 18",B3825 &lt;=25,"18-25",B3825&lt;=35,"26-35",B3825&lt;=45,"36-45",B3825&lt;=60,"46-60",TRUE,"60+")</f>
        <v>26-35</v>
      </c>
      <c r="N3825" t="str">
        <f t="shared" si="178"/>
        <v>Discounted</v>
      </c>
      <c r="O3825" t="str">
        <f t="shared" si="179"/>
        <v>Returning</v>
      </c>
    </row>
    <row r="3826" spans="1:15" x14ac:dyDescent="0.25">
      <c r="A3826">
        <v>3825</v>
      </c>
      <c r="B3826">
        <v>37</v>
      </c>
      <c r="C3826" t="s">
        <v>16</v>
      </c>
      <c r="D3826" t="s">
        <v>20</v>
      </c>
      <c r="E3826" t="s">
        <v>39</v>
      </c>
      <c r="F3826" s="1">
        <v>152.16</v>
      </c>
      <c r="G3826" t="s">
        <v>14</v>
      </c>
      <c r="H3826" t="s">
        <v>15</v>
      </c>
      <c r="I3826" s="2">
        <v>2.9</v>
      </c>
      <c r="J3826" s="4">
        <v>18</v>
      </c>
      <c r="K3826" s="3">
        <v>4</v>
      </c>
      <c r="L3826" s="1">
        <f t="shared" si="177"/>
        <v>124.77120000000001</v>
      </c>
      <c r="M3826" t="str" cm="1">
        <f t="array" ref="M3826">_xlfn.IFS(B3826&lt;18,"Under 18",B3826 &lt;=25,"18-25",B3826&lt;=35,"26-35",B3826&lt;=45,"36-45",B3826&lt;=60,"46-60",TRUE,"60+")</f>
        <v>36-45</v>
      </c>
      <c r="N3826" t="str">
        <f t="shared" si="178"/>
        <v>Discounted</v>
      </c>
      <c r="O3826" t="str">
        <f t="shared" si="179"/>
        <v>Returning</v>
      </c>
    </row>
    <row r="3827" spans="1:15" x14ac:dyDescent="0.25">
      <c r="A3827">
        <v>3826</v>
      </c>
      <c r="B3827">
        <v>37</v>
      </c>
      <c r="C3827" t="s">
        <v>11</v>
      </c>
      <c r="D3827" t="s">
        <v>12</v>
      </c>
      <c r="E3827" t="s">
        <v>13</v>
      </c>
      <c r="F3827" s="1">
        <v>108.77</v>
      </c>
      <c r="G3827" t="s">
        <v>31</v>
      </c>
      <c r="H3827" t="s">
        <v>15</v>
      </c>
      <c r="I3827" s="2">
        <v>4.2</v>
      </c>
      <c r="J3827" s="4">
        <v>12</v>
      </c>
      <c r="K3827" s="3">
        <v>6</v>
      </c>
      <c r="L3827" s="1">
        <f t="shared" si="177"/>
        <v>95.71759999999999</v>
      </c>
      <c r="M3827" t="str" cm="1">
        <f t="array" ref="M3827">_xlfn.IFS(B3827&lt;18,"Under 18",B3827 &lt;=25,"18-25",B3827&lt;=35,"26-35",B3827&lt;=45,"36-45",B3827&lt;=60,"46-60",TRUE,"60+")</f>
        <v>36-45</v>
      </c>
      <c r="N3827" t="str">
        <f t="shared" si="178"/>
        <v>Discounted</v>
      </c>
      <c r="O3827" t="str">
        <f t="shared" si="179"/>
        <v>Returning</v>
      </c>
    </row>
    <row r="3828" spans="1:15" x14ac:dyDescent="0.25">
      <c r="A3828">
        <v>3827</v>
      </c>
      <c r="B3828">
        <v>57</v>
      </c>
      <c r="C3828" t="s">
        <v>16</v>
      </c>
      <c r="D3828" t="s">
        <v>20</v>
      </c>
      <c r="E3828" t="s">
        <v>36</v>
      </c>
      <c r="F3828" s="1">
        <v>102.42</v>
      </c>
      <c r="G3828" t="s">
        <v>14</v>
      </c>
      <c r="H3828" t="s">
        <v>15</v>
      </c>
      <c r="I3828" s="2">
        <v>3.5</v>
      </c>
      <c r="J3828" s="4">
        <v>2</v>
      </c>
      <c r="K3828" s="3">
        <v>1</v>
      </c>
      <c r="L3828" s="1">
        <f t="shared" si="177"/>
        <v>100.3716</v>
      </c>
      <c r="M3828" t="str" cm="1">
        <f t="array" ref="M3828">_xlfn.IFS(B3828&lt;18,"Under 18",B3828 &lt;=25,"18-25",B3828&lt;=35,"26-35",B3828&lt;=45,"36-45",B3828&lt;=60,"46-60",TRUE,"60+")</f>
        <v>46-60</v>
      </c>
      <c r="N3828" t="str">
        <f t="shared" si="178"/>
        <v>Discounted</v>
      </c>
      <c r="O3828" t="str">
        <f t="shared" si="179"/>
        <v>Returning</v>
      </c>
    </row>
    <row r="3829" spans="1:15" x14ac:dyDescent="0.25">
      <c r="A3829">
        <v>3828</v>
      </c>
      <c r="B3829">
        <v>35</v>
      </c>
      <c r="C3829" t="s">
        <v>11</v>
      </c>
      <c r="D3829" t="s">
        <v>12</v>
      </c>
      <c r="E3829" t="s">
        <v>56</v>
      </c>
      <c r="F3829" s="1">
        <v>89.77</v>
      </c>
      <c r="G3829" t="s">
        <v>19</v>
      </c>
      <c r="H3829" t="s">
        <v>15</v>
      </c>
      <c r="I3829" s="2">
        <v>3.6</v>
      </c>
      <c r="J3829" s="4">
        <v>6</v>
      </c>
      <c r="K3829" s="3">
        <v>3</v>
      </c>
      <c r="L3829" s="1">
        <f t="shared" si="177"/>
        <v>84.383799999999994</v>
      </c>
      <c r="M3829" t="str" cm="1">
        <f t="array" ref="M3829">_xlfn.IFS(B3829&lt;18,"Under 18",B3829 &lt;=25,"18-25",B3829&lt;=35,"26-35",B3829&lt;=45,"36-45",B3829&lt;=60,"46-60",TRUE,"60+")</f>
        <v>26-35</v>
      </c>
      <c r="N3829" t="str">
        <f t="shared" si="178"/>
        <v>Discounted</v>
      </c>
      <c r="O3829" t="str">
        <f t="shared" si="179"/>
        <v>Returning</v>
      </c>
    </row>
    <row r="3830" spans="1:15" x14ac:dyDescent="0.25">
      <c r="A3830">
        <v>3829</v>
      </c>
      <c r="B3830">
        <v>66</v>
      </c>
      <c r="C3830" t="s">
        <v>16</v>
      </c>
      <c r="D3830" t="s">
        <v>27</v>
      </c>
      <c r="E3830" t="s">
        <v>49</v>
      </c>
      <c r="F3830" s="1">
        <v>2342.16</v>
      </c>
      <c r="G3830" t="s">
        <v>31</v>
      </c>
      <c r="H3830" t="s">
        <v>15</v>
      </c>
      <c r="I3830" s="2">
        <v>3.7</v>
      </c>
      <c r="J3830" s="4">
        <v>23</v>
      </c>
      <c r="K3830" s="3">
        <v>9</v>
      </c>
      <c r="L3830" s="1">
        <f t="shared" si="177"/>
        <v>1803.4631999999999</v>
      </c>
      <c r="M3830" t="str" cm="1">
        <f t="array" ref="M3830">_xlfn.IFS(B3830&lt;18,"Under 18",B3830 &lt;=25,"18-25",B3830&lt;=35,"26-35",B3830&lt;=45,"36-45",B3830&lt;=60,"46-60",TRUE,"60+")</f>
        <v>60+</v>
      </c>
      <c r="N3830" t="str">
        <f t="shared" si="178"/>
        <v>Discounted</v>
      </c>
      <c r="O3830" t="str">
        <f t="shared" si="179"/>
        <v>Returning</v>
      </c>
    </row>
    <row r="3831" spans="1:15" x14ac:dyDescent="0.25">
      <c r="A3831">
        <v>3830</v>
      </c>
      <c r="B3831">
        <v>54</v>
      </c>
      <c r="C3831" t="s">
        <v>11</v>
      </c>
      <c r="D3831" t="s">
        <v>29</v>
      </c>
      <c r="E3831" t="s">
        <v>51</v>
      </c>
      <c r="F3831" s="1">
        <v>101.65</v>
      </c>
      <c r="G3831" t="s">
        <v>31</v>
      </c>
      <c r="H3831" t="s">
        <v>15</v>
      </c>
      <c r="I3831" s="2">
        <v>3.9</v>
      </c>
      <c r="J3831" s="4">
        <v>12</v>
      </c>
      <c r="K3831" s="3">
        <v>6</v>
      </c>
      <c r="L3831" s="1">
        <f t="shared" si="177"/>
        <v>89.452000000000012</v>
      </c>
      <c r="M3831" t="str" cm="1">
        <f t="array" ref="M3831">_xlfn.IFS(B3831&lt;18,"Under 18",B3831 &lt;=25,"18-25",B3831&lt;=35,"26-35",B3831&lt;=45,"36-45",B3831&lt;=60,"46-60",TRUE,"60+")</f>
        <v>46-60</v>
      </c>
      <c r="N3831" t="str">
        <f t="shared" si="178"/>
        <v>Discounted</v>
      </c>
      <c r="O3831" t="str">
        <f t="shared" si="179"/>
        <v>Returning</v>
      </c>
    </row>
    <row r="3832" spans="1:15" x14ac:dyDescent="0.25">
      <c r="A3832">
        <v>3831</v>
      </c>
      <c r="B3832">
        <v>57</v>
      </c>
      <c r="C3832" t="s">
        <v>11</v>
      </c>
      <c r="D3832" t="s">
        <v>20</v>
      </c>
      <c r="E3832" t="s">
        <v>39</v>
      </c>
      <c r="F3832" s="1">
        <v>194.84</v>
      </c>
      <c r="G3832" t="s">
        <v>19</v>
      </c>
      <c r="H3832" t="s">
        <v>15</v>
      </c>
      <c r="I3832" s="2">
        <v>4.7</v>
      </c>
      <c r="J3832" s="4">
        <v>22</v>
      </c>
      <c r="K3832" s="3">
        <v>6</v>
      </c>
      <c r="L3832" s="1">
        <f t="shared" si="177"/>
        <v>151.9752</v>
      </c>
      <c r="M3832" t="str" cm="1">
        <f t="array" ref="M3832">_xlfn.IFS(B3832&lt;18,"Under 18",B3832 &lt;=25,"18-25",B3832&lt;=35,"26-35",B3832&lt;=45,"36-45",B3832&lt;=60,"46-60",TRUE,"60+")</f>
        <v>46-60</v>
      </c>
      <c r="N3832" t="str">
        <f t="shared" si="178"/>
        <v>Discounted</v>
      </c>
      <c r="O3832" t="str">
        <f t="shared" si="179"/>
        <v>Returning</v>
      </c>
    </row>
    <row r="3833" spans="1:15" x14ac:dyDescent="0.25">
      <c r="A3833">
        <v>3832</v>
      </c>
      <c r="B3833">
        <v>27</v>
      </c>
      <c r="C3833" t="s">
        <v>16</v>
      </c>
      <c r="D3833" t="s">
        <v>27</v>
      </c>
      <c r="E3833" t="s">
        <v>32</v>
      </c>
      <c r="F3833" s="1">
        <v>1483.08</v>
      </c>
      <c r="G3833" t="s">
        <v>19</v>
      </c>
      <c r="H3833" t="s">
        <v>15</v>
      </c>
      <c r="I3833" s="2">
        <v>4.0999999999999996</v>
      </c>
      <c r="J3833" s="4">
        <v>16</v>
      </c>
      <c r="K3833" s="3">
        <v>3</v>
      </c>
      <c r="L3833" s="1">
        <f t="shared" si="177"/>
        <v>1245.7872</v>
      </c>
      <c r="M3833" t="str" cm="1">
        <f t="array" ref="M3833">_xlfn.IFS(B3833&lt;18,"Under 18",B3833 &lt;=25,"18-25",B3833&lt;=35,"26-35",B3833&lt;=45,"36-45",B3833&lt;=60,"46-60",TRUE,"60+")</f>
        <v>26-35</v>
      </c>
      <c r="N3833" t="str">
        <f t="shared" si="178"/>
        <v>Discounted</v>
      </c>
      <c r="O3833" t="str">
        <f t="shared" si="179"/>
        <v>Returning</v>
      </c>
    </row>
    <row r="3834" spans="1:15" x14ac:dyDescent="0.25">
      <c r="A3834">
        <v>3833</v>
      </c>
      <c r="B3834">
        <v>66</v>
      </c>
      <c r="C3834" t="s">
        <v>11</v>
      </c>
      <c r="D3834" t="s">
        <v>25</v>
      </c>
      <c r="E3834" t="s">
        <v>57</v>
      </c>
      <c r="F3834" s="1">
        <v>16.63</v>
      </c>
      <c r="G3834" t="s">
        <v>19</v>
      </c>
      <c r="H3834" t="s">
        <v>37</v>
      </c>
      <c r="I3834" s="2">
        <v>3</v>
      </c>
      <c r="J3834" s="4">
        <v>15</v>
      </c>
      <c r="K3834" s="3">
        <v>5</v>
      </c>
      <c r="L3834" s="1">
        <f t="shared" si="177"/>
        <v>14.135499999999999</v>
      </c>
      <c r="M3834" t="str" cm="1">
        <f t="array" ref="M3834">_xlfn.IFS(B3834&lt;18,"Under 18",B3834 &lt;=25,"18-25",B3834&lt;=35,"26-35",B3834&lt;=45,"36-45",B3834&lt;=60,"46-60",TRUE,"60+")</f>
        <v>60+</v>
      </c>
      <c r="N3834" t="str">
        <f t="shared" si="178"/>
        <v>Discounted</v>
      </c>
      <c r="O3834" t="str">
        <f t="shared" si="179"/>
        <v>Returning</v>
      </c>
    </row>
    <row r="3835" spans="1:15" x14ac:dyDescent="0.25">
      <c r="A3835">
        <v>3834</v>
      </c>
      <c r="B3835">
        <v>45</v>
      </c>
      <c r="C3835" t="s">
        <v>16</v>
      </c>
      <c r="D3835" t="s">
        <v>20</v>
      </c>
      <c r="E3835" t="s">
        <v>21</v>
      </c>
      <c r="F3835" s="1">
        <v>191.91</v>
      </c>
      <c r="G3835" t="s">
        <v>24</v>
      </c>
      <c r="H3835" t="s">
        <v>15</v>
      </c>
      <c r="I3835" s="2">
        <v>3</v>
      </c>
      <c r="J3835" s="4">
        <v>8</v>
      </c>
      <c r="K3835" s="3">
        <v>4</v>
      </c>
      <c r="L3835" s="1">
        <f t="shared" si="177"/>
        <v>176.55719999999999</v>
      </c>
      <c r="M3835" t="str" cm="1">
        <f t="array" ref="M3835">_xlfn.IFS(B3835&lt;18,"Under 18",B3835 &lt;=25,"18-25",B3835&lt;=35,"26-35",B3835&lt;=45,"36-45",B3835&lt;=60,"46-60",TRUE,"60+")</f>
        <v>36-45</v>
      </c>
      <c r="N3835" t="str">
        <f t="shared" si="178"/>
        <v>Discounted</v>
      </c>
      <c r="O3835" t="str">
        <f t="shared" si="179"/>
        <v>Returning</v>
      </c>
    </row>
    <row r="3836" spans="1:15" x14ac:dyDescent="0.25">
      <c r="A3836">
        <v>3835</v>
      </c>
      <c r="B3836">
        <v>48</v>
      </c>
      <c r="C3836" t="s">
        <v>16</v>
      </c>
      <c r="D3836" t="s">
        <v>17</v>
      </c>
      <c r="E3836" t="s">
        <v>48</v>
      </c>
      <c r="F3836" s="1">
        <v>114.46</v>
      </c>
      <c r="G3836" t="s">
        <v>14</v>
      </c>
      <c r="H3836" t="s">
        <v>15</v>
      </c>
      <c r="I3836" s="2">
        <v>3.5</v>
      </c>
      <c r="J3836" s="4">
        <v>7</v>
      </c>
      <c r="K3836" s="3">
        <v>1</v>
      </c>
      <c r="L3836" s="1">
        <f t="shared" si="177"/>
        <v>106.44779999999999</v>
      </c>
      <c r="M3836" t="str" cm="1">
        <f t="array" ref="M3836">_xlfn.IFS(B3836&lt;18,"Under 18",B3836 &lt;=25,"18-25",B3836&lt;=35,"26-35",B3836&lt;=45,"36-45",B3836&lt;=60,"46-60",TRUE,"60+")</f>
        <v>46-60</v>
      </c>
      <c r="N3836" t="str">
        <f t="shared" si="178"/>
        <v>Discounted</v>
      </c>
      <c r="O3836" t="str">
        <f t="shared" si="179"/>
        <v>Returning</v>
      </c>
    </row>
    <row r="3837" spans="1:15" x14ac:dyDescent="0.25">
      <c r="A3837">
        <v>3836</v>
      </c>
      <c r="B3837">
        <v>44</v>
      </c>
      <c r="C3837" t="s">
        <v>16</v>
      </c>
      <c r="D3837" t="s">
        <v>22</v>
      </c>
      <c r="E3837" t="s">
        <v>23</v>
      </c>
      <c r="F3837" s="1">
        <v>194.94</v>
      </c>
      <c r="G3837" t="s">
        <v>14</v>
      </c>
      <c r="H3837" t="s">
        <v>15</v>
      </c>
      <c r="I3837" s="2">
        <v>2.6</v>
      </c>
      <c r="J3837" s="4">
        <v>20</v>
      </c>
      <c r="K3837" s="3">
        <v>5</v>
      </c>
      <c r="L3837" s="1">
        <f t="shared" si="177"/>
        <v>155.952</v>
      </c>
      <c r="M3837" t="str" cm="1">
        <f t="array" ref="M3837">_xlfn.IFS(B3837&lt;18,"Under 18",B3837 &lt;=25,"18-25",B3837&lt;=35,"26-35",B3837&lt;=45,"36-45",B3837&lt;=60,"46-60",TRUE,"60+")</f>
        <v>36-45</v>
      </c>
      <c r="N3837" t="str">
        <f t="shared" si="178"/>
        <v>Discounted</v>
      </c>
      <c r="O3837" t="str">
        <f t="shared" si="179"/>
        <v>Returning</v>
      </c>
    </row>
    <row r="3838" spans="1:15" x14ac:dyDescent="0.25">
      <c r="A3838">
        <v>3837</v>
      </c>
      <c r="B3838">
        <v>42</v>
      </c>
      <c r="C3838" t="s">
        <v>11</v>
      </c>
      <c r="D3838" t="s">
        <v>41</v>
      </c>
      <c r="E3838" t="s">
        <v>46</v>
      </c>
      <c r="F3838" s="1">
        <v>161.16999999999999</v>
      </c>
      <c r="G3838" t="s">
        <v>19</v>
      </c>
      <c r="H3838" t="s">
        <v>15</v>
      </c>
      <c r="I3838" s="2">
        <v>3.2</v>
      </c>
      <c r="J3838" s="4">
        <v>10</v>
      </c>
      <c r="K3838" s="3">
        <v>5</v>
      </c>
      <c r="L3838" s="1">
        <f t="shared" si="177"/>
        <v>145.053</v>
      </c>
      <c r="M3838" t="str" cm="1">
        <f t="array" ref="M3838">_xlfn.IFS(B3838&lt;18,"Under 18",B3838 &lt;=25,"18-25",B3838&lt;=35,"26-35",B3838&lt;=45,"36-45",B3838&lt;=60,"46-60",TRUE,"60+")</f>
        <v>36-45</v>
      </c>
      <c r="N3838" t="str">
        <f t="shared" si="178"/>
        <v>Discounted</v>
      </c>
      <c r="O3838" t="str">
        <f t="shared" si="179"/>
        <v>Returning</v>
      </c>
    </row>
    <row r="3839" spans="1:15" x14ac:dyDescent="0.25">
      <c r="A3839">
        <v>3838</v>
      </c>
      <c r="B3839">
        <v>21</v>
      </c>
      <c r="C3839" t="s">
        <v>11</v>
      </c>
      <c r="D3839" t="s">
        <v>29</v>
      </c>
      <c r="E3839" t="s">
        <v>51</v>
      </c>
      <c r="F3839" s="1">
        <v>128.63</v>
      </c>
      <c r="G3839" t="s">
        <v>19</v>
      </c>
      <c r="H3839" t="s">
        <v>15</v>
      </c>
      <c r="I3839" s="2">
        <v>3.7</v>
      </c>
      <c r="J3839" s="4">
        <v>16</v>
      </c>
      <c r="K3839" s="3">
        <v>3</v>
      </c>
      <c r="L3839" s="1">
        <f t="shared" si="177"/>
        <v>108.0492</v>
      </c>
      <c r="M3839" t="str" cm="1">
        <f t="array" ref="M3839">_xlfn.IFS(B3839&lt;18,"Under 18",B3839 &lt;=25,"18-25",B3839&lt;=35,"26-35",B3839&lt;=45,"36-45",B3839&lt;=60,"46-60",TRUE,"60+")</f>
        <v>18-25</v>
      </c>
      <c r="N3839" t="str">
        <f t="shared" si="178"/>
        <v>Discounted</v>
      </c>
      <c r="O3839" t="str">
        <f t="shared" si="179"/>
        <v>Returning</v>
      </c>
    </row>
    <row r="3840" spans="1:15" x14ac:dyDescent="0.25">
      <c r="A3840">
        <v>3839</v>
      </c>
      <c r="B3840">
        <v>42</v>
      </c>
      <c r="C3840" t="s">
        <v>16</v>
      </c>
      <c r="D3840" t="s">
        <v>27</v>
      </c>
      <c r="E3840" t="s">
        <v>28</v>
      </c>
      <c r="F3840" s="1">
        <v>1995.79</v>
      </c>
      <c r="G3840" t="s">
        <v>31</v>
      </c>
      <c r="H3840" t="s">
        <v>15</v>
      </c>
      <c r="I3840" s="2">
        <v>3</v>
      </c>
      <c r="J3840" s="4">
        <v>4</v>
      </c>
      <c r="K3840" s="3">
        <v>2</v>
      </c>
      <c r="L3840" s="1">
        <f t="shared" si="177"/>
        <v>1915.9584</v>
      </c>
      <c r="M3840" t="str" cm="1">
        <f t="array" ref="M3840">_xlfn.IFS(B3840&lt;18,"Under 18",B3840 &lt;=25,"18-25",B3840&lt;=35,"26-35",B3840&lt;=45,"36-45",B3840&lt;=60,"46-60",TRUE,"60+")</f>
        <v>36-45</v>
      </c>
      <c r="N3840" t="str">
        <f t="shared" si="178"/>
        <v>Discounted</v>
      </c>
      <c r="O3840" t="str">
        <f t="shared" si="179"/>
        <v>Returning</v>
      </c>
    </row>
    <row r="3841" spans="1:15" x14ac:dyDescent="0.25">
      <c r="A3841">
        <v>3840</v>
      </c>
      <c r="B3841">
        <v>57</v>
      </c>
      <c r="C3841" t="s">
        <v>16</v>
      </c>
      <c r="D3841" t="s">
        <v>33</v>
      </c>
      <c r="E3841" t="s">
        <v>40</v>
      </c>
      <c r="F3841" s="1">
        <v>184.11</v>
      </c>
      <c r="G3841" t="s">
        <v>19</v>
      </c>
      <c r="H3841" t="s">
        <v>15</v>
      </c>
      <c r="I3841" s="2">
        <v>3.4</v>
      </c>
      <c r="J3841" s="4">
        <v>17</v>
      </c>
      <c r="K3841" s="3">
        <v>6</v>
      </c>
      <c r="L3841" s="1">
        <f t="shared" si="177"/>
        <v>152.81130000000002</v>
      </c>
      <c r="M3841" t="str" cm="1">
        <f t="array" ref="M3841">_xlfn.IFS(B3841&lt;18,"Under 18",B3841 &lt;=25,"18-25",B3841&lt;=35,"26-35",B3841&lt;=45,"36-45",B3841&lt;=60,"46-60",TRUE,"60+")</f>
        <v>46-60</v>
      </c>
      <c r="N3841" t="str">
        <f t="shared" si="178"/>
        <v>Discounted</v>
      </c>
      <c r="O3841" t="str">
        <f t="shared" si="179"/>
        <v>Returning</v>
      </c>
    </row>
    <row r="3842" spans="1:15" x14ac:dyDescent="0.25">
      <c r="A3842">
        <v>3841</v>
      </c>
      <c r="B3842">
        <v>31</v>
      </c>
      <c r="C3842" t="s">
        <v>11</v>
      </c>
      <c r="D3842" t="s">
        <v>41</v>
      </c>
      <c r="E3842" t="s">
        <v>45</v>
      </c>
      <c r="F3842" s="1">
        <v>42.28</v>
      </c>
      <c r="G3842" t="s">
        <v>14</v>
      </c>
      <c r="H3842" t="s">
        <v>15</v>
      </c>
      <c r="I3842" s="2">
        <v>4.2</v>
      </c>
      <c r="J3842" s="4">
        <v>8</v>
      </c>
      <c r="K3842" s="3">
        <v>4</v>
      </c>
      <c r="L3842" s="1">
        <f t="shared" si="177"/>
        <v>38.897600000000004</v>
      </c>
      <c r="M3842" t="str" cm="1">
        <f t="array" ref="M3842">_xlfn.IFS(B3842&lt;18,"Under 18",B3842 &lt;=25,"18-25",B3842&lt;=35,"26-35",B3842&lt;=45,"36-45",B3842&lt;=60,"46-60",TRUE,"60+")</f>
        <v>26-35</v>
      </c>
      <c r="N3842" t="str">
        <f t="shared" si="178"/>
        <v>Discounted</v>
      </c>
      <c r="O3842" t="str">
        <f t="shared" si="179"/>
        <v>Returning</v>
      </c>
    </row>
    <row r="3843" spans="1:15" x14ac:dyDescent="0.25">
      <c r="A3843">
        <v>3842</v>
      </c>
      <c r="B3843">
        <v>34</v>
      </c>
      <c r="C3843" t="s">
        <v>11</v>
      </c>
      <c r="D3843" t="s">
        <v>25</v>
      </c>
      <c r="E3843" t="s">
        <v>47</v>
      </c>
      <c r="F3843" s="1">
        <v>32.97</v>
      </c>
      <c r="G3843" t="s">
        <v>19</v>
      </c>
      <c r="H3843" t="s">
        <v>37</v>
      </c>
      <c r="I3843" s="2">
        <v>2.2000000000000002</v>
      </c>
      <c r="J3843" s="4">
        <v>22</v>
      </c>
      <c r="K3843" s="3">
        <v>6</v>
      </c>
      <c r="L3843" s="1">
        <f t="shared" ref="L3843:L3906" si="180">F3843 * (1 - J3843 / 100)</f>
        <v>25.7166</v>
      </c>
      <c r="M3843" t="str" cm="1">
        <f t="array" ref="M3843">_xlfn.IFS(B3843&lt;18,"Under 18",B3843 &lt;=25,"18-25",B3843&lt;=35,"26-35",B3843&lt;=45,"36-45",B3843&lt;=60,"46-60",TRUE,"60+")</f>
        <v>26-35</v>
      </c>
      <c r="N3843" t="str">
        <f t="shared" ref="N3843:N3906" si="181">IF(J3843&gt;0,"Discounted","No Discount")</f>
        <v>Discounted</v>
      </c>
      <c r="O3843" t="str">
        <f t="shared" ref="O3843:O3906" si="182">IF(K3843&gt;0,"Returning","New")</f>
        <v>Returning</v>
      </c>
    </row>
    <row r="3844" spans="1:15" x14ac:dyDescent="0.25">
      <c r="A3844">
        <v>3843</v>
      </c>
      <c r="B3844">
        <v>36</v>
      </c>
      <c r="C3844" t="s">
        <v>16</v>
      </c>
      <c r="D3844" t="s">
        <v>17</v>
      </c>
      <c r="E3844" t="s">
        <v>42</v>
      </c>
      <c r="F3844" s="1">
        <v>177.58</v>
      </c>
      <c r="G3844" t="s">
        <v>14</v>
      </c>
      <c r="H3844" t="s">
        <v>15</v>
      </c>
      <c r="I3844" s="2">
        <v>5</v>
      </c>
      <c r="J3844" s="4">
        <v>20</v>
      </c>
      <c r="K3844" s="3">
        <v>5</v>
      </c>
      <c r="L3844" s="1">
        <f t="shared" si="180"/>
        <v>142.06400000000002</v>
      </c>
      <c r="M3844" t="str" cm="1">
        <f t="array" ref="M3844">_xlfn.IFS(B3844&lt;18,"Under 18",B3844 &lt;=25,"18-25",B3844&lt;=35,"26-35",B3844&lt;=45,"36-45",B3844&lt;=60,"46-60",TRUE,"60+")</f>
        <v>36-45</v>
      </c>
      <c r="N3844" t="str">
        <f t="shared" si="181"/>
        <v>Discounted</v>
      </c>
      <c r="O3844" t="str">
        <f t="shared" si="182"/>
        <v>Returning</v>
      </c>
    </row>
    <row r="3845" spans="1:15" x14ac:dyDescent="0.25">
      <c r="A3845">
        <v>3844</v>
      </c>
      <c r="B3845">
        <v>52</v>
      </c>
      <c r="C3845" t="s">
        <v>16</v>
      </c>
      <c r="D3845" t="s">
        <v>25</v>
      </c>
      <c r="E3845" t="s">
        <v>47</v>
      </c>
      <c r="F3845" s="1">
        <v>28.33</v>
      </c>
      <c r="G3845" t="s">
        <v>31</v>
      </c>
      <c r="H3845" t="s">
        <v>15</v>
      </c>
      <c r="I3845" s="2">
        <v>2.6</v>
      </c>
      <c r="J3845" s="4">
        <v>10</v>
      </c>
      <c r="K3845" s="3">
        <v>5</v>
      </c>
      <c r="L3845" s="1">
        <f t="shared" si="180"/>
        <v>25.497</v>
      </c>
      <c r="M3845" t="str" cm="1">
        <f t="array" ref="M3845">_xlfn.IFS(B3845&lt;18,"Under 18",B3845 &lt;=25,"18-25",B3845&lt;=35,"26-35",B3845&lt;=45,"36-45",B3845&lt;=60,"46-60",TRUE,"60+")</f>
        <v>46-60</v>
      </c>
      <c r="N3845" t="str">
        <f t="shared" si="181"/>
        <v>Discounted</v>
      </c>
      <c r="O3845" t="str">
        <f t="shared" si="182"/>
        <v>Returning</v>
      </c>
    </row>
    <row r="3846" spans="1:15" x14ac:dyDescent="0.25">
      <c r="A3846">
        <v>3845</v>
      </c>
      <c r="B3846">
        <v>56</v>
      </c>
      <c r="C3846" t="s">
        <v>16</v>
      </c>
      <c r="D3846" t="s">
        <v>27</v>
      </c>
      <c r="E3846" t="s">
        <v>53</v>
      </c>
      <c r="F3846" s="1">
        <v>1509.77</v>
      </c>
      <c r="G3846" t="s">
        <v>19</v>
      </c>
      <c r="H3846" t="s">
        <v>15</v>
      </c>
      <c r="I3846" s="2">
        <v>4.0999999999999996</v>
      </c>
      <c r="J3846" s="4">
        <v>8</v>
      </c>
      <c r="K3846" s="3">
        <v>4</v>
      </c>
      <c r="L3846" s="1">
        <f t="shared" si="180"/>
        <v>1388.9884</v>
      </c>
      <c r="M3846" t="str" cm="1">
        <f t="array" ref="M3846">_xlfn.IFS(B3846&lt;18,"Under 18",B3846 &lt;=25,"18-25",B3846&lt;=35,"26-35",B3846&lt;=45,"36-45",B3846&lt;=60,"46-60",TRUE,"60+")</f>
        <v>46-60</v>
      </c>
      <c r="N3846" t="str">
        <f t="shared" si="181"/>
        <v>Discounted</v>
      </c>
      <c r="O3846" t="str">
        <f t="shared" si="182"/>
        <v>Returning</v>
      </c>
    </row>
    <row r="3847" spans="1:15" x14ac:dyDescent="0.25">
      <c r="A3847">
        <v>3846</v>
      </c>
      <c r="B3847">
        <v>22</v>
      </c>
      <c r="C3847" t="s">
        <v>16</v>
      </c>
      <c r="D3847" t="s">
        <v>33</v>
      </c>
      <c r="E3847" t="s">
        <v>34</v>
      </c>
      <c r="F3847" s="1">
        <v>221.34</v>
      </c>
      <c r="G3847" t="s">
        <v>31</v>
      </c>
      <c r="H3847" t="s">
        <v>15</v>
      </c>
      <c r="I3847" s="2">
        <v>3</v>
      </c>
      <c r="J3847" s="4">
        <v>9</v>
      </c>
      <c r="K3847" s="3">
        <v>2</v>
      </c>
      <c r="L3847" s="1">
        <f t="shared" si="180"/>
        <v>201.4194</v>
      </c>
      <c r="M3847" t="str" cm="1">
        <f t="array" ref="M3847">_xlfn.IFS(B3847&lt;18,"Under 18",B3847 &lt;=25,"18-25",B3847&lt;=35,"26-35",B3847&lt;=45,"36-45",B3847&lt;=60,"46-60",TRUE,"60+")</f>
        <v>18-25</v>
      </c>
      <c r="N3847" t="str">
        <f t="shared" si="181"/>
        <v>Discounted</v>
      </c>
      <c r="O3847" t="str">
        <f t="shared" si="182"/>
        <v>Returning</v>
      </c>
    </row>
    <row r="3848" spans="1:15" x14ac:dyDescent="0.25">
      <c r="A3848">
        <v>3847</v>
      </c>
      <c r="B3848">
        <v>25</v>
      </c>
      <c r="C3848" t="s">
        <v>16</v>
      </c>
      <c r="D3848" t="s">
        <v>33</v>
      </c>
      <c r="E3848" t="s">
        <v>34</v>
      </c>
      <c r="F3848" s="1">
        <v>129.19999999999999</v>
      </c>
      <c r="G3848" t="s">
        <v>24</v>
      </c>
      <c r="H3848" t="s">
        <v>15</v>
      </c>
      <c r="I3848" s="2">
        <v>3.8</v>
      </c>
      <c r="J3848" s="4">
        <v>11</v>
      </c>
      <c r="K3848" s="3">
        <v>3</v>
      </c>
      <c r="L3848" s="1">
        <f t="shared" si="180"/>
        <v>114.98799999999999</v>
      </c>
      <c r="M3848" t="str" cm="1">
        <f t="array" ref="M3848">_xlfn.IFS(B3848&lt;18,"Under 18",B3848 &lt;=25,"18-25",B3848&lt;=35,"26-35",B3848&lt;=45,"36-45",B3848&lt;=60,"46-60",TRUE,"60+")</f>
        <v>18-25</v>
      </c>
      <c r="N3848" t="str">
        <f t="shared" si="181"/>
        <v>Discounted</v>
      </c>
      <c r="O3848" t="str">
        <f t="shared" si="182"/>
        <v>Returning</v>
      </c>
    </row>
    <row r="3849" spans="1:15" x14ac:dyDescent="0.25">
      <c r="A3849">
        <v>3848</v>
      </c>
      <c r="B3849">
        <v>33</v>
      </c>
      <c r="C3849" t="s">
        <v>11</v>
      </c>
      <c r="D3849" t="s">
        <v>29</v>
      </c>
      <c r="E3849" t="s">
        <v>51</v>
      </c>
      <c r="F3849" s="1">
        <v>33.51</v>
      </c>
      <c r="G3849" t="s">
        <v>24</v>
      </c>
      <c r="H3849" t="s">
        <v>15</v>
      </c>
      <c r="I3849" s="2">
        <v>3.8</v>
      </c>
      <c r="J3849" s="4">
        <v>16</v>
      </c>
      <c r="K3849" s="3">
        <v>8</v>
      </c>
      <c r="L3849" s="1">
        <f t="shared" si="180"/>
        <v>28.148399999999999</v>
      </c>
      <c r="M3849" t="str" cm="1">
        <f t="array" ref="M3849">_xlfn.IFS(B3849&lt;18,"Under 18",B3849 &lt;=25,"18-25",B3849&lt;=35,"26-35",B3849&lt;=45,"36-45",B3849&lt;=60,"46-60",TRUE,"60+")</f>
        <v>26-35</v>
      </c>
      <c r="N3849" t="str">
        <f t="shared" si="181"/>
        <v>Discounted</v>
      </c>
      <c r="O3849" t="str">
        <f t="shared" si="182"/>
        <v>Returning</v>
      </c>
    </row>
    <row r="3850" spans="1:15" x14ac:dyDescent="0.25">
      <c r="A3850">
        <v>3849</v>
      </c>
      <c r="B3850">
        <v>60</v>
      </c>
      <c r="C3850" t="s">
        <v>11</v>
      </c>
      <c r="D3850" t="s">
        <v>41</v>
      </c>
      <c r="E3850" t="s">
        <v>42</v>
      </c>
      <c r="F3850" s="1">
        <v>73.260000000000005</v>
      </c>
      <c r="G3850" t="s">
        <v>24</v>
      </c>
      <c r="H3850" t="s">
        <v>15</v>
      </c>
      <c r="I3850" s="2">
        <v>3</v>
      </c>
      <c r="J3850" s="4">
        <v>9</v>
      </c>
      <c r="K3850" s="3">
        <v>2</v>
      </c>
      <c r="L3850" s="1">
        <f t="shared" si="180"/>
        <v>66.666600000000003</v>
      </c>
      <c r="M3850" t="str" cm="1">
        <f t="array" ref="M3850">_xlfn.IFS(B3850&lt;18,"Under 18",B3850 &lt;=25,"18-25",B3850&lt;=35,"26-35",B3850&lt;=45,"36-45",B3850&lt;=60,"46-60",TRUE,"60+")</f>
        <v>46-60</v>
      </c>
      <c r="N3850" t="str">
        <f t="shared" si="181"/>
        <v>Discounted</v>
      </c>
      <c r="O3850" t="str">
        <f t="shared" si="182"/>
        <v>Returning</v>
      </c>
    </row>
    <row r="3851" spans="1:15" x14ac:dyDescent="0.25">
      <c r="A3851">
        <v>3850</v>
      </c>
      <c r="B3851">
        <v>22</v>
      </c>
      <c r="C3851" t="s">
        <v>16</v>
      </c>
      <c r="D3851" t="s">
        <v>27</v>
      </c>
      <c r="E3851" t="s">
        <v>53</v>
      </c>
      <c r="F3851" s="1">
        <v>2440.87</v>
      </c>
      <c r="G3851" t="s">
        <v>31</v>
      </c>
      <c r="H3851" t="s">
        <v>15</v>
      </c>
      <c r="I3851" s="2">
        <v>3.7</v>
      </c>
      <c r="J3851" s="4">
        <v>22</v>
      </c>
      <c r="K3851" s="3">
        <v>6</v>
      </c>
      <c r="L3851" s="1">
        <f t="shared" si="180"/>
        <v>1903.8786</v>
      </c>
      <c r="M3851" t="str" cm="1">
        <f t="array" ref="M3851">_xlfn.IFS(B3851&lt;18,"Under 18",B3851 &lt;=25,"18-25",B3851&lt;=35,"26-35",B3851&lt;=45,"36-45",B3851&lt;=60,"46-60",TRUE,"60+")</f>
        <v>18-25</v>
      </c>
      <c r="N3851" t="str">
        <f t="shared" si="181"/>
        <v>Discounted</v>
      </c>
      <c r="O3851" t="str">
        <f t="shared" si="182"/>
        <v>Returning</v>
      </c>
    </row>
    <row r="3852" spans="1:15" x14ac:dyDescent="0.25">
      <c r="A3852">
        <v>3851</v>
      </c>
      <c r="B3852">
        <v>35</v>
      </c>
      <c r="C3852" t="s">
        <v>11</v>
      </c>
      <c r="D3852" t="s">
        <v>22</v>
      </c>
      <c r="E3852" t="s">
        <v>52</v>
      </c>
      <c r="F3852" s="1">
        <v>164.39</v>
      </c>
      <c r="G3852" t="s">
        <v>31</v>
      </c>
      <c r="H3852" t="s">
        <v>15</v>
      </c>
      <c r="I3852" s="2">
        <v>3.9</v>
      </c>
      <c r="J3852" s="4">
        <v>15</v>
      </c>
      <c r="K3852" s="3">
        <v>5</v>
      </c>
      <c r="L3852" s="1">
        <f t="shared" si="180"/>
        <v>139.73149999999998</v>
      </c>
      <c r="M3852" t="str" cm="1">
        <f t="array" ref="M3852">_xlfn.IFS(B3852&lt;18,"Under 18",B3852 &lt;=25,"18-25",B3852&lt;=35,"26-35",B3852&lt;=45,"36-45",B3852&lt;=60,"46-60",TRUE,"60+")</f>
        <v>26-35</v>
      </c>
      <c r="N3852" t="str">
        <f t="shared" si="181"/>
        <v>Discounted</v>
      </c>
      <c r="O3852" t="str">
        <f t="shared" si="182"/>
        <v>Returning</v>
      </c>
    </row>
    <row r="3853" spans="1:15" x14ac:dyDescent="0.25">
      <c r="A3853">
        <v>3852</v>
      </c>
      <c r="B3853">
        <v>35</v>
      </c>
      <c r="C3853" t="s">
        <v>11</v>
      </c>
      <c r="D3853" t="s">
        <v>12</v>
      </c>
      <c r="E3853" t="s">
        <v>13</v>
      </c>
      <c r="F3853" s="1">
        <v>72.819999999999993</v>
      </c>
      <c r="G3853" t="s">
        <v>19</v>
      </c>
      <c r="H3853" t="s">
        <v>37</v>
      </c>
      <c r="I3853" s="2">
        <v>5</v>
      </c>
      <c r="J3853" s="4">
        <v>24</v>
      </c>
      <c r="K3853" s="3">
        <v>7</v>
      </c>
      <c r="L3853" s="1">
        <f t="shared" si="180"/>
        <v>55.343199999999996</v>
      </c>
      <c r="M3853" t="str" cm="1">
        <f t="array" ref="M3853">_xlfn.IFS(B3853&lt;18,"Under 18",B3853 &lt;=25,"18-25",B3853&lt;=35,"26-35",B3853&lt;=45,"36-45",B3853&lt;=60,"46-60",TRUE,"60+")</f>
        <v>26-35</v>
      </c>
      <c r="N3853" t="str">
        <f t="shared" si="181"/>
        <v>Discounted</v>
      </c>
      <c r="O3853" t="str">
        <f t="shared" si="182"/>
        <v>Returning</v>
      </c>
    </row>
    <row r="3854" spans="1:15" x14ac:dyDescent="0.25">
      <c r="A3854">
        <v>3853</v>
      </c>
      <c r="B3854">
        <v>22</v>
      </c>
      <c r="C3854" t="s">
        <v>11</v>
      </c>
      <c r="D3854" t="s">
        <v>33</v>
      </c>
      <c r="E3854" t="s">
        <v>38</v>
      </c>
      <c r="F3854" s="1">
        <v>195.2</v>
      </c>
      <c r="G3854" t="s">
        <v>31</v>
      </c>
      <c r="H3854" t="s">
        <v>15</v>
      </c>
      <c r="I3854" s="2">
        <v>3.6</v>
      </c>
      <c r="J3854" s="4">
        <v>17</v>
      </c>
      <c r="K3854" s="3">
        <v>6</v>
      </c>
      <c r="L3854" s="1">
        <f t="shared" si="180"/>
        <v>162.01599999999999</v>
      </c>
      <c r="M3854" t="str" cm="1">
        <f t="array" ref="M3854">_xlfn.IFS(B3854&lt;18,"Under 18",B3854 &lt;=25,"18-25",B3854&lt;=35,"26-35",B3854&lt;=45,"36-45",B3854&lt;=60,"46-60",TRUE,"60+")</f>
        <v>18-25</v>
      </c>
      <c r="N3854" t="str">
        <f t="shared" si="181"/>
        <v>Discounted</v>
      </c>
      <c r="O3854" t="str">
        <f t="shared" si="182"/>
        <v>Returning</v>
      </c>
    </row>
    <row r="3855" spans="1:15" x14ac:dyDescent="0.25">
      <c r="A3855">
        <v>3854</v>
      </c>
      <c r="B3855">
        <v>52</v>
      </c>
      <c r="C3855" t="s">
        <v>11</v>
      </c>
      <c r="D3855" t="s">
        <v>33</v>
      </c>
      <c r="E3855" t="s">
        <v>38</v>
      </c>
      <c r="F3855" s="1">
        <v>165.9</v>
      </c>
      <c r="G3855" t="s">
        <v>19</v>
      </c>
      <c r="H3855" t="s">
        <v>15</v>
      </c>
      <c r="I3855" s="2">
        <v>3.3</v>
      </c>
      <c r="J3855" s="4">
        <v>7</v>
      </c>
      <c r="K3855" s="3">
        <v>1</v>
      </c>
      <c r="L3855" s="1">
        <f t="shared" si="180"/>
        <v>154.28700000000001</v>
      </c>
      <c r="M3855" t="str" cm="1">
        <f t="array" ref="M3855">_xlfn.IFS(B3855&lt;18,"Under 18",B3855 &lt;=25,"18-25",B3855&lt;=35,"26-35",B3855&lt;=45,"36-45",B3855&lt;=60,"46-60",TRUE,"60+")</f>
        <v>46-60</v>
      </c>
      <c r="N3855" t="str">
        <f t="shared" si="181"/>
        <v>Discounted</v>
      </c>
      <c r="O3855" t="str">
        <f t="shared" si="182"/>
        <v>Returning</v>
      </c>
    </row>
    <row r="3856" spans="1:15" x14ac:dyDescent="0.25">
      <c r="A3856">
        <v>3855</v>
      </c>
      <c r="B3856">
        <v>57</v>
      </c>
      <c r="C3856" t="s">
        <v>16</v>
      </c>
      <c r="D3856" t="s">
        <v>20</v>
      </c>
      <c r="E3856" t="s">
        <v>36</v>
      </c>
      <c r="F3856" s="1">
        <v>53.33</v>
      </c>
      <c r="G3856" t="s">
        <v>14</v>
      </c>
      <c r="H3856" t="s">
        <v>15</v>
      </c>
      <c r="I3856" s="2">
        <v>3.7</v>
      </c>
      <c r="J3856" s="4">
        <v>15</v>
      </c>
      <c r="K3856" s="3">
        <v>5</v>
      </c>
      <c r="L3856" s="1">
        <f t="shared" si="180"/>
        <v>45.330500000000001</v>
      </c>
      <c r="M3856" t="str" cm="1">
        <f t="array" ref="M3856">_xlfn.IFS(B3856&lt;18,"Under 18",B3856 &lt;=25,"18-25",B3856&lt;=35,"26-35",B3856&lt;=45,"36-45",B3856&lt;=60,"46-60",TRUE,"60+")</f>
        <v>46-60</v>
      </c>
      <c r="N3856" t="str">
        <f t="shared" si="181"/>
        <v>Discounted</v>
      </c>
      <c r="O3856" t="str">
        <f t="shared" si="182"/>
        <v>Returning</v>
      </c>
    </row>
    <row r="3857" spans="1:15" x14ac:dyDescent="0.25">
      <c r="A3857">
        <v>3856</v>
      </c>
      <c r="B3857">
        <v>43</v>
      </c>
      <c r="C3857" t="s">
        <v>16</v>
      </c>
      <c r="D3857" t="s">
        <v>20</v>
      </c>
      <c r="E3857" t="s">
        <v>36</v>
      </c>
      <c r="F3857" s="1">
        <v>186.13</v>
      </c>
      <c r="G3857" t="s">
        <v>31</v>
      </c>
      <c r="H3857" t="s">
        <v>15</v>
      </c>
      <c r="I3857" s="2">
        <v>2.7</v>
      </c>
      <c r="J3857" s="4">
        <v>8</v>
      </c>
      <c r="K3857" s="3">
        <v>4</v>
      </c>
      <c r="L3857" s="1">
        <f t="shared" si="180"/>
        <v>171.2396</v>
      </c>
      <c r="M3857" t="str" cm="1">
        <f t="array" ref="M3857">_xlfn.IFS(B3857&lt;18,"Under 18",B3857 &lt;=25,"18-25",B3857&lt;=35,"26-35",B3857&lt;=45,"36-45",B3857&lt;=60,"46-60",TRUE,"60+")</f>
        <v>36-45</v>
      </c>
      <c r="N3857" t="str">
        <f t="shared" si="181"/>
        <v>Discounted</v>
      </c>
      <c r="O3857" t="str">
        <f t="shared" si="182"/>
        <v>Returning</v>
      </c>
    </row>
    <row r="3858" spans="1:15" x14ac:dyDescent="0.25">
      <c r="A3858">
        <v>3857</v>
      </c>
      <c r="B3858">
        <v>51</v>
      </c>
      <c r="C3858" t="s">
        <v>16</v>
      </c>
      <c r="D3858" t="s">
        <v>17</v>
      </c>
      <c r="E3858" t="s">
        <v>35</v>
      </c>
      <c r="F3858" s="1">
        <v>71.650000000000006</v>
      </c>
      <c r="G3858" t="s">
        <v>31</v>
      </c>
      <c r="H3858" t="s">
        <v>37</v>
      </c>
      <c r="I3858" s="2">
        <v>4.2</v>
      </c>
      <c r="J3858" s="4">
        <v>19</v>
      </c>
      <c r="K3858" s="3">
        <v>7</v>
      </c>
      <c r="L3858" s="1">
        <f t="shared" si="180"/>
        <v>58.036500000000011</v>
      </c>
      <c r="M3858" t="str" cm="1">
        <f t="array" ref="M3858">_xlfn.IFS(B3858&lt;18,"Under 18",B3858 &lt;=25,"18-25",B3858&lt;=35,"26-35",B3858&lt;=45,"36-45",B3858&lt;=60,"46-60",TRUE,"60+")</f>
        <v>46-60</v>
      </c>
      <c r="N3858" t="str">
        <f t="shared" si="181"/>
        <v>Discounted</v>
      </c>
      <c r="O3858" t="str">
        <f t="shared" si="182"/>
        <v>Returning</v>
      </c>
    </row>
    <row r="3859" spans="1:15" x14ac:dyDescent="0.25">
      <c r="A3859">
        <v>3858</v>
      </c>
      <c r="B3859">
        <v>55</v>
      </c>
      <c r="C3859" t="s">
        <v>16</v>
      </c>
      <c r="D3859" t="s">
        <v>20</v>
      </c>
      <c r="E3859" t="s">
        <v>36</v>
      </c>
      <c r="F3859" s="1">
        <v>128.66999999999999</v>
      </c>
      <c r="G3859" t="s">
        <v>19</v>
      </c>
      <c r="H3859" t="s">
        <v>15</v>
      </c>
      <c r="I3859" s="2">
        <v>4.0999999999999996</v>
      </c>
      <c r="J3859" s="4">
        <v>20</v>
      </c>
      <c r="K3859" s="3">
        <v>5</v>
      </c>
      <c r="L3859" s="1">
        <f t="shared" si="180"/>
        <v>102.93599999999999</v>
      </c>
      <c r="M3859" t="str" cm="1">
        <f t="array" ref="M3859">_xlfn.IFS(B3859&lt;18,"Under 18",B3859 &lt;=25,"18-25",B3859&lt;=35,"26-35",B3859&lt;=45,"36-45",B3859&lt;=60,"46-60",TRUE,"60+")</f>
        <v>46-60</v>
      </c>
      <c r="N3859" t="str">
        <f t="shared" si="181"/>
        <v>Discounted</v>
      </c>
      <c r="O3859" t="str">
        <f t="shared" si="182"/>
        <v>Returning</v>
      </c>
    </row>
    <row r="3860" spans="1:15" x14ac:dyDescent="0.25">
      <c r="A3860">
        <v>3859</v>
      </c>
      <c r="B3860">
        <v>68</v>
      </c>
      <c r="C3860" t="s">
        <v>11</v>
      </c>
      <c r="D3860" t="s">
        <v>29</v>
      </c>
      <c r="E3860" t="s">
        <v>51</v>
      </c>
      <c r="F3860" s="1">
        <v>72.5</v>
      </c>
      <c r="G3860" t="s">
        <v>14</v>
      </c>
      <c r="H3860" t="s">
        <v>37</v>
      </c>
      <c r="I3860" s="2">
        <v>3</v>
      </c>
      <c r="J3860" s="4">
        <v>28</v>
      </c>
      <c r="K3860" s="3">
        <v>9</v>
      </c>
      <c r="L3860" s="1">
        <f t="shared" si="180"/>
        <v>52.199999999999996</v>
      </c>
      <c r="M3860" t="str" cm="1">
        <f t="array" ref="M3860">_xlfn.IFS(B3860&lt;18,"Under 18",B3860 &lt;=25,"18-25",B3860&lt;=35,"26-35",B3860&lt;=45,"36-45",B3860&lt;=60,"46-60",TRUE,"60+")</f>
        <v>60+</v>
      </c>
      <c r="N3860" t="str">
        <f t="shared" si="181"/>
        <v>Discounted</v>
      </c>
      <c r="O3860" t="str">
        <f t="shared" si="182"/>
        <v>Returning</v>
      </c>
    </row>
    <row r="3861" spans="1:15" x14ac:dyDescent="0.25">
      <c r="A3861">
        <v>3860</v>
      </c>
      <c r="B3861">
        <v>61</v>
      </c>
      <c r="C3861" t="s">
        <v>11</v>
      </c>
      <c r="D3861" t="s">
        <v>25</v>
      </c>
      <c r="E3861" t="s">
        <v>54</v>
      </c>
      <c r="F3861" s="1">
        <v>25.6</v>
      </c>
      <c r="G3861" t="s">
        <v>19</v>
      </c>
      <c r="H3861" t="s">
        <v>37</v>
      </c>
      <c r="I3861" s="2">
        <v>4</v>
      </c>
      <c r="J3861" s="4">
        <v>13</v>
      </c>
      <c r="K3861" s="3">
        <v>4</v>
      </c>
      <c r="L3861" s="1">
        <f t="shared" si="180"/>
        <v>22.272000000000002</v>
      </c>
      <c r="M3861" t="str" cm="1">
        <f t="array" ref="M3861">_xlfn.IFS(B3861&lt;18,"Under 18",B3861 &lt;=25,"18-25",B3861&lt;=35,"26-35",B3861&lt;=45,"36-45",B3861&lt;=60,"46-60",TRUE,"60+")</f>
        <v>60+</v>
      </c>
      <c r="N3861" t="str">
        <f t="shared" si="181"/>
        <v>Discounted</v>
      </c>
      <c r="O3861" t="str">
        <f t="shared" si="182"/>
        <v>Returning</v>
      </c>
    </row>
    <row r="3862" spans="1:15" x14ac:dyDescent="0.25">
      <c r="A3862">
        <v>3861</v>
      </c>
      <c r="B3862">
        <v>54</v>
      </c>
      <c r="C3862" t="s">
        <v>11</v>
      </c>
      <c r="D3862" t="s">
        <v>41</v>
      </c>
      <c r="E3862" t="s">
        <v>42</v>
      </c>
      <c r="F3862" s="1">
        <v>48.92</v>
      </c>
      <c r="G3862" t="s">
        <v>31</v>
      </c>
      <c r="H3862" t="s">
        <v>15</v>
      </c>
      <c r="I3862" s="2">
        <v>4.2</v>
      </c>
      <c r="J3862" s="4">
        <v>22</v>
      </c>
      <c r="K3862" s="3">
        <v>6</v>
      </c>
      <c r="L3862" s="1">
        <f t="shared" si="180"/>
        <v>38.157600000000002</v>
      </c>
      <c r="M3862" t="str" cm="1">
        <f t="array" ref="M3862">_xlfn.IFS(B3862&lt;18,"Under 18",B3862 &lt;=25,"18-25",B3862&lt;=35,"26-35",B3862&lt;=45,"36-45",B3862&lt;=60,"46-60",TRUE,"60+")</f>
        <v>46-60</v>
      </c>
      <c r="N3862" t="str">
        <f t="shared" si="181"/>
        <v>Discounted</v>
      </c>
      <c r="O3862" t="str">
        <f t="shared" si="182"/>
        <v>Returning</v>
      </c>
    </row>
    <row r="3863" spans="1:15" x14ac:dyDescent="0.25">
      <c r="A3863">
        <v>3862</v>
      </c>
      <c r="B3863">
        <v>65</v>
      </c>
      <c r="C3863" t="s">
        <v>11</v>
      </c>
      <c r="D3863" t="s">
        <v>12</v>
      </c>
      <c r="E3863" t="s">
        <v>13</v>
      </c>
      <c r="F3863" s="1">
        <v>82.14</v>
      </c>
      <c r="G3863" t="s">
        <v>31</v>
      </c>
      <c r="H3863" t="s">
        <v>37</v>
      </c>
      <c r="I3863" s="2">
        <v>3.3</v>
      </c>
      <c r="J3863" s="4">
        <v>17</v>
      </c>
      <c r="K3863" s="3">
        <v>6</v>
      </c>
      <c r="L3863" s="1">
        <f t="shared" si="180"/>
        <v>68.176199999999994</v>
      </c>
      <c r="M3863" t="str" cm="1">
        <f t="array" ref="M3863">_xlfn.IFS(B3863&lt;18,"Under 18",B3863 &lt;=25,"18-25",B3863&lt;=35,"26-35",B3863&lt;=45,"36-45",B3863&lt;=60,"46-60",TRUE,"60+")</f>
        <v>60+</v>
      </c>
      <c r="N3863" t="str">
        <f t="shared" si="181"/>
        <v>Discounted</v>
      </c>
      <c r="O3863" t="str">
        <f t="shared" si="182"/>
        <v>Returning</v>
      </c>
    </row>
    <row r="3864" spans="1:15" x14ac:dyDescent="0.25">
      <c r="A3864">
        <v>3863</v>
      </c>
      <c r="B3864">
        <v>42</v>
      </c>
      <c r="C3864" t="s">
        <v>16</v>
      </c>
      <c r="D3864" t="s">
        <v>33</v>
      </c>
      <c r="E3864" t="s">
        <v>34</v>
      </c>
      <c r="F3864" s="1">
        <v>74.959999999999994</v>
      </c>
      <c r="G3864" t="s">
        <v>24</v>
      </c>
      <c r="H3864" t="s">
        <v>37</v>
      </c>
      <c r="I3864" s="2">
        <v>2.4</v>
      </c>
      <c r="J3864" s="4">
        <v>22</v>
      </c>
      <c r="K3864" s="3">
        <v>6</v>
      </c>
      <c r="L3864" s="1">
        <f t="shared" si="180"/>
        <v>58.468799999999995</v>
      </c>
      <c r="M3864" t="str" cm="1">
        <f t="array" ref="M3864">_xlfn.IFS(B3864&lt;18,"Under 18",B3864 &lt;=25,"18-25",B3864&lt;=35,"26-35",B3864&lt;=45,"36-45",B3864&lt;=60,"46-60",TRUE,"60+")</f>
        <v>36-45</v>
      </c>
      <c r="N3864" t="str">
        <f t="shared" si="181"/>
        <v>Discounted</v>
      </c>
      <c r="O3864" t="str">
        <f t="shared" si="182"/>
        <v>Returning</v>
      </c>
    </row>
    <row r="3865" spans="1:15" x14ac:dyDescent="0.25">
      <c r="A3865">
        <v>3864</v>
      </c>
      <c r="B3865">
        <v>53</v>
      </c>
      <c r="C3865" t="s">
        <v>11</v>
      </c>
      <c r="D3865" t="s">
        <v>25</v>
      </c>
      <c r="E3865" t="s">
        <v>47</v>
      </c>
      <c r="F3865" s="1">
        <v>36.549999999999997</v>
      </c>
      <c r="G3865" t="s">
        <v>19</v>
      </c>
      <c r="H3865" t="s">
        <v>15</v>
      </c>
      <c r="I3865" s="2">
        <v>3.8</v>
      </c>
      <c r="J3865" s="4">
        <v>15</v>
      </c>
      <c r="K3865" s="3">
        <v>5</v>
      </c>
      <c r="L3865" s="1">
        <f t="shared" si="180"/>
        <v>31.067499999999995</v>
      </c>
      <c r="M3865" t="str" cm="1">
        <f t="array" ref="M3865">_xlfn.IFS(B3865&lt;18,"Under 18",B3865 &lt;=25,"18-25",B3865&lt;=35,"26-35",B3865&lt;=45,"36-45",B3865&lt;=60,"46-60",TRUE,"60+")</f>
        <v>46-60</v>
      </c>
      <c r="N3865" t="str">
        <f t="shared" si="181"/>
        <v>Discounted</v>
      </c>
      <c r="O3865" t="str">
        <f t="shared" si="182"/>
        <v>Returning</v>
      </c>
    </row>
    <row r="3866" spans="1:15" x14ac:dyDescent="0.25">
      <c r="A3866">
        <v>3865</v>
      </c>
      <c r="B3866">
        <v>25</v>
      </c>
      <c r="C3866" t="s">
        <v>16</v>
      </c>
      <c r="D3866" t="s">
        <v>20</v>
      </c>
      <c r="E3866" t="s">
        <v>21</v>
      </c>
      <c r="F3866" s="1">
        <v>162.61000000000001</v>
      </c>
      <c r="G3866" t="s">
        <v>24</v>
      </c>
      <c r="H3866" t="s">
        <v>15</v>
      </c>
      <c r="I3866" s="2">
        <v>4.7</v>
      </c>
      <c r="J3866" s="4">
        <v>16</v>
      </c>
      <c r="K3866" s="3">
        <v>3</v>
      </c>
      <c r="L3866" s="1">
        <f t="shared" si="180"/>
        <v>136.5924</v>
      </c>
      <c r="M3866" t="str" cm="1">
        <f t="array" ref="M3866">_xlfn.IFS(B3866&lt;18,"Under 18",B3866 &lt;=25,"18-25",B3866&lt;=35,"26-35",B3866&lt;=45,"36-45",B3866&lt;=60,"46-60",TRUE,"60+")</f>
        <v>18-25</v>
      </c>
      <c r="N3866" t="str">
        <f t="shared" si="181"/>
        <v>Discounted</v>
      </c>
      <c r="O3866" t="str">
        <f t="shared" si="182"/>
        <v>Returning</v>
      </c>
    </row>
    <row r="3867" spans="1:15" x14ac:dyDescent="0.25">
      <c r="A3867">
        <v>3866</v>
      </c>
      <c r="B3867">
        <v>49</v>
      </c>
      <c r="C3867" t="s">
        <v>16</v>
      </c>
      <c r="D3867" t="s">
        <v>20</v>
      </c>
      <c r="E3867" t="s">
        <v>21</v>
      </c>
      <c r="F3867" s="1">
        <v>75.87</v>
      </c>
      <c r="G3867" t="s">
        <v>19</v>
      </c>
      <c r="H3867" t="s">
        <v>37</v>
      </c>
      <c r="I3867" s="2">
        <v>3</v>
      </c>
      <c r="J3867" s="4">
        <v>11</v>
      </c>
      <c r="K3867" s="3">
        <v>3</v>
      </c>
      <c r="L3867" s="1">
        <f t="shared" si="180"/>
        <v>67.524300000000011</v>
      </c>
      <c r="M3867" t="str" cm="1">
        <f t="array" ref="M3867">_xlfn.IFS(B3867&lt;18,"Under 18",B3867 &lt;=25,"18-25",B3867&lt;=35,"26-35",B3867&lt;=45,"36-45",B3867&lt;=60,"46-60",TRUE,"60+")</f>
        <v>46-60</v>
      </c>
      <c r="N3867" t="str">
        <f t="shared" si="181"/>
        <v>Discounted</v>
      </c>
      <c r="O3867" t="str">
        <f t="shared" si="182"/>
        <v>Returning</v>
      </c>
    </row>
    <row r="3868" spans="1:15" x14ac:dyDescent="0.25">
      <c r="A3868">
        <v>3867</v>
      </c>
      <c r="B3868">
        <v>59</v>
      </c>
      <c r="C3868" t="s">
        <v>11</v>
      </c>
      <c r="D3868" t="s">
        <v>25</v>
      </c>
      <c r="E3868" t="s">
        <v>47</v>
      </c>
      <c r="F3868" s="1">
        <v>16.71</v>
      </c>
      <c r="G3868" t="s">
        <v>31</v>
      </c>
      <c r="H3868" t="s">
        <v>15</v>
      </c>
      <c r="I3868" s="2">
        <v>3.9</v>
      </c>
      <c r="J3868" s="4">
        <v>17</v>
      </c>
      <c r="K3868" s="3">
        <v>6</v>
      </c>
      <c r="L3868" s="1">
        <f t="shared" si="180"/>
        <v>13.869300000000001</v>
      </c>
      <c r="M3868" t="str" cm="1">
        <f t="array" ref="M3868">_xlfn.IFS(B3868&lt;18,"Under 18",B3868 &lt;=25,"18-25",B3868&lt;=35,"26-35",B3868&lt;=45,"36-45",B3868&lt;=60,"46-60",TRUE,"60+")</f>
        <v>46-60</v>
      </c>
      <c r="N3868" t="str">
        <f t="shared" si="181"/>
        <v>Discounted</v>
      </c>
      <c r="O3868" t="str">
        <f t="shared" si="182"/>
        <v>Returning</v>
      </c>
    </row>
    <row r="3869" spans="1:15" x14ac:dyDescent="0.25">
      <c r="A3869">
        <v>3868</v>
      </c>
      <c r="B3869">
        <v>66</v>
      </c>
      <c r="C3869" t="s">
        <v>11</v>
      </c>
      <c r="D3869" t="s">
        <v>12</v>
      </c>
      <c r="E3869" t="s">
        <v>13</v>
      </c>
      <c r="F3869" s="1">
        <v>118.57</v>
      </c>
      <c r="G3869" t="s">
        <v>14</v>
      </c>
      <c r="H3869" t="s">
        <v>15</v>
      </c>
      <c r="I3869" s="2">
        <v>2.9</v>
      </c>
      <c r="J3869" s="4">
        <v>15</v>
      </c>
      <c r="K3869" s="3">
        <v>5</v>
      </c>
      <c r="L3869" s="1">
        <f t="shared" si="180"/>
        <v>100.78449999999999</v>
      </c>
      <c r="M3869" t="str" cm="1">
        <f t="array" ref="M3869">_xlfn.IFS(B3869&lt;18,"Under 18",B3869 &lt;=25,"18-25",B3869&lt;=35,"26-35",B3869&lt;=45,"36-45",B3869&lt;=60,"46-60",TRUE,"60+")</f>
        <v>60+</v>
      </c>
      <c r="N3869" t="str">
        <f t="shared" si="181"/>
        <v>Discounted</v>
      </c>
      <c r="O3869" t="str">
        <f t="shared" si="182"/>
        <v>Returning</v>
      </c>
    </row>
    <row r="3870" spans="1:15" x14ac:dyDescent="0.25">
      <c r="A3870">
        <v>3869</v>
      </c>
      <c r="B3870">
        <v>26</v>
      </c>
      <c r="C3870" t="s">
        <v>11</v>
      </c>
      <c r="D3870" t="s">
        <v>41</v>
      </c>
      <c r="E3870" t="s">
        <v>42</v>
      </c>
      <c r="F3870" s="1">
        <v>71.72</v>
      </c>
      <c r="G3870" t="s">
        <v>19</v>
      </c>
      <c r="H3870" t="s">
        <v>15</v>
      </c>
      <c r="I3870" s="2">
        <v>3.5</v>
      </c>
      <c r="J3870" s="4">
        <v>21</v>
      </c>
      <c r="K3870" s="3">
        <v>8</v>
      </c>
      <c r="L3870" s="1">
        <f t="shared" si="180"/>
        <v>56.658799999999999</v>
      </c>
      <c r="M3870" t="str" cm="1">
        <f t="array" ref="M3870">_xlfn.IFS(B3870&lt;18,"Under 18",B3870 &lt;=25,"18-25",B3870&lt;=35,"26-35",B3870&lt;=45,"36-45",B3870&lt;=60,"46-60",TRUE,"60+")</f>
        <v>26-35</v>
      </c>
      <c r="N3870" t="str">
        <f t="shared" si="181"/>
        <v>Discounted</v>
      </c>
      <c r="O3870" t="str">
        <f t="shared" si="182"/>
        <v>Returning</v>
      </c>
    </row>
    <row r="3871" spans="1:15" x14ac:dyDescent="0.25">
      <c r="A3871">
        <v>3870</v>
      </c>
      <c r="B3871">
        <v>64</v>
      </c>
      <c r="C3871" t="s">
        <v>11</v>
      </c>
      <c r="D3871" t="s">
        <v>22</v>
      </c>
      <c r="E3871" t="s">
        <v>52</v>
      </c>
      <c r="F3871" s="1">
        <v>280.58999999999997</v>
      </c>
      <c r="G3871" t="s">
        <v>31</v>
      </c>
      <c r="H3871" t="s">
        <v>15</v>
      </c>
      <c r="I3871" s="2">
        <v>4.9000000000000004</v>
      </c>
      <c r="J3871" s="4">
        <v>17</v>
      </c>
      <c r="K3871" s="3">
        <v>6</v>
      </c>
      <c r="L3871" s="1">
        <f t="shared" si="180"/>
        <v>232.88969999999998</v>
      </c>
      <c r="M3871" t="str" cm="1">
        <f t="array" ref="M3871">_xlfn.IFS(B3871&lt;18,"Under 18",B3871 &lt;=25,"18-25",B3871&lt;=35,"26-35",B3871&lt;=45,"36-45",B3871&lt;=60,"46-60",TRUE,"60+")</f>
        <v>60+</v>
      </c>
      <c r="N3871" t="str">
        <f t="shared" si="181"/>
        <v>Discounted</v>
      </c>
      <c r="O3871" t="str">
        <f t="shared" si="182"/>
        <v>Returning</v>
      </c>
    </row>
    <row r="3872" spans="1:15" x14ac:dyDescent="0.25">
      <c r="A3872">
        <v>3871</v>
      </c>
      <c r="B3872">
        <v>46</v>
      </c>
      <c r="C3872" t="s">
        <v>11</v>
      </c>
      <c r="D3872" t="s">
        <v>41</v>
      </c>
      <c r="E3872" t="s">
        <v>42</v>
      </c>
      <c r="F3872" s="1">
        <v>121.97</v>
      </c>
      <c r="G3872" t="s">
        <v>31</v>
      </c>
      <c r="H3872" t="s">
        <v>15</v>
      </c>
      <c r="I3872" s="2">
        <v>4.5999999999999996</v>
      </c>
      <c r="J3872" s="4">
        <v>26</v>
      </c>
      <c r="K3872" s="3">
        <v>8</v>
      </c>
      <c r="L3872" s="1">
        <f t="shared" si="180"/>
        <v>90.257800000000003</v>
      </c>
      <c r="M3872" t="str" cm="1">
        <f t="array" ref="M3872">_xlfn.IFS(B3872&lt;18,"Under 18",B3872 &lt;=25,"18-25",B3872&lt;=35,"26-35",B3872&lt;=45,"36-45",B3872&lt;=60,"46-60",TRUE,"60+")</f>
        <v>46-60</v>
      </c>
      <c r="N3872" t="str">
        <f t="shared" si="181"/>
        <v>Discounted</v>
      </c>
      <c r="O3872" t="str">
        <f t="shared" si="182"/>
        <v>Returning</v>
      </c>
    </row>
    <row r="3873" spans="1:15" x14ac:dyDescent="0.25">
      <c r="A3873">
        <v>3872</v>
      </c>
      <c r="B3873">
        <v>62</v>
      </c>
      <c r="C3873" t="s">
        <v>16</v>
      </c>
      <c r="D3873" t="s">
        <v>20</v>
      </c>
      <c r="E3873" t="s">
        <v>39</v>
      </c>
      <c r="F3873" s="1">
        <v>125.84</v>
      </c>
      <c r="G3873" t="s">
        <v>14</v>
      </c>
      <c r="H3873" t="s">
        <v>15</v>
      </c>
      <c r="I3873" s="2">
        <v>3.9</v>
      </c>
      <c r="J3873" s="4">
        <v>8</v>
      </c>
      <c r="K3873" s="3">
        <v>4</v>
      </c>
      <c r="L3873" s="1">
        <f t="shared" si="180"/>
        <v>115.7728</v>
      </c>
      <c r="M3873" t="str" cm="1">
        <f t="array" ref="M3873">_xlfn.IFS(B3873&lt;18,"Under 18",B3873 &lt;=25,"18-25",B3873&lt;=35,"26-35",B3873&lt;=45,"36-45",B3873&lt;=60,"46-60",TRUE,"60+")</f>
        <v>60+</v>
      </c>
      <c r="N3873" t="str">
        <f t="shared" si="181"/>
        <v>Discounted</v>
      </c>
      <c r="O3873" t="str">
        <f t="shared" si="182"/>
        <v>Returning</v>
      </c>
    </row>
    <row r="3874" spans="1:15" x14ac:dyDescent="0.25">
      <c r="A3874">
        <v>3873</v>
      </c>
      <c r="B3874">
        <v>43</v>
      </c>
      <c r="C3874" t="s">
        <v>16</v>
      </c>
      <c r="D3874" t="s">
        <v>20</v>
      </c>
      <c r="E3874" t="s">
        <v>39</v>
      </c>
      <c r="F3874" s="1">
        <v>199.76</v>
      </c>
      <c r="G3874" t="s">
        <v>31</v>
      </c>
      <c r="H3874" t="s">
        <v>15</v>
      </c>
      <c r="I3874" s="2">
        <v>2.4</v>
      </c>
      <c r="J3874" s="4">
        <v>24</v>
      </c>
      <c r="K3874" s="3">
        <v>7</v>
      </c>
      <c r="L3874" s="1">
        <f t="shared" si="180"/>
        <v>151.8176</v>
      </c>
      <c r="M3874" t="str" cm="1">
        <f t="array" ref="M3874">_xlfn.IFS(B3874&lt;18,"Under 18",B3874 &lt;=25,"18-25",B3874&lt;=35,"26-35",B3874&lt;=45,"36-45",B3874&lt;=60,"46-60",TRUE,"60+")</f>
        <v>36-45</v>
      </c>
      <c r="N3874" t="str">
        <f t="shared" si="181"/>
        <v>Discounted</v>
      </c>
      <c r="O3874" t="str">
        <f t="shared" si="182"/>
        <v>Returning</v>
      </c>
    </row>
    <row r="3875" spans="1:15" x14ac:dyDescent="0.25">
      <c r="A3875">
        <v>3874</v>
      </c>
      <c r="B3875">
        <v>63</v>
      </c>
      <c r="C3875" t="s">
        <v>16</v>
      </c>
      <c r="D3875" t="s">
        <v>20</v>
      </c>
      <c r="E3875" t="s">
        <v>21</v>
      </c>
      <c r="F3875" s="1">
        <v>245.47</v>
      </c>
      <c r="G3875" t="s">
        <v>19</v>
      </c>
      <c r="H3875" t="s">
        <v>15</v>
      </c>
      <c r="I3875" s="2">
        <v>4.0999999999999996</v>
      </c>
      <c r="J3875" s="4">
        <v>12</v>
      </c>
      <c r="K3875" s="3">
        <v>6</v>
      </c>
      <c r="L3875" s="1">
        <f t="shared" si="180"/>
        <v>216.0136</v>
      </c>
      <c r="M3875" t="str" cm="1">
        <f t="array" ref="M3875">_xlfn.IFS(B3875&lt;18,"Under 18",B3875 &lt;=25,"18-25",B3875&lt;=35,"26-35",B3875&lt;=45,"36-45",B3875&lt;=60,"46-60",TRUE,"60+")</f>
        <v>60+</v>
      </c>
      <c r="N3875" t="str">
        <f t="shared" si="181"/>
        <v>Discounted</v>
      </c>
      <c r="O3875" t="str">
        <f t="shared" si="182"/>
        <v>Returning</v>
      </c>
    </row>
    <row r="3876" spans="1:15" x14ac:dyDescent="0.25">
      <c r="A3876">
        <v>3875</v>
      </c>
      <c r="B3876">
        <v>36</v>
      </c>
      <c r="C3876" t="s">
        <v>11</v>
      </c>
      <c r="D3876" t="s">
        <v>29</v>
      </c>
      <c r="E3876" t="s">
        <v>51</v>
      </c>
      <c r="F3876" s="1">
        <v>63.27</v>
      </c>
      <c r="G3876" t="s">
        <v>31</v>
      </c>
      <c r="H3876" t="s">
        <v>15</v>
      </c>
      <c r="I3876" s="2">
        <v>2.8</v>
      </c>
      <c r="J3876" s="4">
        <v>12</v>
      </c>
      <c r="K3876" s="3">
        <v>6</v>
      </c>
      <c r="L3876" s="1">
        <f t="shared" si="180"/>
        <v>55.677600000000005</v>
      </c>
      <c r="M3876" t="str" cm="1">
        <f t="array" ref="M3876">_xlfn.IFS(B3876&lt;18,"Under 18",B3876 &lt;=25,"18-25",B3876&lt;=35,"26-35",B3876&lt;=45,"36-45",B3876&lt;=60,"46-60",TRUE,"60+")</f>
        <v>36-45</v>
      </c>
      <c r="N3876" t="str">
        <f t="shared" si="181"/>
        <v>Discounted</v>
      </c>
      <c r="O3876" t="str">
        <f t="shared" si="182"/>
        <v>Returning</v>
      </c>
    </row>
    <row r="3877" spans="1:15" x14ac:dyDescent="0.25">
      <c r="A3877">
        <v>3876</v>
      </c>
      <c r="B3877">
        <v>48</v>
      </c>
      <c r="C3877" t="s">
        <v>11</v>
      </c>
      <c r="D3877" t="s">
        <v>33</v>
      </c>
      <c r="E3877" t="s">
        <v>38</v>
      </c>
      <c r="F3877" s="1">
        <v>71.12</v>
      </c>
      <c r="G3877" t="s">
        <v>14</v>
      </c>
      <c r="H3877" t="s">
        <v>15</v>
      </c>
      <c r="I3877" s="2">
        <v>4.2</v>
      </c>
      <c r="J3877" s="4">
        <v>18</v>
      </c>
      <c r="K3877" s="3">
        <v>4</v>
      </c>
      <c r="L3877" s="1">
        <f t="shared" si="180"/>
        <v>58.318400000000011</v>
      </c>
      <c r="M3877" t="str" cm="1">
        <f t="array" ref="M3877">_xlfn.IFS(B3877&lt;18,"Under 18",B3877 &lt;=25,"18-25",B3877&lt;=35,"26-35",B3877&lt;=45,"36-45",B3877&lt;=60,"46-60",TRUE,"60+")</f>
        <v>46-60</v>
      </c>
      <c r="N3877" t="str">
        <f t="shared" si="181"/>
        <v>Discounted</v>
      </c>
      <c r="O3877" t="str">
        <f t="shared" si="182"/>
        <v>Returning</v>
      </c>
    </row>
    <row r="3878" spans="1:15" x14ac:dyDescent="0.25">
      <c r="A3878">
        <v>3877</v>
      </c>
      <c r="B3878">
        <v>52</v>
      </c>
      <c r="C3878" t="s">
        <v>11</v>
      </c>
      <c r="D3878" t="s">
        <v>22</v>
      </c>
      <c r="E3878" t="s">
        <v>43</v>
      </c>
      <c r="F3878" s="1">
        <v>71.95</v>
      </c>
      <c r="G3878" t="s">
        <v>31</v>
      </c>
      <c r="H3878" t="s">
        <v>37</v>
      </c>
      <c r="I3878" s="2">
        <v>3.6</v>
      </c>
      <c r="J3878" s="4">
        <v>21</v>
      </c>
      <c r="K3878" s="3">
        <v>8</v>
      </c>
      <c r="L3878" s="1">
        <f t="shared" si="180"/>
        <v>56.840500000000006</v>
      </c>
      <c r="M3878" t="str" cm="1">
        <f t="array" ref="M3878">_xlfn.IFS(B3878&lt;18,"Under 18",B3878 &lt;=25,"18-25",B3878&lt;=35,"26-35",B3878&lt;=45,"36-45",B3878&lt;=60,"46-60",TRUE,"60+")</f>
        <v>46-60</v>
      </c>
      <c r="N3878" t="str">
        <f t="shared" si="181"/>
        <v>Discounted</v>
      </c>
      <c r="O3878" t="str">
        <f t="shared" si="182"/>
        <v>Returning</v>
      </c>
    </row>
    <row r="3879" spans="1:15" x14ac:dyDescent="0.25">
      <c r="A3879">
        <v>3878</v>
      </c>
      <c r="B3879">
        <v>34</v>
      </c>
      <c r="C3879" t="s">
        <v>16</v>
      </c>
      <c r="D3879" t="s">
        <v>22</v>
      </c>
      <c r="E3879" t="s">
        <v>52</v>
      </c>
      <c r="F3879" s="1">
        <v>199.66</v>
      </c>
      <c r="G3879" t="s">
        <v>24</v>
      </c>
      <c r="H3879" t="s">
        <v>15</v>
      </c>
      <c r="I3879" s="2">
        <v>3.3</v>
      </c>
      <c r="J3879" s="4">
        <v>8</v>
      </c>
      <c r="K3879" s="3">
        <v>4</v>
      </c>
      <c r="L3879" s="1">
        <f t="shared" si="180"/>
        <v>183.68720000000002</v>
      </c>
      <c r="M3879" t="str" cm="1">
        <f t="array" ref="M3879">_xlfn.IFS(B3879&lt;18,"Under 18",B3879 &lt;=25,"18-25",B3879&lt;=35,"26-35",B3879&lt;=45,"36-45",B3879&lt;=60,"46-60",TRUE,"60+")</f>
        <v>26-35</v>
      </c>
      <c r="N3879" t="str">
        <f t="shared" si="181"/>
        <v>Discounted</v>
      </c>
      <c r="O3879" t="str">
        <f t="shared" si="182"/>
        <v>Returning</v>
      </c>
    </row>
    <row r="3880" spans="1:15" x14ac:dyDescent="0.25">
      <c r="A3880">
        <v>3879</v>
      </c>
      <c r="B3880">
        <v>46</v>
      </c>
      <c r="C3880" t="s">
        <v>11</v>
      </c>
      <c r="D3880" t="s">
        <v>12</v>
      </c>
      <c r="E3880" t="s">
        <v>13</v>
      </c>
      <c r="F3880" s="1">
        <v>52.31</v>
      </c>
      <c r="G3880" t="s">
        <v>24</v>
      </c>
      <c r="H3880" t="s">
        <v>37</v>
      </c>
      <c r="I3880" s="2">
        <v>5</v>
      </c>
      <c r="J3880" s="4">
        <v>22</v>
      </c>
      <c r="K3880" s="3">
        <v>6</v>
      </c>
      <c r="L3880" s="1">
        <f t="shared" si="180"/>
        <v>40.8018</v>
      </c>
      <c r="M3880" t="str" cm="1">
        <f t="array" ref="M3880">_xlfn.IFS(B3880&lt;18,"Under 18",B3880 &lt;=25,"18-25",B3880&lt;=35,"26-35",B3880&lt;=45,"36-45",B3880&lt;=60,"46-60",TRUE,"60+")</f>
        <v>46-60</v>
      </c>
      <c r="N3880" t="str">
        <f t="shared" si="181"/>
        <v>Discounted</v>
      </c>
      <c r="O3880" t="str">
        <f t="shared" si="182"/>
        <v>Returning</v>
      </c>
    </row>
    <row r="3881" spans="1:15" x14ac:dyDescent="0.25">
      <c r="A3881">
        <v>3880</v>
      </c>
      <c r="B3881">
        <v>35</v>
      </c>
      <c r="C3881" t="s">
        <v>11</v>
      </c>
      <c r="D3881" t="s">
        <v>29</v>
      </c>
      <c r="E3881" t="s">
        <v>55</v>
      </c>
      <c r="F3881" s="1">
        <v>92</v>
      </c>
      <c r="G3881" t="s">
        <v>31</v>
      </c>
      <c r="H3881" t="s">
        <v>37</v>
      </c>
      <c r="I3881" s="2">
        <v>4.8</v>
      </c>
      <c r="J3881" s="4">
        <v>30</v>
      </c>
      <c r="K3881" s="3">
        <v>10</v>
      </c>
      <c r="L3881" s="1">
        <f t="shared" si="180"/>
        <v>64.399999999999991</v>
      </c>
      <c r="M3881" t="str" cm="1">
        <f t="array" ref="M3881">_xlfn.IFS(B3881&lt;18,"Under 18",B3881 &lt;=25,"18-25",B3881&lt;=35,"26-35",B3881&lt;=45,"36-45",B3881&lt;=60,"46-60",TRUE,"60+")</f>
        <v>26-35</v>
      </c>
      <c r="N3881" t="str">
        <f t="shared" si="181"/>
        <v>Discounted</v>
      </c>
      <c r="O3881" t="str">
        <f t="shared" si="182"/>
        <v>Returning</v>
      </c>
    </row>
    <row r="3882" spans="1:15" x14ac:dyDescent="0.25">
      <c r="A3882">
        <v>3881</v>
      </c>
      <c r="B3882">
        <v>39</v>
      </c>
      <c r="C3882" t="s">
        <v>11</v>
      </c>
      <c r="D3882" t="s">
        <v>12</v>
      </c>
      <c r="E3882" t="s">
        <v>56</v>
      </c>
      <c r="F3882" s="1">
        <v>41.86</v>
      </c>
      <c r="G3882" t="s">
        <v>19</v>
      </c>
      <c r="H3882" t="s">
        <v>15</v>
      </c>
      <c r="I3882" s="2">
        <v>2.8</v>
      </c>
      <c r="J3882" s="4">
        <v>18</v>
      </c>
      <c r="K3882" s="3">
        <v>4</v>
      </c>
      <c r="L3882" s="1">
        <f t="shared" si="180"/>
        <v>34.325200000000002</v>
      </c>
      <c r="M3882" t="str" cm="1">
        <f t="array" ref="M3882">_xlfn.IFS(B3882&lt;18,"Under 18",B3882 &lt;=25,"18-25",B3882&lt;=35,"26-35",B3882&lt;=45,"36-45",B3882&lt;=60,"46-60",TRUE,"60+")</f>
        <v>36-45</v>
      </c>
      <c r="N3882" t="str">
        <f t="shared" si="181"/>
        <v>Discounted</v>
      </c>
      <c r="O3882" t="str">
        <f t="shared" si="182"/>
        <v>Returning</v>
      </c>
    </row>
    <row r="3883" spans="1:15" x14ac:dyDescent="0.25">
      <c r="A3883">
        <v>3882</v>
      </c>
      <c r="B3883">
        <v>67</v>
      </c>
      <c r="C3883" t="s">
        <v>11</v>
      </c>
      <c r="D3883" t="s">
        <v>33</v>
      </c>
      <c r="E3883" t="s">
        <v>40</v>
      </c>
      <c r="F3883" s="1">
        <v>134.68</v>
      </c>
      <c r="G3883" t="s">
        <v>31</v>
      </c>
      <c r="H3883" t="s">
        <v>15</v>
      </c>
      <c r="I3883" s="2">
        <v>4.0999999999999996</v>
      </c>
      <c r="J3883" s="4">
        <v>15</v>
      </c>
      <c r="K3883" s="3">
        <v>5</v>
      </c>
      <c r="L3883" s="1">
        <f t="shared" si="180"/>
        <v>114.47800000000001</v>
      </c>
      <c r="M3883" t="str" cm="1">
        <f t="array" ref="M3883">_xlfn.IFS(B3883&lt;18,"Under 18",B3883 &lt;=25,"18-25",B3883&lt;=35,"26-35",B3883&lt;=45,"36-45",B3883&lt;=60,"46-60",TRUE,"60+")</f>
        <v>60+</v>
      </c>
      <c r="N3883" t="str">
        <f t="shared" si="181"/>
        <v>Discounted</v>
      </c>
      <c r="O3883" t="str">
        <f t="shared" si="182"/>
        <v>Returning</v>
      </c>
    </row>
    <row r="3884" spans="1:15" x14ac:dyDescent="0.25">
      <c r="A3884">
        <v>3883</v>
      </c>
      <c r="B3884">
        <v>52</v>
      </c>
      <c r="C3884" t="s">
        <v>16</v>
      </c>
      <c r="D3884" t="s">
        <v>20</v>
      </c>
      <c r="E3884" t="s">
        <v>21</v>
      </c>
      <c r="F3884" s="1">
        <v>91.41</v>
      </c>
      <c r="G3884" t="s">
        <v>14</v>
      </c>
      <c r="H3884" t="s">
        <v>37</v>
      </c>
      <c r="I3884" s="2">
        <v>2.9</v>
      </c>
      <c r="J3884" s="4">
        <v>6</v>
      </c>
      <c r="K3884" s="3">
        <v>3</v>
      </c>
      <c r="L3884" s="1">
        <f t="shared" si="180"/>
        <v>85.925399999999996</v>
      </c>
      <c r="M3884" t="str" cm="1">
        <f t="array" ref="M3884">_xlfn.IFS(B3884&lt;18,"Under 18",B3884 &lt;=25,"18-25",B3884&lt;=35,"26-35",B3884&lt;=45,"36-45",B3884&lt;=60,"46-60",TRUE,"60+")</f>
        <v>46-60</v>
      </c>
      <c r="N3884" t="str">
        <f t="shared" si="181"/>
        <v>Discounted</v>
      </c>
      <c r="O3884" t="str">
        <f t="shared" si="182"/>
        <v>Returning</v>
      </c>
    </row>
    <row r="3885" spans="1:15" x14ac:dyDescent="0.25">
      <c r="A3885">
        <v>3884</v>
      </c>
      <c r="B3885">
        <v>29</v>
      </c>
      <c r="C3885" t="s">
        <v>11</v>
      </c>
      <c r="D3885" t="s">
        <v>25</v>
      </c>
      <c r="E3885" t="s">
        <v>47</v>
      </c>
      <c r="F3885" s="1">
        <v>29.99</v>
      </c>
      <c r="G3885" t="s">
        <v>31</v>
      </c>
      <c r="H3885" t="s">
        <v>15</v>
      </c>
      <c r="I3885" s="2">
        <v>4.5</v>
      </c>
      <c r="J3885" s="4">
        <v>17</v>
      </c>
      <c r="K3885" s="3">
        <v>6</v>
      </c>
      <c r="L3885" s="1">
        <f t="shared" si="180"/>
        <v>24.891699999999997</v>
      </c>
      <c r="M3885" t="str" cm="1">
        <f t="array" ref="M3885">_xlfn.IFS(B3885&lt;18,"Under 18",B3885 &lt;=25,"18-25",B3885&lt;=35,"26-35",B3885&lt;=45,"36-45",B3885&lt;=60,"46-60",TRUE,"60+")</f>
        <v>26-35</v>
      </c>
      <c r="N3885" t="str">
        <f t="shared" si="181"/>
        <v>Discounted</v>
      </c>
      <c r="O3885" t="str">
        <f t="shared" si="182"/>
        <v>Returning</v>
      </c>
    </row>
    <row r="3886" spans="1:15" x14ac:dyDescent="0.25">
      <c r="A3886">
        <v>3885</v>
      </c>
      <c r="B3886">
        <v>55</v>
      </c>
      <c r="C3886" t="s">
        <v>16</v>
      </c>
      <c r="D3886" t="s">
        <v>22</v>
      </c>
      <c r="E3886" t="s">
        <v>43</v>
      </c>
      <c r="F3886" s="1">
        <v>261.19</v>
      </c>
      <c r="G3886" t="s">
        <v>19</v>
      </c>
      <c r="H3886" t="s">
        <v>15</v>
      </c>
      <c r="I3886" s="2">
        <v>3.2</v>
      </c>
      <c r="J3886" s="4">
        <v>24</v>
      </c>
      <c r="K3886" s="3">
        <v>7</v>
      </c>
      <c r="L3886" s="1">
        <f t="shared" si="180"/>
        <v>198.5044</v>
      </c>
      <c r="M3886" t="str" cm="1">
        <f t="array" ref="M3886">_xlfn.IFS(B3886&lt;18,"Under 18",B3886 &lt;=25,"18-25",B3886&lt;=35,"26-35",B3886&lt;=45,"36-45",B3886&lt;=60,"46-60",TRUE,"60+")</f>
        <v>46-60</v>
      </c>
      <c r="N3886" t="str">
        <f t="shared" si="181"/>
        <v>Discounted</v>
      </c>
      <c r="O3886" t="str">
        <f t="shared" si="182"/>
        <v>Returning</v>
      </c>
    </row>
    <row r="3887" spans="1:15" x14ac:dyDescent="0.25">
      <c r="A3887">
        <v>3886</v>
      </c>
      <c r="B3887">
        <v>70</v>
      </c>
      <c r="C3887" t="s">
        <v>16</v>
      </c>
      <c r="D3887" t="s">
        <v>33</v>
      </c>
      <c r="E3887" t="s">
        <v>38</v>
      </c>
      <c r="F3887" s="1">
        <v>87.98</v>
      </c>
      <c r="G3887" t="s">
        <v>19</v>
      </c>
      <c r="H3887" t="s">
        <v>15</v>
      </c>
      <c r="I3887" s="2">
        <v>3.2</v>
      </c>
      <c r="J3887" s="4">
        <v>12</v>
      </c>
      <c r="K3887" s="3">
        <v>6</v>
      </c>
      <c r="L3887" s="1">
        <f t="shared" si="180"/>
        <v>77.42240000000001</v>
      </c>
      <c r="M3887" t="str" cm="1">
        <f t="array" ref="M3887">_xlfn.IFS(B3887&lt;18,"Under 18",B3887 &lt;=25,"18-25",B3887&lt;=35,"26-35",B3887&lt;=45,"36-45",B3887&lt;=60,"46-60",TRUE,"60+")</f>
        <v>60+</v>
      </c>
      <c r="N3887" t="str">
        <f t="shared" si="181"/>
        <v>Discounted</v>
      </c>
      <c r="O3887" t="str">
        <f t="shared" si="182"/>
        <v>Returning</v>
      </c>
    </row>
    <row r="3888" spans="1:15" x14ac:dyDescent="0.25">
      <c r="A3888">
        <v>3887</v>
      </c>
      <c r="B3888">
        <v>41</v>
      </c>
      <c r="C3888" t="s">
        <v>16</v>
      </c>
      <c r="D3888" t="s">
        <v>17</v>
      </c>
      <c r="E3888" t="s">
        <v>35</v>
      </c>
      <c r="F3888" s="1">
        <v>152.87</v>
      </c>
      <c r="G3888" t="s">
        <v>31</v>
      </c>
      <c r="H3888" t="s">
        <v>15</v>
      </c>
      <c r="I3888" s="2">
        <v>4.5</v>
      </c>
      <c r="J3888" s="4">
        <v>12</v>
      </c>
      <c r="K3888" s="3">
        <v>6</v>
      </c>
      <c r="L3888" s="1">
        <f t="shared" si="180"/>
        <v>134.5256</v>
      </c>
      <c r="M3888" t="str" cm="1">
        <f t="array" ref="M3888">_xlfn.IFS(B3888&lt;18,"Under 18",B3888 &lt;=25,"18-25",B3888&lt;=35,"26-35",B3888&lt;=45,"36-45",B3888&lt;=60,"46-60",TRUE,"60+")</f>
        <v>36-45</v>
      </c>
      <c r="N3888" t="str">
        <f t="shared" si="181"/>
        <v>Discounted</v>
      </c>
      <c r="O3888" t="str">
        <f t="shared" si="182"/>
        <v>Returning</v>
      </c>
    </row>
    <row r="3889" spans="1:15" x14ac:dyDescent="0.25">
      <c r="A3889">
        <v>3888</v>
      </c>
      <c r="B3889">
        <v>24</v>
      </c>
      <c r="C3889" t="s">
        <v>16</v>
      </c>
      <c r="D3889" t="s">
        <v>22</v>
      </c>
      <c r="E3889" t="s">
        <v>52</v>
      </c>
      <c r="F3889" s="1">
        <v>160.16999999999999</v>
      </c>
      <c r="G3889" t="s">
        <v>19</v>
      </c>
      <c r="H3889" t="s">
        <v>15</v>
      </c>
      <c r="I3889" s="2">
        <v>3.7</v>
      </c>
      <c r="J3889" s="4">
        <v>18</v>
      </c>
      <c r="K3889" s="3">
        <v>4</v>
      </c>
      <c r="L3889" s="1">
        <f t="shared" si="180"/>
        <v>131.33940000000001</v>
      </c>
      <c r="M3889" t="str" cm="1">
        <f t="array" ref="M3889">_xlfn.IFS(B3889&lt;18,"Under 18",B3889 &lt;=25,"18-25",B3889&lt;=35,"26-35",B3889&lt;=45,"36-45",B3889&lt;=60,"46-60",TRUE,"60+")</f>
        <v>18-25</v>
      </c>
      <c r="N3889" t="str">
        <f t="shared" si="181"/>
        <v>Discounted</v>
      </c>
      <c r="O3889" t="str">
        <f t="shared" si="182"/>
        <v>Returning</v>
      </c>
    </row>
    <row r="3890" spans="1:15" x14ac:dyDescent="0.25">
      <c r="A3890">
        <v>3889</v>
      </c>
      <c r="B3890">
        <v>61</v>
      </c>
      <c r="C3890" t="s">
        <v>16</v>
      </c>
      <c r="D3890" t="s">
        <v>20</v>
      </c>
      <c r="E3890" t="s">
        <v>21</v>
      </c>
      <c r="F3890" s="1">
        <v>92.21</v>
      </c>
      <c r="G3890" t="s">
        <v>19</v>
      </c>
      <c r="H3890" t="s">
        <v>15</v>
      </c>
      <c r="I3890" s="2">
        <v>4.2</v>
      </c>
      <c r="J3890" s="4">
        <v>10</v>
      </c>
      <c r="K3890" s="3">
        <v>5</v>
      </c>
      <c r="L3890" s="1">
        <f t="shared" si="180"/>
        <v>82.98899999999999</v>
      </c>
      <c r="M3890" t="str" cm="1">
        <f t="array" ref="M3890">_xlfn.IFS(B3890&lt;18,"Under 18",B3890 &lt;=25,"18-25",B3890&lt;=35,"26-35",B3890&lt;=45,"36-45",B3890&lt;=60,"46-60",TRUE,"60+")</f>
        <v>60+</v>
      </c>
      <c r="N3890" t="str">
        <f t="shared" si="181"/>
        <v>Discounted</v>
      </c>
      <c r="O3890" t="str">
        <f t="shared" si="182"/>
        <v>Returning</v>
      </c>
    </row>
    <row r="3891" spans="1:15" x14ac:dyDescent="0.25">
      <c r="A3891">
        <v>3890</v>
      </c>
      <c r="B3891">
        <v>55</v>
      </c>
      <c r="C3891" t="s">
        <v>11</v>
      </c>
      <c r="D3891" t="s">
        <v>41</v>
      </c>
      <c r="E3891" t="s">
        <v>46</v>
      </c>
      <c r="F3891" s="1">
        <v>68.75</v>
      </c>
      <c r="G3891" t="s">
        <v>31</v>
      </c>
      <c r="H3891" t="s">
        <v>15</v>
      </c>
      <c r="I3891" s="2">
        <v>4.9000000000000004</v>
      </c>
      <c r="J3891" s="4">
        <v>9</v>
      </c>
      <c r="K3891" s="3">
        <v>2</v>
      </c>
      <c r="L3891" s="1">
        <f t="shared" si="180"/>
        <v>62.5625</v>
      </c>
      <c r="M3891" t="str" cm="1">
        <f t="array" ref="M3891">_xlfn.IFS(B3891&lt;18,"Under 18",B3891 &lt;=25,"18-25",B3891&lt;=35,"26-35",B3891&lt;=45,"36-45",B3891&lt;=60,"46-60",TRUE,"60+")</f>
        <v>46-60</v>
      </c>
      <c r="N3891" t="str">
        <f t="shared" si="181"/>
        <v>Discounted</v>
      </c>
      <c r="O3891" t="str">
        <f t="shared" si="182"/>
        <v>Returning</v>
      </c>
    </row>
    <row r="3892" spans="1:15" x14ac:dyDescent="0.25">
      <c r="A3892">
        <v>3891</v>
      </c>
      <c r="B3892">
        <v>36</v>
      </c>
      <c r="C3892" t="s">
        <v>16</v>
      </c>
      <c r="D3892" t="s">
        <v>27</v>
      </c>
      <c r="E3892" t="s">
        <v>32</v>
      </c>
      <c r="F3892" s="1">
        <v>2199.9299999999998</v>
      </c>
      <c r="G3892" t="s">
        <v>24</v>
      </c>
      <c r="H3892" t="s">
        <v>15</v>
      </c>
      <c r="I3892" s="2">
        <v>4.3</v>
      </c>
      <c r="J3892" s="4">
        <v>17</v>
      </c>
      <c r="K3892" s="3">
        <v>6</v>
      </c>
      <c r="L3892" s="1">
        <f t="shared" si="180"/>
        <v>1825.9418999999998</v>
      </c>
      <c r="M3892" t="str" cm="1">
        <f t="array" ref="M3892">_xlfn.IFS(B3892&lt;18,"Under 18",B3892 &lt;=25,"18-25",B3892&lt;=35,"26-35",B3892&lt;=45,"36-45",B3892&lt;=60,"46-60",TRUE,"60+")</f>
        <v>36-45</v>
      </c>
      <c r="N3892" t="str">
        <f t="shared" si="181"/>
        <v>Discounted</v>
      </c>
      <c r="O3892" t="str">
        <f t="shared" si="182"/>
        <v>Returning</v>
      </c>
    </row>
    <row r="3893" spans="1:15" x14ac:dyDescent="0.25">
      <c r="A3893">
        <v>3892</v>
      </c>
      <c r="B3893">
        <v>67</v>
      </c>
      <c r="C3893" t="s">
        <v>11</v>
      </c>
      <c r="D3893" t="s">
        <v>33</v>
      </c>
      <c r="E3893" t="s">
        <v>38</v>
      </c>
      <c r="F3893" s="1">
        <v>191.36</v>
      </c>
      <c r="G3893" t="s">
        <v>24</v>
      </c>
      <c r="H3893" t="s">
        <v>15</v>
      </c>
      <c r="I3893" s="2">
        <v>4.0999999999999996</v>
      </c>
      <c r="J3893" s="4">
        <v>18</v>
      </c>
      <c r="K3893" s="3">
        <v>4</v>
      </c>
      <c r="L3893" s="1">
        <f t="shared" si="180"/>
        <v>156.91520000000003</v>
      </c>
      <c r="M3893" t="str" cm="1">
        <f t="array" ref="M3893">_xlfn.IFS(B3893&lt;18,"Under 18",B3893 &lt;=25,"18-25",B3893&lt;=35,"26-35",B3893&lt;=45,"36-45",B3893&lt;=60,"46-60",TRUE,"60+")</f>
        <v>60+</v>
      </c>
      <c r="N3893" t="str">
        <f t="shared" si="181"/>
        <v>Discounted</v>
      </c>
      <c r="O3893" t="str">
        <f t="shared" si="182"/>
        <v>Returning</v>
      </c>
    </row>
    <row r="3894" spans="1:15" x14ac:dyDescent="0.25">
      <c r="A3894">
        <v>3893</v>
      </c>
      <c r="B3894">
        <v>50</v>
      </c>
      <c r="C3894" t="s">
        <v>16</v>
      </c>
      <c r="D3894" t="s">
        <v>22</v>
      </c>
      <c r="E3894" t="s">
        <v>52</v>
      </c>
      <c r="F3894" s="1">
        <v>55.82</v>
      </c>
      <c r="G3894" t="s">
        <v>19</v>
      </c>
      <c r="H3894" t="s">
        <v>37</v>
      </c>
      <c r="I3894" s="2">
        <v>3.7</v>
      </c>
      <c r="J3894" s="4">
        <v>16</v>
      </c>
      <c r="K3894" s="3">
        <v>3</v>
      </c>
      <c r="L3894" s="1">
        <f t="shared" si="180"/>
        <v>46.888799999999996</v>
      </c>
      <c r="M3894" t="str" cm="1">
        <f t="array" ref="M3894">_xlfn.IFS(B3894&lt;18,"Under 18",B3894 &lt;=25,"18-25",B3894&lt;=35,"26-35",B3894&lt;=45,"36-45",B3894&lt;=60,"46-60",TRUE,"60+")</f>
        <v>46-60</v>
      </c>
      <c r="N3894" t="str">
        <f t="shared" si="181"/>
        <v>Discounted</v>
      </c>
      <c r="O3894" t="str">
        <f t="shared" si="182"/>
        <v>Returning</v>
      </c>
    </row>
    <row r="3895" spans="1:15" x14ac:dyDescent="0.25">
      <c r="A3895">
        <v>3894</v>
      </c>
      <c r="B3895">
        <v>33</v>
      </c>
      <c r="C3895" t="s">
        <v>11</v>
      </c>
      <c r="D3895" t="s">
        <v>33</v>
      </c>
      <c r="E3895" t="s">
        <v>34</v>
      </c>
      <c r="F3895" s="1">
        <v>222.12</v>
      </c>
      <c r="G3895" t="s">
        <v>24</v>
      </c>
      <c r="H3895" t="s">
        <v>15</v>
      </c>
      <c r="I3895" s="2">
        <v>4.0999999999999996</v>
      </c>
      <c r="J3895" s="4">
        <v>10</v>
      </c>
      <c r="K3895" s="3">
        <v>5</v>
      </c>
      <c r="L3895" s="1">
        <f t="shared" si="180"/>
        <v>199.90800000000002</v>
      </c>
      <c r="M3895" t="str" cm="1">
        <f t="array" ref="M3895">_xlfn.IFS(B3895&lt;18,"Under 18",B3895 &lt;=25,"18-25",B3895&lt;=35,"26-35",B3895&lt;=45,"36-45",B3895&lt;=60,"46-60",TRUE,"60+")</f>
        <v>26-35</v>
      </c>
      <c r="N3895" t="str">
        <f t="shared" si="181"/>
        <v>Discounted</v>
      </c>
      <c r="O3895" t="str">
        <f t="shared" si="182"/>
        <v>Returning</v>
      </c>
    </row>
    <row r="3896" spans="1:15" x14ac:dyDescent="0.25">
      <c r="A3896">
        <v>3895</v>
      </c>
      <c r="B3896">
        <v>33</v>
      </c>
      <c r="C3896" t="s">
        <v>11</v>
      </c>
      <c r="D3896" t="s">
        <v>25</v>
      </c>
      <c r="E3896" t="s">
        <v>47</v>
      </c>
      <c r="F3896" s="1">
        <v>78.680000000000007</v>
      </c>
      <c r="G3896" t="s">
        <v>31</v>
      </c>
      <c r="H3896" t="s">
        <v>15</v>
      </c>
      <c r="I3896" s="2">
        <v>3.4</v>
      </c>
      <c r="J3896" s="4">
        <v>6</v>
      </c>
      <c r="K3896" s="3">
        <v>3</v>
      </c>
      <c r="L3896" s="1">
        <f t="shared" si="180"/>
        <v>73.959199999999996</v>
      </c>
      <c r="M3896" t="str" cm="1">
        <f t="array" ref="M3896">_xlfn.IFS(B3896&lt;18,"Under 18",B3896 &lt;=25,"18-25",B3896&lt;=35,"26-35",B3896&lt;=45,"36-45",B3896&lt;=60,"46-60",TRUE,"60+")</f>
        <v>26-35</v>
      </c>
      <c r="N3896" t="str">
        <f t="shared" si="181"/>
        <v>Discounted</v>
      </c>
      <c r="O3896" t="str">
        <f t="shared" si="182"/>
        <v>Returning</v>
      </c>
    </row>
    <row r="3897" spans="1:15" x14ac:dyDescent="0.25">
      <c r="A3897">
        <v>3896</v>
      </c>
      <c r="B3897">
        <v>53</v>
      </c>
      <c r="C3897" t="s">
        <v>11</v>
      </c>
      <c r="D3897" t="s">
        <v>33</v>
      </c>
      <c r="E3897" t="s">
        <v>34</v>
      </c>
      <c r="F3897" s="1">
        <v>151.9</v>
      </c>
      <c r="G3897" t="s">
        <v>31</v>
      </c>
      <c r="H3897" t="s">
        <v>15</v>
      </c>
      <c r="I3897" s="2">
        <v>3.5</v>
      </c>
      <c r="J3897" s="4">
        <v>7</v>
      </c>
      <c r="K3897" s="3">
        <v>1</v>
      </c>
      <c r="L3897" s="1">
        <f t="shared" si="180"/>
        <v>141.267</v>
      </c>
      <c r="M3897" t="str" cm="1">
        <f t="array" ref="M3897">_xlfn.IFS(B3897&lt;18,"Under 18",B3897 &lt;=25,"18-25",B3897&lt;=35,"26-35",B3897&lt;=45,"36-45",B3897&lt;=60,"46-60",TRUE,"60+")</f>
        <v>46-60</v>
      </c>
      <c r="N3897" t="str">
        <f t="shared" si="181"/>
        <v>Discounted</v>
      </c>
      <c r="O3897" t="str">
        <f t="shared" si="182"/>
        <v>Returning</v>
      </c>
    </row>
    <row r="3898" spans="1:15" x14ac:dyDescent="0.25">
      <c r="A3898">
        <v>3897</v>
      </c>
      <c r="B3898">
        <v>41</v>
      </c>
      <c r="C3898" t="s">
        <v>11</v>
      </c>
      <c r="D3898" t="s">
        <v>41</v>
      </c>
      <c r="E3898" t="s">
        <v>45</v>
      </c>
      <c r="F3898" s="1">
        <v>34.340000000000003</v>
      </c>
      <c r="G3898" t="s">
        <v>14</v>
      </c>
      <c r="H3898" t="s">
        <v>37</v>
      </c>
      <c r="I3898" s="2">
        <v>3.7</v>
      </c>
      <c r="J3898" s="4">
        <v>24</v>
      </c>
      <c r="K3898" s="3">
        <v>7</v>
      </c>
      <c r="L3898" s="1">
        <f t="shared" si="180"/>
        <v>26.098400000000002</v>
      </c>
      <c r="M3898" t="str" cm="1">
        <f t="array" ref="M3898">_xlfn.IFS(B3898&lt;18,"Under 18",B3898 &lt;=25,"18-25",B3898&lt;=35,"26-35",B3898&lt;=45,"36-45",B3898&lt;=60,"46-60",TRUE,"60+")</f>
        <v>36-45</v>
      </c>
      <c r="N3898" t="str">
        <f t="shared" si="181"/>
        <v>Discounted</v>
      </c>
      <c r="O3898" t="str">
        <f t="shared" si="182"/>
        <v>Returning</v>
      </c>
    </row>
    <row r="3899" spans="1:15" x14ac:dyDescent="0.25">
      <c r="A3899">
        <v>3898</v>
      </c>
      <c r="B3899">
        <v>44</v>
      </c>
      <c r="C3899" t="s">
        <v>16</v>
      </c>
      <c r="D3899" t="s">
        <v>22</v>
      </c>
      <c r="E3899" t="s">
        <v>52</v>
      </c>
      <c r="F3899" s="1">
        <v>193.78</v>
      </c>
      <c r="G3899" t="s">
        <v>14</v>
      </c>
      <c r="H3899" t="s">
        <v>15</v>
      </c>
      <c r="I3899" s="2">
        <v>3.9</v>
      </c>
      <c r="J3899" s="4">
        <v>11</v>
      </c>
      <c r="K3899" s="3">
        <v>3</v>
      </c>
      <c r="L3899" s="1">
        <f t="shared" si="180"/>
        <v>172.46420000000001</v>
      </c>
      <c r="M3899" t="str" cm="1">
        <f t="array" ref="M3899">_xlfn.IFS(B3899&lt;18,"Under 18",B3899 &lt;=25,"18-25",B3899&lt;=35,"26-35",B3899&lt;=45,"36-45",B3899&lt;=60,"46-60",TRUE,"60+")</f>
        <v>36-45</v>
      </c>
      <c r="N3899" t="str">
        <f t="shared" si="181"/>
        <v>Discounted</v>
      </c>
      <c r="O3899" t="str">
        <f t="shared" si="182"/>
        <v>Returning</v>
      </c>
    </row>
    <row r="3900" spans="1:15" x14ac:dyDescent="0.25">
      <c r="A3900">
        <v>3899</v>
      </c>
      <c r="B3900">
        <v>44</v>
      </c>
      <c r="C3900" t="s">
        <v>11</v>
      </c>
      <c r="D3900" t="s">
        <v>33</v>
      </c>
      <c r="E3900" t="s">
        <v>40</v>
      </c>
      <c r="F3900" s="1">
        <v>165.49</v>
      </c>
      <c r="G3900" t="s">
        <v>24</v>
      </c>
      <c r="H3900" t="s">
        <v>15</v>
      </c>
      <c r="I3900" s="2">
        <v>3.8</v>
      </c>
      <c r="J3900" s="4">
        <v>20</v>
      </c>
      <c r="K3900" s="3">
        <v>5</v>
      </c>
      <c r="L3900" s="1">
        <f t="shared" si="180"/>
        <v>132.39200000000002</v>
      </c>
      <c r="M3900" t="str" cm="1">
        <f t="array" ref="M3900">_xlfn.IFS(B3900&lt;18,"Under 18",B3900 &lt;=25,"18-25",B3900&lt;=35,"26-35",B3900&lt;=45,"36-45",B3900&lt;=60,"46-60",TRUE,"60+")</f>
        <v>36-45</v>
      </c>
      <c r="N3900" t="str">
        <f t="shared" si="181"/>
        <v>Discounted</v>
      </c>
      <c r="O3900" t="str">
        <f t="shared" si="182"/>
        <v>Returning</v>
      </c>
    </row>
    <row r="3901" spans="1:15" x14ac:dyDescent="0.25">
      <c r="A3901">
        <v>3900</v>
      </c>
      <c r="B3901">
        <v>26</v>
      </c>
      <c r="C3901" t="s">
        <v>11</v>
      </c>
      <c r="D3901" t="s">
        <v>41</v>
      </c>
      <c r="E3901" t="s">
        <v>46</v>
      </c>
      <c r="F3901" s="1">
        <v>98.13</v>
      </c>
      <c r="G3901" t="s">
        <v>31</v>
      </c>
      <c r="H3901" t="s">
        <v>37</v>
      </c>
      <c r="I3901" s="2">
        <v>3</v>
      </c>
      <c r="J3901" s="4">
        <v>15</v>
      </c>
      <c r="K3901" s="3">
        <v>5</v>
      </c>
      <c r="L3901" s="1">
        <f t="shared" si="180"/>
        <v>83.410499999999999</v>
      </c>
      <c r="M3901" t="str" cm="1">
        <f t="array" ref="M3901">_xlfn.IFS(B3901&lt;18,"Under 18",B3901 &lt;=25,"18-25",B3901&lt;=35,"26-35",B3901&lt;=45,"36-45",B3901&lt;=60,"46-60",TRUE,"60+")</f>
        <v>26-35</v>
      </c>
      <c r="N3901" t="str">
        <f t="shared" si="181"/>
        <v>Discounted</v>
      </c>
      <c r="O3901" t="str">
        <f t="shared" si="182"/>
        <v>Returning</v>
      </c>
    </row>
    <row r="3902" spans="1:15" x14ac:dyDescent="0.25">
      <c r="A3902">
        <v>3901</v>
      </c>
      <c r="B3902">
        <v>60</v>
      </c>
      <c r="C3902" t="s">
        <v>16</v>
      </c>
      <c r="D3902" t="s">
        <v>17</v>
      </c>
      <c r="E3902" t="s">
        <v>18</v>
      </c>
      <c r="F3902" s="1">
        <v>101.85</v>
      </c>
      <c r="G3902" t="s">
        <v>24</v>
      </c>
      <c r="H3902" t="s">
        <v>15</v>
      </c>
      <c r="I3902" s="2">
        <v>4.4000000000000004</v>
      </c>
      <c r="J3902" s="4">
        <v>10</v>
      </c>
      <c r="K3902" s="3">
        <v>5</v>
      </c>
      <c r="L3902" s="1">
        <f t="shared" si="180"/>
        <v>91.664999999999992</v>
      </c>
      <c r="M3902" t="str" cm="1">
        <f t="array" ref="M3902">_xlfn.IFS(B3902&lt;18,"Under 18",B3902 &lt;=25,"18-25",B3902&lt;=35,"26-35",B3902&lt;=45,"36-45",B3902&lt;=60,"46-60",TRUE,"60+")</f>
        <v>46-60</v>
      </c>
      <c r="N3902" t="str">
        <f t="shared" si="181"/>
        <v>Discounted</v>
      </c>
      <c r="O3902" t="str">
        <f t="shared" si="182"/>
        <v>Returning</v>
      </c>
    </row>
    <row r="3903" spans="1:15" x14ac:dyDescent="0.25">
      <c r="A3903">
        <v>3902</v>
      </c>
      <c r="B3903">
        <v>20</v>
      </c>
      <c r="C3903" t="s">
        <v>11</v>
      </c>
      <c r="D3903" t="s">
        <v>29</v>
      </c>
      <c r="E3903" t="s">
        <v>55</v>
      </c>
      <c r="F3903" s="1">
        <v>140.1</v>
      </c>
      <c r="G3903" t="s">
        <v>31</v>
      </c>
      <c r="H3903" t="s">
        <v>15</v>
      </c>
      <c r="I3903" s="2">
        <v>3.7</v>
      </c>
      <c r="J3903" s="4">
        <v>4</v>
      </c>
      <c r="K3903" s="3">
        <v>2</v>
      </c>
      <c r="L3903" s="1">
        <f t="shared" si="180"/>
        <v>134.49599999999998</v>
      </c>
      <c r="M3903" t="str" cm="1">
        <f t="array" ref="M3903">_xlfn.IFS(B3903&lt;18,"Under 18",B3903 &lt;=25,"18-25",B3903&lt;=35,"26-35",B3903&lt;=45,"36-45",B3903&lt;=60,"46-60",TRUE,"60+")</f>
        <v>18-25</v>
      </c>
      <c r="N3903" t="str">
        <f t="shared" si="181"/>
        <v>Discounted</v>
      </c>
      <c r="O3903" t="str">
        <f t="shared" si="182"/>
        <v>Returning</v>
      </c>
    </row>
    <row r="3904" spans="1:15" x14ac:dyDescent="0.25">
      <c r="A3904">
        <v>3903</v>
      </c>
      <c r="B3904">
        <v>45</v>
      </c>
      <c r="C3904" t="s">
        <v>16</v>
      </c>
      <c r="D3904" t="s">
        <v>25</v>
      </c>
      <c r="E3904" t="s">
        <v>47</v>
      </c>
      <c r="F3904" s="1">
        <v>8.33</v>
      </c>
      <c r="G3904" t="s">
        <v>19</v>
      </c>
      <c r="H3904" t="s">
        <v>15</v>
      </c>
      <c r="I3904" s="2">
        <v>2.7</v>
      </c>
      <c r="J3904" s="4">
        <v>12</v>
      </c>
      <c r="K3904" s="3">
        <v>6</v>
      </c>
      <c r="L3904" s="1">
        <f t="shared" si="180"/>
        <v>7.3304</v>
      </c>
      <c r="M3904" t="str" cm="1">
        <f t="array" ref="M3904">_xlfn.IFS(B3904&lt;18,"Under 18",B3904 &lt;=25,"18-25",B3904&lt;=35,"26-35",B3904&lt;=45,"36-45",B3904&lt;=60,"46-60",TRUE,"60+")</f>
        <v>36-45</v>
      </c>
      <c r="N3904" t="str">
        <f t="shared" si="181"/>
        <v>Discounted</v>
      </c>
      <c r="O3904" t="str">
        <f t="shared" si="182"/>
        <v>Returning</v>
      </c>
    </row>
    <row r="3905" spans="1:15" x14ac:dyDescent="0.25">
      <c r="A3905">
        <v>3904</v>
      </c>
      <c r="B3905">
        <v>41</v>
      </c>
      <c r="C3905" t="s">
        <v>16</v>
      </c>
      <c r="D3905" t="s">
        <v>27</v>
      </c>
      <c r="E3905" t="s">
        <v>28</v>
      </c>
      <c r="F3905" s="1">
        <v>2137.8000000000002</v>
      </c>
      <c r="G3905" t="s">
        <v>24</v>
      </c>
      <c r="H3905" t="s">
        <v>15</v>
      </c>
      <c r="I3905" s="2">
        <v>2.9</v>
      </c>
      <c r="J3905" s="4">
        <v>11</v>
      </c>
      <c r="K3905" s="3">
        <v>3</v>
      </c>
      <c r="L3905" s="1">
        <f t="shared" si="180"/>
        <v>1902.6420000000003</v>
      </c>
      <c r="M3905" t="str" cm="1">
        <f t="array" ref="M3905">_xlfn.IFS(B3905&lt;18,"Under 18",B3905 &lt;=25,"18-25",B3905&lt;=35,"26-35",B3905&lt;=45,"36-45",B3905&lt;=60,"46-60",TRUE,"60+")</f>
        <v>36-45</v>
      </c>
      <c r="N3905" t="str">
        <f t="shared" si="181"/>
        <v>Discounted</v>
      </c>
      <c r="O3905" t="str">
        <f t="shared" si="182"/>
        <v>Returning</v>
      </c>
    </row>
    <row r="3906" spans="1:15" x14ac:dyDescent="0.25">
      <c r="A3906">
        <v>3905</v>
      </c>
      <c r="B3906">
        <v>24</v>
      </c>
      <c r="C3906" t="s">
        <v>16</v>
      </c>
      <c r="D3906" t="s">
        <v>27</v>
      </c>
      <c r="E3906" t="s">
        <v>49</v>
      </c>
      <c r="F3906" s="1">
        <v>1012.48</v>
      </c>
      <c r="G3906" t="s">
        <v>24</v>
      </c>
      <c r="H3906" t="s">
        <v>15</v>
      </c>
      <c r="I3906" s="2">
        <v>5</v>
      </c>
      <c r="J3906" s="4">
        <v>12</v>
      </c>
      <c r="K3906" s="3">
        <v>6</v>
      </c>
      <c r="L3906" s="1">
        <f t="shared" si="180"/>
        <v>890.98239999999998</v>
      </c>
      <c r="M3906" t="str" cm="1">
        <f t="array" ref="M3906">_xlfn.IFS(B3906&lt;18,"Under 18",B3906 &lt;=25,"18-25",B3906&lt;=35,"26-35",B3906&lt;=45,"36-45",B3906&lt;=60,"46-60",TRUE,"60+")</f>
        <v>18-25</v>
      </c>
      <c r="N3906" t="str">
        <f t="shared" si="181"/>
        <v>Discounted</v>
      </c>
      <c r="O3906" t="str">
        <f t="shared" si="182"/>
        <v>Returning</v>
      </c>
    </row>
    <row r="3907" spans="1:15" x14ac:dyDescent="0.25">
      <c r="A3907">
        <v>3906</v>
      </c>
      <c r="B3907">
        <v>23</v>
      </c>
      <c r="C3907" t="s">
        <v>16</v>
      </c>
      <c r="D3907" t="s">
        <v>33</v>
      </c>
      <c r="E3907" t="s">
        <v>34</v>
      </c>
      <c r="F3907" s="1">
        <v>159.02000000000001</v>
      </c>
      <c r="G3907" t="s">
        <v>19</v>
      </c>
      <c r="H3907" t="s">
        <v>15</v>
      </c>
      <c r="I3907" s="2">
        <v>3.4</v>
      </c>
      <c r="J3907" s="4">
        <v>6</v>
      </c>
      <c r="K3907" s="3">
        <v>3</v>
      </c>
      <c r="L3907" s="1">
        <f t="shared" ref="L3907:L3970" si="183">F3907 * (1 - J3907 / 100)</f>
        <v>149.47880000000001</v>
      </c>
      <c r="M3907" t="str" cm="1">
        <f t="array" ref="M3907">_xlfn.IFS(B3907&lt;18,"Under 18",B3907 &lt;=25,"18-25",B3907&lt;=35,"26-35",B3907&lt;=45,"36-45",B3907&lt;=60,"46-60",TRUE,"60+")</f>
        <v>18-25</v>
      </c>
      <c r="N3907" t="str">
        <f t="shared" ref="N3907:N3970" si="184">IF(J3907&gt;0,"Discounted","No Discount")</f>
        <v>Discounted</v>
      </c>
      <c r="O3907" t="str">
        <f t="shared" ref="O3907:O3970" si="185">IF(K3907&gt;0,"Returning","New")</f>
        <v>Returning</v>
      </c>
    </row>
    <row r="3908" spans="1:15" x14ac:dyDescent="0.25">
      <c r="A3908">
        <v>3907</v>
      </c>
      <c r="B3908">
        <v>70</v>
      </c>
      <c r="C3908" t="s">
        <v>11</v>
      </c>
      <c r="D3908" t="s">
        <v>29</v>
      </c>
      <c r="E3908" t="s">
        <v>30</v>
      </c>
      <c r="F3908" s="1">
        <v>65.099999999999994</v>
      </c>
      <c r="G3908" t="s">
        <v>24</v>
      </c>
      <c r="H3908" t="s">
        <v>37</v>
      </c>
      <c r="I3908" s="2">
        <v>3.5</v>
      </c>
      <c r="J3908" s="4">
        <v>11</v>
      </c>
      <c r="K3908" s="3">
        <v>3</v>
      </c>
      <c r="L3908" s="1">
        <f t="shared" si="183"/>
        <v>57.938999999999993</v>
      </c>
      <c r="M3908" t="str" cm="1">
        <f t="array" ref="M3908">_xlfn.IFS(B3908&lt;18,"Under 18",B3908 &lt;=25,"18-25",B3908&lt;=35,"26-35",B3908&lt;=45,"36-45",B3908&lt;=60,"46-60",TRUE,"60+")</f>
        <v>60+</v>
      </c>
      <c r="N3908" t="str">
        <f t="shared" si="184"/>
        <v>Discounted</v>
      </c>
      <c r="O3908" t="str">
        <f t="shared" si="185"/>
        <v>Returning</v>
      </c>
    </row>
    <row r="3909" spans="1:15" x14ac:dyDescent="0.25">
      <c r="A3909">
        <v>3908</v>
      </c>
      <c r="B3909">
        <v>45</v>
      </c>
      <c r="C3909" t="s">
        <v>16</v>
      </c>
      <c r="D3909" t="s">
        <v>27</v>
      </c>
      <c r="E3909" t="s">
        <v>53</v>
      </c>
      <c r="F3909" s="1">
        <v>1162.1500000000001</v>
      </c>
      <c r="G3909" t="s">
        <v>19</v>
      </c>
      <c r="H3909" t="s">
        <v>15</v>
      </c>
      <c r="I3909" s="2">
        <v>3.9</v>
      </c>
      <c r="J3909" s="4">
        <v>9</v>
      </c>
      <c r="K3909" s="3">
        <v>2</v>
      </c>
      <c r="L3909" s="1">
        <f t="shared" si="183"/>
        <v>1057.5565000000001</v>
      </c>
      <c r="M3909" t="str" cm="1">
        <f t="array" ref="M3909">_xlfn.IFS(B3909&lt;18,"Under 18",B3909 &lt;=25,"18-25",B3909&lt;=35,"26-35",B3909&lt;=45,"36-45",B3909&lt;=60,"46-60",TRUE,"60+")</f>
        <v>36-45</v>
      </c>
      <c r="N3909" t="str">
        <f t="shared" si="184"/>
        <v>Discounted</v>
      </c>
      <c r="O3909" t="str">
        <f t="shared" si="185"/>
        <v>Returning</v>
      </c>
    </row>
    <row r="3910" spans="1:15" x14ac:dyDescent="0.25">
      <c r="A3910">
        <v>3909</v>
      </c>
      <c r="B3910">
        <v>51</v>
      </c>
      <c r="C3910" t="s">
        <v>16</v>
      </c>
      <c r="D3910" t="s">
        <v>33</v>
      </c>
      <c r="E3910" t="s">
        <v>34</v>
      </c>
      <c r="F3910" s="1">
        <v>226.35</v>
      </c>
      <c r="G3910" t="s">
        <v>31</v>
      </c>
      <c r="H3910" t="s">
        <v>15</v>
      </c>
      <c r="I3910" s="2">
        <v>4.2</v>
      </c>
      <c r="J3910" s="4">
        <v>20</v>
      </c>
      <c r="K3910" s="3">
        <v>10</v>
      </c>
      <c r="L3910" s="1">
        <f t="shared" si="183"/>
        <v>181.08</v>
      </c>
      <c r="M3910" t="str" cm="1">
        <f t="array" ref="M3910">_xlfn.IFS(B3910&lt;18,"Under 18",B3910 &lt;=25,"18-25",B3910&lt;=35,"26-35",B3910&lt;=45,"36-45",B3910&lt;=60,"46-60",TRUE,"60+")</f>
        <v>46-60</v>
      </c>
      <c r="N3910" t="str">
        <f t="shared" si="184"/>
        <v>Discounted</v>
      </c>
      <c r="O3910" t="str">
        <f t="shared" si="185"/>
        <v>Returning</v>
      </c>
    </row>
    <row r="3911" spans="1:15" x14ac:dyDescent="0.25">
      <c r="A3911">
        <v>3910</v>
      </c>
      <c r="B3911">
        <v>38</v>
      </c>
      <c r="C3911" t="s">
        <v>16</v>
      </c>
      <c r="D3911" t="s">
        <v>27</v>
      </c>
      <c r="E3911" t="s">
        <v>49</v>
      </c>
      <c r="F3911" s="1">
        <v>1523</v>
      </c>
      <c r="G3911" t="s">
        <v>31</v>
      </c>
      <c r="H3911" t="s">
        <v>15</v>
      </c>
      <c r="I3911" s="2">
        <v>5</v>
      </c>
      <c r="J3911" s="4">
        <v>32</v>
      </c>
      <c r="K3911" s="3">
        <v>11</v>
      </c>
      <c r="L3911" s="1">
        <f t="shared" si="183"/>
        <v>1035.6399999999999</v>
      </c>
      <c r="M3911" t="str" cm="1">
        <f t="array" ref="M3911">_xlfn.IFS(B3911&lt;18,"Under 18",B3911 &lt;=25,"18-25",B3911&lt;=35,"26-35",B3911&lt;=45,"36-45",B3911&lt;=60,"46-60",TRUE,"60+")</f>
        <v>36-45</v>
      </c>
      <c r="N3911" t="str">
        <f t="shared" si="184"/>
        <v>Discounted</v>
      </c>
      <c r="O3911" t="str">
        <f t="shared" si="185"/>
        <v>Returning</v>
      </c>
    </row>
    <row r="3912" spans="1:15" x14ac:dyDescent="0.25">
      <c r="A3912">
        <v>3911</v>
      </c>
      <c r="B3912">
        <v>59</v>
      </c>
      <c r="C3912" t="s">
        <v>16</v>
      </c>
      <c r="D3912" t="s">
        <v>22</v>
      </c>
      <c r="E3912" t="s">
        <v>52</v>
      </c>
      <c r="F3912" s="1">
        <v>152.75</v>
      </c>
      <c r="G3912" t="s">
        <v>14</v>
      </c>
      <c r="H3912" t="s">
        <v>15</v>
      </c>
      <c r="I3912" s="2">
        <v>3.6</v>
      </c>
      <c r="J3912" s="4">
        <v>30</v>
      </c>
      <c r="K3912" s="3">
        <v>10</v>
      </c>
      <c r="L3912" s="1">
        <f t="shared" si="183"/>
        <v>106.925</v>
      </c>
      <c r="M3912" t="str" cm="1">
        <f t="array" ref="M3912">_xlfn.IFS(B3912&lt;18,"Under 18",B3912 &lt;=25,"18-25",B3912&lt;=35,"26-35",B3912&lt;=45,"36-45",B3912&lt;=60,"46-60",TRUE,"60+")</f>
        <v>46-60</v>
      </c>
      <c r="N3912" t="str">
        <f t="shared" si="184"/>
        <v>Discounted</v>
      </c>
      <c r="O3912" t="str">
        <f t="shared" si="185"/>
        <v>Returning</v>
      </c>
    </row>
    <row r="3913" spans="1:15" x14ac:dyDescent="0.25">
      <c r="A3913">
        <v>3912</v>
      </c>
      <c r="B3913">
        <v>42</v>
      </c>
      <c r="C3913" t="s">
        <v>16</v>
      </c>
      <c r="D3913" t="s">
        <v>20</v>
      </c>
      <c r="E3913" t="s">
        <v>36</v>
      </c>
      <c r="F3913" s="1">
        <v>243.12</v>
      </c>
      <c r="G3913" t="s">
        <v>14</v>
      </c>
      <c r="H3913" t="s">
        <v>15</v>
      </c>
      <c r="I3913" s="2">
        <v>5</v>
      </c>
      <c r="J3913" s="4">
        <v>14</v>
      </c>
      <c r="K3913" s="3">
        <v>7</v>
      </c>
      <c r="L3913" s="1">
        <f t="shared" si="183"/>
        <v>209.08320000000001</v>
      </c>
      <c r="M3913" t="str" cm="1">
        <f t="array" ref="M3913">_xlfn.IFS(B3913&lt;18,"Under 18",B3913 &lt;=25,"18-25",B3913&lt;=35,"26-35",B3913&lt;=45,"36-45",B3913&lt;=60,"46-60",TRUE,"60+")</f>
        <v>36-45</v>
      </c>
      <c r="N3913" t="str">
        <f t="shared" si="184"/>
        <v>Discounted</v>
      </c>
      <c r="O3913" t="str">
        <f t="shared" si="185"/>
        <v>Returning</v>
      </c>
    </row>
    <row r="3914" spans="1:15" x14ac:dyDescent="0.25">
      <c r="A3914">
        <v>3913</v>
      </c>
      <c r="B3914">
        <v>64</v>
      </c>
      <c r="C3914" t="s">
        <v>16</v>
      </c>
      <c r="D3914" t="s">
        <v>25</v>
      </c>
      <c r="E3914" t="s">
        <v>26</v>
      </c>
      <c r="F3914" s="1">
        <v>11.97</v>
      </c>
      <c r="G3914" t="s">
        <v>31</v>
      </c>
      <c r="H3914" t="s">
        <v>15</v>
      </c>
      <c r="I3914" s="2">
        <v>4</v>
      </c>
      <c r="J3914" s="4">
        <v>9</v>
      </c>
      <c r="K3914" s="3">
        <v>2</v>
      </c>
      <c r="L3914" s="1">
        <f t="shared" si="183"/>
        <v>10.892700000000001</v>
      </c>
      <c r="M3914" t="str" cm="1">
        <f t="array" ref="M3914">_xlfn.IFS(B3914&lt;18,"Under 18",B3914 &lt;=25,"18-25",B3914&lt;=35,"26-35",B3914&lt;=45,"36-45",B3914&lt;=60,"46-60",TRUE,"60+")</f>
        <v>60+</v>
      </c>
      <c r="N3914" t="str">
        <f t="shared" si="184"/>
        <v>Discounted</v>
      </c>
      <c r="O3914" t="str">
        <f t="shared" si="185"/>
        <v>Returning</v>
      </c>
    </row>
    <row r="3915" spans="1:15" x14ac:dyDescent="0.25">
      <c r="A3915">
        <v>3914</v>
      </c>
      <c r="B3915">
        <v>23</v>
      </c>
      <c r="C3915" t="s">
        <v>16</v>
      </c>
      <c r="D3915" t="s">
        <v>33</v>
      </c>
      <c r="E3915" t="s">
        <v>38</v>
      </c>
      <c r="F3915" s="1">
        <v>75.64</v>
      </c>
      <c r="G3915" t="s">
        <v>14</v>
      </c>
      <c r="H3915" t="s">
        <v>15</v>
      </c>
      <c r="I3915" s="2">
        <v>2.8</v>
      </c>
      <c r="J3915" s="4">
        <v>22</v>
      </c>
      <c r="K3915" s="3">
        <v>6</v>
      </c>
      <c r="L3915" s="1">
        <f t="shared" si="183"/>
        <v>58.999200000000002</v>
      </c>
      <c r="M3915" t="str" cm="1">
        <f t="array" ref="M3915">_xlfn.IFS(B3915&lt;18,"Under 18",B3915 &lt;=25,"18-25",B3915&lt;=35,"26-35",B3915&lt;=45,"36-45",B3915&lt;=60,"46-60",TRUE,"60+")</f>
        <v>18-25</v>
      </c>
      <c r="N3915" t="str">
        <f t="shared" si="184"/>
        <v>Discounted</v>
      </c>
      <c r="O3915" t="str">
        <f t="shared" si="185"/>
        <v>Returning</v>
      </c>
    </row>
    <row r="3916" spans="1:15" x14ac:dyDescent="0.25">
      <c r="A3916">
        <v>3915</v>
      </c>
      <c r="B3916">
        <v>31</v>
      </c>
      <c r="C3916" t="s">
        <v>16</v>
      </c>
      <c r="D3916" t="s">
        <v>20</v>
      </c>
      <c r="E3916" t="s">
        <v>21</v>
      </c>
      <c r="F3916" s="1">
        <v>107.78</v>
      </c>
      <c r="G3916" t="s">
        <v>14</v>
      </c>
      <c r="H3916" t="s">
        <v>15</v>
      </c>
      <c r="I3916" s="2">
        <v>3.5</v>
      </c>
      <c r="J3916" s="4">
        <v>15</v>
      </c>
      <c r="K3916" s="3">
        <v>5</v>
      </c>
      <c r="L3916" s="1">
        <f t="shared" si="183"/>
        <v>91.613</v>
      </c>
      <c r="M3916" t="str" cm="1">
        <f t="array" ref="M3916">_xlfn.IFS(B3916&lt;18,"Under 18",B3916 &lt;=25,"18-25",B3916&lt;=35,"26-35",B3916&lt;=45,"36-45",B3916&lt;=60,"46-60",TRUE,"60+")</f>
        <v>26-35</v>
      </c>
      <c r="N3916" t="str">
        <f t="shared" si="184"/>
        <v>Discounted</v>
      </c>
      <c r="O3916" t="str">
        <f t="shared" si="185"/>
        <v>Returning</v>
      </c>
    </row>
    <row r="3917" spans="1:15" x14ac:dyDescent="0.25">
      <c r="A3917">
        <v>3916</v>
      </c>
      <c r="B3917">
        <v>64</v>
      </c>
      <c r="C3917" t="s">
        <v>16</v>
      </c>
      <c r="D3917" t="s">
        <v>20</v>
      </c>
      <c r="E3917" t="s">
        <v>21</v>
      </c>
      <c r="F3917" s="1">
        <v>170.99</v>
      </c>
      <c r="G3917" t="s">
        <v>31</v>
      </c>
      <c r="H3917" t="s">
        <v>15</v>
      </c>
      <c r="I3917" s="2">
        <v>3.7</v>
      </c>
      <c r="J3917" s="4">
        <v>14</v>
      </c>
      <c r="K3917" s="3">
        <v>7</v>
      </c>
      <c r="L3917" s="1">
        <f t="shared" si="183"/>
        <v>147.0514</v>
      </c>
      <c r="M3917" t="str" cm="1">
        <f t="array" ref="M3917">_xlfn.IFS(B3917&lt;18,"Under 18",B3917 &lt;=25,"18-25",B3917&lt;=35,"26-35",B3917&lt;=45,"36-45",B3917&lt;=60,"46-60",TRUE,"60+")</f>
        <v>60+</v>
      </c>
      <c r="N3917" t="str">
        <f t="shared" si="184"/>
        <v>Discounted</v>
      </c>
      <c r="O3917" t="str">
        <f t="shared" si="185"/>
        <v>Returning</v>
      </c>
    </row>
    <row r="3918" spans="1:15" x14ac:dyDescent="0.25">
      <c r="A3918">
        <v>3917</v>
      </c>
      <c r="B3918">
        <v>61</v>
      </c>
      <c r="C3918" t="s">
        <v>11</v>
      </c>
      <c r="D3918" t="s">
        <v>12</v>
      </c>
      <c r="E3918" t="s">
        <v>56</v>
      </c>
      <c r="F3918" s="1">
        <v>171.53</v>
      </c>
      <c r="G3918" t="s">
        <v>31</v>
      </c>
      <c r="H3918" t="s">
        <v>15</v>
      </c>
      <c r="I3918" s="2">
        <v>3.5</v>
      </c>
      <c r="J3918" s="4">
        <v>16</v>
      </c>
      <c r="K3918" s="3">
        <v>3</v>
      </c>
      <c r="L3918" s="1">
        <f t="shared" si="183"/>
        <v>144.08519999999999</v>
      </c>
      <c r="M3918" t="str" cm="1">
        <f t="array" ref="M3918">_xlfn.IFS(B3918&lt;18,"Under 18",B3918 &lt;=25,"18-25",B3918&lt;=35,"26-35",B3918&lt;=45,"36-45",B3918&lt;=60,"46-60",TRUE,"60+")</f>
        <v>60+</v>
      </c>
      <c r="N3918" t="str">
        <f t="shared" si="184"/>
        <v>Discounted</v>
      </c>
      <c r="O3918" t="str">
        <f t="shared" si="185"/>
        <v>Returning</v>
      </c>
    </row>
    <row r="3919" spans="1:15" x14ac:dyDescent="0.25">
      <c r="A3919">
        <v>3918</v>
      </c>
      <c r="B3919">
        <v>27</v>
      </c>
      <c r="C3919" t="s">
        <v>11</v>
      </c>
      <c r="D3919" t="s">
        <v>29</v>
      </c>
      <c r="E3919" t="s">
        <v>55</v>
      </c>
      <c r="F3919" s="1">
        <v>76.489999999999995</v>
      </c>
      <c r="G3919" t="s">
        <v>19</v>
      </c>
      <c r="H3919" t="s">
        <v>15</v>
      </c>
      <c r="I3919" s="2">
        <v>4.3</v>
      </c>
      <c r="J3919" s="4">
        <v>9</v>
      </c>
      <c r="K3919" s="3">
        <v>2</v>
      </c>
      <c r="L3919" s="1">
        <f t="shared" si="183"/>
        <v>69.605899999999991</v>
      </c>
      <c r="M3919" t="str" cm="1">
        <f t="array" ref="M3919">_xlfn.IFS(B3919&lt;18,"Under 18",B3919 &lt;=25,"18-25",B3919&lt;=35,"26-35",B3919&lt;=45,"36-45",B3919&lt;=60,"46-60",TRUE,"60+")</f>
        <v>26-35</v>
      </c>
      <c r="N3919" t="str">
        <f t="shared" si="184"/>
        <v>Discounted</v>
      </c>
      <c r="O3919" t="str">
        <f t="shared" si="185"/>
        <v>Returning</v>
      </c>
    </row>
    <row r="3920" spans="1:15" x14ac:dyDescent="0.25">
      <c r="A3920">
        <v>3919</v>
      </c>
      <c r="B3920">
        <v>22</v>
      </c>
      <c r="C3920" t="s">
        <v>11</v>
      </c>
      <c r="D3920" t="s">
        <v>41</v>
      </c>
      <c r="E3920" t="s">
        <v>42</v>
      </c>
      <c r="F3920" s="1">
        <v>180.68</v>
      </c>
      <c r="G3920" t="s">
        <v>24</v>
      </c>
      <c r="H3920" t="s">
        <v>15</v>
      </c>
      <c r="I3920" s="2">
        <v>4.5</v>
      </c>
      <c r="J3920" s="4">
        <v>21</v>
      </c>
      <c r="K3920" s="3">
        <v>8</v>
      </c>
      <c r="L3920" s="1">
        <f t="shared" si="183"/>
        <v>142.7372</v>
      </c>
      <c r="M3920" t="str" cm="1">
        <f t="array" ref="M3920">_xlfn.IFS(B3920&lt;18,"Under 18",B3920 &lt;=25,"18-25",B3920&lt;=35,"26-35",B3920&lt;=45,"36-45",B3920&lt;=60,"46-60",TRUE,"60+")</f>
        <v>18-25</v>
      </c>
      <c r="N3920" t="str">
        <f t="shared" si="184"/>
        <v>Discounted</v>
      </c>
      <c r="O3920" t="str">
        <f t="shared" si="185"/>
        <v>Returning</v>
      </c>
    </row>
    <row r="3921" spans="1:15" x14ac:dyDescent="0.25">
      <c r="A3921">
        <v>3920</v>
      </c>
      <c r="B3921">
        <v>69</v>
      </c>
      <c r="C3921" t="s">
        <v>16</v>
      </c>
      <c r="D3921" t="s">
        <v>20</v>
      </c>
      <c r="E3921" t="s">
        <v>39</v>
      </c>
      <c r="F3921" s="1">
        <v>51.3</v>
      </c>
      <c r="G3921" t="s">
        <v>14</v>
      </c>
      <c r="H3921" t="s">
        <v>37</v>
      </c>
      <c r="I3921" s="2">
        <v>2.5</v>
      </c>
      <c r="J3921" s="4">
        <v>9</v>
      </c>
      <c r="K3921" s="3">
        <v>2</v>
      </c>
      <c r="L3921" s="1">
        <f t="shared" si="183"/>
        <v>46.683</v>
      </c>
      <c r="M3921" t="str" cm="1">
        <f t="array" ref="M3921">_xlfn.IFS(B3921&lt;18,"Under 18",B3921 &lt;=25,"18-25",B3921&lt;=35,"26-35",B3921&lt;=45,"36-45",B3921&lt;=60,"46-60",TRUE,"60+")</f>
        <v>60+</v>
      </c>
      <c r="N3921" t="str">
        <f t="shared" si="184"/>
        <v>Discounted</v>
      </c>
      <c r="O3921" t="str">
        <f t="shared" si="185"/>
        <v>Returning</v>
      </c>
    </row>
    <row r="3922" spans="1:15" x14ac:dyDescent="0.25">
      <c r="A3922">
        <v>3921</v>
      </c>
      <c r="B3922">
        <v>66</v>
      </c>
      <c r="C3922" t="s">
        <v>16</v>
      </c>
      <c r="D3922" t="s">
        <v>17</v>
      </c>
      <c r="E3922" t="s">
        <v>42</v>
      </c>
      <c r="F3922" s="1">
        <v>40.06</v>
      </c>
      <c r="G3922" t="s">
        <v>31</v>
      </c>
      <c r="H3922" t="s">
        <v>37</v>
      </c>
      <c r="I3922" s="2">
        <v>3.1</v>
      </c>
      <c r="J3922" s="4">
        <v>20</v>
      </c>
      <c r="K3922" s="3">
        <v>5</v>
      </c>
      <c r="L3922" s="1">
        <f t="shared" si="183"/>
        <v>32.048000000000002</v>
      </c>
      <c r="M3922" t="str" cm="1">
        <f t="array" ref="M3922">_xlfn.IFS(B3922&lt;18,"Under 18",B3922 &lt;=25,"18-25",B3922&lt;=35,"26-35",B3922&lt;=45,"36-45",B3922&lt;=60,"46-60",TRUE,"60+")</f>
        <v>60+</v>
      </c>
      <c r="N3922" t="str">
        <f t="shared" si="184"/>
        <v>Discounted</v>
      </c>
      <c r="O3922" t="str">
        <f t="shared" si="185"/>
        <v>Returning</v>
      </c>
    </row>
    <row r="3923" spans="1:15" x14ac:dyDescent="0.25">
      <c r="A3923">
        <v>3922</v>
      </c>
      <c r="B3923">
        <v>39</v>
      </c>
      <c r="C3923" t="s">
        <v>16</v>
      </c>
      <c r="D3923" t="s">
        <v>20</v>
      </c>
      <c r="E3923" t="s">
        <v>39</v>
      </c>
      <c r="F3923" s="1">
        <v>149.28</v>
      </c>
      <c r="G3923" t="s">
        <v>24</v>
      </c>
      <c r="H3923" t="s">
        <v>15</v>
      </c>
      <c r="I3923" s="2">
        <v>2.9</v>
      </c>
      <c r="J3923" s="4">
        <v>15</v>
      </c>
      <c r="K3923" s="3">
        <v>5</v>
      </c>
      <c r="L3923" s="1">
        <f t="shared" si="183"/>
        <v>126.88799999999999</v>
      </c>
      <c r="M3923" t="str" cm="1">
        <f t="array" ref="M3923">_xlfn.IFS(B3923&lt;18,"Under 18",B3923 &lt;=25,"18-25",B3923&lt;=35,"26-35",B3923&lt;=45,"36-45",B3923&lt;=60,"46-60",TRUE,"60+")</f>
        <v>36-45</v>
      </c>
      <c r="N3923" t="str">
        <f t="shared" si="184"/>
        <v>Discounted</v>
      </c>
      <c r="O3923" t="str">
        <f t="shared" si="185"/>
        <v>Returning</v>
      </c>
    </row>
    <row r="3924" spans="1:15" x14ac:dyDescent="0.25">
      <c r="A3924">
        <v>3923</v>
      </c>
      <c r="B3924">
        <v>22</v>
      </c>
      <c r="C3924" t="s">
        <v>16</v>
      </c>
      <c r="D3924" t="s">
        <v>33</v>
      </c>
      <c r="E3924" t="s">
        <v>38</v>
      </c>
      <c r="F3924" s="1">
        <v>168.49</v>
      </c>
      <c r="G3924" t="s">
        <v>19</v>
      </c>
      <c r="H3924" t="s">
        <v>15</v>
      </c>
      <c r="I3924" s="2">
        <v>4.9000000000000004</v>
      </c>
      <c r="J3924" s="4">
        <v>19</v>
      </c>
      <c r="K3924" s="3">
        <v>7</v>
      </c>
      <c r="L3924" s="1">
        <f t="shared" si="183"/>
        <v>136.47690000000003</v>
      </c>
      <c r="M3924" t="str" cm="1">
        <f t="array" ref="M3924">_xlfn.IFS(B3924&lt;18,"Under 18",B3924 &lt;=25,"18-25",B3924&lt;=35,"26-35",B3924&lt;=45,"36-45",B3924&lt;=60,"46-60",TRUE,"60+")</f>
        <v>18-25</v>
      </c>
      <c r="N3924" t="str">
        <f t="shared" si="184"/>
        <v>Discounted</v>
      </c>
      <c r="O3924" t="str">
        <f t="shared" si="185"/>
        <v>Returning</v>
      </c>
    </row>
    <row r="3925" spans="1:15" x14ac:dyDescent="0.25">
      <c r="A3925">
        <v>3924</v>
      </c>
      <c r="B3925">
        <v>53</v>
      </c>
      <c r="C3925" t="s">
        <v>11</v>
      </c>
      <c r="D3925" t="s">
        <v>33</v>
      </c>
      <c r="E3925" t="s">
        <v>38</v>
      </c>
      <c r="F3925" s="1">
        <v>141.58000000000001</v>
      </c>
      <c r="G3925" t="s">
        <v>19</v>
      </c>
      <c r="H3925" t="s">
        <v>15</v>
      </c>
      <c r="I3925" s="2">
        <v>1.7</v>
      </c>
      <c r="J3925" s="4">
        <v>10</v>
      </c>
      <c r="K3925" s="3">
        <v>5</v>
      </c>
      <c r="L3925" s="1">
        <f t="shared" si="183"/>
        <v>127.42200000000001</v>
      </c>
      <c r="M3925" t="str" cm="1">
        <f t="array" ref="M3925">_xlfn.IFS(B3925&lt;18,"Under 18",B3925 &lt;=25,"18-25",B3925&lt;=35,"26-35",B3925&lt;=45,"36-45",B3925&lt;=60,"46-60",TRUE,"60+")</f>
        <v>46-60</v>
      </c>
      <c r="N3925" t="str">
        <f t="shared" si="184"/>
        <v>Discounted</v>
      </c>
      <c r="O3925" t="str">
        <f t="shared" si="185"/>
        <v>Returning</v>
      </c>
    </row>
    <row r="3926" spans="1:15" x14ac:dyDescent="0.25">
      <c r="A3926">
        <v>3925</v>
      </c>
      <c r="B3926">
        <v>50</v>
      </c>
      <c r="C3926" t="s">
        <v>11</v>
      </c>
      <c r="D3926" t="s">
        <v>33</v>
      </c>
      <c r="E3926" t="s">
        <v>38</v>
      </c>
      <c r="F3926" s="1">
        <v>227.28</v>
      </c>
      <c r="G3926" t="s">
        <v>19</v>
      </c>
      <c r="H3926" t="s">
        <v>15</v>
      </c>
      <c r="I3926" s="2">
        <v>3.8</v>
      </c>
      <c r="J3926" s="4">
        <v>16</v>
      </c>
      <c r="K3926" s="3">
        <v>3</v>
      </c>
      <c r="L3926" s="1">
        <f t="shared" si="183"/>
        <v>190.9152</v>
      </c>
      <c r="M3926" t="str" cm="1">
        <f t="array" ref="M3926">_xlfn.IFS(B3926&lt;18,"Under 18",B3926 &lt;=25,"18-25",B3926&lt;=35,"26-35",B3926&lt;=45,"36-45",B3926&lt;=60,"46-60",TRUE,"60+")</f>
        <v>46-60</v>
      </c>
      <c r="N3926" t="str">
        <f t="shared" si="184"/>
        <v>Discounted</v>
      </c>
      <c r="O3926" t="str">
        <f t="shared" si="185"/>
        <v>Returning</v>
      </c>
    </row>
    <row r="3927" spans="1:15" x14ac:dyDescent="0.25">
      <c r="A3927">
        <v>3926</v>
      </c>
      <c r="B3927">
        <v>45</v>
      </c>
      <c r="C3927" t="s">
        <v>16</v>
      </c>
      <c r="D3927" t="s">
        <v>17</v>
      </c>
      <c r="E3927" t="s">
        <v>18</v>
      </c>
      <c r="F3927" s="1">
        <v>49.65</v>
      </c>
      <c r="G3927" t="s">
        <v>31</v>
      </c>
      <c r="H3927" t="s">
        <v>15</v>
      </c>
      <c r="I3927" s="2">
        <v>4.9000000000000004</v>
      </c>
      <c r="J3927" s="4">
        <v>26</v>
      </c>
      <c r="K3927" s="3">
        <v>8</v>
      </c>
      <c r="L3927" s="1">
        <f t="shared" si="183"/>
        <v>36.741</v>
      </c>
      <c r="M3927" t="str" cm="1">
        <f t="array" ref="M3927">_xlfn.IFS(B3927&lt;18,"Under 18",B3927 &lt;=25,"18-25",B3927&lt;=35,"26-35",B3927&lt;=45,"36-45",B3927&lt;=60,"46-60",TRUE,"60+")</f>
        <v>36-45</v>
      </c>
      <c r="N3927" t="str">
        <f t="shared" si="184"/>
        <v>Discounted</v>
      </c>
      <c r="O3927" t="str">
        <f t="shared" si="185"/>
        <v>Returning</v>
      </c>
    </row>
    <row r="3928" spans="1:15" x14ac:dyDescent="0.25">
      <c r="A3928">
        <v>3927</v>
      </c>
      <c r="B3928">
        <v>54</v>
      </c>
      <c r="C3928" t="s">
        <v>16</v>
      </c>
      <c r="D3928" t="s">
        <v>17</v>
      </c>
      <c r="E3928" t="s">
        <v>48</v>
      </c>
      <c r="F3928" s="1">
        <v>48.95</v>
      </c>
      <c r="G3928" t="s">
        <v>24</v>
      </c>
      <c r="H3928" t="s">
        <v>15</v>
      </c>
      <c r="I3928" s="2">
        <v>2.6</v>
      </c>
      <c r="J3928" s="4">
        <v>13</v>
      </c>
      <c r="K3928" s="3">
        <v>4</v>
      </c>
      <c r="L3928" s="1">
        <f t="shared" si="183"/>
        <v>42.586500000000001</v>
      </c>
      <c r="M3928" t="str" cm="1">
        <f t="array" ref="M3928">_xlfn.IFS(B3928&lt;18,"Under 18",B3928 &lt;=25,"18-25",B3928&lt;=35,"26-35",B3928&lt;=45,"36-45",B3928&lt;=60,"46-60",TRUE,"60+")</f>
        <v>46-60</v>
      </c>
      <c r="N3928" t="str">
        <f t="shared" si="184"/>
        <v>Discounted</v>
      </c>
      <c r="O3928" t="str">
        <f t="shared" si="185"/>
        <v>Returning</v>
      </c>
    </row>
    <row r="3929" spans="1:15" x14ac:dyDescent="0.25">
      <c r="A3929">
        <v>3928</v>
      </c>
      <c r="B3929">
        <v>38</v>
      </c>
      <c r="C3929" t="s">
        <v>11</v>
      </c>
      <c r="D3929" t="s">
        <v>22</v>
      </c>
      <c r="E3929" t="s">
        <v>43</v>
      </c>
      <c r="F3929" s="1">
        <v>289.17</v>
      </c>
      <c r="G3929" t="s">
        <v>24</v>
      </c>
      <c r="H3929" t="s">
        <v>15</v>
      </c>
      <c r="I3929" s="2">
        <v>3.9</v>
      </c>
      <c r="J3929" s="4">
        <v>6</v>
      </c>
      <c r="K3929" s="3">
        <v>3</v>
      </c>
      <c r="L3929" s="1">
        <f t="shared" si="183"/>
        <v>271.81979999999999</v>
      </c>
      <c r="M3929" t="str" cm="1">
        <f t="array" ref="M3929">_xlfn.IFS(B3929&lt;18,"Under 18",B3929 &lt;=25,"18-25",B3929&lt;=35,"26-35",B3929&lt;=45,"36-45",B3929&lt;=60,"46-60",TRUE,"60+")</f>
        <v>36-45</v>
      </c>
      <c r="N3929" t="str">
        <f t="shared" si="184"/>
        <v>Discounted</v>
      </c>
      <c r="O3929" t="str">
        <f t="shared" si="185"/>
        <v>Returning</v>
      </c>
    </row>
    <row r="3930" spans="1:15" x14ac:dyDescent="0.25">
      <c r="A3930">
        <v>3929</v>
      </c>
      <c r="B3930">
        <v>45</v>
      </c>
      <c r="C3930" t="s">
        <v>11</v>
      </c>
      <c r="D3930" t="s">
        <v>12</v>
      </c>
      <c r="E3930" t="s">
        <v>56</v>
      </c>
      <c r="F3930" s="1">
        <v>51.88</v>
      </c>
      <c r="G3930" t="s">
        <v>24</v>
      </c>
      <c r="H3930" t="s">
        <v>15</v>
      </c>
      <c r="I3930" s="2">
        <v>4.5999999999999996</v>
      </c>
      <c r="J3930" s="4">
        <v>8</v>
      </c>
      <c r="K3930" s="3">
        <v>4</v>
      </c>
      <c r="L3930" s="1">
        <f t="shared" si="183"/>
        <v>47.729600000000005</v>
      </c>
      <c r="M3930" t="str" cm="1">
        <f t="array" ref="M3930">_xlfn.IFS(B3930&lt;18,"Under 18",B3930 &lt;=25,"18-25",B3930&lt;=35,"26-35",B3930&lt;=45,"36-45",B3930&lt;=60,"46-60",TRUE,"60+")</f>
        <v>36-45</v>
      </c>
      <c r="N3930" t="str">
        <f t="shared" si="184"/>
        <v>Discounted</v>
      </c>
      <c r="O3930" t="str">
        <f t="shared" si="185"/>
        <v>Returning</v>
      </c>
    </row>
    <row r="3931" spans="1:15" x14ac:dyDescent="0.25">
      <c r="A3931">
        <v>3930</v>
      </c>
      <c r="B3931">
        <v>36</v>
      </c>
      <c r="C3931" t="s">
        <v>11</v>
      </c>
      <c r="D3931" t="s">
        <v>41</v>
      </c>
      <c r="E3931" t="s">
        <v>45</v>
      </c>
      <c r="F3931" s="1">
        <v>70.98</v>
      </c>
      <c r="G3931" t="s">
        <v>24</v>
      </c>
      <c r="H3931" t="s">
        <v>37</v>
      </c>
      <c r="I3931" s="2">
        <v>3.4</v>
      </c>
      <c r="J3931" s="4">
        <v>6</v>
      </c>
      <c r="K3931" s="3">
        <v>3</v>
      </c>
      <c r="L3931" s="1">
        <f t="shared" si="183"/>
        <v>66.721199999999996</v>
      </c>
      <c r="M3931" t="str" cm="1">
        <f t="array" ref="M3931">_xlfn.IFS(B3931&lt;18,"Under 18",B3931 &lt;=25,"18-25",B3931&lt;=35,"26-35",B3931&lt;=45,"36-45",B3931&lt;=60,"46-60",TRUE,"60+")</f>
        <v>36-45</v>
      </c>
      <c r="N3931" t="str">
        <f t="shared" si="184"/>
        <v>Discounted</v>
      </c>
      <c r="O3931" t="str">
        <f t="shared" si="185"/>
        <v>Returning</v>
      </c>
    </row>
    <row r="3932" spans="1:15" x14ac:dyDescent="0.25">
      <c r="A3932">
        <v>3931</v>
      </c>
      <c r="B3932">
        <v>34</v>
      </c>
      <c r="C3932" t="s">
        <v>16</v>
      </c>
      <c r="D3932" t="s">
        <v>17</v>
      </c>
      <c r="E3932" t="s">
        <v>35</v>
      </c>
      <c r="F3932" s="1">
        <v>63.17</v>
      </c>
      <c r="G3932" t="s">
        <v>31</v>
      </c>
      <c r="H3932" t="s">
        <v>15</v>
      </c>
      <c r="I3932" s="2">
        <v>3.6</v>
      </c>
      <c r="J3932" s="4">
        <v>20</v>
      </c>
      <c r="K3932" s="3">
        <v>10</v>
      </c>
      <c r="L3932" s="1">
        <f t="shared" si="183"/>
        <v>50.536000000000001</v>
      </c>
      <c r="M3932" t="str" cm="1">
        <f t="array" ref="M3932">_xlfn.IFS(B3932&lt;18,"Under 18",B3932 &lt;=25,"18-25",B3932&lt;=35,"26-35",B3932&lt;=45,"36-45",B3932&lt;=60,"46-60",TRUE,"60+")</f>
        <v>26-35</v>
      </c>
      <c r="N3932" t="str">
        <f t="shared" si="184"/>
        <v>Discounted</v>
      </c>
      <c r="O3932" t="str">
        <f t="shared" si="185"/>
        <v>Returning</v>
      </c>
    </row>
    <row r="3933" spans="1:15" x14ac:dyDescent="0.25">
      <c r="A3933">
        <v>3932</v>
      </c>
      <c r="B3933">
        <v>69</v>
      </c>
      <c r="C3933" t="s">
        <v>16</v>
      </c>
      <c r="D3933" t="s">
        <v>20</v>
      </c>
      <c r="E3933" t="s">
        <v>36</v>
      </c>
      <c r="F3933" s="1">
        <v>235.79</v>
      </c>
      <c r="G3933" t="s">
        <v>24</v>
      </c>
      <c r="H3933" t="s">
        <v>15</v>
      </c>
      <c r="I3933" s="2">
        <v>3.7</v>
      </c>
      <c r="J3933" s="4">
        <v>11</v>
      </c>
      <c r="K3933" s="3">
        <v>3</v>
      </c>
      <c r="L3933" s="1">
        <f t="shared" si="183"/>
        <v>209.85309999999998</v>
      </c>
      <c r="M3933" t="str" cm="1">
        <f t="array" ref="M3933">_xlfn.IFS(B3933&lt;18,"Under 18",B3933 &lt;=25,"18-25",B3933&lt;=35,"26-35",B3933&lt;=45,"36-45",B3933&lt;=60,"46-60",TRUE,"60+")</f>
        <v>60+</v>
      </c>
      <c r="N3933" t="str">
        <f t="shared" si="184"/>
        <v>Discounted</v>
      </c>
      <c r="O3933" t="str">
        <f t="shared" si="185"/>
        <v>Returning</v>
      </c>
    </row>
    <row r="3934" spans="1:15" x14ac:dyDescent="0.25">
      <c r="A3934">
        <v>3933</v>
      </c>
      <c r="B3934">
        <v>25</v>
      </c>
      <c r="C3934" t="s">
        <v>16</v>
      </c>
      <c r="D3934" t="s">
        <v>20</v>
      </c>
      <c r="E3934" t="s">
        <v>39</v>
      </c>
      <c r="F3934" s="1">
        <v>156.57</v>
      </c>
      <c r="G3934" t="s">
        <v>24</v>
      </c>
      <c r="H3934" t="s">
        <v>15</v>
      </c>
      <c r="I3934" s="2">
        <v>3.5</v>
      </c>
      <c r="J3934" s="4">
        <v>17</v>
      </c>
      <c r="K3934" s="3">
        <v>6</v>
      </c>
      <c r="L3934" s="1">
        <f t="shared" si="183"/>
        <v>129.95309999999998</v>
      </c>
      <c r="M3934" t="str" cm="1">
        <f t="array" ref="M3934">_xlfn.IFS(B3934&lt;18,"Under 18",B3934 &lt;=25,"18-25",B3934&lt;=35,"26-35",B3934&lt;=45,"36-45",B3934&lt;=60,"46-60",TRUE,"60+")</f>
        <v>18-25</v>
      </c>
      <c r="N3934" t="str">
        <f t="shared" si="184"/>
        <v>Discounted</v>
      </c>
      <c r="O3934" t="str">
        <f t="shared" si="185"/>
        <v>Returning</v>
      </c>
    </row>
    <row r="3935" spans="1:15" x14ac:dyDescent="0.25">
      <c r="A3935">
        <v>3934</v>
      </c>
      <c r="B3935">
        <v>70</v>
      </c>
      <c r="C3935" t="s">
        <v>11</v>
      </c>
      <c r="D3935" t="s">
        <v>25</v>
      </c>
      <c r="E3935" t="s">
        <v>26</v>
      </c>
      <c r="F3935" s="1">
        <v>58.72</v>
      </c>
      <c r="G3935" t="s">
        <v>19</v>
      </c>
      <c r="H3935" t="s">
        <v>15</v>
      </c>
      <c r="I3935" s="2">
        <v>4.5</v>
      </c>
      <c r="J3935" s="4">
        <v>26</v>
      </c>
      <c r="K3935" s="3">
        <v>8</v>
      </c>
      <c r="L3935" s="1">
        <f t="shared" si="183"/>
        <v>43.452799999999996</v>
      </c>
      <c r="M3935" t="str" cm="1">
        <f t="array" ref="M3935">_xlfn.IFS(B3935&lt;18,"Under 18",B3935 &lt;=25,"18-25",B3935&lt;=35,"26-35",B3935&lt;=45,"36-45",B3935&lt;=60,"46-60",TRUE,"60+")</f>
        <v>60+</v>
      </c>
      <c r="N3935" t="str">
        <f t="shared" si="184"/>
        <v>Discounted</v>
      </c>
      <c r="O3935" t="str">
        <f t="shared" si="185"/>
        <v>Returning</v>
      </c>
    </row>
    <row r="3936" spans="1:15" x14ac:dyDescent="0.25">
      <c r="A3936">
        <v>3935</v>
      </c>
      <c r="B3936">
        <v>26</v>
      </c>
      <c r="C3936" t="s">
        <v>16</v>
      </c>
      <c r="D3936" t="s">
        <v>17</v>
      </c>
      <c r="E3936" t="s">
        <v>42</v>
      </c>
      <c r="F3936" s="1">
        <v>148.72999999999999</v>
      </c>
      <c r="G3936" t="s">
        <v>24</v>
      </c>
      <c r="H3936" t="s">
        <v>15</v>
      </c>
      <c r="I3936" s="2">
        <v>3.5</v>
      </c>
      <c r="J3936" s="4">
        <v>20</v>
      </c>
      <c r="K3936" s="3">
        <v>5</v>
      </c>
      <c r="L3936" s="1">
        <f t="shared" si="183"/>
        <v>118.98399999999999</v>
      </c>
      <c r="M3936" t="str" cm="1">
        <f t="array" ref="M3936">_xlfn.IFS(B3936&lt;18,"Under 18",B3936 &lt;=25,"18-25",B3936&lt;=35,"26-35",B3936&lt;=45,"36-45",B3936&lt;=60,"46-60",TRUE,"60+")</f>
        <v>26-35</v>
      </c>
      <c r="N3936" t="str">
        <f t="shared" si="184"/>
        <v>Discounted</v>
      </c>
      <c r="O3936" t="str">
        <f t="shared" si="185"/>
        <v>Returning</v>
      </c>
    </row>
    <row r="3937" spans="1:15" x14ac:dyDescent="0.25">
      <c r="A3937">
        <v>3936</v>
      </c>
      <c r="B3937">
        <v>41</v>
      </c>
      <c r="C3937" t="s">
        <v>16</v>
      </c>
      <c r="D3937" t="s">
        <v>27</v>
      </c>
      <c r="E3937" t="s">
        <v>53</v>
      </c>
      <c r="F3937" s="1">
        <v>560.16</v>
      </c>
      <c r="G3937" t="s">
        <v>14</v>
      </c>
      <c r="H3937" t="s">
        <v>15</v>
      </c>
      <c r="I3937" s="2">
        <v>3.4</v>
      </c>
      <c r="J3937" s="4">
        <v>8</v>
      </c>
      <c r="K3937" s="3">
        <v>4</v>
      </c>
      <c r="L3937" s="1">
        <f t="shared" si="183"/>
        <v>515.34720000000004</v>
      </c>
      <c r="M3937" t="str" cm="1">
        <f t="array" ref="M3937">_xlfn.IFS(B3937&lt;18,"Under 18",B3937 &lt;=25,"18-25",B3937&lt;=35,"26-35",B3937&lt;=45,"36-45",B3937&lt;=60,"46-60",TRUE,"60+")</f>
        <v>36-45</v>
      </c>
      <c r="N3937" t="str">
        <f t="shared" si="184"/>
        <v>Discounted</v>
      </c>
      <c r="O3937" t="str">
        <f t="shared" si="185"/>
        <v>Returning</v>
      </c>
    </row>
    <row r="3938" spans="1:15" x14ac:dyDescent="0.25">
      <c r="A3938">
        <v>3937</v>
      </c>
      <c r="B3938">
        <v>70</v>
      </c>
      <c r="C3938" t="s">
        <v>11</v>
      </c>
      <c r="D3938" t="s">
        <v>29</v>
      </c>
      <c r="E3938" t="s">
        <v>51</v>
      </c>
      <c r="F3938" s="1">
        <v>57.57</v>
      </c>
      <c r="G3938" t="s">
        <v>19</v>
      </c>
      <c r="H3938" t="s">
        <v>15</v>
      </c>
      <c r="I3938" s="2">
        <v>4.2</v>
      </c>
      <c r="J3938" s="4">
        <v>28</v>
      </c>
      <c r="K3938" s="3">
        <v>9</v>
      </c>
      <c r="L3938" s="1">
        <f t="shared" si="183"/>
        <v>41.450400000000002</v>
      </c>
      <c r="M3938" t="str" cm="1">
        <f t="array" ref="M3938">_xlfn.IFS(B3938&lt;18,"Under 18",B3938 &lt;=25,"18-25",B3938&lt;=35,"26-35",B3938&lt;=45,"36-45",B3938&lt;=60,"46-60",TRUE,"60+")</f>
        <v>60+</v>
      </c>
      <c r="N3938" t="str">
        <f t="shared" si="184"/>
        <v>Discounted</v>
      </c>
      <c r="O3938" t="str">
        <f t="shared" si="185"/>
        <v>Returning</v>
      </c>
    </row>
    <row r="3939" spans="1:15" x14ac:dyDescent="0.25">
      <c r="A3939">
        <v>3938</v>
      </c>
      <c r="B3939">
        <v>67</v>
      </c>
      <c r="C3939" t="s">
        <v>16</v>
      </c>
      <c r="D3939" t="s">
        <v>20</v>
      </c>
      <c r="E3939" t="s">
        <v>21</v>
      </c>
      <c r="F3939" s="1">
        <v>177.81</v>
      </c>
      <c r="G3939" t="s">
        <v>31</v>
      </c>
      <c r="H3939" t="s">
        <v>15</v>
      </c>
      <c r="I3939" s="2">
        <v>4.4000000000000004</v>
      </c>
      <c r="J3939" s="4">
        <v>24</v>
      </c>
      <c r="K3939" s="3">
        <v>7</v>
      </c>
      <c r="L3939" s="1">
        <f t="shared" si="183"/>
        <v>135.13560000000001</v>
      </c>
      <c r="M3939" t="str" cm="1">
        <f t="array" ref="M3939">_xlfn.IFS(B3939&lt;18,"Under 18",B3939 &lt;=25,"18-25",B3939&lt;=35,"26-35",B3939&lt;=45,"36-45",B3939&lt;=60,"46-60",TRUE,"60+")</f>
        <v>60+</v>
      </c>
      <c r="N3939" t="str">
        <f t="shared" si="184"/>
        <v>Discounted</v>
      </c>
      <c r="O3939" t="str">
        <f t="shared" si="185"/>
        <v>Returning</v>
      </c>
    </row>
    <row r="3940" spans="1:15" x14ac:dyDescent="0.25">
      <c r="A3940">
        <v>3939</v>
      </c>
      <c r="B3940">
        <v>51</v>
      </c>
      <c r="C3940" t="s">
        <v>11</v>
      </c>
      <c r="D3940" t="s">
        <v>20</v>
      </c>
      <c r="E3940" t="s">
        <v>21</v>
      </c>
      <c r="F3940" s="1">
        <v>184.15</v>
      </c>
      <c r="G3940" t="s">
        <v>14</v>
      </c>
      <c r="H3940" t="s">
        <v>15</v>
      </c>
      <c r="I3940" s="2">
        <v>4.5</v>
      </c>
      <c r="J3940" s="4">
        <v>19</v>
      </c>
      <c r="K3940" s="3">
        <v>7</v>
      </c>
      <c r="L3940" s="1">
        <f t="shared" si="183"/>
        <v>149.16150000000002</v>
      </c>
      <c r="M3940" t="str" cm="1">
        <f t="array" ref="M3940">_xlfn.IFS(B3940&lt;18,"Under 18",B3940 &lt;=25,"18-25",B3940&lt;=35,"26-35",B3940&lt;=45,"36-45",B3940&lt;=60,"46-60",TRUE,"60+")</f>
        <v>46-60</v>
      </c>
      <c r="N3940" t="str">
        <f t="shared" si="184"/>
        <v>Discounted</v>
      </c>
      <c r="O3940" t="str">
        <f t="shared" si="185"/>
        <v>Returning</v>
      </c>
    </row>
    <row r="3941" spans="1:15" x14ac:dyDescent="0.25">
      <c r="A3941">
        <v>3940</v>
      </c>
      <c r="B3941">
        <v>57</v>
      </c>
      <c r="C3941" t="s">
        <v>11</v>
      </c>
      <c r="D3941" t="s">
        <v>29</v>
      </c>
      <c r="E3941" t="s">
        <v>51</v>
      </c>
      <c r="F3941" s="1">
        <v>113.42</v>
      </c>
      <c r="G3941" t="s">
        <v>24</v>
      </c>
      <c r="H3941" t="s">
        <v>15</v>
      </c>
      <c r="I3941" s="2">
        <v>5</v>
      </c>
      <c r="J3941" s="4">
        <v>24</v>
      </c>
      <c r="K3941" s="3">
        <v>7</v>
      </c>
      <c r="L3941" s="1">
        <f t="shared" si="183"/>
        <v>86.199200000000005</v>
      </c>
      <c r="M3941" t="str" cm="1">
        <f t="array" ref="M3941">_xlfn.IFS(B3941&lt;18,"Under 18",B3941 &lt;=25,"18-25",B3941&lt;=35,"26-35",B3941&lt;=45,"36-45",B3941&lt;=60,"46-60",TRUE,"60+")</f>
        <v>46-60</v>
      </c>
      <c r="N3941" t="str">
        <f t="shared" si="184"/>
        <v>Discounted</v>
      </c>
      <c r="O3941" t="str">
        <f t="shared" si="185"/>
        <v>Returning</v>
      </c>
    </row>
    <row r="3942" spans="1:15" x14ac:dyDescent="0.25">
      <c r="A3942">
        <v>3941</v>
      </c>
      <c r="B3942">
        <v>43</v>
      </c>
      <c r="C3942" t="s">
        <v>16</v>
      </c>
      <c r="D3942" t="s">
        <v>17</v>
      </c>
      <c r="E3942" t="s">
        <v>18</v>
      </c>
      <c r="F3942" s="1">
        <v>73.540000000000006</v>
      </c>
      <c r="G3942" t="s">
        <v>14</v>
      </c>
      <c r="H3942" t="s">
        <v>37</v>
      </c>
      <c r="I3942" s="2">
        <v>2.4</v>
      </c>
      <c r="J3942" s="4">
        <v>11</v>
      </c>
      <c r="K3942" s="3">
        <v>3</v>
      </c>
      <c r="L3942" s="1">
        <f t="shared" si="183"/>
        <v>65.450600000000009</v>
      </c>
      <c r="M3942" t="str" cm="1">
        <f t="array" ref="M3942">_xlfn.IFS(B3942&lt;18,"Under 18",B3942 &lt;=25,"18-25",B3942&lt;=35,"26-35",B3942&lt;=45,"36-45",B3942&lt;=60,"46-60",TRUE,"60+")</f>
        <v>36-45</v>
      </c>
      <c r="N3942" t="str">
        <f t="shared" si="184"/>
        <v>Discounted</v>
      </c>
      <c r="O3942" t="str">
        <f t="shared" si="185"/>
        <v>Returning</v>
      </c>
    </row>
    <row r="3943" spans="1:15" x14ac:dyDescent="0.25">
      <c r="A3943">
        <v>3942</v>
      </c>
      <c r="B3943">
        <v>63</v>
      </c>
      <c r="C3943" t="s">
        <v>11</v>
      </c>
      <c r="D3943" t="s">
        <v>12</v>
      </c>
      <c r="E3943" t="s">
        <v>13</v>
      </c>
      <c r="F3943" s="1">
        <v>83.01</v>
      </c>
      <c r="G3943" t="s">
        <v>31</v>
      </c>
      <c r="H3943" t="s">
        <v>15</v>
      </c>
      <c r="I3943" s="2">
        <v>2.9</v>
      </c>
      <c r="J3943" s="4">
        <v>20</v>
      </c>
      <c r="K3943" s="3">
        <v>5</v>
      </c>
      <c r="L3943" s="1">
        <f t="shared" si="183"/>
        <v>66.408000000000001</v>
      </c>
      <c r="M3943" t="str" cm="1">
        <f t="array" ref="M3943">_xlfn.IFS(B3943&lt;18,"Under 18",B3943 &lt;=25,"18-25",B3943&lt;=35,"26-35",B3943&lt;=45,"36-45",B3943&lt;=60,"46-60",TRUE,"60+")</f>
        <v>60+</v>
      </c>
      <c r="N3943" t="str">
        <f t="shared" si="184"/>
        <v>Discounted</v>
      </c>
      <c r="O3943" t="str">
        <f t="shared" si="185"/>
        <v>Returning</v>
      </c>
    </row>
    <row r="3944" spans="1:15" x14ac:dyDescent="0.25">
      <c r="A3944">
        <v>3943</v>
      </c>
      <c r="B3944">
        <v>42</v>
      </c>
      <c r="C3944" t="s">
        <v>11</v>
      </c>
      <c r="D3944" t="s">
        <v>12</v>
      </c>
      <c r="E3944" t="s">
        <v>56</v>
      </c>
      <c r="F3944" s="1">
        <v>136.71</v>
      </c>
      <c r="G3944" t="s">
        <v>24</v>
      </c>
      <c r="H3944" t="s">
        <v>15</v>
      </c>
      <c r="I3944" s="2">
        <v>2.2999999999999998</v>
      </c>
      <c r="J3944" s="4">
        <v>16</v>
      </c>
      <c r="K3944" s="3">
        <v>3</v>
      </c>
      <c r="L3944" s="1">
        <f t="shared" si="183"/>
        <v>114.8364</v>
      </c>
      <c r="M3944" t="str" cm="1">
        <f t="array" ref="M3944">_xlfn.IFS(B3944&lt;18,"Under 18",B3944 &lt;=25,"18-25",B3944&lt;=35,"26-35",B3944&lt;=45,"36-45",B3944&lt;=60,"46-60",TRUE,"60+")</f>
        <v>36-45</v>
      </c>
      <c r="N3944" t="str">
        <f t="shared" si="184"/>
        <v>Discounted</v>
      </c>
      <c r="O3944" t="str">
        <f t="shared" si="185"/>
        <v>Returning</v>
      </c>
    </row>
    <row r="3945" spans="1:15" x14ac:dyDescent="0.25">
      <c r="A3945">
        <v>3944</v>
      </c>
      <c r="B3945">
        <v>46</v>
      </c>
      <c r="C3945" t="s">
        <v>16</v>
      </c>
      <c r="D3945" t="s">
        <v>27</v>
      </c>
      <c r="E3945" t="s">
        <v>32</v>
      </c>
      <c r="F3945" s="1">
        <v>1464.71</v>
      </c>
      <c r="G3945" t="s">
        <v>14</v>
      </c>
      <c r="H3945" t="s">
        <v>15</v>
      </c>
      <c r="I3945" s="2">
        <v>2.2999999999999998</v>
      </c>
      <c r="J3945" s="4">
        <v>12</v>
      </c>
      <c r="K3945" s="3">
        <v>6</v>
      </c>
      <c r="L3945" s="1">
        <f t="shared" si="183"/>
        <v>1288.9448</v>
      </c>
      <c r="M3945" t="str" cm="1">
        <f t="array" ref="M3945">_xlfn.IFS(B3945&lt;18,"Under 18",B3945 &lt;=25,"18-25",B3945&lt;=35,"26-35",B3945&lt;=45,"36-45",B3945&lt;=60,"46-60",TRUE,"60+")</f>
        <v>46-60</v>
      </c>
      <c r="N3945" t="str">
        <f t="shared" si="184"/>
        <v>Discounted</v>
      </c>
      <c r="O3945" t="str">
        <f t="shared" si="185"/>
        <v>Returning</v>
      </c>
    </row>
    <row r="3946" spans="1:15" x14ac:dyDescent="0.25">
      <c r="A3946">
        <v>3945</v>
      </c>
      <c r="B3946">
        <v>69</v>
      </c>
      <c r="C3946" t="s">
        <v>16</v>
      </c>
      <c r="D3946" t="s">
        <v>17</v>
      </c>
      <c r="E3946" t="s">
        <v>48</v>
      </c>
      <c r="F3946" s="1">
        <v>173.52</v>
      </c>
      <c r="G3946" t="s">
        <v>31</v>
      </c>
      <c r="H3946" t="s">
        <v>15</v>
      </c>
      <c r="I3946" s="2">
        <v>3.2</v>
      </c>
      <c r="J3946" s="4">
        <v>10</v>
      </c>
      <c r="K3946" s="3">
        <v>5</v>
      </c>
      <c r="L3946" s="1">
        <f t="shared" si="183"/>
        <v>156.16800000000001</v>
      </c>
      <c r="M3946" t="str" cm="1">
        <f t="array" ref="M3946">_xlfn.IFS(B3946&lt;18,"Under 18",B3946 &lt;=25,"18-25",B3946&lt;=35,"26-35",B3946&lt;=45,"36-45",B3946&lt;=60,"46-60",TRUE,"60+")</f>
        <v>60+</v>
      </c>
      <c r="N3946" t="str">
        <f t="shared" si="184"/>
        <v>Discounted</v>
      </c>
      <c r="O3946" t="str">
        <f t="shared" si="185"/>
        <v>Returning</v>
      </c>
    </row>
    <row r="3947" spans="1:15" x14ac:dyDescent="0.25">
      <c r="A3947">
        <v>3946</v>
      </c>
      <c r="B3947">
        <v>49</v>
      </c>
      <c r="C3947" t="s">
        <v>16</v>
      </c>
      <c r="D3947" t="s">
        <v>27</v>
      </c>
      <c r="E3947" t="s">
        <v>53</v>
      </c>
      <c r="F3947" s="1">
        <v>1875.63</v>
      </c>
      <c r="G3947" t="s">
        <v>24</v>
      </c>
      <c r="H3947" t="s">
        <v>15</v>
      </c>
      <c r="I3947" s="2">
        <v>3.5</v>
      </c>
      <c r="J3947" s="4">
        <v>18</v>
      </c>
      <c r="K3947" s="3">
        <v>4</v>
      </c>
      <c r="L3947" s="1">
        <f t="shared" si="183"/>
        <v>1538.0166000000002</v>
      </c>
      <c r="M3947" t="str" cm="1">
        <f t="array" ref="M3947">_xlfn.IFS(B3947&lt;18,"Under 18",B3947 &lt;=25,"18-25",B3947&lt;=35,"26-35",B3947&lt;=45,"36-45",B3947&lt;=60,"46-60",TRUE,"60+")</f>
        <v>46-60</v>
      </c>
      <c r="N3947" t="str">
        <f t="shared" si="184"/>
        <v>Discounted</v>
      </c>
      <c r="O3947" t="str">
        <f t="shared" si="185"/>
        <v>Returning</v>
      </c>
    </row>
    <row r="3948" spans="1:15" x14ac:dyDescent="0.25">
      <c r="A3948">
        <v>3947</v>
      </c>
      <c r="B3948">
        <v>36</v>
      </c>
      <c r="C3948" t="s">
        <v>11</v>
      </c>
      <c r="D3948" t="s">
        <v>29</v>
      </c>
      <c r="E3948" t="s">
        <v>55</v>
      </c>
      <c r="F3948" s="1">
        <v>149.27000000000001</v>
      </c>
      <c r="G3948" t="s">
        <v>24</v>
      </c>
      <c r="H3948" t="s">
        <v>15</v>
      </c>
      <c r="I3948" s="2">
        <v>3.2</v>
      </c>
      <c r="J3948" s="4">
        <v>6</v>
      </c>
      <c r="K3948" s="3">
        <v>3</v>
      </c>
      <c r="L3948" s="1">
        <f t="shared" si="183"/>
        <v>140.31380000000001</v>
      </c>
      <c r="M3948" t="str" cm="1">
        <f t="array" ref="M3948">_xlfn.IFS(B3948&lt;18,"Under 18",B3948 &lt;=25,"18-25",B3948&lt;=35,"26-35",B3948&lt;=45,"36-45",B3948&lt;=60,"46-60",TRUE,"60+")</f>
        <v>36-45</v>
      </c>
      <c r="N3948" t="str">
        <f t="shared" si="184"/>
        <v>Discounted</v>
      </c>
      <c r="O3948" t="str">
        <f t="shared" si="185"/>
        <v>Returning</v>
      </c>
    </row>
    <row r="3949" spans="1:15" x14ac:dyDescent="0.25">
      <c r="A3949">
        <v>3948</v>
      </c>
      <c r="B3949">
        <v>37</v>
      </c>
      <c r="C3949" t="s">
        <v>11</v>
      </c>
      <c r="D3949" t="s">
        <v>33</v>
      </c>
      <c r="E3949" t="s">
        <v>38</v>
      </c>
      <c r="F3949" s="1">
        <v>116.16</v>
      </c>
      <c r="G3949" t="s">
        <v>14</v>
      </c>
      <c r="H3949" t="s">
        <v>15</v>
      </c>
      <c r="I3949" s="2">
        <v>4.7</v>
      </c>
      <c r="J3949" s="4">
        <v>20</v>
      </c>
      <c r="K3949" s="3">
        <v>5</v>
      </c>
      <c r="L3949" s="1">
        <f t="shared" si="183"/>
        <v>92.927999999999997</v>
      </c>
      <c r="M3949" t="str" cm="1">
        <f t="array" ref="M3949">_xlfn.IFS(B3949&lt;18,"Under 18",B3949 &lt;=25,"18-25",B3949&lt;=35,"26-35",B3949&lt;=45,"36-45",B3949&lt;=60,"46-60",TRUE,"60+")</f>
        <v>36-45</v>
      </c>
      <c r="N3949" t="str">
        <f t="shared" si="184"/>
        <v>Discounted</v>
      </c>
      <c r="O3949" t="str">
        <f t="shared" si="185"/>
        <v>Returning</v>
      </c>
    </row>
    <row r="3950" spans="1:15" x14ac:dyDescent="0.25">
      <c r="A3950">
        <v>3949</v>
      </c>
      <c r="B3950">
        <v>21</v>
      </c>
      <c r="C3950" t="s">
        <v>11</v>
      </c>
      <c r="D3950" t="s">
        <v>12</v>
      </c>
      <c r="E3950" t="s">
        <v>13</v>
      </c>
      <c r="F3950" s="1">
        <v>159.82</v>
      </c>
      <c r="G3950" t="s">
        <v>14</v>
      </c>
      <c r="H3950" t="s">
        <v>15</v>
      </c>
      <c r="I3950" s="2">
        <v>3.9</v>
      </c>
      <c r="J3950" s="4">
        <v>4</v>
      </c>
      <c r="K3950" s="3">
        <v>2</v>
      </c>
      <c r="L3950" s="1">
        <f t="shared" si="183"/>
        <v>153.4272</v>
      </c>
      <c r="M3950" t="str" cm="1">
        <f t="array" ref="M3950">_xlfn.IFS(B3950&lt;18,"Under 18",B3950 &lt;=25,"18-25",B3950&lt;=35,"26-35",B3950&lt;=45,"36-45",B3950&lt;=60,"46-60",TRUE,"60+")</f>
        <v>18-25</v>
      </c>
      <c r="N3950" t="str">
        <f t="shared" si="184"/>
        <v>Discounted</v>
      </c>
      <c r="O3950" t="str">
        <f t="shared" si="185"/>
        <v>Returning</v>
      </c>
    </row>
    <row r="3951" spans="1:15" x14ac:dyDescent="0.25">
      <c r="A3951">
        <v>3950</v>
      </c>
      <c r="B3951">
        <v>70</v>
      </c>
      <c r="C3951" t="s">
        <v>11</v>
      </c>
      <c r="D3951" t="s">
        <v>41</v>
      </c>
      <c r="E3951" t="s">
        <v>45</v>
      </c>
      <c r="F3951" s="1">
        <v>53.66</v>
      </c>
      <c r="G3951" t="s">
        <v>31</v>
      </c>
      <c r="H3951" t="s">
        <v>37</v>
      </c>
      <c r="I3951" s="2">
        <v>2.6</v>
      </c>
      <c r="J3951" s="4">
        <v>20</v>
      </c>
      <c r="K3951" s="3">
        <v>5</v>
      </c>
      <c r="L3951" s="1">
        <f t="shared" si="183"/>
        <v>42.927999999999997</v>
      </c>
      <c r="M3951" t="str" cm="1">
        <f t="array" ref="M3951">_xlfn.IFS(B3951&lt;18,"Under 18",B3951 &lt;=25,"18-25",B3951&lt;=35,"26-35",B3951&lt;=45,"36-45",B3951&lt;=60,"46-60",TRUE,"60+")</f>
        <v>60+</v>
      </c>
      <c r="N3951" t="str">
        <f t="shared" si="184"/>
        <v>Discounted</v>
      </c>
      <c r="O3951" t="str">
        <f t="shared" si="185"/>
        <v>Returning</v>
      </c>
    </row>
    <row r="3952" spans="1:15" x14ac:dyDescent="0.25">
      <c r="A3952">
        <v>3951</v>
      </c>
      <c r="B3952">
        <v>40</v>
      </c>
      <c r="C3952" t="s">
        <v>11</v>
      </c>
      <c r="D3952" t="s">
        <v>41</v>
      </c>
      <c r="E3952" t="s">
        <v>44</v>
      </c>
      <c r="F3952" s="1">
        <v>180.23</v>
      </c>
      <c r="G3952" t="s">
        <v>19</v>
      </c>
      <c r="H3952" t="s">
        <v>15</v>
      </c>
      <c r="I3952" s="2">
        <v>3.8</v>
      </c>
      <c r="J3952" s="4">
        <v>13</v>
      </c>
      <c r="K3952" s="3">
        <v>4</v>
      </c>
      <c r="L3952" s="1">
        <f t="shared" si="183"/>
        <v>156.80009999999999</v>
      </c>
      <c r="M3952" t="str" cm="1">
        <f t="array" ref="M3952">_xlfn.IFS(B3952&lt;18,"Under 18",B3952 &lt;=25,"18-25",B3952&lt;=35,"26-35",B3952&lt;=45,"36-45",B3952&lt;=60,"46-60",TRUE,"60+")</f>
        <v>36-45</v>
      </c>
      <c r="N3952" t="str">
        <f t="shared" si="184"/>
        <v>Discounted</v>
      </c>
      <c r="O3952" t="str">
        <f t="shared" si="185"/>
        <v>Returning</v>
      </c>
    </row>
    <row r="3953" spans="1:15" x14ac:dyDescent="0.25">
      <c r="A3953">
        <v>3952</v>
      </c>
      <c r="B3953">
        <v>65</v>
      </c>
      <c r="C3953" t="s">
        <v>16</v>
      </c>
      <c r="D3953" t="s">
        <v>20</v>
      </c>
      <c r="E3953" t="s">
        <v>39</v>
      </c>
      <c r="F3953" s="1">
        <v>177.72</v>
      </c>
      <c r="G3953" t="s">
        <v>24</v>
      </c>
      <c r="H3953" t="s">
        <v>15</v>
      </c>
      <c r="I3953" s="2">
        <v>3.6</v>
      </c>
      <c r="J3953" s="4">
        <v>21</v>
      </c>
      <c r="K3953" s="3">
        <v>8</v>
      </c>
      <c r="L3953" s="1">
        <f t="shared" si="183"/>
        <v>140.39879999999999</v>
      </c>
      <c r="M3953" t="str" cm="1">
        <f t="array" ref="M3953">_xlfn.IFS(B3953&lt;18,"Under 18",B3953 &lt;=25,"18-25",B3953&lt;=35,"26-35",B3953&lt;=45,"36-45",B3953&lt;=60,"46-60",TRUE,"60+")</f>
        <v>60+</v>
      </c>
      <c r="N3953" t="str">
        <f t="shared" si="184"/>
        <v>Discounted</v>
      </c>
      <c r="O3953" t="str">
        <f t="shared" si="185"/>
        <v>Returning</v>
      </c>
    </row>
    <row r="3954" spans="1:15" x14ac:dyDescent="0.25">
      <c r="A3954">
        <v>3953</v>
      </c>
      <c r="B3954">
        <v>65</v>
      </c>
      <c r="C3954" t="s">
        <v>16</v>
      </c>
      <c r="D3954" t="s">
        <v>27</v>
      </c>
      <c r="E3954" t="s">
        <v>32</v>
      </c>
      <c r="F3954" s="1">
        <v>2849.33</v>
      </c>
      <c r="G3954" t="s">
        <v>19</v>
      </c>
      <c r="H3954" t="s">
        <v>15</v>
      </c>
      <c r="I3954" s="2">
        <v>4.5999999999999996</v>
      </c>
      <c r="J3954" s="4">
        <v>18</v>
      </c>
      <c r="K3954" s="3">
        <v>4</v>
      </c>
      <c r="L3954" s="1">
        <f t="shared" si="183"/>
        <v>2336.4506000000001</v>
      </c>
      <c r="M3954" t="str" cm="1">
        <f t="array" ref="M3954">_xlfn.IFS(B3954&lt;18,"Under 18",B3954 &lt;=25,"18-25",B3954&lt;=35,"26-35",B3954&lt;=45,"36-45",B3954&lt;=60,"46-60",TRUE,"60+")</f>
        <v>60+</v>
      </c>
      <c r="N3954" t="str">
        <f t="shared" si="184"/>
        <v>Discounted</v>
      </c>
      <c r="O3954" t="str">
        <f t="shared" si="185"/>
        <v>Returning</v>
      </c>
    </row>
    <row r="3955" spans="1:15" x14ac:dyDescent="0.25">
      <c r="A3955">
        <v>3954</v>
      </c>
      <c r="B3955">
        <v>34</v>
      </c>
      <c r="C3955" t="s">
        <v>16</v>
      </c>
      <c r="D3955" t="s">
        <v>25</v>
      </c>
      <c r="E3955" t="s">
        <v>57</v>
      </c>
      <c r="F3955" s="1">
        <v>5.92</v>
      </c>
      <c r="G3955" t="s">
        <v>19</v>
      </c>
      <c r="H3955" t="s">
        <v>15</v>
      </c>
      <c r="I3955" s="2">
        <v>4.2</v>
      </c>
      <c r="J3955" s="4">
        <v>15</v>
      </c>
      <c r="K3955" s="3">
        <v>5</v>
      </c>
      <c r="L3955" s="1">
        <f t="shared" si="183"/>
        <v>5.032</v>
      </c>
      <c r="M3955" t="str" cm="1">
        <f t="array" ref="M3955">_xlfn.IFS(B3955&lt;18,"Under 18",B3955 &lt;=25,"18-25",B3955&lt;=35,"26-35",B3955&lt;=45,"36-45",B3955&lt;=60,"46-60",TRUE,"60+")</f>
        <v>26-35</v>
      </c>
      <c r="N3955" t="str">
        <f t="shared" si="184"/>
        <v>Discounted</v>
      </c>
      <c r="O3955" t="str">
        <f t="shared" si="185"/>
        <v>Returning</v>
      </c>
    </row>
    <row r="3956" spans="1:15" x14ac:dyDescent="0.25">
      <c r="A3956">
        <v>3955</v>
      </c>
      <c r="B3956">
        <v>37</v>
      </c>
      <c r="C3956" t="s">
        <v>16</v>
      </c>
      <c r="D3956" t="s">
        <v>20</v>
      </c>
      <c r="E3956" t="s">
        <v>21</v>
      </c>
      <c r="F3956" s="1">
        <v>120</v>
      </c>
      <c r="G3956" t="s">
        <v>19</v>
      </c>
      <c r="H3956" t="s">
        <v>15</v>
      </c>
      <c r="I3956" s="2">
        <v>2.8</v>
      </c>
      <c r="J3956" s="4">
        <v>15</v>
      </c>
      <c r="K3956" s="3">
        <v>5</v>
      </c>
      <c r="L3956" s="1">
        <f t="shared" si="183"/>
        <v>102</v>
      </c>
      <c r="M3956" t="str" cm="1">
        <f t="array" ref="M3956">_xlfn.IFS(B3956&lt;18,"Under 18",B3956 &lt;=25,"18-25",B3956&lt;=35,"26-35",B3956&lt;=45,"36-45",B3956&lt;=60,"46-60",TRUE,"60+")</f>
        <v>36-45</v>
      </c>
      <c r="N3956" t="str">
        <f t="shared" si="184"/>
        <v>Discounted</v>
      </c>
      <c r="O3956" t="str">
        <f t="shared" si="185"/>
        <v>Returning</v>
      </c>
    </row>
    <row r="3957" spans="1:15" x14ac:dyDescent="0.25">
      <c r="A3957">
        <v>3956</v>
      </c>
      <c r="B3957">
        <v>35</v>
      </c>
      <c r="C3957" t="s">
        <v>16</v>
      </c>
      <c r="D3957" t="s">
        <v>33</v>
      </c>
      <c r="E3957" t="s">
        <v>34</v>
      </c>
      <c r="F3957" s="1">
        <v>151.72999999999999</v>
      </c>
      <c r="G3957" t="s">
        <v>31</v>
      </c>
      <c r="H3957" t="s">
        <v>15</v>
      </c>
      <c r="I3957" s="2">
        <v>3.3</v>
      </c>
      <c r="J3957" s="4">
        <v>8</v>
      </c>
      <c r="K3957" s="3">
        <v>4</v>
      </c>
      <c r="L3957" s="1">
        <f t="shared" si="183"/>
        <v>139.5916</v>
      </c>
      <c r="M3957" t="str" cm="1">
        <f t="array" ref="M3957">_xlfn.IFS(B3957&lt;18,"Under 18",B3957 &lt;=25,"18-25",B3957&lt;=35,"26-35",B3957&lt;=45,"36-45",B3957&lt;=60,"46-60",TRUE,"60+")</f>
        <v>26-35</v>
      </c>
      <c r="N3957" t="str">
        <f t="shared" si="184"/>
        <v>Discounted</v>
      </c>
      <c r="O3957" t="str">
        <f t="shared" si="185"/>
        <v>Returning</v>
      </c>
    </row>
    <row r="3958" spans="1:15" x14ac:dyDescent="0.25">
      <c r="A3958">
        <v>3957</v>
      </c>
      <c r="B3958">
        <v>66</v>
      </c>
      <c r="C3958" t="s">
        <v>16</v>
      </c>
      <c r="D3958" t="s">
        <v>17</v>
      </c>
      <c r="E3958" t="s">
        <v>35</v>
      </c>
      <c r="F3958" s="1">
        <v>188.31</v>
      </c>
      <c r="G3958" t="s">
        <v>24</v>
      </c>
      <c r="H3958" t="s">
        <v>15</v>
      </c>
      <c r="I3958" s="2">
        <v>5</v>
      </c>
      <c r="J3958" s="4">
        <v>6</v>
      </c>
      <c r="K3958" s="3">
        <v>3</v>
      </c>
      <c r="L3958" s="1">
        <f t="shared" si="183"/>
        <v>177.01139999999998</v>
      </c>
      <c r="M3958" t="str" cm="1">
        <f t="array" ref="M3958">_xlfn.IFS(B3958&lt;18,"Under 18",B3958 &lt;=25,"18-25",B3958&lt;=35,"26-35",B3958&lt;=45,"36-45",B3958&lt;=60,"46-60",TRUE,"60+")</f>
        <v>60+</v>
      </c>
      <c r="N3958" t="str">
        <f t="shared" si="184"/>
        <v>Discounted</v>
      </c>
      <c r="O3958" t="str">
        <f t="shared" si="185"/>
        <v>Returning</v>
      </c>
    </row>
    <row r="3959" spans="1:15" x14ac:dyDescent="0.25">
      <c r="A3959">
        <v>3958</v>
      </c>
      <c r="B3959">
        <v>63</v>
      </c>
      <c r="C3959" t="s">
        <v>11</v>
      </c>
      <c r="D3959" t="s">
        <v>22</v>
      </c>
      <c r="E3959" t="s">
        <v>52</v>
      </c>
      <c r="F3959" s="1">
        <v>96.14</v>
      </c>
      <c r="G3959" t="s">
        <v>19</v>
      </c>
      <c r="H3959" t="s">
        <v>37</v>
      </c>
      <c r="I3959" s="2">
        <v>4.9000000000000004</v>
      </c>
      <c r="J3959" s="4">
        <v>24</v>
      </c>
      <c r="K3959" s="3">
        <v>7</v>
      </c>
      <c r="L3959" s="1">
        <f t="shared" si="183"/>
        <v>73.066400000000002</v>
      </c>
      <c r="M3959" t="str" cm="1">
        <f t="array" ref="M3959">_xlfn.IFS(B3959&lt;18,"Under 18",B3959 &lt;=25,"18-25",B3959&lt;=35,"26-35",B3959&lt;=45,"36-45",B3959&lt;=60,"46-60",TRUE,"60+")</f>
        <v>60+</v>
      </c>
      <c r="N3959" t="str">
        <f t="shared" si="184"/>
        <v>Discounted</v>
      </c>
      <c r="O3959" t="str">
        <f t="shared" si="185"/>
        <v>Returning</v>
      </c>
    </row>
    <row r="3960" spans="1:15" x14ac:dyDescent="0.25">
      <c r="A3960">
        <v>3959</v>
      </c>
      <c r="B3960">
        <v>68</v>
      </c>
      <c r="C3960" t="s">
        <v>11</v>
      </c>
      <c r="D3960" t="s">
        <v>20</v>
      </c>
      <c r="E3960" t="s">
        <v>39</v>
      </c>
      <c r="F3960" s="1">
        <v>57.13</v>
      </c>
      <c r="G3960" t="s">
        <v>14</v>
      </c>
      <c r="H3960" t="s">
        <v>37</v>
      </c>
      <c r="I3960" s="2">
        <v>3.9</v>
      </c>
      <c r="J3960" s="4">
        <v>18</v>
      </c>
      <c r="K3960" s="3">
        <v>9</v>
      </c>
      <c r="L3960" s="1">
        <f t="shared" si="183"/>
        <v>46.846600000000002</v>
      </c>
      <c r="M3960" t="str" cm="1">
        <f t="array" ref="M3960">_xlfn.IFS(B3960&lt;18,"Under 18",B3960 &lt;=25,"18-25",B3960&lt;=35,"26-35",B3960&lt;=45,"36-45",B3960&lt;=60,"46-60",TRUE,"60+")</f>
        <v>60+</v>
      </c>
      <c r="N3960" t="str">
        <f t="shared" si="184"/>
        <v>Discounted</v>
      </c>
      <c r="O3960" t="str">
        <f t="shared" si="185"/>
        <v>Returning</v>
      </c>
    </row>
    <row r="3961" spans="1:15" x14ac:dyDescent="0.25">
      <c r="A3961">
        <v>3960</v>
      </c>
      <c r="B3961">
        <v>58</v>
      </c>
      <c r="C3961" t="s">
        <v>16</v>
      </c>
      <c r="D3961" t="s">
        <v>22</v>
      </c>
      <c r="E3961" t="s">
        <v>52</v>
      </c>
      <c r="F3961" s="1">
        <v>53.9</v>
      </c>
      <c r="G3961" t="s">
        <v>24</v>
      </c>
      <c r="H3961" t="s">
        <v>37</v>
      </c>
      <c r="I3961" s="2">
        <v>4.4000000000000004</v>
      </c>
      <c r="J3961" s="4">
        <v>24</v>
      </c>
      <c r="K3961" s="3">
        <v>7</v>
      </c>
      <c r="L3961" s="1">
        <f t="shared" si="183"/>
        <v>40.963999999999999</v>
      </c>
      <c r="M3961" t="str" cm="1">
        <f t="array" ref="M3961">_xlfn.IFS(B3961&lt;18,"Under 18",B3961 &lt;=25,"18-25",B3961&lt;=35,"26-35",B3961&lt;=45,"36-45",B3961&lt;=60,"46-60",TRUE,"60+")</f>
        <v>46-60</v>
      </c>
      <c r="N3961" t="str">
        <f t="shared" si="184"/>
        <v>Discounted</v>
      </c>
      <c r="O3961" t="str">
        <f t="shared" si="185"/>
        <v>Returning</v>
      </c>
    </row>
    <row r="3962" spans="1:15" x14ac:dyDescent="0.25">
      <c r="A3962">
        <v>3961</v>
      </c>
      <c r="B3962">
        <v>48</v>
      </c>
      <c r="C3962" t="s">
        <v>11</v>
      </c>
      <c r="D3962" t="s">
        <v>41</v>
      </c>
      <c r="E3962" t="s">
        <v>46</v>
      </c>
      <c r="F3962" s="1">
        <v>108.03</v>
      </c>
      <c r="G3962" t="s">
        <v>19</v>
      </c>
      <c r="H3962" t="s">
        <v>15</v>
      </c>
      <c r="I3962" s="2">
        <v>2.9</v>
      </c>
      <c r="J3962" s="4">
        <v>13</v>
      </c>
      <c r="K3962" s="3">
        <v>4</v>
      </c>
      <c r="L3962" s="1">
        <f t="shared" si="183"/>
        <v>93.986100000000008</v>
      </c>
      <c r="M3962" t="str" cm="1">
        <f t="array" ref="M3962">_xlfn.IFS(B3962&lt;18,"Under 18",B3962 &lt;=25,"18-25",B3962&lt;=35,"26-35",B3962&lt;=45,"36-45",B3962&lt;=60,"46-60",TRUE,"60+")</f>
        <v>46-60</v>
      </c>
      <c r="N3962" t="str">
        <f t="shared" si="184"/>
        <v>Discounted</v>
      </c>
      <c r="O3962" t="str">
        <f t="shared" si="185"/>
        <v>Returning</v>
      </c>
    </row>
    <row r="3963" spans="1:15" x14ac:dyDescent="0.25">
      <c r="A3963">
        <v>3962</v>
      </c>
      <c r="B3963">
        <v>33</v>
      </c>
      <c r="C3963" t="s">
        <v>11</v>
      </c>
      <c r="D3963" t="s">
        <v>12</v>
      </c>
      <c r="E3963" t="s">
        <v>13</v>
      </c>
      <c r="F3963" s="1">
        <v>37.950000000000003</v>
      </c>
      <c r="G3963" t="s">
        <v>24</v>
      </c>
      <c r="H3963" t="s">
        <v>37</v>
      </c>
      <c r="I3963" s="2">
        <v>4.5</v>
      </c>
      <c r="J3963" s="4">
        <v>14</v>
      </c>
      <c r="K3963" s="3">
        <v>7</v>
      </c>
      <c r="L3963" s="1">
        <f t="shared" si="183"/>
        <v>32.637</v>
      </c>
      <c r="M3963" t="str" cm="1">
        <f t="array" ref="M3963">_xlfn.IFS(B3963&lt;18,"Under 18",B3963 &lt;=25,"18-25",B3963&lt;=35,"26-35",B3963&lt;=45,"36-45",B3963&lt;=60,"46-60",TRUE,"60+")</f>
        <v>26-35</v>
      </c>
      <c r="N3963" t="str">
        <f t="shared" si="184"/>
        <v>Discounted</v>
      </c>
      <c r="O3963" t="str">
        <f t="shared" si="185"/>
        <v>Returning</v>
      </c>
    </row>
    <row r="3964" spans="1:15" x14ac:dyDescent="0.25">
      <c r="A3964">
        <v>3963</v>
      </c>
      <c r="B3964">
        <v>61</v>
      </c>
      <c r="C3964" t="s">
        <v>16</v>
      </c>
      <c r="D3964" t="s">
        <v>20</v>
      </c>
      <c r="E3964" t="s">
        <v>39</v>
      </c>
      <c r="F3964" s="1">
        <v>105.24</v>
      </c>
      <c r="G3964" t="s">
        <v>31</v>
      </c>
      <c r="H3964" t="s">
        <v>15</v>
      </c>
      <c r="I3964" s="2">
        <v>4.5999999999999996</v>
      </c>
      <c r="J3964" s="4">
        <v>12</v>
      </c>
      <c r="K3964" s="3">
        <v>6</v>
      </c>
      <c r="L3964" s="1">
        <f t="shared" si="183"/>
        <v>92.611199999999997</v>
      </c>
      <c r="M3964" t="str" cm="1">
        <f t="array" ref="M3964">_xlfn.IFS(B3964&lt;18,"Under 18",B3964 &lt;=25,"18-25",B3964&lt;=35,"26-35",B3964&lt;=45,"36-45",B3964&lt;=60,"46-60",TRUE,"60+")</f>
        <v>60+</v>
      </c>
      <c r="N3964" t="str">
        <f t="shared" si="184"/>
        <v>Discounted</v>
      </c>
      <c r="O3964" t="str">
        <f t="shared" si="185"/>
        <v>Returning</v>
      </c>
    </row>
    <row r="3965" spans="1:15" x14ac:dyDescent="0.25">
      <c r="A3965">
        <v>3964</v>
      </c>
      <c r="B3965">
        <v>39</v>
      </c>
      <c r="C3965" t="s">
        <v>16</v>
      </c>
      <c r="D3965" t="s">
        <v>27</v>
      </c>
      <c r="E3965" t="s">
        <v>49</v>
      </c>
      <c r="F3965" s="1">
        <v>1041.0999999999999</v>
      </c>
      <c r="G3965" t="s">
        <v>24</v>
      </c>
      <c r="H3965" t="s">
        <v>15</v>
      </c>
      <c r="I3965" s="2">
        <v>3.4</v>
      </c>
      <c r="J3965" s="4">
        <v>19</v>
      </c>
      <c r="K3965" s="3">
        <v>7</v>
      </c>
      <c r="L3965" s="1">
        <f t="shared" si="183"/>
        <v>843.29099999999994</v>
      </c>
      <c r="M3965" t="str" cm="1">
        <f t="array" ref="M3965">_xlfn.IFS(B3965&lt;18,"Under 18",B3965 &lt;=25,"18-25",B3965&lt;=35,"26-35",B3965&lt;=45,"36-45",B3965&lt;=60,"46-60",TRUE,"60+")</f>
        <v>36-45</v>
      </c>
      <c r="N3965" t="str">
        <f t="shared" si="184"/>
        <v>Discounted</v>
      </c>
      <c r="O3965" t="str">
        <f t="shared" si="185"/>
        <v>Returning</v>
      </c>
    </row>
    <row r="3966" spans="1:15" x14ac:dyDescent="0.25">
      <c r="A3966">
        <v>3965</v>
      </c>
      <c r="B3966">
        <v>41</v>
      </c>
      <c r="C3966" t="s">
        <v>16</v>
      </c>
      <c r="D3966" t="s">
        <v>20</v>
      </c>
      <c r="E3966" t="s">
        <v>39</v>
      </c>
      <c r="F3966" s="1">
        <v>171.63</v>
      </c>
      <c r="G3966" t="s">
        <v>24</v>
      </c>
      <c r="H3966" t="s">
        <v>15</v>
      </c>
      <c r="I3966" s="2">
        <v>4.4000000000000004</v>
      </c>
      <c r="J3966" s="4">
        <v>16</v>
      </c>
      <c r="K3966" s="3">
        <v>3</v>
      </c>
      <c r="L3966" s="1">
        <f t="shared" si="183"/>
        <v>144.16919999999999</v>
      </c>
      <c r="M3966" t="str" cm="1">
        <f t="array" ref="M3966">_xlfn.IFS(B3966&lt;18,"Under 18",B3966 &lt;=25,"18-25",B3966&lt;=35,"26-35",B3966&lt;=45,"36-45",B3966&lt;=60,"46-60",TRUE,"60+")</f>
        <v>36-45</v>
      </c>
      <c r="N3966" t="str">
        <f t="shared" si="184"/>
        <v>Discounted</v>
      </c>
      <c r="O3966" t="str">
        <f t="shared" si="185"/>
        <v>Returning</v>
      </c>
    </row>
    <row r="3967" spans="1:15" x14ac:dyDescent="0.25">
      <c r="A3967">
        <v>3966</v>
      </c>
      <c r="B3967">
        <v>60</v>
      </c>
      <c r="C3967" t="s">
        <v>11</v>
      </c>
      <c r="D3967" t="s">
        <v>33</v>
      </c>
      <c r="E3967" t="s">
        <v>40</v>
      </c>
      <c r="F3967" s="1">
        <v>234.84</v>
      </c>
      <c r="G3967" t="s">
        <v>31</v>
      </c>
      <c r="H3967" t="s">
        <v>15</v>
      </c>
      <c r="I3967" s="2">
        <v>5</v>
      </c>
      <c r="J3967" s="4">
        <v>29</v>
      </c>
      <c r="K3967" s="3">
        <v>12</v>
      </c>
      <c r="L3967" s="1">
        <f t="shared" si="183"/>
        <v>166.7364</v>
      </c>
      <c r="M3967" t="str" cm="1">
        <f t="array" ref="M3967">_xlfn.IFS(B3967&lt;18,"Under 18",B3967 &lt;=25,"18-25",B3967&lt;=35,"26-35",B3967&lt;=45,"36-45",B3967&lt;=60,"46-60",TRUE,"60+")</f>
        <v>46-60</v>
      </c>
      <c r="N3967" t="str">
        <f t="shared" si="184"/>
        <v>Discounted</v>
      </c>
      <c r="O3967" t="str">
        <f t="shared" si="185"/>
        <v>Returning</v>
      </c>
    </row>
    <row r="3968" spans="1:15" x14ac:dyDescent="0.25">
      <c r="A3968">
        <v>3967</v>
      </c>
      <c r="B3968">
        <v>38</v>
      </c>
      <c r="C3968" t="s">
        <v>11</v>
      </c>
      <c r="D3968" t="s">
        <v>33</v>
      </c>
      <c r="E3968" t="s">
        <v>38</v>
      </c>
      <c r="F3968" s="1">
        <v>68.16</v>
      </c>
      <c r="G3968" t="s">
        <v>24</v>
      </c>
      <c r="H3968" t="s">
        <v>15</v>
      </c>
      <c r="I3968" s="2">
        <v>4.3</v>
      </c>
      <c r="J3968" s="4">
        <v>22</v>
      </c>
      <c r="K3968" s="3">
        <v>6</v>
      </c>
      <c r="L3968" s="1">
        <f t="shared" si="183"/>
        <v>53.1648</v>
      </c>
      <c r="M3968" t="str" cm="1">
        <f t="array" ref="M3968">_xlfn.IFS(B3968&lt;18,"Under 18",B3968 &lt;=25,"18-25",B3968&lt;=35,"26-35",B3968&lt;=45,"36-45",B3968&lt;=60,"46-60",TRUE,"60+")</f>
        <v>36-45</v>
      </c>
      <c r="N3968" t="str">
        <f t="shared" si="184"/>
        <v>Discounted</v>
      </c>
      <c r="O3968" t="str">
        <f t="shared" si="185"/>
        <v>Returning</v>
      </c>
    </row>
    <row r="3969" spans="1:15" x14ac:dyDescent="0.25">
      <c r="A3969">
        <v>3968</v>
      </c>
      <c r="B3969">
        <v>21</v>
      </c>
      <c r="C3969" t="s">
        <v>16</v>
      </c>
      <c r="D3969" t="s">
        <v>33</v>
      </c>
      <c r="E3969" t="s">
        <v>34</v>
      </c>
      <c r="F3969" s="1">
        <v>245.4</v>
      </c>
      <c r="G3969" t="s">
        <v>24</v>
      </c>
      <c r="H3969" t="s">
        <v>15</v>
      </c>
      <c r="I3969" s="2">
        <v>3.9</v>
      </c>
      <c r="J3969" s="4">
        <v>4</v>
      </c>
      <c r="K3969" s="3">
        <v>2</v>
      </c>
      <c r="L3969" s="1">
        <f t="shared" si="183"/>
        <v>235.584</v>
      </c>
      <c r="M3969" t="str" cm="1">
        <f t="array" ref="M3969">_xlfn.IFS(B3969&lt;18,"Under 18",B3969 &lt;=25,"18-25",B3969&lt;=35,"26-35",B3969&lt;=45,"36-45",B3969&lt;=60,"46-60",TRUE,"60+")</f>
        <v>18-25</v>
      </c>
      <c r="N3969" t="str">
        <f t="shared" si="184"/>
        <v>Discounted</v>
      </c>
      <c r="O3969" t="str">
        <f t="shared" si="185"/>
        <v>Returning</v>
      </c>
    </row>
    <row r="3970" spans="1:15" x14ac:dyDescent="0.25">
      <c r="A3970">
        <v>3969</v>
      </c>
      <c r="B3970">
        <v>56</v>
      </c>
      <c r="C3970" t="s">
        <v>11</v>
      </c>
      <c r="D3970" t="s">
        <v>29</v>
      </c>
      <c r="E3970" t="s">
        <v>30</v>
      </c>
      <c r="F3970" s="1">
        <v>79.16</v>
      </c>
      <c r="G3970" t="s">
        <v>24</v>
      </c>
      <c r="H3970" t="s">
        <v>37</v>
      </c>
      <c r="I3970" s="2">
        <v>3</v>
      </c>
      <c r="J3970" s="4">
        <v>9</v>
      </c>
      <c r="K3970" s="3">
        <v>2</v>
      </c>
      <c r="L3970" s="1">
        <f t="shared" si="183"/>
        <v>72.035600000000002</v>
      </c>
      <c r="M3970" t="str" cm="1">
        <f t="array" ref="M3970">_xlfn.IFS(B3970&lt;18,"Under 18",B3970 &lt;=25,"18-25",B3970&lt;=35,"26-35",B3970&lt;=45,"36-45",B3970&lt;=60,"46-60",TRUE,"60+")</f>
        <v>46-60</v>
      </c>
      <c r="N3970" t="str">
        <f t="shared" si="184"/>
        <v>Discounted</v>
      </c>
      <c r="O3970" t="str">
        <f t="shared" si="185"/>
        <v>Returning</v>
      </c>
    </row>
    <row r="3971" spans="1:15" x14ac:dyDescent="0.25">
      <c r="A3971">
        <v>3970</v>
      </c>
      <c r="B3971">
        <v>51</v>
      </c>
      <c r="C3971" t="s">
        <v>11</v>
      </c>
      <c r="D3971" t="s">
        <v>33</v>
      </c>
      <c r="E3971" t="s">
        <v>38</v>
      </c>
      <c r="F3971" s="1">
        <v>88.4</v>
      </c>
      <c r="G3971" t="s">
        <v>14</v>
      </c>
      <c r="H3971" t="s">
        <v>37</v>
      </c>
      <c r="I3971" s="2">
        <v>4</v>
      </c>
      <c r="J3971" s="4">
        <v>6</v>
      </c>
      <c r="K3971" s="3">
        <v>3</v>
      </c>
      <c r="L3971" s="1">
        <f t="shared" ref="L3971:L4034" si="186">F3971 * (1 - J3971 / 100)</f>
        <v>83.096000000000004</v>
      </c>
      <c r="M3971" t="str" cm="1">
        <f t="array" ref="M3971">_xlfn.IFS(B3971&lt;18,"Under 18",B3971 &lt;=25,"18-25",B3971&lt;=35,"26-35",B3971&lt;=45,"36-45",B3971&lt;=60,"46-60",TRUE,"60+")</f>
        <v>46-60</v>
      </c>
      <c r="N3971" t="str">
        <f t="shared" ref="N3971:N4034" si="187">IF(J3971&gt;0,"Discounted","No Discount")</f>
        <v>Discounted</v>
      </c>
      <c r="O3971" t="str">
        <f t="shared" ref="O3971:O4034" si="188">IF(K3971&gt;0,"Returning","New")</f>
        <v>Returning</v>
      </c>
    </row>
    <row r="3972" spans="1:15" x14ac:dyDescent="0.25">
      <c r="A3972">
        <v>3971</v>
      </c>
      <c r="B3972">
        <v>27</v>
      </c>
      <c r="C3972" t="s">
        <v>11</v>
      </c>
      <c r="D3972" t="s">
        <v>22</v>
      </c>
      <c r="E3972" t="s">
        <v>23</v>
      </c>
      <c r="F3972" s="1">
        <v>271.83999999999997</v>
      </c>
      <c r="G3972" t="s">
        <v>19</v>
      </c>
      <c r="H3972" t="s">
        <v>15</v>
      </c>
      <c r="I3972" s="2">
        <v>3.5</v>
      </c>
      <c r="J3972" s="4">
        <v>12</v>
      </c>
      <c r="K3972" s="3">
        <v>6</v>
      </c>
      <c r="L3972" s="1">
        <f t="shared" si="186"/>
        <v>239.21919999999997</v>
      </c>
      <c r="M3972" t="str" cm="1">
        <f t="array" ref="M3972">_xlfn.IFS(B3972&lt;18,"Under 18",B3972 &lt;=25,"18-25",B3972&lt;=35,"26-35",B3972&lt;=45,"36-45",B3972&lt;=60,"46-60",TRUE,"60+")</f>
        <v>26-35</v>
      </c>
      <c r="N3972" t="str">
        <f t="shared" si="187"/>
        <v>Discounted</v>
      </c>
      <c r="O3972" t="str">
        <f t="shared" si="188"/>
        <v>Returning</v>
      </c>
    </row>
    <row r="3973" spans="1:15" x14ac:dyDescent="0.25">
      <c r="A3973">
        <v>3972</v>
      </c>
      <c r="B3973">
        <v>68</v>
      </c>
      <c r="C3973" t="s">
        <v>11</v>
      </c>
      <c r="D3973" t="s">
        <v>12</v>
      </c>
      <c r="E3973" t="s">
        <v>13</v>
      </c>
      <c r="F3973" s="1">
        <v>119.54</v>
      </c>
      <c r="G3973" t="s">
        <v>24</v>
      </c>
      <c r="H3973" t="s">
        <v>15</v>
      </c>
      <c r="I3973" s="2">
        <v>3.8</v>
      </c>
      <c r="J3973" s="4">
        <v>4</v>
      </c>
      <c r="K3973" s="3">
        <v>2</v>
      </c>
      <c r="L3973" s="1">
        <f t="shared" si="186"/>
        <v>114.75840000000001</v>
      </c>
      <c r="M3973" t="str" cm="1">
        <f t="array" ref="M3973">_xlfn.IFS(B3973&lt;18,"Under 18",B3973 &lt;=25,"18-25",B3973&lt;=35,"26-35",B3973&lt;=45,"36-45",B3973&lt;=60,"46-60",TRUE,"60+")</f>
        <v>60+</v>
      </c>
      <c r="N3973" t="str">
        <f t="shared" si="187"/>
        <v>Discounted</v>
      </c>
      <c r="O3973" t="str">
        <f t="shared" si="188"/>
        <v>Returning</v>
      </c>
    </row>
    <row r="3974" spans="1:15" x14ac:dyDescent="0.25">
      <c r="A3974">
        <v>3973</v>
      </c>
      <c r="B3974">
        <v>20</v>
      </c>
      <c r="C3974" t="s">
        <v>16</v>
      </c>
      <c r="D3974" t="s">
        <v>33</v>
      </c>
      <c r="E3974" t="s">
        <v>40</v>
      </c>
      <c r="F3974" s="1">
        <v>99.98</v>
      </c>
      <c r="G3974" t="s">
        <v>14</v>
      </c>
      <c r="H3974" t="s">
        <v>37</v>
      </c>
      <c r="I3974" s="2">
        <v>4.3</v>
      </c>
      <c r="J3974" s="4">
        <v>4</v>
      </c>
      <c r="K3974" s="3">
        <v>2</v>
      </c>
      <c r="L3974" s="1">
        <f t="shared" si="186"/>
        <v>95.980800000000002</v>
      </c>
      <c r="M3974" t="str" cm="1">
        <f t="array" ref="M3974">_xlfn.IFS(B3974&lt;18,"Under 18",B3974 &lt;=25,"18-25",B3974&lt;=35,"26-35",B3974&lt;=45,"36-45",B3974&lt;=60,"46-60",TRUE,"60+")</f>
        <v>18-25</v>
      </c>
      <c r="N3974" t="str">
        <f t="shared" si="187"/>
        <v>Discounted</v>
      </c>
      <c r="O3974" t="str">
        <f t="shared" si="188"/>
        <v>Returning</v>
      </c>
    </row>
    <row r="3975" spans="1:15" x14ac:dyDescent="0.25">
      <c r="A3975">
        <v>3974</v>
      </c>
      <c r="B3975">
        <v>51</v>
      </c>
      <c r="C3975" t="s">
        <v>11</v>
      </c>
      <c r="D3975" t="s">
        <v>29</v>
      </c>
      <c r="E3975" t="s">
        <v>30</v>
      </c>
      <c r="F3975" s="1">
        <v>98.45</v>
      </c>
      <c r="G3975" t="s">
        <v>24</v>
      </c>
      <c r="H3975" t="s">
        <v>37</v>
      </c>
      <c r="I3975" s="2">
        <v>4</v>
      </c>
      <c r="J3975" s="4">
        <v>20</v>
      </c>
      <c r="K3975" s="3">
        <v>5</v>
      </c>
      <c r="L3975" s="1">
        <f t="shared" si="186"/>
        <v>78.760000000000005</v>
      </c>
      <c r="M3975" t="str" cm="1">
        <f t="array" ref="M3975">_xlfn.IFS(B3975&lt;18,"Under 18",B3975 &lt;=25,"18-25",B3975&lt;=35,"26-35",B3975&lt;=45,"36-45",B3975&lt;=60,"46-60",TRUE,"60+")</f>
        <v>46-60</v>
      </c>
      <c r="N3975" t="str">
        <f t="shared" si="187"/>
        <v>Discounted</v>
      </c>
      <c r="O3975" t="str">
        <f t="shared" si="188"/>
        <v>Returning</v>
      </c>
    </row>
    <row r="3976" spans="1:15" x14ac:dyDescent="0.25">
      <c r="A3976">
        <v>3975</v>
      </c>
      <c r="B3976">
        <v>52</v>
      </c>
      <c r="C3976" t="s">
        <v>16</v>
      </c>
      <c r="D3976" t="s">
        <v>33</v>
      </c>
      <c r="E3976" t="s">
        <v>34</v>
      </c>
      <c r="F3976" s="1">
        <v>152.72</v>
      </c>
      <c r="G3976" t="s">
        <v>14</v>
      </c>
      <c r="H3976" t="s">
        <v>15</v>
      </c>
      <c r="I3976" s="2">
        <v>3.6</v>
      </c>
      <c r="J3976" s="4">
        <v>19</v>
      </c>
      <c r="K3976" s="3">
        <v>7</v>
      </c>
      <c r="L3976" s="1">
        <f t="shared" si="186"/>
        <v>123.70320000000001</v>
      </c>
      <c r="M3976" t="str" cm="1">
        <f t="array" ref="M3976">_xlfn.IFS(B3976&lt;18,"Under 18",B3976 &lt;=25,"18-25",B3976&lt;=35,"26-35",B3976&lt;=45,"36-45",B3976&lt;=60,"46-60",TRUE,"60+")</f>
        <v>46-60</v>
      </c>
      <c r="N3976" t="str">
        <f t="shared" si="187"/>
        <v>Discounted</v>
      </c>
      <c r="O3976" t="str">
        <f t="shared" si="188"/>
        <v>Returning</v>
      </c>
    </row>
    <row r="3977" spans="1:15" x14ac:dyDescent="0.25">
      <c r="A3977">
        <v>3976</v>
      </c>
      <c r="B3977">
        <v>36</v>
      </c>
      <c r="C3977" t="s">
        <v>16</v>
      </c>
      <c r="D3977" t="s">
        <v>33</v>
      </c>
      <c r="E3977" t="s">
        <v>38</v>
      </c>
      <c r="F3977" s="1">
        <v>149.22999999999999</v>
      </c>
      <c r="G3977" t="s">
        <v>24</v>
      </c>
      <c r="H3977" t="s">
        <v>15</v>
      </c>
      <c r="I3977" s="2">
        <v>4.2</v>
      </c>
      <c r="J3977" s="4">
        <v>13</v>
      </c>
      <c r="K3977" s="3">
        <v>4</v>
      </c>
      <c r="L3977" s="1">
        <f t="shared" si="186"/>
        <v>129.83009999999999</v>
      </c>
      <c r="M3977" t="str" cm="1">
        <f t="array" ref="M3977">_xlfn.IFS(B3977&lt;18,"Under 18",B3977 &lt;=25,"18-25",B3977&lt;=35,"26-35",B3977&lt;=45,"36-45",B3977&lt;=60,"46-60",TRUE,"60+")</f>
        <v>36-45</v>
      </c>
      <c r="N3977" t="str">
        <f t="shared" si="187"/>
        <v>Discounted</v>
      </c>
      <c r="O3977" t="str">
        <f t="shared" si="188"/>
        <v>Returning</v>
      </c>
    </row>
    <row r="3978" spans="1:15" x14ac:dyDescent="0.25">
      <c r="A3978">
        <v>3977</v>
      </c>
      <c r="B3978">
        <v>57</v>
      </c>
      <c r="C3978" t="s">
        <v>11</v>
      </c>
      <c r="D3978" t="s">
        <v>33</v>
      </c>
      <c r="E3978" t="s">
        <v>34</v>
      </c>
      <c r="F3978" s="1">
        <v>222.63</v>
      </c>
      <c r="G3978" t="s">
        <v>14</v>
      </c>
      <c r="H3978" t="s">
        <v>15</v>
      </c>
      <c r="I3978" s="2">
        <v>3.9</v>
      </c>
      <c r="J3978" s="4">
        <v>14</v>
      </c>
      <c r="K3978" s="3">
        <v>2</v>
      </c>
      <c r="L3978" s="1">
        <f t="shared" si="186"/>
        <v>191.46179999999998</v>
      </c>
      <c r="M3978" t="str" cm="1">
        <f t="array" ref="M3978">_xlfn.IFS(B3978&lt;18,"Under 18",B3978 &lt;=25,"18-25",B3978&lt;=35,"26-35",B3978&lt;=45,"36-45",B3978&lt;=60,"46-60",TRUE,"60+")</f>
        <v>46-60</v>
      </c>
      <c r="N3978" t="str">
        <f t="shared" si="187"/>
        <v>Discounted</v>
      </c>
      <c r="O3978" t="str">
        <f t="shared" si="188"/>
        <v>Returning</v>
      </c>
    </row>
    <row r="3979" spans="1:15" x14ac:dyDescent="0.25">
      <c r="A3979">
        <v>3978</v>
      </c>
      <c r="B3979">
        <v>60</v>
      </c>
      <c r="C3979" t="s">
        <v>11</v>
      </c>
      <c r="D3979" t="s">
        <v>33</v>
      </c>
      <c r="E3979" t="s">
        <v>40</v>
      </c>
      <c r="F3979" s="1">
        <v>180.72</v>
      </c>
      <c r="G3979" t="s">
        <v>31</v>
      </c>
      <c r="H3979" t="s">
        <v>15</v>
      </c>
      <c r="I3979" s="2">
        <v>3.7</v>
      </c>
      <c r="J3979" s="4">
        <v>4</v>
      </c>
      <c r="K3979" s="3">
        <v>2</v>
      </c>
      <c r="L3979" s="1">
        <f t="shared" si="186"/>
        <v>173.49119999999999</v>
      </c>
      <c r="M3979" t="str" cm="1">
        <f t="array" ref="M3979">_xlfn.IFS(B3979&lt;18,"Under 18",B3979 &lt;=25,"18-25",B3979&lt;=35,"26-35",B3979&lt;=45,"36-45",B3979&lt;=60,"46-60",TRUE,"60+")</f>
        <v>46-60</v>
      </c>
      <c r="N3979" t="str">
        <f t="shared" si="187"/>
        <v>Discounted</v>
      </c>
      <c r="O3979" t="str">
        <f t="shared" si="188"/>
        <v>Returning</v>
      </c>
    </row>
    <row r="3980" spans="1:15" x14ac:dyDescent="0.25">
      <c r="A3980">
        <v>3979</v>
      </c>
      <c r="B3980">
        <v>61</v>
      </c>
      <c r="C3980" t="s">
        <v>16</v>
      </c>
      <c r="D3980" t="s">
        <v>33</v>
      </c>
      <c r="E3980" t="s">
        <v>38</v>
      </c>
      <c r="F3980" s="1">
        <v>223.63</v>
      </c>
      <c r="G3980" t="s">
        <v>19</v>
      </c>
      <c r="H3980" t="s">
        <v>15</v>
      </c>
      <c r="I3980" s="2">
        <v>2.4</v>
      </c>
      <c r="J3980" s="4">
        <v>10</v>
      </c>
      <c r="K3980" s="3">
        <v>5</v>
      </c>
      <c r="L3980" s="1">
        <f t="shared" si="186"/>
        <v>201.267</v>
      </c>
      <c r="M3980" t="str" cm="1">
        <f t="array" ref="M3980">_xlfn.IFS(B3980&lt;18,"Under 18",B3980 &lt;=25,"18-25",B3980&lt;=35,"26-35",B3980&lt;=45,"36-45",B3980&lt;=60,"46-60",TRUE,"60+")</f>
        <v>60+</v>
      </c>
      <c r="N3980" t="str">
        <f t="shared" si="187"/>
        <v>Discounted</v>
      </c>
      <c r="O3980" t="str">
        <f t="shared" si="188"/>
        <v>Returning</v>
      </c>
    </row>
    <row r="3981" spans="1:15" x14ac:dyDescent="0.25">
      <c r="A3981">
        <v>3980</v>
      </c>
      <c r="B3981">
        <v>43</v>
      </c>
      <c r="C3981" t="s">
        <v>16</v>
      </c>
      <c r="D3981" t="s">
        <v>27</v>
      </c>
      <c r="E3981" t="s">
        <v>28</v>
      </c>
      <c r="F3981" s="1">
        <v>2843.54</v>
      </c>
      <c r="G3981" t="s">
        <v>14</v>
      </c>
      <c r="H3981" t="s">
        <v>15</v>
      </c>
      <c r="I3981" s="2">
        <v>4.7</v>
      </c>
      <c r="J3981" s="4">
        <v>12</v>
      </c>
      <c r="K3981" s="3">
        <v>6</v>
      </c>
      <c r="L3981" s="1">
        <f t="shared" si="186"/>
        <v>2502.3152</v>
      </c>
      <c r="M3981" t="str" cm="1">
        <f t="array" ref="M3981">_xlfn.IFS(B3981&lt;18,"Under 18",B3981 &lt;=25,"18-25",B3981&lt;=35,"26-35",B3981&lt;=45,"36-45",B3981&lt;=60,"46-60",TRUE,"60+")</f>
        <v>36-45</v>
      </c>
      <c r="N3981" t="str">
        <f t="shared" si="187"/>
        <v>Discounted</v>
      </c>
      <c r="O3981" t="str">
        <f t="shared" si="188"/>
        <v>Returning</v>
      </c>
    </row>
    <row r="3982" spans="1:15" x14ac:dyDescent="0.25">
      <c r="A3982">
        <v>3981</v>
      </c>
      <c r="B3982">
        <v>21</v>
      </c>
      <c r="C3982" t="s">
        <v>16</v>
      </c>
      <c r="D3982" t="s">
        <v>20</v>
      </c>
      <c r="E3982" t="s">
        <v>21</v>
      </c>
      <c r="F3982" s="1">
        <v>84.88</v>
      </c>
      <c r="G3982" t="s">
        <v>14</v>
      </c>
      <c r="H3982" t="s">
        <v>37</v>
      </c>
      <c r="I3982" s="2">
        <v>3.5</v>
      </c>
      <c r="J3982" s="4">
        <v>12</v>
      </c>
      <c r="K3982" s="3">
        <v>6</v>
      </c>
      <c r="L3982" s="1">
        <f t="shared" si="186"/>
        <v>74.694400000000002</v>
      </c>
      <c r="M3982" t="str" cm="1">
        <f t="array" ref="M3982">_xlfn.IFS(B3982&lt;18,"Under 18",B3982 &lt;=25,"18-25",B3982&lt;=35,"26-35",B3982&lt;=45,"36-45",B3982&lt;=60,"46-60",TRUE,"60+")</f>
        <v>18-25</v>
      </c>
      <c r="N3982" t="str">
        <f t="shared" si="187"/>
        <v>Discounted</v>
      </c>
      <c r="O3982" t="str">
        <f t="shared" si="188"/>
        <v>Returning</v>
      </c>
    </row>
    <row r="3983" spans="1:15" x14ac:dyDescent="0.25">
      <c r="A3983">
        <v>3982</v>
      </c>
      <c r="B3983">
        <v>31</v>
      </c>
      <c r="C3983" t="s">
        <v>16</v>
      </c>
      <c r="D3983" t="s">
        <v>27</v>
      </c>
      <c r="E3983" t="s">
        <v>28</v>
      </c>
      <c r="F3983" s="1">
        <v>2371.4899999999998</v>
      </c>
      <c r="G3983" t="s">
        <v>24</v>
      </c>
      <c r="H3983" t="s">
        <v>15</v>
      </c>
      <c r="I3983" s="2">
        <v>4.5</v>
      </c>
      <c r="J3983" s="4">
        <v>8</v>
      </c>
      <c r="K3983" s="3">
        <v>4</v>
      </c>
      <c r="L3983" s="1">
        <f t="shared" si="186"/>
        <v>2181.7707999999998</v>
      </c>
      <c r="M3983" t="str" cm="1">
        <f t="array" ref="M3983">_xlfn.IFS(B3983&lt;18,"Under 18",B3983 &lt;=25,"18-25",B3983&lt;=35,"26-35",B3983&lt;=45,"36-45",B3983&lt;=60,"46-60",TRUE,"60+")</f>
        <v>26-35</v>
      </c>
      <c r="N3983" t="str">
        <f t="shared" si="187"/>
        <v>Discounted</v>
      </c>
      <c r="O3983" t="str">
        <f t="shared" si="188"/>
        <v>Returning</v>
      </c>
    </row>
    <row r="3984" spans="1:15" x14ac:dyDescent="0.25">
      <c r="A3984">
        <v>3983</v>
      </c>
      <c r="B3984">
        <v>62</v>
      </c>
      <c r="C3984" t="s">
        <v>16</v>
      </c>
      <c r="D3984" t="s">
        <v>20</v>
      </c>
      <c r="E3984" t="s">
        <v>39</v>
      </c>
      <c r="F3984" s="1">
        <v>150.02000000000001</v>
      </c>
      <c r="G3984" t="s">
        <v>14</v>
      </c>
      <c r="H3984" t="s">
        <v>15</v>
      </c>
      <c r="I3984" s="2">
        <v>3.8</v>
      </c>
      <c r="J3984" s="4">
        <v>20</v>
      </c>
      <c r="K3984" s="3">
        <v>10</v>
      </c>
      <c r="L3984" s="1">
        <f t="shared" si="186"/>
        <v>120.01600000000002</v>
      </c>
      <c r="M3984" t="str" cm="1">
        <f t="array" ref="M3984">_xlfn.IFS(B3984&lt;18,"Under 18",B3984 &lt;=25,"18-25",B3984&lt;=35,"26-35",B3984&lt;=45,"36-45",B3984&lt;=60,"46-60",TRUE,"60+")</f>
        <v>60+</v>
      </c>
      <c r="N3984" t="str">
        <f t="shared" si="187"/>
        <v>Discounted</v>
      </c>
      <c r="O3984" t="str">
        <f t="shared" si="188"/>
        <v>Returning</v>
      </c>
    </row>
    <row r="3985" spans="1:15" x14ac:dyDescent="0.25">
      <c r="A3985">
        <v>3984</v>
      </c>
      <c r="B3985">
        <v>63</v>
      </c>
      <c r="C3985" t="s">
        <v>16</v>
      </c>
      <c r="D3985" t="s">
        <v>17</v>
      </c>
      <c r="E3985" t="s">
        <v>42</v>
      </c>
      <c r="F3985" s="1">
        <v>136.77000000000001</v>
      </c>
      <c r="G3985" t="s">
        <v>24</v>
      </c>
      <c r="H3985" t="s">
        <v>15</v>
      </c>
      <c r="I3985" s="2">
        <v>4.5</v>
      </c>
      <c r="J3985" s="4">
        <v>14</v>
      </c>
      <c r="K3985" s="3">
        <v>2</v>
      </c>
      <c r="L3985" s="1">
        <f t="shared" si="186"/>
        <v>117.62220000000001</v>
      </c>
      <c r="M3985" t="str" cm="1">
        <f t="array" ref="M3985">_xlfn.IFS(B3985&lt;18,"Under 18",B3985 &lt;=25,"18-25",B3985&lt;=35,"26-35",B3985&lt;=45,"36-45",B3985&lt;=60,"46-60",TRUE,"60+")</f>
        <v>60+</v>
      </c>
      <c r="N3985" t="str">
        <f t="shared" si="187"/>
        <v>Discounted</v>
      </c>
      <c r="O3985" t="str">
        <f t="shared" si="188"/>
        <v>Returning</v>
      </c>
    </row>
    <row r="3986" spans="1:15" x14ac:dyDescent="0.25">
      <c r="A3986">
        <v>3985</v>
      </c>
      <c r="B3986">
        <v>66</v>
      </c>
      <c r="C3986" t="s">
        <v>16</v>
      </c>
      <c r="D3986" t="s">
        <v>27</v>
      </c>
      <c r="E3986" t="s">
        <v>32</v>
      </c>
      <c r="F3986" s="1">
        <v>2709.03</v>
      </c>
      <c r="G3986" t="s">
        <v>31</v>
      </c>
      <c r="H3986" t="s">
        <v>15</v>
      </c>
      <c r="I3986" s="2">
        <v>2</v>
      </c>
      <c r="J3986" s="4">
        <v>20</v>
      </c>
      <c r="K3986" s="3">
        <v>10</v>
      </c>
      <c r="L3986" s="1">
        <f t="shared" si="186"/>
        <v>2167.2240000000002</v>
      </c>
      <c r="M3986" t="str" cm="1">
        <f t="array" ref="M3986">_xlfn.IFS(B3986&lt;18,"Under 18",B3986 &lt;=25,"18-25",B3986&lt;=35,"26-35",B3986&lt;=45,"36-45",B3986&lt;=60,"46-60",TRUE,"60+")</f>
        <v>60+</v>
      </c>
      <c r="N3986" t="str">
        <f t="shared" si="187"/>
        <v>Discounted</v>
      </c>
      <c r="O3986" t="str">
        <f t="shared" si="188"/>
        <v>Returning</v>
      </c>
    </row>
    <row r="3987" spans="1:15" x14ac:dyDescent="0.25">
      <c r="A3987">
        <v>3986</v>
      </c>
      <c r="B3987">
        <v>31</v>
      </c>
      <c r="C3987" t="s">
        <v>11</v>
      </c>
      <c r="D3987" t="s">
        <v>41</v>
      </c>
      <c r="E3987" t="s">
        <v>44</v>
      </c>
      <c r="F3987" s="1">
        <v>147.94999999999999</v>
      </c>
      <c r="G3987" t="s">
        <v>19</v>
      </c>
      <c r="H3987" t="s">
        <v>15</v>
      </c>
      <c r="I3987" s="2">
        <v>3.5</v>
      </c>
      <c r="J3987" s="4">
        <v>17</v>
      </c>
      <c r="K3987" s="3">
        <v>6</v>
      </c>
      <c r="L3987" s="1">
        <f t="shared" si="186"/>
        <v>122.79849999999999</v>
      </c>
      <c r="M3987" t="str" cm="1">
        <f t="array" ref="M3987">_xlfn.IFS(B3987&lt;18,"Under 18",B3987 &lt;=25,"18-25",B3987&lt;=35,"26-35",B3987&lt;=45,"36-45",B3987&lt;=60,"46-60",TRUE,"60+")</f>
        <v>26-35</v>
      </c>
      <c r="N3987" t="str">
        <f t="shared" si="187"/>
        <v>Discounted</v>
      </c>
      <c r="O3987" t="str">
        <f t="shared" si="188"/>
        <v>Returning</v>
      </c>
    </row>
    <row r="3988" spans="1:15" x14ac:dyDescent="0.25">
      <c r="A3988">
        <v>3987</v>
      </c>
      <c r="B3988">
        <v>42</v>
      </c>
      <c r="C3988" t="s">
        <v>16</v>
      </c>
      <c r="D3988" t="s">
        <v>20</v>
      </c>
      <c r="E3988" t="s">
        <v>21</v>
      </c>
      <c r="F3988" s="1">
        <v>114.5</v>
      </c>
      <c r="G3988" t="s">
        <v>19</v>
      </c>
      <c r="H3988" t="s">
        <v>15</v>
      </c>
      <c r="I3988" s="2">
        <v>2.8</v>
      </c>
      <c r="J3988" s="4">
        <v>14</v>
      </c>
      <c r="K3988" s="3">
        <v>2</v>
      </c>
      <c r="L3988" s="1">
        <f t="shared" si="186"/>
        <v>98.47</v>
      </c>
      <c r="M3988" t="str" cm="1">
        <f t="array" ref="M3988">_xlfn.IFS(B3988&lt;18,"Under 18",B3988 &lt;=25,"18-25",B3988&lt;=35,"26-35",B3988&lt;=45,"36-45",B3988&lt;=60,"46-60",TRUE,"60+")</f>
        <v>36-45</v>
      </c>
      <c r="N3988" t="str">
        <f t="shared" si="187"/>
        <v>Discounted</v>
      </c>
      <c r="O3988" t="str">
        <f t="shared" si="188"/>
        <v>Returning</v>
      </c>
    </row>
    <row r="3989" spans="1:15" x14ac:dyDescent="0.25">
      <c r="A3989">
        <v>3988</v>
      </c>
      <c r="B3989">
        <v>34</v>
      </c>
      <c r="C3989" t="s">
        <v>16</v>
      </c>
      <c r="D3989" t="s">
        <v>20</v>
      </c>
      <c r="E3989" t="s">
        <v>39</v>
      </c>
      <c r="F3989" s="1">
        <v>238.61</v>
      </c>
      <c r="G3989" t="s">
        <v>31</v>
      </c>
      <c r="H3989" t="s">
        <v>15</v>
      </c>
      <c r="I3989" s="2">
        <v>3.9</v>
      </c>
      <c r="J3989" s="4">
        <v>11</v>
      </c>
      <c r="K3989" s="3">
        <v>3</v>
      </c>
      <c r="L3989" s="1">
        <f t="shared" si="186"/>
        <v>212.36290000000002</v>
      </c>
      <c r="M3989" t="str" cm="1">
        <f t="array" ref="M3989">_xlfn.IFS(B3989&lt;18,"Under 18",B3989 &lt;=25,"18-25",B3989&lt;=35,"26-35",B3989&lt;=45,"36-45",B3989&lt;=60,"46-60",TRUE,"60+")</f>
        <v>26-35</v>
      </c>
      <c r="N3989" t="str">
        <f t="shared" si="187"/>
        <v>Discounted</v>
      </c>
      <c r="O3989" t="str">
        <f t="shared" si="188"/>
        <v>Returning</v>
      </c>
    </row>
    <row r="3990" spans="1:15" x14ac:dyDescent="0.25">
      <c r="A3990">
        <v>3989</v>
      </c>
      <c r="B3990">
        <v>61</v>
      </c>
      <c r="C3990" t="s">
        <v>16</v>
      </c>
      <c r="D3990" t="s">
        <v>27</v>
      </c>
      <c r="E3990" t="s">
        <v>28</v>
      </c>
      <c r="F3990" s="1">
        <v>2513.3200000000002</v>
      </c>
      <c r="G3990" t="s">
        <v>24</v>
      </c>
      <c r="H3990" t="s">
        <v>15</v>
      </c>
      <c r="I3990" s="2">
        <v>3.6</v>
      </c>
      <c r="J3990" s="4">
        <v>6</v>
      </c>
      <c r="K3990" s="3">
        <v>3</v>
      </c>
      <c r="L3990" s="1">
        <f t="shared" si="186"/>
        <v>2362.5208000000002</v>
      </c>
      <c r="M3990" t="str" cm="1">
        <f t="array" ref="M3990">_xlfn.IFS(B3990&lt;18,"Under 18",B3990 &lt;=25,"18-25",B3990&lt;=35,"26-35",B3990&lt;=45,"36-45",B3990&lt;=60,"46-60",TRUE,"60+")</f>
        <v>60+</v>
      </c>
      <c r="N3990" t="str">
        <f t="shared" si="187"/>
        <v>Discounted</v>
      </c>
      <c r="O3990" t="str">
        <f t="shared" si="188"/>
        <v>Returning</v>
      </c>
    </row>
    <row r="3991" spans="1:15" x14ac:dyDescent="0.25">
      <c r="A3991">
        <v>3990</v>
      </c>
      <c r="B3991">
        <v>47</v>
      </c>
      <c r="C3991" t="s">
        <v>16</v>
      </c>
      <c r="D3991" t="s">
        <v>20</v>
      </c>
      <c r="E3991" t="s">
        <v>36</v>
      </c>
      <c r="F3991" s="1">
        <v>221.85</v>
      </c>
      <c r="G3991" t="s">
        <v>19</v>
      </c>
      <c r="H3991" t="s">
        <v>15</v>
      </c>
      <c r="I3991" s="2">
        <v>4.4000000000000004</v>
      </c>
      <c r="J3991" s="4">
        <v>16</v>
      </c>
      <c r="K3991" s="3">
        <v>3</v>
      </c>
      <c r="L3991" s="1">
        <f t="shared" si="186"/>
        <v>186.35399999999998</v>
      </c>
      <c r="M3991" t="str" cm="1">
        <f t="array" ref="M3991">_xlfn.IFS(B3991&lt;18,"Under 18",B3991 &lt;=25,"18-25",B3991&lt;=35,"26-35",B3991&lt;=45,"36-45",B3991&lt;=60,"46-60",TRUE,"60+")</f>
        <v>46-60</v>
      </c>
      <c r="N3991" t="str">
        <f t="shared" si="187"/>
        <v>Discounted</v>
      </c>
      <c r="O3991" t="str">
        <f t="shared" si="188"/>
        <v>Returning</v>
      </c>
    </row>
    <row r="3992" spans="1:15" x14ac:dyDescent="0.25">
      <c r="A3992">
        <v>3991</v>
      </c>
      <c r="B3992">
        <v>39</v>
      </c>
      <c r="C3992" t="s">
        <v>16</v>
      </c>
      <c r="D3992" t="s">
        <v>33</v>
      </c>
      <c r="E3992" t="s">
        <v>40</v>
      </c>
      <c r="F3992" s="1">
        <v>217.91</v>
      </c>
      <c r="G3992" t="s">
        <v>19</v>
      </c>
      <c r="H3992" t="s">
        <v>15</v>
      </c>
      <c r="I3992" s="2">
        <v>3</v>
      </c>
      <c r="J3992" s="4">
        <v>20</v>
      </c>
      <c r="K3992" s="3">
        <v>5</v>
      </c>
      <c r="L3992" s="1">
        <f t="shared" si="186"/>
        <v>174.328</v>
      </c>
      <c r="M3992" t="str" cm="1">
        <f t="array" ref="M3992">_xlfn.IFS(B3992&lt;18,"Under 18",B3992 &lt;=25,"18-25",B3992&lt;=35,"26-35",B3992&lt;=45,"36-45",B3992&lt;=60,"46-60",TRUE,"60+")</f>
        <v>36-45</v>
      </c>
      <c r="N3992" t="str">
        <f t="shared" si="187"/>
        <v>Discounted</v>
      </c>
      <c r="O3992" t="str">
        <f t="shared" si="188"/>
        <v>Returning</v>
      </c>
    </row>
    <row r="3993" spans="1:15" x14ac:dyDescent="0.25">
      <c r="A3993">
        <v>3992</v>
      </c>
      <c r="B3993">
        <v>29</v>
      </c>
      <c r="C3993" t="s">
        <v>16</v>
      </c>
      <c r="D3993" t="s">
        <v>33</v>
      </c>
      <c r="E3993" t="s">
        <v>40</v>
      </c>
      <c r="F3993" s="1">
        <v>88.9</v>
      </c>
      <c r="G3993" t="s">
        <v>31</v>
      </c>
      <c r="H3993" t="s">
        <v>37</v>
      </c>
      <c r="I3993" s="2">
        <v>2.8</v>
      </c>
      <c r="J3993" s="4">
        <v>15</v>
      </c>
      <c r="K3993" s="3">
        <v>5</v>
      </c>
      <c r="L3993" s="1">
        <f t="shared" si="186"/>
        <v>75.564999999999998</v>
      </c>
      <c r="M3993" t="str" cm="1">
        <f t="array" ref="M3993">_xlfn.IFS(B3993&lt;18,"Under 18",B3993 &lt;=25,"18-25",B3993&lt;=35,"26-35",B3993&lt;=45,"36-45",B3993&lt;=60,"46-60",TRUE,"60+")</f>
        <v>26-35</v>
      </c>
      <c r="N3993" t="str">
        <f t="shared" si="187"/>
        <v>Discounted</v>
      </c>
      <c r="O3993" t="str">
        <f t="shared" si="188"/>
        <v>Returning</v>
      </c>
    </row>
    <row r="3994" spans="1:15" x14ac:dyDescent="0.25">
      <c r="A3994">
        <v>3993</v>
      </c>
      <c r="B3994">
        <v>49</v>
      </c>
      <c r="C3994" t="s">
        <v>11</v>
      </c>
      <c r="D3994" t="s">
        <v>22</v>
      </c>
      <c r="E3994" t="s">
        <v>23</v>
      </c>
      <c r="F3994" s="1">
        <v>248.98</v>
      </c>
      <c r="G3994" t="s">
        <v>19</v>
      </c>
      <c r="H3994" t="s">
        <v>15</v>
      </c>
      <c r="I3994" s="2">
        <v>3.8</v>
      </c>
      <c r="J3994" s="4">
        <v>23</v>
      </c>
      <c r="K3994" s="3">
        <v>9</v>
      </c>
      <c r="L3994" s="1">
        <f t="shared" si="186"/>
        <v>191.71459999999999</v>
      </c>
      <c r="M3994" t="str" cm="1">
        <f t="array" ref="M3994">_xlfn.IFS(B3994&lt;18,"Under 18",B3994 &lt;=25,"18-25",B3994&lt;=35,"26-35",B3994&lt;=45,"36-45",B3994&lt;=60,"46-60",TRUE,"60+")</f>
        <v>46-60</v>
      </c>
      <c r="N3994" t="str">
        <f t="shared" si="187"/>
        <v>Discounted</v>
      </c>
      <c r="O3994" t="str">
        <f t="shared" si="188"/>
        <v>Returning</v>
      </c>
    </row>
    <row r="3995" spans="1:15" x14ac:dyDescent="0.25">
      <c r="A3995">
        <v>3994</v>
      </c>
      <c r="B3995">
        <v>28</v>
      </c>
      <c r="C3995" t="s">
        <v>11</v>
      </c>
      <c r="D3995" t="s">
        <v>22</v>
      </c>
      <c r="E3995" t="s">
        <v>23</v>
      </c>
      <c r="F3995" s="1">
        <v>225.31</v>
      </c>
      <c r="G3995" t="s">
        <v>24</v>
      </c>
      <c r="H3995" t="s">
        <v>15</v>
      </c>
      <c r="I3995" s="2">
        <v>3.9</v>
      </c>
      <c r="J3995" s="4">
        <v>10</v>
      </c>
      <c r="K3995" s="3">
        <v>5</v>
      </c>
      <c r="L3995" s="1">
        <f t="shared" si="186"/>
        <v>202.779</v>
      </c>
      <c r="M3995" t="str" cm="1">
        <f t="array" ref="M3995">_xlfn.IFS(B3995&lt;18,"Under 18",B3995 &lt;=25,"18-25",B3995&lt;=35,"26-35",B3995&lt;=45,"36-45",B3995&lt;=60,"46-60",TRUE,"60+")</f>
        <v>26-35</v>
      </c>
      <c r="N3995" t="str">
        <f t="shared" si="187"/>
        <v>Discounted</v>
      </c>
      <c r="O3995" t="str">
        <f t="shared" si="188"/>
        <v>Returning</v>
      </c>
    </row>
    <row r="3996" spans="1:15" x14ac:dyDescent="0.25">
      <c r="A3996">
        <v>3995</v>
      </c>
      <c r="B3996">
        <v>23</v>
      </c>
      <c r="C3996" t="s">
        <v>11</v>
      </c>
      <c r="D3996" t="s">
        <v>12</v>
      </c>
      <c r="E3996" t="s">
        <v>13</v>
      </c>
      <c r="F3996" s="1">
        <v>163.88</v>
      </c>
      <c r="G3996" t="s">
        <v>19</v>
      </c>
      <c r="H3996" t="s">
        <v>15</v>
      </c>
      <c r="I3996" s="2">
        <v>4.7</v>
      </c>
      <c r="J3996" s="4">
        <v>12</v>
      </c>
      <c r="K3996" s="3">
        <v>6</v>
      </c>
      <c r="L3996" s="1">
        <f t="shared" si="186"/>
        <v>144.21439999999998</v>
      </c>
      <c r="M3996" t="str" cm="1">
        <f t="array" ref="M3996">_xlfn.IFS(B3996&lt;18,"Under 18",B3996 &lt;=25,"18-25",B3996&lt;=35,"26-35",B3996&lt;=45,"36-45",B3996&lt;=60,"46-60",TRUE,"60+")</f>
        <v>18-25</v>
      </c>
      <c r="N3996" t="str">
        <f t="shared" si="187"/>
        <v>Discounted</v>
      </c>
      <c r="O3996" t="str">
        <f t="shared" si="188"/>
        <v>Returning</v>
      </c>
    </row>
    <row r="3997" spans="1:15" x14ac:dyDescent="0.25">
      <c r="A3997">
        <v>3996</v>
      </c>
      <c r="B3997">
        <v>28</v>
      </c>
      <c r="C3997" t="s">
        <v>11</v>
      </c>
      <c r="D3997" t="s">
        <v>12</v>
      </c>
      <c r="E3997" t="s">
        <v>13</v>
      </c>
      <c r="F3997" s="1">
        <v>139.87</v>
      </c>
      <c r="G3997" t="s">
        <v>31</v>
      </c>
      <c r="H3997" t="s">
        <v>15</v>
      </c>
      <c r="I3997" s="2">
        <v>4.8</v>
      </c>
      <c r="J3997" s="4">
        <v>15</v>
      </c>
      <c r="K3997" s="3">
        <v>5</v>
      </c>
      <c r="L3997" s="1">
        <f t="shared" si="186"/>
        <v>118.8895</v>
      </c>
      <c r="M3997" t="str" cm="1">
        <f t="array" ref="M3997">_xlfn.IFS(B3997&lt;18,"Under 18",B3997 &lt;=25,"18-25",B3997&lt;=35,"26-35",B3997&lt;=45,"36-45",B3997&lt;=60,"46-60",TRUE,"60+")</f>
        <v>26-35</v>
      </c>
      <c r="N3997" t="str">
        <f t="shared" si="187"/>
        <v>Discounted</v>
      </c>
      <c r="O3997" t="str">
        <f t="shared" si="188"/>
        <v>Returning</v>
      </c>
    </row>
    <row r="3998" spans="1:15" x14ac:dyDescent="0.25">
      <c r="A3998">
        <v>3997</v>
      </c>
      <c r="B3998">
        <v>67</v>
      </c>
      <c r="C3998" t="s">
        <v>11</v>
      </c>
      <c r="D3998" t="s">
        <v>12</v>
      </c>
      <c r="E3998" t="s">
        <v>13</v>
      </c>
      <c r="F3998" s="1">
        <v>133.21</v>
      </c>
      <c r="G3998" t="s">
        <v>31</v>
      </c>
      <c r="H3998" t="s">
        <v>15</v>
      </c>
      <c r="I3998" s="2">
        <v>4.5999999999999996</v>
      </c>
      <c r="J3998" s="4">
        <v>12</v>
      </c>
      <c r="K3998" s="3">
        <v>6</v>
      </c>
      <c r="L3998" s="1">
        <f t="shared" si="186"/>
        <v>117.2248</v>
      </c>
      <c r="M3998" t="str" cm="1">
        <f t="array" ref="M3998">_xlfn.IFS(B3998&lt;18,"Under 18",B3998 &lt;=25,"18-25",B3998&lt;=35,"26-35",B3998&lt;=45,"36-45",B3998&lt;=60,"46-60",TRUE,"60+")</f>
        <v>60+</v>
      </c>
      <c r="N3998" t="str">
        <f t="shared" si="187"/>
        <v>Discounted</v>
      </c>
      <c r="O3998" t="str">
        <f t="shared" si="188"/>
        <v>Returning</v>
      </c>
    </row>
    <row r="3999" spans="1:15" x14ac:dyDescent="0.25">
      <c r="A3999">
        <v>3998</v>
      </c>
      <c r="B3999">
        <v>63</v>
      </c>
      <c r="C3999" t="s">
        <v>11</v>
      </c>
      <c r="D3999" t="s">
        <v>12</v>
      </c>
      <c r="E3999" t="s">
        <v>13</v>
      </c>
      <c r="F3999" s="1">
        <v>138.94</v>
      </c>
      <c r="G3999" t="s">
        <v>31</v>
      </c>
      <c r="H3999" t="s">
        <v>15</v>
      </c>
      <c r="I3999" s="2">
        <v>3.8</v>
      </c>
      <c r="J3999" s="4">
        <v>18</v>
      </c>
      <c r="K3999" s="3">
        <v>9</v>
      </c>
      <c r="L3999" s="1">
        <f t="shared" si="186"/>
        <v>113.9308</v>
      </c>
      <c r="M3999" t="str" cm="1">
        <f t="array" ref="M3999">_xlfn.IFS(B3999&lt;18,"Under 18",B3999 &lt;=25,"18-25",B3999&lt;=35,"26-35",B3999&lt;=45,"36-45",B3999&lt;=60,"46-60",TRUE,"60+")</f>
        <v>60+</v>
      </c>
      <c r="N3999" t="str">
        <f t="shared" si="187"/>
        <v>Discounted</v>
      </c>
      <c r="O3999" t="str">
        <f t="shared" si="188"/>
        <v>Returning</v>
      </c>
    </row>
    <row r="4000" spans="1:15" x14ac:dyDescent="0.25">
      <c r="A4000">
        <v>3999</v>
      </c>
      <c r="B4000">
        <v>38</v>
      </c>
      <c r="C4000" t="s">
        <v>11</v>
      </c>
      <c r="D4000" t="s">
        <v>20</v>
      </c>
      <c r="E4000" t="s">
        <v>39</v>
      </c>
      <c r="F4000" s="1">
        <v>52.35</v>
      </c>
      <c r="G4000" t="s">
        <v>19</v>
      </c>
      <c r="H4000" t="s">
        <v>15</v>
      </c>
      <c r="I4000" s="2">
        <v>4.0999999999999996</v>
      </c>
      <c r="J4000" s="4">
        <v>21</v>
      </c>
      <c r="K4000" s="3">
        <v>8</v>
      </c>
      <c r="L4000" s="1">
        <f t="shared" si="186"/>
        <v>41.356500000000004</v>
      </c>
      <c r="M4000" t="str" cm="1">
        <f t="array" ref="M4000">_xlfn.IFS(B4000&lt;18,"Under 18",B4000 &lt;=25,"18-25",B4000&lt;=35,"26-35",B4000&lt;=45,"36-45",B4000&lt;=60,"46-60",TRUE,"60+")</f>
        <v>36-45</v>
      </c>
      <c r="N4000" t="str">
        <f t="shared" si="187"/>
        <v>Discounted</v>
      </c>
      <c r="O4000" t="str">
        <f t="shared" si="188"/>
        <v>Returning</v>
      </c>
    </row>
    <row r="4001" spans="1:15" x14ac:dyDescent="0.25">
      <c r="A4001">
        <v>4000</v>
      </c>
      <c r="B4001">
        <v>41</v>
      </c>
      <c r="C4001" t="s">
        <v>16</v>
      </c>
      <c r="D4001" t="s">
        <v>17</v>
      </c>
      <c r="E4001" t="s">
        <v>42</v>
      </c>
      <c r="F4001" s="1">
        <v>36.25</v>
      </c>
      <c r="G4001" t="s">
        <v>14</v>
      </c>
      <c r="H4001" t="s">
        <v>37</v>
      </c>
      <c r="I4001" s="2">
        <v>4.5999999999999996</v>
      </c>
      <c r="J4001" s="4">
        <v>18</v>
      </c>
      <c r="K4001" s="3">
        <v>4</v>
      </c>
      <c r="L4001" s="1">
        <f t="shared" si="186"/>
        <v>29.725000000000001</v>
      </c>
      <c r="M4001" t="str" cm="1">
        <f t="array" ref="M4001">_xlfn.IFS(B4001&lt;18,"Under 18",B4001 &lt;=25,"18-25",B4001&lt;=35,"26-35",B4001&lt;=45,"36-45",B4001&lt;=60,"46-60",TRUE,"60+")</f>
        <v>36-45</v>
      </c>
      <c r="N4001" t="str">
        <f t="shared" si="187"/>
        <v>Discounted</v>
      </c>
      <c r="O4001" t="str">
        <f t="shared" si="188"/>
        <v>Returning</v>
      </c>
    </row>
    <row r="4002" spans="1:15" x14ac:dyDescent="0.25">
      <c r="A4002">
        <v>4001</v>
      </c>
      <c r="B4002">
        <v>50</v>
      </c>
      <c r="C4002" t="s">
        <v>16</v>
      </c>
      <c r="D4002" t="s">
        <v>17</v>
      </c>
      <c r="E4002" t="s">
        <v>35</v>
      </c>
      <c r="F4002" s="1">
        <v>96.94</v>
      </c>
      <c r="G4002" t="s">
        <v>31</v>
      </c>
      <c r="H4002" t="s">
        <v>37</v>
      </c>
      <c r="I4002" s="2">
        <v>3.6</v>
      </c>
      <c r="J4002" s="4">
        <v>6</v>
      </c>
      <c r="K4002" s="3">
        <v>3</v>
      </c>
      <c r="L4002" s="1">
        <f t="shared" si="186"/>
        <v>91.123599999999996</v>
      </c>
      <c r="M4002" t="str" cm="1">
        <f t="array" ref="M4002">_xlfn.IFS(B4002&lt;18,"Under 18",B4002 &lt;=25,"18-25",B4002&lt;=35,"26-35",B4002&lt;=45,"36-45",B4002&lt;=60,"46-60",TRUE,"60+")</f>
        <v>46-60</v>
      </c>
      <c r="N4002" t="str">
        <f t="shared" si="187"/>
        <v>Discounted</v>
      </c>
      <c r="O4002" t="str">
        <f t="shared" si="188"/>
        <v>Returning</v>
      </c>
    </row>
    <row r="4003" spans="1:15" x14ac:dyDescent="0.25">
      <c r="A4003">
        <v>4002</v>
      </c>
      <c r="B4003">
        <v>65</v>
      </c>
      <c r="C4003" t="s">
        <v>11</v>
      </c>
      <c r="D4003" t="s">
        <v>41</v>
      </c>
      <c r="E4003" t="s">
        <v>42</v>
      </c>
      <c r="F4003" s="1">
        <v>170.25</v>
      </c>
      <c r="G4003" t="s">
        <v>14</v>
      </c>
      <c r="H4003" t="s">
        <v>15</v>
      </c>
      <c r="I4003" s="2">
        <v>4.7</v>
      </c>
      <c r="J4003" s="4">
        <v>26</v>
      </c>
      <c r="K4003" s="3">
        <v>8</v>
      </c>
      <c r="L4003" s="1">
        <f t="shared" si="186"/>
        <v>125.985</v>
      </c>
      <c r="M4003" t="str" cm="1">
        <f t="array" ref="M4003">_xlfn.IFS(B4003&lt;18,"Under 18",B4003 &lt;=25,"18-25",B4003&lt;=35,"26-35",B4003&lt;=45,"36-45",B4003&lt;=60,"46-60",TRUE,"60+")</f>
        <v>60+</v>
      </c>
      <c r="N4003" t="str">
        <f t="shared" si="187"/>
        <v>Discounted</v>
      </c>
      <c r="O4003" t="str">
        <f t="shared" si="188"/>
        <v>Returning</v>
      </c>
    </row>
    <row r="4004" spans="1:15" x14ac:dyDescent="0.25">
      <c r="A4004">
        <v>4003</v>
      </c>
      <c r="B4004">
        <v>49</v>
      </c>
      <c r="C4004" t="s">
        <v>16</v>
      </c>
      <c r="D4004" t="s">
        <v>20</v>
      </c>
      <c r="E4004" t="s">
        <v>39</v>
      </c>
      <c r="F4004" s="1">
        <v>190.85</v>
      </c>
      <c r="G4004" t="s">
        <v>19</v>
      </c>
      <c r="H4004" t="s">
        <v>15</v>
      </c>
      <c r="I4004" s="2">
        <v>4</v>
      </c>
      <c r="J4004" s="4">
        <v>14</v>
      </c>
      <c r="K4004" s="3">
        <v>7</v>
      </c>
      <c r="L4004" s="1">
        <f t="shared" si="186"/>
        <v>164.131</v>
      </c>
      <c r="M4004" t="str" cm="1">
        <f t="array" ref="M4004">_xlfn.IFS(B4004&lt;18,"Under 18",B4004 &lt;=25,"18-25",B4004&lt;=35,"26-35",B4004&lt;=45,"36-45",B4004&lt;=60,"46-60",TRUE,"60+")</f>
        <v>46-60</v>
      </c>
      <c r="N4004" t="str">
        <f t="shared" si="187"/>
        <v>Discounted</v>
      </c>
      <c r="O4004" t="str">
        <f t="shared" si="188"/>
        <v>Returning</v>
      </c>
    </row>
    <row r="4005" spans="1:15" x14ac:dyDescent="0.25">
      <c r="A4005">
        <v>4004</v>
      </c>
      <c r="B4005">
        <v>41</v>
      </c>
      <c r="C4005" t="s">
        <v>16</v>
      </c>
      <c r="D4005" t="s">
        <v>17</v>
      </c>
      <c r="E4005" t="s">
        <v>18</v>
      </c>
      <c r="F4005" s="1">
        <v>106.08</v>
      </c>
      <c r="G4005" t="s">
        <v>14</v>
      </c>
      <c r="H4005" t="s">
        <v>15</v>
      </c>
      <c r="I4005" s="2">
        <v>4.0999999999999996</v>
      </c>
      <c r="J4005" s="4">
        <v>9</v>
      </c>
      <c r="K4005" s="3">
        <v>2</v>
      </c>
      <c r="L4005" s="1">
        <f t="shared" si="186"/>
        <v>96.532800000000009</v>
      </c>
      <c r="M4005" t="str" cm="1">
        <f t="array" ref="M4005">_xlfn.IFS(B4005&lt;18,"Under 18",B4005 &lt;=25,"18-25",B4005&lt;=35,"26-35",B4005&lt;=45,"36-45",B4005&lt;=60,"46-60",TRUE,"60+")</f>
        <v>36-45</v>
      </c>
      <c r="N4005" t="str">
        <f t="shared" si="187"/>
        <v>Discounted</v>
      </c>
      <c r="O4005" t="str">
        <f t="shared" si="188"/>
        <v>Returning</v>
      </c>
    </row>
    <row r="4006" spans="1:15" x14ac:dyDescent="0.25">
      <c r="A4006">
        <v>4005</v>
      </c>
      <c r="B4006">
        <v>24</v>
      </c>
      <c r="C4006" t="s">
        <v>11</v>
      </c>
      <c r="D4006" t="s">
        <v>29</v>
      </c>
      <c r="E4006" t="s">
        <v>51</v>
      </c>
      <c r="F4006" s="1">
        <v>124.83</v>
      </c>
      <c r="G4006" t="s">
        <v>24</v>
      </c>
      <c r="H4006" t="s">
        <v>15</v>
      </c>
      <c r="I4006" s="2">
        <v>2.6</v>
      </c>
      <c r="J4006" s="4">
        <v>12</v>
      </c>
      <c r="K4006" s="3">
        <v>1</v>
      </c>
      <c r="L4006" s="1">
        <f t="shared" si="186"/>
        <v>109.85039999999999</v>
      </c>
      <c r="M4006" t="str" cm="1">
        <f t="array" ref="M4006">_xlfn.IFS(B4006&lt;18,"Under 18",B4006 &lt;=25,"18-25",B4006&lt;=35,"26-35",B4006&lt;=45,"36-45",B4006&lt;=60,"46-60",TRUE,"60+")</f>
        <v>18-25</v>
      </c>
      <c r="N4006" t="str">
        <f t="shared" si="187"/>
        <v>Discounted</v>
      </c>
      <c r="O4006" t="str">
        <f t="shared" si="188"/>
        <v>Returning</v>
      </c>
    </row>
    <row r="4007" spans="1:15" x14ac:dyDescent="0.25">
      <c r="A4007">
        <v>4006</v>
      </c>
      <c r="B4007">
        <v>27</v>
      </c>
      <c r="C4007" t="s">
        <v>11</v>
      </c>
      <c r="D4007" t="s">
        <v>29</v>
      </c>
      <c r="E4007" t="s">
        <v>55</v>
      </c>
      <c r="F4007" s="1">
        <v>140.07</v>
      </c>
      <c r="G4007" t="s">
        <v>31</v>
      </c>
      <c r="H4007" t="s">
        <v>15</v>
      </c>
      <c r="I4007" s="2">
        <v>3.2</v>
      </c>
      <c r="J4007" s="4">
        <v>11</v>
      </c>
      <c r="K4007" s="3">
        <v>3</v>
      </c>
      <c r="L4007" s="1">
        <f t="shared" si="186"/>
        <v>124.6623</v>
      </c>
      <c r="M4007" t="str" cm="1">
        <f t="array" ref="M4007">_xlfn.IFS(B4007&lt;18,"Under 18",B4007 &lt;=25,"18-25",B4007&lt;=35,"26-35",B4007&lt;=45,"36-45",B4007&lt;=60,"46-60",TRUE,"60+")</f>
        <v>26-35</v>
      </c>
      <c r="N4007" t="str">
        <f t="shared" si="187"/>
        <v>Discounted</v>
      </c>
      <c r="O4007" t="str">
        <f t="shared" si="188"/>
        <v>Returning</v>
      </c>
    </row>
    <row r="4008" spans="1:15" x14ac:dyDescent="0.25">
      <c r="A4008">
        <v>4007</v>
      </c>
      <c r="B4008">
        <v>50</v>
      </c>
      <c r="C4008" t="s">
        <v>11</v>
      </c>
      <c r="D4008" t="s">
        <v>25</v>
      </c>
      <c r="E4008" t="s">
        <v>26</v>
      </c>
      <c r="F4008" s="1">
        <v>72.930000000000007</v>
      </c>
      <c r="G4008" t="s">
        <v>24</v>
      </c>
      <c r="H4008" t="s">
        <v>37</v>
      </c>
      <c r="I4008" s="2">
        <v>3.8</v>
      </c>
      <c r="J4008" s="4">
        <v>10</v>
      </c>
      <c r="K4008" s="3">
        <v>5</v>
      </c>
      <c r="L4008" s="1">
        <f t="shared" si="186"/>
        <v>65.637000000000015</v>
      </c>
      <c r="M4008" t="str" cm="1">
        <f t="array" ref="M4008">_xlfn.IFS(B4008&lt;18,"Under 18",B4008 &lt;=25,"18-25",B4008&lt;=35,"26-35",B4008&lt;=45,"36-45",B4008&lt;=60,"46-60",TRUE,"60+")</f>
        <v>46-60</v>
      </c>
      <c r="N4008" t="str">
        <f t="shared" si="187"/>
        <v>Discounted</v>
      </c>
      <c r="O4008" t="str">
        <f t="shared" si="188"/>
        <v>Returning</v>
      </c>
    </row>
    <row r="4009" spans="1:15" x14ac:dyDescent="0.25">
      <c r="A4009">
        <v>4008</v>
      </c>
      <c r="B4009">
        <v>36</v>
      </c>
      <c r="C4009" t="s">
        <v>11</v>
      </c>
      <c r="D4009" t="s">
        <v>29</v>
      </c>
      <c r="E4009" t="s">
        <v>51</v>
      </c>
      <c r="F4009" s="1">
        <v>122.19</v>
      </c>
      <c r="G4009" t="s">
        <v>24</v>
      </c>
      <c r="H4009" t="s">
        <v>15</v>
      </c>
      <c r="I4009" s="2">
        <v>3.8</v>
      </c>
      <c r="J4009" s="4">
        <v>12</v>
      </c>
      <c r="K4009" s="3">
        <v>6</v>
      </c>
      <c r="L4009" s="1">
        <f t="shared" si="186"/>
        <v>107.52719999999999</v>
      </c>
      <c r="M4009" t="str" cm="1">
        <f t="array" ref="M4009">_xlfn.IFS(B4009&lt;18,"Under 18",B4009 &lt;=25,"18-25",B4009&lt;=35,"26-35",B4009&lt;=45,"36-45",B4009&lt;=60,"46-60",TRUE,"60+")</f>
        <v>36-45</v>
      </c>
      <c r="N4009" t="str">
        <f t="shared" si="187"/>
        <v>Discounted</v>
      </c>
      <c r="O4009" t="str">
        <f t="shared" si="188"/>
        <v>Returning</v>
      </c>
    </row>
    <row r="4010" spans="1:15" x14ac:dyDescent="0.25">
      <c r="A4010">
        <v>4009</v>
      </c>
      <c r="B4010">
        <v>52</v>
      </c>
      <c r="C4010" t="s">
        <v>16</v>
      </c>
      <c r="D4010" t="s">
        <v>27</v>
      </c>
      <c r="E4010" t="s">
        <v>32</v>
      </c>
      <c r="F4010" s="1">
        <v>1169.3900000000001</v>
      </c>
      <c r="G4010" t="s">
        <v>31</v>
      </c>
      <c r="H4010" t="s">
        <v>15</v>
      </c>
      <c r="I4010" s="2">
        <v>3</v>
      </c>
      <c r="J4010" s="4">
        <v>20</v>
      </c>
      <c r="K4010" s="3">
        <v>10</v>
      </c>
      <c r="L4010" s="1">
        <f t="shared" si="186"/>
        <v>935.51200000000017</v>
      </c>
      <c r="M4010" t="str" cm="1">
        <f t="array" ref="M4010">_xlfn.IFS(B4010&lt;18,"Under 18",B4010 &lt;=25,"18-25",B4010&lt;=35,"26-35",B4010&lt;=45,"36-45",B4010&lt;=60,"46-60",TRUE,"60+")</f>
        <v>46-60</v>
      </c>
      <c r="N4010" t="str">
        <f t="shared" si="187"/>
        <v>Discounted</v>
      </c>
      <c r="O4010" t="str">
        <f t="shared" si="188"/>
        <v>Returning</v>
      </c>
    </row>
    <row r="4011" spans="1:15" x14ac:dyDescent="0.25">
      <c r="A4011">
        <v>4010</v>
      </c>
      <c r="B4011">
        <v>66</v>
      </c>
      <c r="C4011" t="s">
        <v>11</v>
      </c>
      <c r="D4011" t="s">
        <v>20</v>
      </c>
      <c r="E4011" t="s">
        <v>21</v>
      </c>
      <c r="F4011" s="1">
        <v>195.24</v>
      </c>
      <c r="G4011" t="s">
        <v>24</v>
      </c>
      <c r="H4011" t="s">
        <v>15</v>
      </c>
      <c r="I4011" s="2">
        <v>5</v>
      </c>
      <c r="J4011" s="4">
        <v>18</v>
      </c>
      <c r="K4011" s="3">
        <v>4</v>
      </c>
      <c r="L4011" s="1">
        <f t="shared" si="186"/>
        <v>160.09680000000003</v>
      </c>
      <c r="M4011" t="str" cm="1">
        <f t="array" ref="M4011">_xlfn.IFS(B4011&lt;18,"Under 18",B4011 &lt;=25,"18-25",B4011&lt;=35,"26-35",B4011&lt;=45,"36-45",B4011&lt;=60,"46-60",TRUE,"60+")</f>
        <v>60+</v>
      </c>
      <c r="N4011" t="str">
        <f t="shared" si="187"/>
        <v>Discounted</v>
      </c>
      <c r="O4011" t="str">
        <f t="shared" si="188"/>
        <v>Returning</v>
      </c>
    </row>
    <row r="4012" spans="1:15" x14ac:dyDescent="0.25">
      <c r="A4012">
        <v>4011</v>
      </c>
      <c r="B4012">
        <v>70</v>
      </c>
      <c r="C4012" t="s">
        <v>11</v>
      </c>
      <c r="D4012" t="s">
        <v>41</v>
      </c>
      <c r="E4012" t="s">
        <v>44</v>
      </c>
      <c r="F4012" s="1">
        <v>199.98</v>
      </c>
      <c r="G4012" t="s">
        <v>19</v>
      </c>
      <c r="H4012" t="s">
        <v>15</v>
      </c>
      <c r="I4012" s="2">
        <v>4</v>
      </c>
      <c r="J4012" s="4">
        <v>13</v>
      </c>
      <c r="K4012" s="3">
        <v>4</v>
      </c>
      <c r="L4012" s="1">
        <f t="shared" si="186"/>
        <v>173.98259999999999</v>
      </c>
      <c r="M4012" t="str" cm="1">
        <f t="array" ref="M4012">_xlfn.IFS(B4012&lt;18,"Under 18",B4012 &lt;=25,"18-25",B4012&lt;=35,"26-35",B4012&lt;=45,"36-45",B4012&lt;=60,"46-60",TRUE,"60+")</f>
        <v>60+</v>
      </c>
      <c r="N4012" t="str">
        <f t="shared" si="187"/>
        <v>Discounted</v>
      </c>
      <c r="O4012" t="str">
        <f t="shared" si="188"/>
        <v>Returning</v>
      </c>
    </row>
    <row r="4013" spans="1:15" x14ac:dyDescent="0.25">
      <c r="A4013">
        <v>4012</v>
      </c>
      <c r="B4013">
        <v>44</v>
      </c>
      <c r="C4013" t="s">
        <v>11</v>
      </c>
      <c r="D4013" t="s">
        <v>41</v>
      </c>
      <c r="E4013" t="s">
        <v>44</v>
      </c>
      <c r="F4013" s="1">
        <v>81.96</v>
      </c>
      <c r="G4013" t="s">
        <v>14</v>
      </c>
      <c r="H4013" t="s">
        <v>37</v>
      </c>
      <c r="I4013" s="2">
        <v>2.7</v>
      </c>
      <c r="J4013" s="4">
        <v>10</v>
      </c>
      <c r="K4013" s="3">
        <v>5</v>
      </c>
      <c r="L4013" s="1">
        <f t="shared" si="186"/>
        <v>73.763999999999996</v>
      </c>
      <c r="M4013" t="str" cm="1">
        <f t="array" ref="M4013">_xlfn.IFS(B4013&lt;18,"Under 18",B4013 &lt;=25,"18-25",B4013&lt;=35,"26-35",B4013&lt;=45,"36-45",B4013&lt;=60,"46-60",TRUE,"60+")</f>
        <v>36-45</v>
      </c>
      <c r="N4013" t="str">
        <f t="shared" si="187"/>
        <v>Discounted</v>
      </c>
      <c r="O4013" t="str">
        <f t="shared" si="188"/>
        <v>Returning</v>
      </c>
    </row>
    <row r="4014" spans="1:15" x14ac:dyDescent="0.25">
      <c r="A4014">
        <v>4013</v>
      </c>
      <c r="B4014">
        <v>64</v>
      </c>
      <c r="C4014" t="s">
        <v>11</v>
      </c>
      <c r="D4014" t="s">
        <v>41</v>
      </c>
      <c r="E4014" t="s">
        <v>45</v>
      </c>
      <c r="F4014" s="1">
        <v>168.24</v>
      </c>
      <c r="G4014" t="s">
        <v>24</v>
      </c>
      <c r="H4014" t="s">
        <v>15</v>
      </c>
      <c r="I4014" s="2">
        <v>3.1</v>
      </c>
      <c r="J4014" s="4">
        <v>4</v>
      </c>
      <c r="K4014" s="3">
        <v>2</v>
      </c>
      <c r="L4014" s="1">
        <f t="shared" si="186"/>
        <v>161.5104</v>
      </c>
      <c r="M4014" t="str" cm="1">
        <f t="array" ref="M4014">_xlfn.IFS(B4014&lt;18,"Under 18",B4014 &lt;=25,"18-25",B4014&lt;=35,"26-35",B4014&lt;=45,"36-45",B4014&lt;=60,"46-60",TRUE,"60+")</f>
        <v>60+</v>
      </c>
      <c r="N4014" t="str">
        <f t="shared" si="187"/>
        <v>Discounted</v>
      </c>
      <c r="O4014" t="str">
        <f t="shared" si="188"/>
        <v>Returning</v>
      </c>
    </row>
    <row r="4015" spans="1:15" x14ac:dyDescent="0.25">
      <c r="A4015">
        <v>4014</v>
      </c>
      <c r="B4015">
        <v>37</v>
      </c>
      <c r="C4015" t="s">
        <v>11</v>
      </c>
      <c r="D4015" t="s">
        <v>29</v>
      </c>
      <c r="E4015" t="s">
        <v>30</v>
      </c>
      <c r="F4015" s="1">
        <v>38</v>
      </c>
      <c r="G4015" t="s">
        <v>14</v>
      </c>
      <c r="H4015" t="s">
        <v>15</v>
      </c>
      <c r="I4015" s="2">
        <v>4</v>
      </c>
      <c r="J4015" s="4">
        <v>16</v>
      </c>
      <c r="K4015" s="3">
        <v>8</v>
      </c>
      <c r="L4015" s="1">
        <f t="shared" si="186"/>
        <v>31.919999999999998</v>
      </c>
      <c r="M4015" t="str" cm="1">
        <f t="array" ref="M4015">_xlfn.IFS(B4015&lt;18,"Under 18",B4015 &lt;=25,"18-25",B4015&lt;=35,"26-35",B4015&lt;=45,"36-45",B4015&lt;=60,"46-60",TRUE,"60+")</f>
        <v>36-45</v>
      </c>
      <c r="N4015" t="str">
        <f t="shared" si="187"/>
        <v>Discounted</v>
      </c>
      <c r="O4015" t="str">
        <f t="shared" si="188"/>
        <v>Returning</v>
      </c>
    </row>
    <row r="4016" spans="1:15" x14ac:dyDescent="0.25">
      <c r="A4016">
        <v>4015</v>
      </c>
      <c r="B4016">
        <v>36</v>
      </c>
      <c r="C4016" t="s">
        <v>16</v>
      </c>
      <c r="D4016" t="s">
        <v>20</v>
      </c>
      <c r="E4016" t="s">
        <v>21</v>
      </c>
      <c r="F4016" s="1">
        <v>37.32</v>
      </c>
      <c r="G4016" t="s">
        <v>24</v>
      </c>
      <c r="H4016" t="s">
        <v>15</v>
      </c>
      <c r="I4016" s="2">
        <v>5</v>
      </c>
      <c r="J4016" s="4">
        <v>23</v>
      </c>
      <c r="K4016" s="3">
        <v>9</v>
      </c>
      <c r="L4016" s="1">
        <f t="shared" si="186"/>
        <v>28.7364</v>
      </c>
      <c r="M4016" t="str" cm="1">
        <f t="array" ref="M4016">_xlfn.IFS(B4016&lt;18,"Under 18",B4016 &lt;=25,"18-25",B4016&lt;=35,"26-35",B4016&lt;=45,"36-45",B4016&lt;=60,"46-60",TRUE,"60+")</f>
        <v>36-45</v>
      </c>
      <c r="N4016" t="str">
        <f t="shared" si="187"/>
        <v>Discounted</v>
      </c>
      <c r="O4016" t="str">
        <f t="shared" si="188"/>
        <v>Returning</v>
      </c>
    </row>
    <row r="4017" spans="1:15" x14ac:dyDescent="0.25">
      <c r="A4017">
        <v>4016</v>
      </c>
      <c r="B4017">
        <v>58</v>
      </c>
      <c r="C4017" t="s">
        <v>11</v>
      </c>
      <c r="D4017" t="s">
        <v>12</v>
      </c>
      <c r="E4017" t="s">
        <v>56</v>
      </c>
      <c r="F4017" s="1">
        <v>152.99</v>
      </c>
      <c r="G4017" t="s">
        <v>31</v>
      </c>
      <c r="H4017" t="s">
        <v>15</v>
      </c>
      <c r="I4017" s="2">
        <v>3.2</v>
      </c>
      <c r="J4017" s="4">
        <v>17</v>
      </c>
      <c r="K4017" s="3">
        <v>6</v>
      </c>
      <c r="L4017" s="1">
        <f t="shared" si="186"/>
        <v>126.9817</v>
      </c>
      <c r="M4017" t="str" cm="1">
        <f t="array" ref="M4017">_xlfn.IFS(B4017&lt;18,"Under 18",B4017 &lt;=25,"18-25",B4017&lt;=35,"26-35",B4017&lt;=45,"36-45",B4017&lt;=60,"46-60",TRUE,"60+")</f>
        <v>46-60</v>
      </c>
      <c r="N4017" t="str">
        <f t="shared" si="187"/>
        <v>Discounted</v>
      </c>
      <c r="O4017" t="str">
        <f t="shared" si="188"/>
        <v>Returning</v>
      </c>
    </row>
    <row r="4018" spans="1:15" x14ac:dyDescent="0.25">
      <c r="A4018">
        <v>4017</v>
      </c>
      <c r="B4018">
        <v>65</v>
      </c>
      <c r="C4018" t="s">
        <v>11</v>
      </c>
      <c r="D4018" t="s">
        <v>12</v>
      </c>
      <c r="E4018" t="s">
        <v>56</v>
      </c>
      <c r="F4018" s="1">
        <v>88.31</v>
      </c>
      <c r="G4018" t="s">
        <v>14</v>
      </c>
      <c r="H4018" t="s">
        <v>15</v>
      </c>
      <c r="I4018" s="2">
        <v>3.8</v>
      </c>
      <c r="J4018" s="4">
        <v>18</v>
      </c>
      <c r="K4018" s="3">
        <v>4</v>
      </c>
      <c r="L4018" s="1">
        <f t="shared" si="186"/>
        <v>72.414200000000008</v>
      </c>
      <c r="M4018" t="str" cm="1">
        <f t="array" ref="M4018">_xlfn.IFS(B4018&lt;18,"Under 18",B4018 &lt;=25,"18-25",B4018&lt;=35,"26-35",B4018&lt;=45,"36-45",B4018&lt;=60,"46-60",TRUE,"60+")</f>
        <v>60+</v>
      </c>
      <c r="N4018" t="str">
        <f t="shared" si="187"/>
        <v>Discounted</v>
      </c>
      <c r="O4018" t="str">
        <f t="shared" si="188"/>
        <v>Returning</v>
      </c>
    </row>
    <row r="4019" spans="1:15" x14ac:dyDescent="0.25">
      <c r="A4019">
        <v>4018</v>
      </c>
      <c r="B4019">
        <v>35</v>
      </c>
      <c r="C4019" t="s">
        <v>16</v>
      </c>
      <c r="D4019" t="s">
        <v>17</v>
      </c>
      <c r="E4019" t="s">
        <v>18</v>
      </c>
      <c r="F4019" s="1">
        <v>49.5</v>
      </c>
      <c r="G4019" t="s">
        <v>19</v>
      </c>
      <c r="H4019" t="s">
        <v>37</v>
      </c>
      <c r="I4019" s="2">
        <v>4.5999999999999996</v>
      </c>
      <c r="J4019" s="4">
        <v>18</v>
      </c>
      <c r="K4019" s="3">
        <v>4</v>
      </c>
      <c r="L4019" s="1">
        <f t="shared" si="186"/>
        <v>40.590000000000003</v>
      </c>
      <c r="M4019" t="str" cm="1">
        <f t="array" ref="M4019">_xlfn.IFS(B4019&lt;18,"Under 18",B4019 &lt;=25,"18-25",B4019&lt;=35,"26-35",B4019&lt;=45,"36-45",B4019&lt;=60,"46-60",TRUE,"60+")</f>
        <v>26-35</v>
      </c>
      <c r="N4019" t="str">
        <f t="shared" si="187"/>
        <v>Discounted</v>
      </c>
      <c r="O4019" t="str">
        <f t="shared" si="188"/>
        <v>Returning</v>
      </c>
    </row>
    <row r="4020" spans="1:15" x14ac:dyDescent="0.25">
      <c r="A4020">
        <v>4019</v>
      </c>
      <c r="B4020">
        <v>41</v>
      </c>
      <c r="C4020" t="s">
        <v>16</v>
      </c>
      <c r="D4020" t="s">
        <v>20</v>
      </c>
      <c r="E4020" t="s">
        <v>21</v>
      </c>
      <c r="F4020" s="1">
        <v>201</v>
      </c>
      <c r="G4020" t="s">
        <v>31</v>
      </c>
      <c r="H4020" t="s">
        <v>15</v>
      </c>
      <c r="I4020" s="2">
        <v>4.5999999999999996</v>
      </c>
      <c r="J4020" s="4">
        <v>4</v>
      </c>
      <c r="K4020" s="3">
        <v>2</v>
      </c>
      <c r="L4020" s="1">
        <f t="shared" si="186"/>
        <v>192.95999999999998</v>
      </c>
      <c r="M4020" t="str" cm="1">
        <f t="array" ref="M4020">_xlfn.IFS(B4020&lt;18,"Under 18",B4020 &lt;=25,"18-25",B4020&lt;=35,"26-35",B4020&lt;=45,"36-45",B4020&lt;=60,"46-60",TRUE,"60+")</f>
        <v>36-45</v>
      </c>
      <c r="N4020" t="str">
        <f t="shared" si="187"/>
        <v>Discounted</v>
      </c>
      <c r="O4020" t="str">
        <f t="shared" si="188"/>
        <v>Returning</v>
      </c>
    </row>
    <row r="4021" spans="1:15" x14ac:dyDescent="0.25">
      <c r="A4021">
        <v>4020</v>
      </c>
      <c r="B4021">
        <v>52</v>
      </c>
      <c r="C4021" t="s">
        <v>11</v>
      </c>
      <c r="D4021" t="s">
        <v>12</v>
      </c>
      <c r="E4021" t="s">
        <v>56</v>
      </c>
      <c r="F4021" s="1">
        <v>85.67</v>
      </c>
      <c r="G4021" t="s">
        <v>31</v>
      </c>
      <c r="H4021" t="s">
        <v>37</v>
      </c>
      <c r="I4021" s="2">
        <v>2.7</v>
      </c>
      <c r="J4021" s="4">
        <v>8</v>
      </c>
      <c r="K4021" s="3">
        <v>4</v>
      </c>
      <c r="L4021" s="1">
        <f t="shared" si="186"/>
        <v>78.816400000000002</v>
      </c>
      <c r="M4021" t="str" cm="1">
        <f t="array" ref="M4021">_xlfn.IFS(B4021&lt;18,"Under 18",B4021 &lt;=25,"18-25",B4021&lt;=35,"26-35",B4021&lt;=45,"36-45",B4021&lt;=60,"46-60",TRUE,"60+")</f>
        <v>46-60</v>
      </c>
      <c r="N4021" t="str">
        <f t="shared" si="187"/>
        <v>Discounted</v>
      </c>
      <c r="O4021" t="str">
        <f t="shared" si="188"/>
        <v>Returning</v>
      </c>
    </row>
    <row r="4022" spans="1:15" x14ac:dyDescent="0.25">
      <c r="A4022">
        <v>4021</v>
      </c>
      <c r="B4022">
        <v>41</v>
      </c>
      <c r="C4022" t="s">
        <v>16</v>
      </c>
      <c r="D4022" t="s">
        <v>25</v>
      </c>
      <c r="E4022" t="s">
        <v>26</v>
      </c>
      <c r="F4022" s="1">
        <v>35.58</v>
      </c>
      <c r="G4022" t="s">
        <v>24</v>
      </c>
      <c r="H4022" t="s">
        <v>15</v>
      </c>
      <c r="I4022" s="2">
        <v>4.4000000000000004</v>
      </c>
      <c r="J4022" s="4">
        <v>24</v>
      </c>
      <c r="K4022" s="3">
        <v>7</v>
      </c>
      <c r="L4022" s="1">
        <f t="shared" si="186"/>
        <v>27.040799999999997</v>
      </c>
      <c r="M4022" t="str" cm="1">
        <f t="array" ref="M4022">_xlfn.IFS(B4022&lt;18,"Under 18",B4022 &lt;=25,"18-25",B4022&lt;=35,"26-35",B4022&lt;=45,"36-45",B4022&lt;=60,"46-60",TRUE,"60+")</f>
        <v>36-45</v>
      </c>
      <c r="N4022" t="str">
        <f t="shared" si="187"/>
        <v>Discounted</v>
      </c>
      <c r="O4022" t="str">
        <f t="shared" si="188"/>
        <v>Returning</v>
      </c>
    </row>
    <row r="4023" spans="1:15" x14ac:dyDescent="0.25">
      <c r="A4023">
        <v>4022</v>
      </c>
      <c r="B4023">
        <v>28</v>
      </c>
      <c r="C4023" t="s">
        <v>11</v>
      </c>
      <c r="D4023" t="s">
        <v>29</v>
      </c>
      <c r="E4023" t="s">
        <v>55</v>
      </c>
      <c r="F4023" s="1">
        <v>132.91</v>
      </c>
      <c r="G4023" t="s">
        <v>19</v>
      </c>
      <c r="H4023" t="s">
        <v>15</v>
      </c>
      <c r="I4023" s="2">
        <v>3.4</v>
      </c>
      <c r="J4023" s="4">
        <v>10</v>
      </c>
      <c r="K4023" s="3">
        <v>5</v>
      </c>
      <c r="L4023" s="1">
        <f t="shared" si="186"/>
        <v>119.619</v>
      </c>
      <c r="M4023" t="str" cm="1">
        <f t="array" ref="M4023">_xlfn.IFS(B4023&lt;18,"Under 18",B4023 &lt;=25,"18-25",B4023&lt;=35,"26-35",B4023&lt;=45,"36-45",B4023&lt;=60,"46-60",TRUE,"60+")</f>
        <v>26-35</v>
      </c>
      <c r="N4023" t="str">
        <f t="shared" si="187"/>
        <v>Discounted</v>
      </c>
      <c r="O4023" t="str">
        <f t="shared" si="188"/>
        <v>Returning</v>
      </c>
    </row>
    <row r="4024" spans="1:15" x14ac:dyDescent="0.25">
      <c r="A4024">
        <v>4023</v>
      </c>
      <c r="B4024">
        <v>54</v>
      </c>
      <c r="C4024" t="s">
        <v>11</v>
      </c>
      <c r="D4024" t="s">
        <v>41</v>
      </c>
      <c r="E4024" t="s">
        <v>42</v>
      </c>
      <c r="F4024" s="1">
        <v>41.9</v>
      </c>
      <c r="G4024" t="s">
        <v>19</v>
      </c>
      <c r="H4024" t="s">
        <v>37</v>
      </c>
      <c r="I4024" s="2">
        <v>3.3</v>
      </c>
      <c r="J4024" s="4">
        <v>14</v>
      </c>
      <c r="K4024" s="3">
        <v>2</v>
      </c>
      <c r="L4024" s="1">
        <f t="shared" si="186"/>
        <v>36.033999999999999</v>
      </c>
      <c r="M4024" t="str" cm="1">
        <f t="array" ref="M4024">_xlfn.IFS(B4024&lt;18,"Under 18",B4024 &lt;=25,"18-25",B4024&lt;=35,"26-35",B4024&lt;=45,"36-45",B4024&lt;=60,"46-60",TRUE,"60+")</f>
        <v>46-60</v>
      </c>
      <c r="N4024" t="str">
        <f t="shared" si="187"/>
        <v>Discounted</v>
      </c>
      <c r="O4024" t="str">
        <f t="shared" si="188"/>
        <v>Returning</v>
      </c>
    </row>
    <row r="4025" spans="1:15" x14ac:dyDescent="0.25">
      <c r="A4025">
        <v>4024</v>
      </c>
      <c r="B4025">
        <v>62</v>
      </c>
      <c r="C4025" t="s">
        <v>16</v>
      </c>
      <c r="D4025" t="s">
        <v>33</v>
      </c>
      <c r="E4025" t="s">
        <v>34</v>
      </c>
      <c r="F4025" s="1">
        <v>237.74</v>
      </c>
      <c r="G4025" t="s">
        <v>19</v>
      </c>
      <c r="H4025" t="s">
        <v>15</v>
      </c>
      <c r="I4025" s="2">
        <v>3.1</v>
      </c>
      <c r="J4025" s="4">
        <v>16</v>
      </c>
      <c r="K4025" s="3">
        <v>8</v>
      </c>
      <c r="L4025" s="1">
        <f t="shared" si="186"/>
        <v>199.70160000000001</v>
      </c>
      <c r="M4025" t="str" cm="1">
        <f t="array" ref="M4025">_xlfn.IFS(B4025&lt;18,"Under 18",B4025 &lt;=25,"18-25",B4025&lt;=35,"26-35",B4025&lt;=45,"36-45",B4025&lt;=60,"46-60",TRUE,"60+")</f>
        <v>60+</v>
      </c>
      <c r="N4025" t="str">
        <f t="shared" si="187"/>
        <v>Discounted</v>
      </c>
      <c r="O4025" t="str">
        <f t="shared" si="188"/>
        <v>Returning</v>
      </c>
    </row>
    <row r="4026" spans="1:15" x14ac:dyDescent="0.25">
      <c r="A4026">
        <v>4025</v>
      </c>
      <c r="B4026">
        <v>66</v>
      </c>
      <c r="C4026" t="s">
        <v>11</v>
      </c>
      <c r="D4026" t="s">
        <v>29</v>
      </c>
      <c r="E4026" t="s">
        <v>55</v>
      </c>
      <c r="F4026" s="1">
        <v>66.59</v>
      </c>
      <c r="G4026" t="s">
        <v>14</v>
      </c>
      <c r="H4026" t="s">
        <v>15</v>
      </c>
      <c r="I4026" s="2">
        <v>3.4</v>
      </c>
      <c r="J4026" s="4">
        <v>22</v>
      </c>
      <c r="K4026" s="3">
        <v>6</v>
      </c>
      <c r="L4026" s="1">
        <f t="shared" si="186"/>
        <v>51.940200000000004</v>
      </c>
      <c r="M4026" t="str" cm="1">
        <f t="array" ref="M4026">_xlfn.IFS(B4026&lt;18,"Under 18",B4026 &lt;=25,"18-25",B4026&lt;=35,"26-35",B4026&lt;=45,"36-45",B4026&lt;=60,"46-60",TRUE,"60+")</f>
        <v>60+</v>
      </c>
      <c r="N4026" t="str">
        <f t="shared" si="187"/>
        <v>Discounted</v>
      </c>
      <c r="O4026" t="str">
        <f t="shared" si="188"/>
        <v>Returning</v>
      </c>
    </row>
    <row r="4027" spans="1:15" x14ac:dyDescent="0.25">
      <c r="A4027">
        <v>4026</v>
      </c>
      <c r="B4027">
        <v>35</v>
      </c>
      <c r="C4027" t="s">
        <v>11</v>
      </c>
      <c r="D4027" t="s">
        <v>20</v>
      </c>
      <c r="E4027" t="s">
        <v>39</v>
      </c>
      <c r="F4027" s="1">
        <v>127.31</v>
      </c>
      <c r="G4027" t="s">
        <v>14</v>
      </c>
      <c r="H4027" t="s">
        <v>15</v>
      </c>
      <c r="I4027" s="2">
        <v>3.1</v>
      </c>
      <c r="J4027" s="4">
        <v>17</v>
      </c>
      <c r="K4027" s="3">
        <v>6</v>
      </c>
      <c r="L4027" s="1">
        <f t="shared" si="186"/>
        <v>105.6673</v>
      </c>
      <c r="M4027" t="str" cm="1">
        <f t="array" ref="M4027">_xlfn.IFS(B4027&lt;18,"Under 18",B4027 &lt;=25,"18-25",B4027&lt;=35,"26-35",B4027&lt;=45,"36-45",B4027&lt;=60,"46-60",TRUE,"60+")</f>
        <v>26-35</v>
      </c>
      <c r="N4027" t="str">
        <f t="shared" si="187"/>
        <v>Discounted</v>
      </c>
      <c r="O4027" t="str">
        <f t="shared" si="188"/>
        <v>Returning</v>
      </c>
    </row>
    <row r="4028" spans="1:15" x14ac:dyDescent="0.25">
      <c r="A4028">
        <v>4027</v>
      </c>
      <c r="B4028">
        <v>59</v>
      </c>
      <c r="C4028" t="s">
        <v>11</v>
      </c>
      <c r="D4028" t="s">
        <v>22</v>
      </c>
      <c r="E4028" t="s">
        <v>23</v>
      </c>
      <c r="F4028" s="1">
        <v>123.5</v>
      </c>
      <c r="G4028" t="s">
        <v>31</v>
      </c>
      <c r="H4028" t="s">
        <v>15</v>
      </c>
      <c r="I4028" s="2">
        <v>3.3</v>
      </c>
      <c r="J4028" s="4">
        <v>22</v>
      </c>
      <c r="K4028" s="3">
        <v>11</v>
      </c>
      <c r="L4028" s="1">
        <f t="shared" si="186"/>
        <v>96.33</v>
      </c>
      <c r="M4028" t="str" cm="1">
        <f t="array" ref="M4028">_xlfn.IFS(B4028&lt;18,"Under 18",B4028 &lt;=25,"18-25",B4028&lt;=35,"26-35",B4028&lt;=45,"36-45",B4028&lt;=60,"46-60",TRUE,"60+")</f>
        <v>46-60</v>
      </c>
      <c r="N4028" t="str">
        <f t="shared" si="187"/>
        <v>Discounted</v>
      </c>
      <c r="O4028" t="str">
        <f t="shared" si="188"/>
        <v>Returning</v>
      </c>
    </row>
    <row r="4029" spans="1:15" x14ac:dyDescent="0.25">
      <c r="A4029">
        <v>4028</v>
      </c>
      <c r="B4029">
        <v>65</v>
      </c>
      <c r="C4029" t="s">
        <v>11</v>
      </c>
      <c r="D4029" t="s">
        <v>33</v>
      </c>
      <c r="E4029" t="s">
        <v>38</v>
      </c>
      <c r="F4029" s="1">
        <v>187.64</v>
      </c>
      <c r="G4029" t="s">
        <v>31</v>
      </c>
      <c r="H4029" t="s">
        <v>15</v>
      </c>
      <c r="I4029" s="2">
        <v>4.0999999999999996</v>
      </c>
      <c r="J4029" s="4">
        <v>26</v>
      </c>
      <c r="K4029" s="3">
        <v>8</v>
      </c>
      <c r="L4029" s="1">
        <f t="shared" si="186"/>
        <v>138.8536</v>
      </c>
      <c r="M4029" t="str" cm="1">
        <f t="array" ref="M4029">_xlfn.IFS(B4029&lt;18,"Under 18",B4029 &lt;=25,"18-25",B4029&lt;=35,"26-35",B4029&lt;=45,"36-45",B4029&lt;=60,"46-60",TRUE,"60+")</f>
        <v>60+</v>
      </c>
      <c r="N4029" t="str">
        <f t="shared" si="187"/>
        <v>Discounted</v>
      </c>
      <c r="O4029" t="str">
        <f t="shared" si="188"/>
        <v>Returning</v>
      </c>
    </row>
    <row r="4030" spans="1:15" x14ac:dyDescent="0.25">
      <c r="A4030">
        <v>4029</v>
      </c>
      <c r="B4030">
        <v>33</v>
      </c>
      <c r="C4030" t="s">
        <v>16</v>
      </c>
      <c r="D4030" t="s">
        <v>33</v>
      </c>
      <c r="E4030" t="s">
        <v>40</v>
      </c>
      <c r="F4030" s="1">
        <v>156.02000000000001</v>
      </c>
      <c r="G4030" t="s">
        <v>19</v>
      </c>
      <c r="H4030" t="s">
        <v>15</v>
      </c>
      <c r="I4030" s="2">
        <v>4.5999999999999996</v>
      </c>
      <c r="J4030" s="4">
        <v>13</v>
      </c>
      <c r="K4030" s="3">
        <v>4</v>
      </c>
      <c r="L4030" s="1">
        <f t="shared" si="186"/>
        <v>135.73740000000001</v>
      </c>
      <c r="M4030" t="str" cm="1">
        <f t="array" ref="M4030">_xlfn.IFS(B4030&lt;18,"Under 18",B4030 &lt;=25,"18-25",B4030&lt;=35,"26-35",B4030&lt;=45,"36-45",B4030&lt;=60,"46-60",TRUE,"60+")</f>
        <v>26-35</v>
      </c>
      <c r="N4030" t="str">
        <f t="shared" si="187"/>
        <v>Discounted</v>
      </c>
      <c r="O4030" t="str">
        <f t="shared" si="188"/>
        <v>Returning</v>
      </c>
    </row>
    <row r="4031" spans="1:15" x14ac:dyDescent="0.25">
      <c r="A4031">
        <v>4030</v>
      </c>
      <c r="B4031">
        <v>37</v>
      </c>
      <c r="C4031" t="s">
        <v>11</v>
      </c>
      <c r="D4031" t="s">
        <v>29</v>
      </c>
      <c r="E4031" t="s">
        <v>30</v>
      </c>
      <c r="F4031" s="1">
        <v>21.66</v>
      </c>
      <c r="G4031" t="s">
        <v>24</v>
      </c>
      <c r="H4031" t="s">
        <v>15</v>
      </c>
      <c r="I4031" s="2">
        <v>2.9</v>
      </c>
      <c r="J4031" s="4">
        <v>10</v>
      </c>
      <c r="K4031" s="3">
        <v>5</v>
      </c>
      <c r="L4031" s="1">
        <f t="shared" si="186"/>
        <v>19.494</v>
      </c>
      <c r="M4031" t="str" cm="1">
        <f t="array" ref="M4031">_xlfn.IFS(B4031&lt;18,"Under 18",B4031 &lt;=25,"18-25",B4031&lt;=35,"26-35",B4031&lt;=45,"36-45",B4031&lt;=60,"46-60",TRUE,"60+")</f>
        <v>36-45</v>
      </c>
      <c r="N4031" t="str">
        <f t="shared" si="187"/>
        <v>Discounted</v>
      </c>
      <c r="O4031" t="str">
        <f t="shared" si="188"/>
        <v>Returning</v>
      </c>
    </row>
    <row r="4032" spans="1:15" x14ac:dyDescent="0.25">
      <c r="A4032">
        <v>4031</v>
      </c>
      <c r="B4032">
        <v>66</v>
      </c>
      <c r="C4032" t="s">
        <v>11</v>
      </c>
      <c r="D4032" t="s">
        <v>12</v>
      </c>
      <c r="E4032" t="s">
        <v>50</v>
      </c>
      <c r="F4032" s="1">
        <v>155.30000000000001</v>
      </c>
      <c r="G4032" t="s">
        <v>14</v>
      </c>
      <c r="H4032" t="s">
        <v>15</v>
      </c>
      <c r="I4032" s="2">
        <v>2.8</v>
      </c>
      <c r="J4032" s="4">
        <v>10</v>
      </c>
      <c r="K4032" s="3">
        <v>5</v>
      </c>
      <c r="L4032" s="1">
        <f t="shared" si="186"/>
        <v>139.77000000000001</v>
      </c>
      <c r="M4032" t="str" cm="1">
        <f t="array" ref="M4032">_xlfn.IFS(B4032&lt;18,"Under 18",B4032 &lt;=25,"18-25",B4032&lt;=35,"26-35",B4032&lt;=45,"36-45",B4032&lt;=60,"46-60",TRUE,"60+")</f>
        <v>60+</v>
      </c>
      <c r="N4032" t="str">
        <f t="shared" si="187"/>
        <v>Discounted</v>
      </c>
      <c r="O4032" t="str">
        <f t="shared" si="188"/>
        <v>Returning</v>
      </c>
    </row>
    <row r="4033" spans="1:15" x14ac:dyDescent="0.25">
      <c r="A4033">
        <v>4032</v>
      </c>
      <c r="B4033">
        <v>62</v>
      </c>
      <c r="C4033" t="s">
        <v>11</v>
      </c>
      <c r="D4033" t="s">
        <v>33</v>
      </c>
      <c r="E4033" t="s">
        <v>40</v>
      </c>
      <c r="F4033" s="1">
        <v>112.89</v>
      </c>
      <c r="G4033" t="s">
        <v>19</v>
      </c>
      <c r="H4033" t="s">
        <v>15</v>
      </c>
      <c r="I4033" s="2">
        <v>3.8</v>
      </c>
      <c r="J4033" s="4">
        <v>20</v>
      </c>
      <c r="K4033" s="3">
        <v>10</v>
      </c>
      <c r="L4033" s="1">
        <f t="shared" si="186"/>
        <v>90.312000000000012</v>
      </c>
      <c r="M4033" t="str" cm="1">
        <f t="array" ref="M4033">_xlfn.IFS(B4033&lt;18,"Under 18",B4033 &lt;=25,"18-25",B4033&lt;=35,"26-35",B4033&lt;=45,"36-45",B4033&lt;=60,"46-60",TRUE,"60+")</f>
        <v>60+</v>
      </c>
      <c r="N4033" t="str">
        <f t="shared" si="187"/>
        <v>Discounted</v>
      </c>
      <c r="O4033" t="str">
        <f t="shared" si="188"/>
        <v>Returning</v>
      </c>
    </row>
    <row r="4034" spans="1:15" x14ac:dyDescent="0.25">
      <c r="A4034">
        <v>4033</v>
      </c>
      <c r="B4034">
        <v>22</v>
      </c>
      <c r="C4034" t="s">
        <v>11</v>
      </c>
      <c r="D4034" t="s">
        <v>12</v>
      </c>
      <c r="E4034" t="s">
        <v>13</v>
      </c>
      <c r="F4034" s="1">
        <v>66.64</v>
      </c>
      <c r="G4034" t="s">
        <v>24</v>
      </c>
      <c r="H4034" t="s">
        <v>37</v>
      </c>
      <c r="I4034" s="2">
        <v>3</v>
      </c>
      <c r="J4034" s="4">
        <v>15</v>
      </c>
      <c r="K4034" s="3">
        <v>5</v>
      </c>
      <c r="L4034" s="1">
        <f t="shared" si="186"/>
        <v>56.643999999999998</v>
      </c>
      <c r="M4034" t="str" cm="1">
        <f t="array" ref="M4034">_xlfn.IFS(B4034&lt;18,"Under 18",B4034 &lt;=25,"18-25",B4034&lt;=35,"26-35",B4034&lt;=45,"36-45",B4034&lt;=60,"46-60",TRUE,"60+")</f>
        <v>18-25</v>
      </c>
      <c r="N4034" t="str">
        <f t="shared" si="187"/>
        <v>Discounted</v>
      </c>
      <c r="O4034" t="str">
        <f t="shared" si="188"/>
        <v>Returning</v>
      </c>
    </row>
    <row r="4035" spans="1:15" x14ac:dyDescent="0.25">
      <c r="A4035">
        <v>4034</v>
      </c>
      <c r="B4035">
        <v>29</v>
      </c>
      <c r="C4035" t="s">
        <v>16</v>
      </c>
      <c r="D4035" t="s">
        <v>33</v>
      </c>
      <c r="E4035" t="s">
        <v>38</v>
      </c>
      <c r="F4035" s="1">
        <v>139.43</v>
      </c>
      <c r="G4035" t="s">
        <v>19</v>
      </c>
      <c r="H4035" t="s">
        <v>15</v>
      </c>
      <c r="I4035" s="2">
        <v>3.3</v>
      </c>
      <c r="J4035" s="4">
        <v>13</v>
      </c>
      <c r="K4035" s="3">
        <v>4</v>
      </c>
      <c r="L4035" s="1">
        <f t="shared" ref="L4035:L4098" si="189">F4035 * (1 - J4035 / 100)</f>
        <v>121.30410000000001</v>
      </c>
      <c r="M4035" t="str" cm="1">
        <f t="array" ref="M4035">_xlfn.IFS(B4035&lt;18,"Under 18",B4035 &lt;=25,"18-25",B4035&lt;=35,"26-35",B4035&lt;=45,"36-45",B4035&lt;=60,"46-60",TRUE,"60+")</f>
        <v>26-35</v>
      </c>
      <c r="N4035" t="str">
        <f t="shared" ref="N4035:N4098" si="190">IF(J4035&gt;0,"Discounted","No Discount")</f>
        <v>Discounted</v>
      </c>
      <c r="O4035" t="str">
        <f t="shared" ref="O4035:O4098" si="191">IF(K4035&gt;0,"Returning","New")</f>
        <v>Returning</v>
      </c>
    </row>
    <row r="4036" spans="1:15" x14ac:dyDescent="0.25">
      <c r="A4036">
        <v>4035</v>
      </c>
      <c r="B4036">
        <v>52</v>
      </c>
      <c r="C4036" t="s">
        <v>11</v>
      </c>
      <c r="D4036" t="s">
        <v>29</v>
      </c>
      <c r="E4036" t="s">
        <v>55</v>
      </c>
      <c r="F4036" s="1">
        <v>106.44</v>
      </c>
      <c r="G4036" t="s">
        <v>31</v>
      </c>
      <c r="H4036" t="s">
        <v>15</v>
      </c>
      <c r="I4036" s="2">
        <v>4.5</v>
      </c>
      <c r="J4036" s="4">
        <v>18</v>
      </c>
      <c r="K4036" s="3">
        <v>4</v>
      </c>
      <c r="L4036" s="1">
        <f t="shared" si="189"/>
        <v>87.280799999999999</v>
      </c>
      <c r="M4036" t="str" cm="1">
        <f t="array" ref="M4036">_xlfn.IFS(B4036&lt;18,"Under 18",B4036 &lt;=25,"18-25",B4036&lt;=35,"26-35",B4036&lt;=45,"36-45",B4036&lt;=60,"46-60",TRUE,"60+")</f>
        <v>46-60</v>
      </c>
      <c r="N4036" t="str">
        <f t="shared" si="190"/>
        <v>Discounted</v>
      </c>
      <c r="O4036" t="str">
        <f t="shared" si="191"/>
        <v>Returning</v>
      </c>
    </row>
    <row r="4037" spans="1:15" x14ac:dyDescent="0.25">
      <c r="A4037">
        <v>4036</v>
      </c>
      <c r="B4037">
        <v>47</v>
      </c>
      <c r="C4037" t="s">
        <v>11</v>
      </c>
      <c r="D4037" t="s">
        <v>41</v>
      </c>
      <c r="E4037" t="s">
        <v>45</v>
      </c>
      <c r="F4037" s="1">
        <v>79.709999999999994</v>
      </c>
      <c r="G4037" t="s">
        <v>14</v>
      </c>
      <c r="H4037" t="s">
        <v>37</v>
      </c>
      <c r="I4037" s="2">
        <v>3.3</v>
      </c>
      <c r="J4037" s="4">
        <v>6</v>
      </c>
      <c r="K4037" s="3">
        <v>3</v>
      </c>
      <c r="L4037" s="1">
        <f t="shared" si="189"/>
        <v>74.927399999999992</v>
      </c>
      <c r="M4037" t="str" cm="1">
        <f t="array" ref="M4037">_xlfn.IFS(B4037&lt;18,"Under 18",B4037 &lt;=25,"18-25",B4037&lt;=35,"26-35",B4037&lt;=45,"36-45",B4037&lt;=60,"46-60",TRUE,"60+")</f>
        <v>46-60</v>
      </c>
      <c r="N4037" t="str">
        <f t="shared" si="190"/>
        <v>Discounted</v>
      </c>
      <c r="O4037" t="str">
        <f t="shared" si="191"/>
        <v>Returning</v>
      </c>
    </row>
    <row r="4038" spans="1:15" x14ac:dyDescent="0.25">
      <c r="A4038">
        <v>4037</v>
      </c>
      <c r="B4038">
        <v>67</v>
      </c>
      <c r="C4038" t="s">
        <v>16</v>
      </c>
      <c r="D4038" t="s">
        <v>17</v>
      </c>
      <c r="E4038" t="s">
        <v>35</v>
      </c>
      <c r="F4038" s="1">
        <v>188.64</v>
      </c>
      <c r="G4038" t="s">
        <v>24</v>
      </c>
      <c r="H4038" t="s">
        <v>15</v>
      </c>
      <c r="I4038" s="2">
        <v>4.5</v>
      </c>
      <c r="J4038" s="4">
        <v>20</v>
      </c>
      <c r="K4038" s="3">
        <v>5</v>
      </c>
      <c r="L4038" s="1">
        <f t="shared" si="189"/>
        <v>150.91200000000001</v>
      </c>
      <c r="M4038" t="str" cm="1">
        <f t="array" ref="M4038">_xlfn.IFS(B4038&lt;18,"Under 18",B4038 &lt;=25,"18-25",B4038&lt;=35,"26-35",B4038&lt;=45,"36-45",B4038&lt;=60,"46-60",TRUE,"60+")</f>
        <v>60+</v>
      </c>
      <c r="N4038" t="str">
        <f t="shared" si="190"/>
        <v>Discounted</v>
      </c>
      <c r="O4038" t="str">
        <f t="shared" si="191"/>
        <v>Returning</v>
      </c>
    </row>
    <row r="4039" spans="1:15" x14ac:dyDescent="0.25">
      <c r="A4039">
        <v>4038</v>
      </c>
      <c r="B4039">
        <v>34</v>
      </c>
      <c r="C4039" t="s">
        <v>16</v>
      </c>
      <c r="D4039" t="s">
        <v>22</v>
      </c>
      <c r="E4039" t="s">
        <v>52</v>
      </c>
      <c r="F4039" s="1">
        <v>136.71</v>
      </c>
      <c r="G4039" t="s">
        <v>24</v>
      </c>
      <c r="H4039" t="s">
        <v>15</v>
      </c>
      <c r="I4039" s="2">
        <v>4</v>
      </c>
      <c r="J4039" s="4">
        <v>14</v>
      </c>
      <c r="K4039" s="3">
        <v>7</v>
      </c>
      <c r="L4039" s="1">
        <f t="shared" si="189"/>
        <v>117.5706</v>
      </c>
      <c r="M4039" t="str" cm="1">
        <f t="array" ref="M4039">_xlfn.IFS(B4039&lt;18,"Under 18",B4039 &lt;=25,"18-25",B4039&lt;=35,"26-35",B4039&lt;=45,"36-45",B4039&lt;=60,"46-60",TRUE,"60+")</f>
        <v>26-35</v>
      </c>
      <c r="N4039" t="str">
        <f t="shared" si="190"/>
        <v>Discounted</v>
      </c>
      <c r="O4039" t="str">
        <f t="shared" si="191"/>
        <v>Returning</v>
      </c>
    </row>
    <row r="4040" spans="1:15" x14ac:dyDescent="0.25">
      <c r="A4040">
        <v>4039</v>
      </c>
      <c r="B4040">
        <v>42</v>
      </c>
      <c r="C4040" t="s">
        <v>11</v>
      </c>
      <c r="D4040" t="s">
        <v>33</v>
      </c>
      <c r="E4040" t="s">
        <v>34</v>
      </c>
      <c r="F4040" s="1">
        <v>211.73</v>
      </c>
      <c r="G4040" t="s">
        <v>24</v>
      </c>
      <c r="H4040" t="s">
        <v>15</v>
      </c>
      <c r="I4040" s="2">
        <v>4.5999999999999996</v>
      </c>
      <c r="J4040" s="4">
        <v>17</v>
      </c>
      <c r="K4040" s="3">
        <v>6</v>
      </c>
      <c r="L4040" s="1">
        <f t="shared" si="189"/>
        <v>175.73589999999999</v>
      </c>
      <c r="M4040" t="str" cm="1">
        <f t="array" ref="M4040">_xlfn.IFS(B4040&lt;18,"Under 18",B4040 &lt;=25,"18-25",B4040&lt;=35,"26-35",B4040&lt;=45,"36-45",B4040&lt;=60,"46-60",TRUE,"60+")</f>
        <v>36-45</v>
      </c>
      <c r="N4040" t="str">
        <f t="shared" si="190"/>
        <v>Discounted</v>
      </c>
      <c r="O4040" t="str">
        <f t="shared" si="191"/>
        <v>Returning</v>
      </c>
    </row>
    <row r="4041" spans="1:15" x14ac:dyDescent="0.25">
      <c r="A4041">
        <v>4040</v>
      </c>
      <c r="B4041">
        <v>51</v>
      </c>
      <c r="C4041" t="s">
        <v>11</v>
      </c>
      <c r="D4041" t="s">
        <v>29</v>
      </c>
      <c r="E4041" t="s">
        <v>55</v>
      </c>
      <c r="F4041" s="1">
        <v>86.9</v>
      </c>
      <c r="G4041" t="s">
        <v>31</v>
      </c>
      <c r="H4041" t="s">
        <v>15</v>
      </c>
      <c r="I4041" s="2">
        <v>4</v>
      </c>
      <c r="J4041" s="4">
        <v>16</v>
      </c>
      <c r="K4041" s="3">
        <v>8</v>
      </c>
      <c r="L4041" s="1">
        <f t="shared" si="189"/>
        <v>72.995999999999995</v>
      </c>
      <c r="M4041" t="str" cm="1">
        <f t="array" ref="M4041">_xlfn.IFS(B4041&lt;18,"Under 18",B4041 &lt;=25,"18-25",B4041&lt;=35,"26-35",B4041&lt;=45,"36-45",B4041&lt;=60,"46-60",TRUE,"60+")</f>
        <v>46-60</v>
      </c>
      <c r="N4041" t="str">
        <f t="shared" si="190"/>
        <v>Discounted</v>
      </c>
      <c r="O4041" t="str">
        <f t="shared" si="191"/>
        <v>Returning</v>
      </c>
    </row>
    <row r="4042" spans="1:15" x14ac:dyDescent="0.25">
      <c r="A4042">
        <v>4041</v>
      </c>
      <c r="B4042">
        <v>51</v>
      </c>
      <c r="C4042" t="s">
        <v>11</v>
      </c>
      <c r="D4042" t="s">
        <v>33</v>
      </c>
      <c r="E4042" t="s">
        <v>40</v>
      </c>
      <c r="F4042" s="1">
        <v>80.319999999999993</v>
      </c>
      <c r="G4042" t="s">
        <v>31</v>
      </c>
      <c r="H4042" t="s">
        <v>37</v>
      </c>
      <c r="I4042" s="2">
        <v>4</v>
      </c>
      <c r="J4042" s="4">
        <v>25</v>
      </c>
      <c r="K4042" s="3">
        <v>10</v>
      </c>
      <c r="L4042" s="1">
        <f t="shared" si="189"/>
        <v>60.239999999999995</v>
      </c>
      <c r="M4042" t="str" cm="1">
        <f t="array" ref="M4042">_xlfn.IFS(B4042&lt;18,"Under 18",B4042 &lt;=25,"18-25",B4042&lt;=35,"26-35",B4042&lt;=45,"36-45",B4042&lt;=60,"46-60",TRUE,"60+")</f>
        <v>46-60</v>
      </c>
      <c r="N4042" t="str">
        <f t="shared" si="190"/>
        <v>Discounted</v>
      </c>
      <c r="O4042" t="str">
        <f t="shared" si="191"/>
        <v>Returning</v>
      </c>
    </row>
    <row r="4043" spans="1:15" x14ac:dyDescent="0.25">
      <c r="A4043">
        <v>4042</v>
      </c>
      <c r="B4043">
        <v>50</v>
      </c>
      <c r="C4043" t="s">
        <v>11</v>
      </c>
      <c r="D4043" t="s">
        <v>41</v>
      </c>
      <c r="E4043" t="s">
        <v>46</v>
      </c>
      <c r="F4043" s="1">
        <v>110.41</v>
      </c>
      <c r="G4043" t="s">
        <v>24</v>
      </c>
      <c r="H4043" t="s">
        <v>15</v>
      </c>
      <c r="I4043" s="2">
        <v>3</v>
      </c>
      <c r="J4043" s="4">
        <v>17</v>
      </c>
      <c r="K4043" s="3">
        <v>6</v>
      </c>
      <c r="L4043" s="1">
        <f t="shared" si="189"/>
        <v>91.640299999999996</v>
      </c>
      <c r="M4043" t="str" cm="1">
        <f t="array" ref="M4043">_xlfn.IFS(B4043&lt;18,"Under 18",B4043 &lt;=25,"18-25",B4043&lt;=35,"26-35",B4043&lt;=45,"36-45",B4043&lt;=60,"46-60",TRUE,"60+")</f>
        <v>46-60</v>
      </c>
      <c r="N4043" t="str">
        <f t="shared" si="190"/>
        <v>Discounted</v>
      </c>
      <c r="O4043" t="str">
        <f t="shared" si="191"/>
        <v>Returning</v>
      </c>
    </row>
    <row r="4044" spans="1:15" x14ac:dyDescent="0.25">
      <c r="A4044">
        <v>4043</v>
      </c>
      <c r="B4044">
        <v>62</v>
      </c>
      <c r="C4044" t="s">
        <v>11</v>
      </c>
      <c r="D4044" t="s">
        <v>12</v>
      </c>
      <c r="E4044" t="s">
        <v>56</v>
      </c>
      <c r="F4044" s="1">
        <v>173.41</v>
      </c>
      <c r="G4044" t="s">
        <v>24</v>
      </c>
      <c r="H4044" t="s">
        <v>15</v>
      </c>
      <c r="I4044" s="2">
        <v>3.9</v>
      </c>
      <c r="J4044" s="4">
        <v>13</v>
      </c>
      <c r="K4044" s="3">
        <v>4</v>
      </c>
      <c r="L4044" s="1">
        <f t="shared" si="189"/>
        <v>150.86670000000001</v>
      </c>
      <c r="M4044" t="str" cm="1">
        <f t="array" ref="M4044">_xlfn.IFS(B4044&lt;18,"Under 18",B4044 &lt;=25,"18-25",B4044&lt;=35,"26-35",B4044&lt;=45,"36-45",B4044&lt;=60,"46-60",TRUE,"60+")</f>
        <v>60+</v>
      </c>
      <c r="N4044" t="str">
        <f t="shared" si="190"/>
        <v>Discounted</v>
      </c>
      <c r="O4044" t="str">
        <f t="shared" si="191"/>
        <v>Returning</v>
      </c>
    </row>
    <row r="4045" spans="1:15" x14ac:dyDescent="0.25">
      <c r="A4045">
        <v>4044</v>
      </c>
      <c r="B4045">
        <v>41</v>
      </c>
      <c r="C4045" t="s">
        <v>16</v>
      </c>
      <c r="D4045" t="s">
        <v>33</v>
      </c>
      <c r="E4045" t="s">
        <v>34</v>
      </c>
      <c r="F4045" s="1">
        <v>227.74</v>
      </c>
      <c r="G4045" t="s">
        <v>24</v>
      </c>
      <c r="H4045" t="s">
        <v>15</v>
      </c>
      <c r="I4045" s="2">
        <v>3.6</v>
      </c>
      <c r="J4045" s="4">
        <v>8</v>
      </c>
      <c r="K4045" s="3">
        <v>4</v>
      </c>
      <c r="L4045" s="1">
        <f t="shared" si="189"/>
        <v>209.52080000000001</v>
      </c>
      <c r="M4045" t="str" cm="1">
        <f t="array" ref="M4045">_xlfn.IFS(B4045&lt;18,"Under 18",B4045 &lt;=25,"18-25",B4045&lt;=35,"26-35",B4045&lt;=45,"36-45",B4045&lt;=60,"46-60",TRUE,"60+")</f>
        <v>36-45</v>
      </c>
      <c r="N4045" t="str">
        <f t="shared" si="190"/>
        <v>Discounted</v>
      </c>
      <c r="O4045" t="str">
        <f t="shared" si="191"/>
        <v>Returning</v>
      </c>
    </row>
    <row r="4046" spans="1:15" x14ac:dyDescent="0.25">
      <c r="A4046">
        <v>4045</v>
      </c>
      <c r="B4046">
        <v>59</v>
      </c>
      <c r="C4046" t="s">
        <v>16</v>
      </c>
      <c r="D4046" t="s">
        <v>20</v>
      </c>
      <c r="E4046" t="s">
        <v>36</v>
      </c>
      <c r="F4046" s="1">
        <v>63.64</v>
      </c>
      <c r="G4046" t="s">
        <v>24</v>
      </c>
      <c r="H4046" t="s">
        <v>37</v>
      </c>
      <c r="I4046" s="2">
        <v>3.9</v>
      </c>
      <c r="J4046" s="4">
        <v>22</v>
      </c>
      <c r="K4046" s="3">
        <v>6</v>
      </c>
      <c r="L4046" s="1">
        <f t="shared" si="189"/>
        <v>49.639200000000002</v>
      </c>
      <c r="M4046" t="str" cm="1">
        <f t="array" ref="M4046">_xlfn.IFS(B4046&lt;18,"Under 18",B4046 &lt;=25,"18-25",B4046&lt;=35,"26-35",B4046&lt;=45,"36-45",B4046&lt;=60,"46-60",TRUE,"60+")</f>
        <v>46-60</v>
      </c>
      <c r="N4046" t="str">
        <f t="shared" si="190"/>
        <v>Discounted</v>
      </c>
      <c r="O4046" t="str">
        <f t="shared" si="191"/>
        <v>Returning</v>
      </c>
    </row>
    <row r="4047" spans="1:15" x14ac:dyDescent="0.25">
      <c r="A4047">
        <v>4046</v>
      </c>
      <c r="B4047">
        <v>39</v>
      </c>
      <c r="C4047" t="s">
        <v>16</v>
      </c>
      <c r="D4047" t="s">
        <v>27</v>
      </c>
      <c r="E4047" t="s">
        <v>53</v>
      </c>
      <c r="F4047" s="1">
        <v>2936.44</v>
      </c>
      <c r="G4047" t="s">
        <v>19</v>
      </c>
      <c r="H4047" t="s">
        <v>15</v>
      </c>
      <c r="I4047" s="2">
        <v>4.3</v>
      </c>
      <c r="J4047" s="4">
        <v>9</v>
      </c>
      <c r="K4047" s="3">
        <v>2</v>
      </c>
      <c r="L4047" s="1">
        <f t="shared" si="189"/>
        <v>2672.1604000000002</v>
      </c>
      <c r="M4047" t="str" cm="1">
        <f t="array" ref="M4047">_xlfn.IFS(B4047&lt;18,"Under 18",B4047 &lt;=25,"18-25",B4047&lt;=35,"26-35",B4047&lt;=45,"36-45",B4047&lt;=60,"46-60",TRUE,"60+")</f>
        <v>36-45</v>
      </c>
      <c r="N4047" t="str">
        <f t="shared" si="190"/>
        <v>Discounted</v>
      </c>
      <c r="O4047" t="str">
        <f t="shared" si="191"/>
        <v>Returning</v>
      </c>
    </row>
    <row r="4048" spans="1:15" x14ac:dyDescent="0.25">
      <c r="A4048">
        <v>4047</v>
      </c>
      <c r="B4048">
        <v>48</v>
      </c>
      <c r="C4048" t="s">
        <v>11</v>
      </c>
      <c r="D4048" t="s">
        <v>41</v>
      </c>
      <c r="E4048" t="s">
        <v>46</v>
      </c>
      <c r="F4048" s="1">
        <v>85.77</v>
      </c>
      <c r="G4048" t="s">
        <v>14</v>
      </c>
      <c r="H4048" t="s">
        <v>37</v>
      </c>
      <c r="I4048" s="2">
        <v>4.2</v>
      </c>
      <c r="J4048" s="4">
        <v>15</v>
      </c>
      <c r="K4048" s="3">
        <v>5</v>
      </c>
      <c r="L4048" s="1">
        <f t="shared" si="189"/>
        <v>72.904499999999999</v>
      </c>
      <c r="M4048" t="str" cm="1">
        <f t="array" ref="M4048">_xlfn.IFS(B4048&lt;18,"Under 18",B4048 &lt;=25,"18-25",B4048&lt;=35,"26-35",B4048&lt;=45,"36-45",B4048&lt;=60,"46-60",TRUE,"60+")</f>
        <v>46-60</v>
      </c>
      <c r="N4048" t="str">
        <f t="shared" si="190"/>
        <v>Discounted</v>
      </c>
      <c r="O4048" t="str">
        <f t="shared" si="191"/>
        <v>Returning</v>
      </c>
    </row>
    <row r="4049" spans="1:15" x14ac:dyDescent="0.25">
      <c r="A4049">
        <v>4048</v>
      </c>
      <c r="B4049">
        <v>42</v>
      </c>
      <c r="C4049" t="s">
        <v>11</v>
      </c>
      <c r="D4049" t="s">
        <v>41</v>
      </c>
      <c r="E4049" t="s">
        <v>42</v>
      </c>
      <c r="F4049" s="1">
        <v>149.1</v>
      </c>
      <c r="G4049" t="s">
        <v>24</v>
      </c>
      <c r="H4049" t="s">
        <v>15</v>
      </c>
      <c r="I4049" s="2">
        <v>4.5999999999999996</v>
      </c>
      <c r="J4049" s="4">
        <v>32</v>
      </c>
      <c r="K4049" s="3">
        <v>11</v>
      </c>
      <c r="L4049" s="1">
        <f t="shared" si="189"/>
        <v>101.38799999999999</v>
      </c>
      <c r="M4049" t="str" cm="1">
        <f t="array" ref="M4049">_xlfn.IFS(B4049&lt;18,"Under 18",B4049 &lt;=25,"18-25",B4049&lt;=35,"26-35",B4049&lt;=45,"36-45",B4049&lt;=60,"46-60",TRUE,"60+")</f>
        <v>36-45</v>
      </c>
      <c r="N4049" t="str">
        <f t="shared" si="190"/>
        <v>Discounted</v>
      </c>
      <c r="O4049" t="str">
        <f t="shared" si="191"/>
        <v>Returning</v>
      </c>
    </row>
    <row r="4050" spans="1:15" x14ac:dyDescent="0.25">
      <c r="A4050">
        <v>4049</v>
      </c>
      <c r="B4050">
        <v>54</v>
      </c>
      <c r="C4050" t="s">
        <v>16</v>
      </c>
      <c r="D4050" t="s">
        <v>20</v>
      </c>
      <c r="E4050" t="s">
        <v>21</v>
      </c>
      <c r="F4050" s="1">
        <v>231.13</v>
      </c>
      <c r="G4050" t="s">
        <v>31</v>
      </c>
      <c r="H4050" t="s">
        <v>15</v>
      </c>
      <c r="I4050" s="2">
        <v>4.5999999999999996</v>
      </c>
      <c r="J4050" s="4">
        <v>21</v>
      </c>
      <c r="K4050" s="3">
        <v>8</v>
      </c>
      <c r="L4050" s="1">
        <f t="shared" si="189"/>
        <v>182.59270000000001</v>
      </c>
      <c r="M4050" t="str" cm="1">
        <f t="array" ref="M4050">_xlfn.IFS(B4050&lt;18,"Under 18",B4050 &lt;=25,"18-25",B4050&lt;=35,"26-35",B4050&lt;=45,"36-45",B4050&lt;=60,"46-60",TRUE,"60+")</f>
        <v>46-60</v>
      </c>
      <c r="N4050" t="str">
        <f t="shared" si="190"/>
        <v>Discounted</v>
      </c>
      <c r="O4050" t="str">
        <f t="shared" si="191"/>
        <v>Returning</v>
      </c>
    </row>
    <row r="4051" spans="1:15" x14ac:dyDescent="0.25">
      <c r="A4051">
        <v>4050</v>
      </c>
      <c r="B4051">
        <v>36</v>
      </c>
      <c r="C4051" t="s">
        <v>16</v>
      </c>
      <c r="D4051" t="s">
        <v>20</v>
      </c>
      <c r="E4051" t="s">
        <v>36</v>
      </c>
      <c r="F4051" s="1">
        <v>193.53</v>
      </c>
      <c r="G4051" t="s">
        <v>14</v>
      </c>
      <c r="H4051" t="s">
        <v>15</v>
      </c>
      <c r="I4051" s="2">
        <v>2.2000000000000002</v>
      </c>
      <c r="J4051" s="4">
        <v>10</v>
      </c>
      <c r="K4051" s="3">
        <v>5</v>
      </c>
      <c r="L4051" s="1">
        <f t="shared" si="189"/>
        <v>174.17699999999999</v>
      </c>
      <c r="M4051" t="str" cm="1">
        <f t="array" ref="M4051">_xlfn.IFS(B4051&lt;18,"Under 18",B4051 &lt;=25,"18-25",B4051&lt;=35,"26-35",B4051&lt;=45,"36-45",B4051&lt;=60,"46-60",TRUE,"60+")</f>
        <v>36-45</v>
      </c>
      <c r="N4051" t="str">
        <f t="shared" si="190"/>
        <v>Discounted</v>
      </c>
      <c r="O4051" t="str">
        <f t="shared" si="191"/>
        <v>Returning</v>
      </c>
    </row>
    <row r="4052" spans="1:15" x14ac:dyDescent="0.25">
      <c r="A4052">
        <v>4051</v>
      </c>
      <c r="B4052">
        <v>30</v>
      </c>
      <c r="C4052" t="s">
        <v>16</v>
      </c>
      <c r="D4052" t="s">
        <v>17</v>
      </c>
      <c r="E4052" t="s">
        <v>42</v>
      </c>
      <c r="F4052" s="1">
        <v>47.15</v>
      </c>
      <c r="G4052" t="s">
        <v>14</v>
      </c>
      <c r="H4052" t="s">
        <v>37</v>
      </c>
      <c r="I4052" s="2">
        <v>4.9000000000000004</v>
      </c>
      <c r="J4052" s="4">
        <v>24</v>
      </c>
      <c r="K4052" s="3">
        <v>7</v>
      </c>
      <c r="L4052" s="1">
        <f t="shared" si="189"/>
        <v>35.833999999999996</v>
      </c>
      <c r="M4052" t="str" cm="1">
        <f t="array" ref="M4052">_xlfn.IFS(B4052&lt;18,"Under 18",B4052 &lt;=25,"18-25",B4052&lt;=35,"26-35",B4052&lt;=45,"36-45",B4052&lt;=60,"46-60",TRUE,"60+")</f>
        <v>26-35</v>
      </c>
      <c r="N4052" t="str">
        <f t="shared" si="190"/>
        <v>Discounted</v>
      </c>
      <c r="O4052" t="str">
        <f t="shared" si="191"/>
        <v>Returning</v>
      </c>
    </row>
    <row r="4053" spans="1:15" x14ac:dyDescent="0.25">
      <c r="A4053">
        <v>4052</v>
      </c>
      <c r="B4053">
        <v>38</v>
      </c>
      <c r="C4053" t="s">
        <v>16</v>
      </c>
      <c r="D4053" t="s">
        <v>27</v>
      </c>
      <c r="E4053" t="s">
        <v>49</v>
      </c>
      <c r="F4053" s="1">
        <v>824.08</v>
      </c>
      <c r="G4053" t="s">
        <v>19</v>
      </c>
      <c r="H4053" t="s">
        <v>15</v>
      </c>
      <c r="I4053" s="2">
        <v>4.9000000000000004</v>
      </c>
      <c r="J4053" s="4">
        <v>12</v>
      </c>
      <c r="K4053" s="3">
        <v>6</v>
      </c>
      <c r="L4053" s="1">
        <f t="shared" si="189"/>
        <v>725.19040000000007</v>
      </c>
      <c r="M4053" t="str" cm="1">
        <f t="array" ref="M4053">_xlfn.IFS(B4053&lt;18,"Under 18",B4053 &lt;=25,"18-25",B4053&lt;=35,"26-35",B4053&lt;=45,"36-45",B4053&lt;=60,"46-60",TRUE,"60+")</f>
        <v>36-45</v>
      </c>
      <c r="N4053" t="str">
        <f t="shared" si="190"/>
        <v>Discounted</v>
      </c>
      <c r="O4053" t="str">
        <f t="shared" si="191"/>
        <v>Returning</v>
      </c>
    </row>
    <row r="4054" spans="1:15" x14ac:dyDescent="0.25">
      <c r="A4054">
        <v>4053</v>
      </c>
      <c r="B4054">
        <v>47</v>
      </c>
      <c r="C4054" t="s">
        <v>11</v>
      </c>
      <c r="D4054" t="s">
        <v>41</v>
      </c>
      <c r="E4054" t="s">
        <v>45</v>
      </c>
      <c r="F4054" s="1">
        <v>86.68</v>
      </c>
      <c r="G4054" t="s">
        <v>14</v>
      </c>
      <c r="H4054" t="s">
        <v>15</v>
      </c>
      <c r="I4054" s="2">
        <v>4.9000000000000004</v>
      </c>
      <c r="J4054" s="4">
        <v>16</v>
      </c>
      <c r="K4054" s="3">
        <v>3</v>
      </c>
      <c r="L4054" s="1">
        <f t="shared" si="189"/>
        <v>72.811199999999999</v>
      </c>
      <c r="M4054" t="str" cm="1">
        <f t="array" ref="M4054">_xlfn.IFS(B4054&lt;18,"Under 18",B4054 &lt;=25,"18-25",B4054&lt;=35,"26-35",B4054&lt;=45,"36-45",B4054&lt;=60,"46-60",TRUE,"60+")</f>
        <v>46-60</v>
      </c>
      <c r="N4054" t="str">
        <f t="shared" si="190"/>
        <v>Discounted</v>
      </c>
      <c r="O4054" t="str">
        <f t="shared" si="191"/>
        <v>Returning</v>
      </c>
    </row>
    <row r="4055" spans="1:15" x14ac:dyDescent="0.25">
      <c r="A4055">
        <v>4054</v>
      </c>
      <c r="B4055">
        <v>37</v>
      </c>
      <c r="C4055" t="s">
        <v>16</v>
      </c>
      <c r="D4055" t="s">
        <v>20</v>
      </c>
      <c r="E4055" t="s">
        <v>39</v>
      </c>
      <c r="F4055" s="1">
        <v>218.43</v>
      </c>
      <c r="G4055" t="s">
        <v>14</v>
      </c>
      <c r="H4055" t="s">
        <v>15</v>
      </c>
      <c r="I4055" s="2">
        <v>4.0999999999999996</v>
      </c>
      <c r="J4055" s="4">
        <v>20</v>
      </c>
      <c r="K4055" s="3">
        <v>5</v>
      </c>
      <c r="L4055" s="1">
        <f t="shared" si="189"/>
        <v>174.74400000000003</v>
      </c>
      <c r="M4055" t="str" cm="1">
        <f t="array" ref="M4055">_xlfn.IFS(B4055&lt;18,"Under 18",B4055 &lt;=25,"18-25",B4055&lt;=35,"26-35",B4055&lt;=45,"36-45",B4055&lt;=60,"46-60",TRUE,"60+")</f>
        <v>36-45</v>
      </c>
      <c r="N4055" t="str">
        <f t="shared" si="190"/>
        <v>Discounted</v>
      </c>
      <c r="O4055" t="str">
        <f t="shared" si="191"/>
        <v>Returning</v>
      </c>
    </row>
    <row r="4056" spans="1:15" x14ac:dyDescent="0.25">
      <c r="A4056">
        <v>4055</v>
      </c>
      <c r="B4056">
        <v>68</v>
      </c>
      <c r="C4056" t="s">
        <v>16</v>
      </c>
      <c r="D4056" t="s">
        <v>25</v>
      </c>
      <c r="E4056" t="s">
        <v>47</v>
      </c>
      <c r="F4056" s="1">
        <v>21.72</v>
      </c>
      <c r="G4056" t="s">
        <v>24</v>
      </c>
      <c r="H4056" t="s">
        <v>37</v>
      </c>
      <c r="I4056" s="2">
        <v>3.1</v>
      </c>
      <c r="J4056" s="4">
        <v>18</v>
      </c>
      <c r="K4056" s="3">
        <v>4</v>
      </c>
      <c r="L4056" s="1">
        <f t="shared" si="189"/>
        <v>17.810400000000001</v>
      </c>
      <c r="M4056" t="str" cm="1">
        <f t="array" ref="M4056">_xlfn.IFS(B4056&lt;18,"Under 18",B4056 &lt;=25,"18-25",B4056&lt;=35,"26-35",B4056&lt;=45,"36-45",B4056&lt;=60,"46-60",TRUE,"60+")</f>
        <v>60+</v>
      </c>
      <c r="N4056" t="str">
        <f t="shared" si="190"/>
        <v>Discounted</v>
      </c>
      <c r="O4056" t="str">
        <f t="shared" si="191"/>
        <v>Returning</v>
      </c>
    </row>
    <row r="4057" spans="1:15" x14ac:dyDescent="0.25">
      <c r="A4057">
        <v>4056</v>
      </c>
      <c r="B4057">
        <v>21</v>
      </c>
      <c r="C4057" t="s">
        <v>11</v>
      </c>
      <c r="D4057" t="s">
        <v>29</v>
      </c>
      <c r="E4057" t="s">
        <v>30</v>
      </c>
      <c r="F4057" s="1">
        <v>23.57</v>
      </c>
      <c r="G4057" t="s">
        <v>31</v>
      </c>
      <c r="H4057" t="s">
        <v>37</v>
      </c>
      <c r="I4057" s="2">
        <v>4.3</v>
      </c>
      <c r="J4057" s="4">
        <v>22</v>
      </c>
      <c r="K4057" s="3">
        <v>6</v>
      </c>
      <c r="L4057" s="1">
        <f t="shared" si="189"/>
        <v>18.384600000000002</v>
      </c>
      <c r="M4057" t="str" cm="1">
        <f t="array" ref="M4057">_xlfn.IFS(B4057&lt;18,"Under 18",B4057 &lt;=25,"18-25",B4057&lt;=35,"26-35",B4057&lt;=45,"36-45",B4057&lt;=60,"46-60",TRUE,"60+")</f>
        <v>18-25</v>
      </c>
      <c r="N4057" t="str">
        <f t="shared" si="190"/>
        <v>Discounted</v>
      </c>
      <c r="O4057" t="str">
        <f t="shared" si="191"/>
        <v>Returning</v>
      </c>
    </row>
    <row r="4058" spans="1:15" x14ac:dyDescent="0.25">
      <c r="A4058">
        <v>4057</v>
      </c>
      <c r="B4058">
        <v>70</v>
      </c>
      <c r="C4058" t="s">
        <v>16</v>
      </c>
      <c r="D4058" t="s">
        <v>22</v>
      </c>
      <c r="E4058" t="s">
        <v>23</v>
      </c>
      <c r="F4058" s="1">
        <v>177.36</v>
      </c>
      <c r="G4058" t="s">
        <v>14</v>
      </c>
      <c r="H4058" t="s">
        <v>15</v>
      </c>
      <c r="I4058" s="2">
        <v>3.2</v>
      </c>
      <c r="J4058" s="4">
        <v>22</v>
      </c>
      <c r="K4058" s="3">
        <v>6</v>
      </c>
      <c r="L4058" s="1">
        <f t="shared" si="189"/>
        <v>138.3408</v>
      </c>
      <c r="M4058" t="str" cm="1">
        <f t="array" ref="M4058">_xlfn.IFS(B4058&lt;18,"Under 18",B4058 &lt;=25,"18-25",B4058&lt;=35,"26-35",B4058&lt;=45,"36-45",B4058&lt;=60,"46-60",TRUE,"60+")</f>
        <v>60+</v>
      </c>
      <c r="N4058" t="str">
        <f t="shared" si="190"/>
        <v>Discounted</v>
      </c>
      <c r="O4058" t="str">
        <f t="shared" si="191"/>
        <v>Returning</v>
      </c>
    </row>
    <row r="4059" spans="1:15" x14ac:dyDescent="0.25">
      <c r="A4059">
        <v>4058</v>
      </c>
      <c r="B4059">
        <v>49</v>
      </c>
      <c r="C4059" t="s">
        <v>11</v>
      </c>
      <c r="D4059" t="s">
        <v>41</v>
      </c>
      <c r="E4059" t="s">
        <v>46</v>
      </c>
      <c r="F4059" s="1">
        <v>125.76</v>
      </c>
      <c r="G4059" t="s">
        <v>19</v>
      </c>
      <c r="H4059" t="s">
        <v>15</v>
      </c>
      <c r="I4059" s="2">
        <v>3.6</v>
      </c>
      <c r="J4059" s="4">
        <v>16</v>
      </c>
      <c r="K4059" s="3">
        <v>3</v>
      </c>
      <c r="L4059" s="1">
        <f t="shared" si="189"/>
        <v>105.6384</v>
      </c>
      <c r="M4059" t="str" cm="1">
        <f t="array" ref="M4059">_xlfn.IFS(B4059&lt;18,"Under 18",B4059 &lt;=25,"18-25",B4059&lt;=35,"26-35",B4059&lt;=45,"36-45",B4059&lt;=60,"46-60",TRUE,"60+")</f>
        <v>46-60</v>
      </c>
      <c r="N4059" t="str">
        <f t="shared" si="190"/>
        <v>Discounted</v>
      </c>
      <c r="O4059" t="str">
        <f t="shared" si="191"/>
        <v>Returning</v>
      </c>
    </row>
    <row r="4060" spans="1:15" x14ac:dyDescent="0.25">
      <c r="A4060">
        <v>4059</v>
      </c>
      <c r="B4060">
        <v>70</v>
      </c>
      <c r="C4060" t="s">
        <v>16</v>
      </c>
      <c r="D4060" t="s">
        <v>22</v>
      </c>
      <c r="E4060" t="s">
        <v>23</v>
      </c>
      <c r="F4060" s="1">
        <v>118.9</v>
      </c>
      <c r="G4060" t="s">
        <v>14</v>
      </c>
      <c r="H4060" t="s">
        <v>15</v>
      </c>
      <c r="I4060" s="2">
        <v>4.5</v>
      </c>
      <c r="J4060" s="4">
        <v>8</v>
      </c>
      <c r="K4060" s="3">
        <v>4</v>
      </c>
      <c r="L4060" s="1">
        <f t="shared" si="189"/>
        <v>109.38800000000001</v>
      </c>
      <c r="M4060" t="str" cm="1">
        <f t="array" ref="M4060">_xlfn.IFS(B4060&lt;18,"Under 18",B4060 &lt;=25,"18-25",B4060&lt;=35,"26-35",B4060&lt;=45,"36-45",B4060&lt;=60,"46-60",TRUE,"60+")</f>
        <v>60+</v>
      </c>
      <c r="N4060" t="str">
        <f t="shared" si="190"/>
        <v>Discounted</v>
      </c>
      <c r="O4060" t="str">
        <f t="shared" si="191"/>
        <v>Returning</v>
      </c>
    </row>
    <row r="4061" spans="1:15" x14ac:dyDescent="0.25">
      <c r="A4061">
        <v>4060</v>
      </c>
      <c r="B4061">
        <v>60</v>
      </c>
      <c r="C4061" t="s">
        <v>16</v>
      </c>
      <c r="D4061" t="s">
        <v>20</v>
      </c>
      <c r="E4061" t="s">
        <v>36</v>
      </c>
      <c r="F4061" s="1">
        <v>103.3</v>
      </c>
      <c r="G4061" t="s">
        <v>24</v>
      </c>
      <c r="H4061" t="s">
        <v>15</v>
      </c>
      <c r="I4061" s="2">
        <v>3.2</v>
      </c>
      <c r="J4061" s="4">
        <v>26</v>
      </c>
      <c r="K4061" s="3">
        <v>8</v>
      </c>
      <c r="L4061" s="1">
        <f t="shared" si="189"/>
        <v>76.441999999999993</v>
      </c>
      <c r="M4061" t="str" cm="1">
        <f t="array" ref="M4061">_xlfn.IFS(B4061&lt;18,"Under 18",B4061 &lt;=25,"18-25",B4061&lt;=35,"26-35",B4061&lt;=45,"36-45",B4061&lt;=60,"46-60",TRUE,"60+")</f>
        <v>46-60</v>
      </c>
      <c r="N4061" t="str">
        <f t="shared" si="190"/>
        <v>Discounted</v>
      </c>
      <c r="O4061" t="str">
        <f t="shared" si="191"/>
        <v>Returning</v>
      </c>
    </row>
    <row r="4062" spans="1:15" x14ac:dyDescent="0.25">
      <c r="A4062">
        <v>4061</v>
      </c>
      <c r="B4062">
        <v>22</v>
      </c>
      <c r="C4062" t="s">
        <v>11</v>
      </c>
      <c r="D4062" t="s">
        <v>41</v>
      </c>
      <c r="E4062" t="s">
        <v>44</v>
      </c>
      <c r="F4062" s="1">
        <v>34.979999999999997</v>
      </c>
      <c r="G4062" t="s">
        <v>19</v>
      </c>
      <c r="H4062" t="s">
        <v>15</v>
      </c>
      <c r="I4062" s="2">
        <v>3.9</v>
      </c>
      <c r="J4062" s="4">
        <v>4</v>
      </c>
      <c r="K4062" s="3">
        <v>2</v>
      </c>
      <c r="L4062" s="1">
        <f t="shared" si="189"/>
        <v>33.580799999999996</v>
      </c>
      <c r="M4062" t="str" cm="1">
        <f t="array" ref="M4062">_xlfn.IFS(B4062&lt;18,"Under 18",B4062 &lt;=25,"18-25",B4062&lt;=35,"26-35",B4062&lt;=45,"36-45",B4062&lt;=60,"46-60",TRUE,"60+")</f>
        <v>18-25</v>
      </c>
      <c r="N4062" t="str">
        <f t="shared" si="190"/>
        <v>Discounted</v>
      </c>
      <c r="O4062" t="str">
        <f t="shared" si="191"/>
        <v>Returning</v>
      </c>
    </row>
    <row r="4063" spans="1:15" x14ac:dyDescent="0.25">
      <c r="A4063">
        <v>4062</v>
      </c>
      <c r="B4063">
        <v>44</v>
      </c>
      <c r="C4063" t="s">
        <v>16</v>
      </c>
      <c r="D4063" t="s">
        <v>17</v>
      </c>
      <c r="E4063" t="s">
        <v>48</v>
      </c>
      <c r="F4063" s="1">
        <v>193.69</v>
      </c>
      <c r="G4063" t="s">
        <v>31</v>
      </c>
      <c r="H4063" t="s">
        <v>15</v>
      </c>
      <c r="I4063" s="2">
        <v>2.8</v>
      </c>
      <c r="J4063" s="4">
        <v>17</v>
      </c>
      <c r="K4063" s="3">
        <v>6</v>
      </c>
      <c r="L4063" s="1">
        <f t="shared" si="189"/>
        <v>160.7627</v>
      </c>
      <c r="M4063" t="str" cm="1">
        <f t="array" ref="M4063">_xlfn.IFS(B4063&lt;18,"Under 18",B4063 &lt;=25,"18-25",B4063&lt;=35,"26-35",B4063&lt;=45,"36-45",B4063&lt;=60,"46-60",TRUE,"60+")</f>
        <v>36-45</v>
      </c>
      <c r="N4063" t="str">
        <f t="shared" si="190"/>
        <v>Discounted</v>
      </c>
      <c r="O4063" t="str">
        <f t="shared" si="191"/>
        <v>Returning</v>
      </c>
    </row>
    <row r="4064" spans="1:15" x14ac:dyDescent="0.25">
      <c r="A4064">
        <v>4063</v>
      </c>
      <c r="B4064">
        <v>29</v>
      </c>
      <c r="C4064" t="s">
        <v>16</v>
      </c>
      <c r="D4064" t="s">
        <v>20</v>
      </c>
      <c r="E4064" t="s">
        <v>39</v>
      </c>
      <c r="F4064" s="1">
        <v>40.36</v>
      </c>
      <c r="G4064" t="s">
        <v>24</v>
      </c>
      <c r="H4064" t="s">
        <v>37</v>
      </c>
      <c r="I4064" s="2">
        <v>3.5</v>
      </c>
      <c r="J4064" s="4">
        <v>7</v>
      </c>
      <c r="K4064" s="3">
        <v>1</v>
      </c>
      <c r="L4064" s="1">
        <f t="shared" si="189"/>
        <v>37.534799999999997</v>
      </c>
      <c r="M4064" t="str" cm="1">
        <f t="array" ref="M4064">_xlfn.IFS(B4064&lt;18,"Under 18",B4064 &lt;=25,"18-25",B4064&lt;=35,"26-35",B4064&lt;=45,"36-45",B4064&lt;=60,"46-60",TRUE,"60+")</f>
        <v>26-35</v>
      </c>
      <c r="N4064" t="str">
        <f t="shared" si="190"/>
        <v>Discounted</v>
      </c>
      <c r="O4064" t="str">
        <f t="shared" si="191"/>
        <v>Returning</v>
      </c>
    </row>
    <row r="4065" spans="1:15" x14ac:dyDescent="0.25">
      <c r="A4065">
        <v>4064</v>
      </c>
      <c r="B4065">
        <v>66</v>
      </c>
      <c r="C4065" t="s">
        <v>16</v>
      </c>
      <c r="D4065" t="s">
        <v>27</v>
      </c>
      <c r="E4065" t="s">
        <v>28</v>
      </c>
      <c r="F4065" s="1">
        <v>1248.04</v>
      </c>
      <c r="G4065" t="s">
        <v>31</v>
      </c>
      <c r="H4065" t="s">
        <v>15</v>
      </c>
      <c r="I4065" s="2">
        <v>3.8</v>
      </c>
      <c r="J4065" s="4">
        <v>20</v>
      </c>
      <c r="K4065" s="3">
        <v>5</v>
      </c>
      <c r="L4065" s="1">
        <f t="shared" si="189"/>
        <v>998.43200000000002</v>
      </c>
      <c r="M4065" t="str" cm="1">
        <f t="array" ref="M4065">_xlfn.IFS(B4065&lt;18,"Under 18",B4065 &lt;=25,"18-25",B4065&lt;=35,"26-35",B4065&lt;=45,"36-45",B4065&lt;=60,"46-60",TRUE,"60+")</f>
        <v>60+</v>
      </c>
      <c r="N4065" t="str">
        <f t="shared" si="190"/>
        <v>Discounted</v>
      </c>
      <c r="O4065" t="str">
        <f t="shared" si="191"/>
        <v>Returning</v>
      </c>
    </row>
    <row r="4066" spans="1:15" x14ac:dyDescent="0.25">
      <c r="A4066">
        <v>4065</v>
      </c>
      <c r="B4066">
        <v>64</v>
      </c>
      <c r="C4066" t="s">
        <v>16</v>
      </c>
      <c r="D4066" t="s">
        <v>20</v>
      </c>
      <c r="E4066" t="s">
        <v>39</v>
      </c>
      <c r="F4066" s="1">
        <v>176.11</v>
      </c>
      <c r="G4066" t="s">
        <v>14</v>
      </c>
      <c r="H4066" t="s">
        <v>15</v>
      </c>
      <c r="I4066" s="2">
        <v>3.5</v>
      </c>
      <c r="J4066" s="4">
        <v>10</v>
      </c>
      <c r="K4066" s="3">
        <v>5</v>
      </c>
      <c r="L4066" s="1">
        <f t="shared" si="189"/>
        <v>158.49900000000002</v>
      </c>
      <c r="M4066" t="str" cm="1">
        <f t="array" ref="M4066">_xlfn.IFS(B4066&lt;18,"Under 18",B4066 &lt;=25,"18-25",B4066&lt;=35,"26-35",B4066&lt;=45,"36-45",B4066&lt;=60,"46-60",TRUE,"60+")</f>
        <v>60+</v>
      </c>
      <c r="N4066" t="str">
        <f t="shared" si="190"/>
        <v>Discounted</v>
      </c>
      <c r="O4066" t="str">
        <f t="shared" si="191"/>
        <v>Returning</v>
      </c>
    </row>
    <row r="4067" spans="1:15" x14ac:dyDescent="0.25">
      <c r="A4067">
        <v>4066</v>
      </c>
      <c r="B4067">
        <v>56</v>
      </c>
      <c r="C4067" t="s">
        <v>16</v>
      </c>
      <c r="D4067" t="s">
        <v>20</v>
      </c>
      <c r="E4067" t="s">
        <v>21</v>
      </c>
      <c r="F4067" s="1">
        <v>165.49</v>
      </c>
      <c r="G4067" t="s">
        <v>14</v>
      </c>
      <c r="H4067" t="s">
        <v>15</v>
      </c>
      <c r="I4067" s="2">
        <v>3.8</v>
      </c>
      <c r="J4067" s="4">
        <v>22</v>
      </c>
      <c r="K4067" s="3">
        <v>6</v>
      </c>
      <c r="L4067" s="1">
        <f t="shared" si="189"/>
        <v>129.0822</v>
      </c>
      <c r="M4067" t="str" cm="1">
        <f t="array" ref="M4067">_xlfn.IFS(B4067&lt;18,"Under 18",B4067 &lt;=25,"18-25",B4067&lt;=35,"26-35",B4067&lt;=45,"36-45",B4067&lt;=60,"46-60",TRUE,"60+")</f>
        <v>46-60</v>
      </c>
      <c r="N4067" t="str">
        <f t="shared" si="190"/>
        <v>Discounted</v>
      </c>
      <c r="O4067" t="str">
        <f t="shared" si="191"/>
        <v>Returning</v>
      </c>
    </row>
    <row r="4068" spans="1:15" x14ac:dyDescent="0.25">
      <c r="A4068">
        <v>4067</v>
      </c>
      <c r="B4068">
        <v>65</v>
      </c>
      <c r="C4068" t="s">
        <v>16</v>
      </c>
      <c r="D4068" t="s">
        <v>20</v>
      </c>
      <c r="E4068" t="s">
        <v>36</v>
      </c>
      <c r="F4068" s="1">
        <v>147.71</v>
      </c>
      <c r="G4068" t="s">
        <v>14</v>
      </c>
      <c r="H4068" t="s">
        <v>15</v>
      </c>
      <c r="I4068" s="2">
        <v>3.4</v>
      </c>
      <c r="J4068" s="4">
        <v>13</v>
      </c>
      <c r="K4068" s="3">
        <v>4</v>
      </c>
      <c r="L4068" s="1">
        <f t="shared" si="189"/>
        <v>128.5077</v>
      </c>
      <c r="M4068" t="str" cm="1">
        <f t="array" ref="M4068">_xlfn.IFS(B4068&lt;18,"Under 18",B4068 &lt;=25,"18-25",B4068&lt;=35,"26-35",B4068&lt;=45,"36-45",B4068&lt;=60,"46-60",TRUE,"60+")</f>
        <v>60+</v>
      </c>
      <c r="N4068" t="str">
        <f t="shared" si="190"/>
        <v>Discounted</v>
      </c>
      <c r="O4068" t="str">
        <f t="shared" si="191"/>
        <v>Returning</v>
      </c>
    </row>
    <row r="4069" spans="1:15" x14ac:dyDescent="0.25">
      <c r="A4069">
        <v>4068</v>
      </c>
      <c r="B4069">
        <v>26</v>
      </c>
      <c r="C4069" t="s">
        <v>11</v>
      </c>
      <c r="D4069" t="s">
        <v>33</v>
      </c>
      <c r="E4069" t="s">
        <v>38</v>
      </c>
      <c r="F4069" s="1">
        <v>167.62</v>
      </c>
      <c r="G4069" t="s">
        <v>31</v>
      </c>
      <c r="H4069" t="s">
        <v>15</v>
      </c>
      <c r="I4069" s="2">
        <v>3.4</v>
      </c>
      <c r="J4069" s="4">
        <v>30</v>
      </c>
      <c r="K4069" s="3">
        <v>10</v>
      </c>
      <c r="L4069" s="1">
        <f t="shared" si="189"/>
        <v>117.33399999999999</v>
      </c>
      <c r="M4069" t="str" cm="1">
        <f t="array" ref="M4069">_xlfn.IFS(B4069&lt;18,"Under 18",B4069 &lt;=25,"18-25",B4069&lt;=35,"26-35",B4069&lt;=45,"36-45",B4069&lt;=60,"46-60",TRUE,"60+")</f>
        <v>26-35</v>
      </c>
      <c r="N4069" t="str">
        <f t="shared" si="190"/>
        <v>Discounted</v>
      </c>
      <c r="O4069" t="str">
        <f t="shared" si="191"/>
        <v>Returning</v>
      </c>
    </row>
    <row r="4070" spans="1:15" x14ac:dyDescent="0.25">
      <c r="A4070">
        <v>4069</v>
      </c>
      <c r="B4070">
        <v>53</v>
      </c>
      <c r="C4070" t="s">
        <v>16</v>
      </c>
      <c r="D4070" t="s">
        <v>22</v>
      </c>
      <c r="E4070" t="s">
        <v>52</v>
      </c>
      <c r="F4070" s="1">
        <v>103.21</v>
      </c>
      <c r="G4070" t="s">
        <v>24</v>
      </c>
      <c r="H4070" t="s">
        <v>15</v>
      </c>
      <c r="I4070" s="2">
        <v>3.3</v>
      </c>
      <c r="J4070" s="4">
        <v>11</v>
      </c>
      <c r="K4070" s="3">
        <v>3</v>
      </c>
      <c r="L4070" s="1">
        <f t="shared" si="189"/>
        <v>91.856899999999996</v>
      </c>
      <c r="M4070" t="str" cm="1">
        <f t="array" ref="M4070">_xlfn.IFS(B4070&lt;18,"Under 18",B4070 &lt;=25,"18-25",B4070&lt;=35,"26-35",B4070&lt;=45,"36-45",B4070&lt;=60,"46-60",TRUE,"60+")</f>
        <v>46-60</v>
      </c>
      <c r="N4070" t="str">
        <f t="shared" si="190"/>
        <v>Discounted</v>
      </c>
      <c r="O4070" t="str">
        <f t="shared" si="191"/>
        <v>Returning</v>
      </c>
    </row>
    <row r="4071" spans="1:15" x14ac:dyDescent="0.25">
      <c r="A4071">
        <v>4070</v>
      </c>
      <c r="B4071">
        <v>70</v>
      </c>
      <c r="C4071" t="s">
        <v>16</v>
      </c>
      <c r="D4071" t="s">
        <v>33</v>
      </c>
      <c r="E4071" t="s">
        <v>40</v>
      </c>
      <c r="F4071" s="1">
        <v>56.28</v>
      </c>
      <c r="G4071" t="s">
        <v>31</v>
      </c>
      <c r="H4071" t="s">
        <v>15</v>
      </c>
      <c r="I4071" s="2">
        <v>2.9</v>
      </c>
      <c r="J4071" s="4">
        <v>10</v>
      </c>
      <c r="K4071" s="3">
        <v>5</v>
      </c>
      <c r="L4071" s="1">
        <f t="shared" si="189"/>
        <v>50.652000000000001</v>
      </c>
      <c r="M4071" t="str" cm="1">
        <f t="array" ref="M4071">_xlfn.IFS(B4071&lt;18,"Under 18",B4071 &lt;=25,"18-25",B4071&lt;=35,"26-35",B4071&lt;=45,"36-45",B4071&lt;=60,"46-60",TRUE,"60+")</f>
        <v>60+</v>
      </c>
      <c r="N4071" t="str">
        <f t="shared" si="190"/>
        <v>Discounted</v>
      </c>
      <c r="O4071" t="str">
        <f t="shared" si="191"/>
        <v>Returning</v>
      </c>
    </row>
    <row r="4072" spans="1:15" x14ac:dyDescent="0.25">
      <c r="A4072">
        <v>4071</v>
      </c>
      <c r="B4072">
        <v>48</v>
      </c>
      <c r="C4072" t="s">
        <v>16</v>
      </c>
      <c r="D4072" t="s">
        <v>20</v>
      </c>
      <c r="E4072" t="s">
        <v>36</v>
      </c>
      <c r="F4072" s="1">
        <v>136.24</v>
      </c>
      <c r="G4072" t="s">
        <v>31</v>
      </c>
      <c r="H4072" t="s">
        <v>15</v>
      </c>
      <c r="I4072" s="2">
        <v>3.3</v>
      </c>
      <c r="J4072" s="4">
        <v>14</v>
      </c>
      <c r="K4072" s="3">
        <v>7</v>
      </c>
      <c r="L4072" s="1">
        <f t="shared" si="189"/>
        <v>117.16640000000001</v>
      </c>
      <c r="M4072" t="str" cm="1">
        <f t="array" ref="M4072">_xlfn.IFS(B4072&lt;18,"Under 18",B4072 &lt;=25,"18-25",B4072&lt;=35,"26-35",B4072&lt;=45,"36-45",B4072&lt;=60,"46-60",TRUE,"60+")</f>
        <v>46-60</v>
      </c>
      <c r="N4072" t="str">
        <f t="shared" si="190"/>
        <v>Discounted</v>
      </c>
      <c r="O4072" t="str">
        <f t="shared" si="191"/>
        <v>Returning</v>
      </c>
    </row>
    <row r="4073" spans="1:15" x14ac:dyDescent="0.25">
      <c r="A4073">
        <v>4072</v>
      </c>
      <c r="B4073">
        <v>53</v>
      </c>
      <c r="C4073" t="s">
        <v>11</v>
      </c>
      <c r="D4073" t="s">
        <v>29</v>
      </c>
      <c r="E4073" t="s">
        <v>55</v>
      </c>
      <c r="F4073" s="1">
        <v>125.77</v>
      </c>
      <c r="G4073" t="s">
        <v>19</v>
      </c>
      <c r="H4073" t="s">
        <v>15</v>
      </c>
      <c r="I4073" s="2">
        <v>3.4</v>
      </c>
      <c r="J4073" s="4">
        <v>10</v>
      </c>
      <c r="K4073" s="3">
        <v>5</v>
      </c>
      <c r="L4073" s="1">
        <f t="shared" si="189"/>
        <v>113.193</v>
      </c>
      <c r="M4073" t="str" cm="1">
        <f t="array" ref="M4073">_xlfn.IFS(B4073&lt;18,"Under 18",B4073 &lt;=25,"18-25",B4073&lt;=35,"26-35",B4073&lt;=45,"36-45",B4073&lt;=60,"46-60",TRUE,"60+")</f>
        <v>46-60</v>
      </c>
      <c r="N4073" t="str">
        <f t="shared" si="190"/>
        <v>Discounted</v>
      </c>
      <c r="O4073" t="str">
        <f t="shared" si="191"/>
        <v>Returning</v>
      </c>
    </row>
    <row r="4074" spans="1:15" x14ac:dyDescent="0.25">
      <c r="A4074">
        <v>4073</v>
      </c>
      <c r="B4074">
        <v>26</v>
      </c>
      <c r="C4074" t="s">
        <v>11</v>
      </c>
      <c r="D4074" t="s">
        <v>12</v>
      </c>
      <c r="E4074" t="s">
        <v>50</v>
      </c>
      <c r="F4074" s="1">
        <v>62.53</v>
      </c>
      <c r="G4074" t="s">
        <v>31</v>
      </c>
      <c r="H4074" t="s">
        <v>37</v>
      </c>
      <c r="I4074" s="2">
        <v>3.8</v>
      </c>
      <c r="J4074" s="4">
        <v>16</v>
      </c>
      <c r="K4074" s="3">
        <v>8</v>
      </c>
      <c r="L4074" s="1">
        <f t="shared" si="189"/>
        <v>52.525199999999998</v>
      </c>
      <c r="M4074" t="str" cm="1">
        <f t="array" ref="M4074">_xlfn.IFS(B4074&lt;18,"Under 18",B4074 &lt;=25,"18-25",B4074&lt;=35,"26-35",B4074&lt;=45,"36-45",B4074&lt;=60,"46-60",TRUE,"60+")</f>
        <v>26-35</v>
      </c>
      <c r="N4074" t="str">
        <f t="shared" si="190"/>
        <v>Discounted</v>
      </c>
      <c r="O4074" t="str">
        <f t="shared" si="191"/>
        <v>Returning</v>
      </c>
    </row>
    <row r="4075" spans="1:15" x14ac:dyDescent="0.25">
      <c r="A4075">
        <v>4074</v>
      </c>
      <c r="B4075">
        <v>28</v>
      </c>
      <c r="C4075" t="s">
        <v>11</v>
      </c>
      <c r="D4075" t="s">
        <v>33</v>
      </c>
      <c r="E4075" t="s">
        <v>40</v>
      </c>
      <c r="F4075" s="1">
        <v>205.3</v>
      </c>
      <c r="G4075" t="s">
        <v>14</v>
      </c>
      <c r="H4075" t="s">
        <v>15</v>
      </c>
      <c r="I4075" s="2">
        <v>4.8</v>
      </c>
      <c r="J4075" s="4">
        <v>10</v>
      </c>
      <c r="K4075" s="3">
        <v>5</v>
      </c>
      <c r="L4075" s="1">
        <f t="shared" si="189"/>
        <v>184.77</v>
      </c>
      <c r="M4075" t="str" cm="1">
        <f t="array" ref="M4075">_xlfn.IFS(B4075&lt;18,"Under 18",B4075 &lt;=25,"18-25",B4075&lt;=35,"26-35",B4075&lt;=45,"36-45",B4075&lt;=60,"46-60",TRUE,"60+")</f>
        <v>26-35</v>
      </c>
      <c r="N4075" t="str">
        <f t="shared" si="190"/>
        <v>Discounted</v>
      </c>
      <c r="O4075" t="str">
        <f t="shared" si="191"/>
        <v>Returning</v>
      </c>
    </row>
    <row r="4076" spans="1:15" x14ac:dyDescent="0.25">
      <c r="A4076">
        <v>4075</v>
      </c>
      <c r="B4076">
        <v>39</v>
      </c>
      <c r="C4076" t="s">
        <v>11</v>
      </c>
      <c r="D4076" t="s">
        <v>29</v>
      </c>
      <c r="E4076" t="s">
        <v>51</v>
      </c>
      <c r="F4076" s="1">
        <v>99.04</v>
      </c>
      <c r="G4076" t="s">
        <v>14</v>
      </c>
      <c r="H4076" t="s">
        <v>15</v>
      </c>
      <c r="I4076" s="2">
        <v>4.5</v>
      </c>
      <c r="J4076" s="4">
        <v>26</v>
      </c>
      <c r="K4076" s="3">
        <v>8</v>
      </c>
      <c r="L4076" s="1">
        <f t="shared" si="189"/>
        <v>73.289600000000007</v>
      </c>
      <c r="M4076" t="str" cm="1">
        <f t="array" ref="M4076">_xlfn.IFS(B4076&lt;18,"Under 18",B4076 &lt;=25,"18-25",B4076&lt;=35,"26-35",B4076&lt;=45,"36-45",B4076&lt;=60,"46-60",TRUE,"60+")</f>
        <v>36-45</v>
      </c>
      <c r="N4076" t="str">
        <f t="shared" si="190"/>
        <v>Discounted</v>
      </c>
      <c r="O4076" t="str">
        <f t="shared" si="191"/>
        <v>Returning</v>
      </c>
    </row>
    <row r="4077" spans="1:15" x14ac:dyDescent="0.25">
      <c r="A4077">
        <v>4076</v>
      </c>
      <c r="B4077">
        <v>33</v>
      </c>
      <c r="C4077" t="s">
        <v>16</v>
      </c>
      <c r="D4077" t="s">
        <v>20</v>
      </c>
      <c r="E4077" t="s">
        <v>36</v>
      </c>
      <c r="F4077" s="1">
        <v>123.12</v>
      </c>
      <c r="G4077" t="s">
        <v>24</v>
      </c>
      <c r="H4077" t="s">
        <v>15</v>
      </c>
      <c r="I4077" s="2">
        <v>4</v>
      </c>
      <c r="J4077" s="4">
        <v>18</v>
      </c>
      <c r="K4077" s="3">
        <v>9</v>
      </c>
      <c r="L4077" s="1">
        <f t="shared" si="189"/>
        <v>100.95840000000001</v>
      </c>
      <c r="M4077" t="str" cm="1">
        <f t="array" ref="M4077">_xlfn.IFS(B4077&lt;18,"Under 18",B4077 &lt;=25,"18-25",B4077&lt;=35,"26-35",B4077&lt;=45,"36-45",B4077&lt;=60,"46-60",TRUE,"60+")</f>
        <v>26-35</v>
      </c>
      <c r="N4077" t="str">
        <f t="shared" si="190"/>
        <v>Discounted</v>
      </c>
      <c r="O4077" t="str">
        <f t="shared" si="191"/>
        <v>Returning</v>
      </c>
    </row>
    <row r="4078" spans="1:15" x14ac:dyDescent="0.25">
      <c r="A4078">
        <v>4077</v>
      </c>
      <c r="B4078">
        <v>40</v>
      </c>
      <c r="C4078" t="s">
        <v>16</v>
      </c>
      <c r="D4078" t="s">
        <v>27</v>
      </c>
      <c r="E4078" t="s">
        <v>49</v>
      </c>
      <c r="F4078" s="1">
        <v>1512.28</v>
      </c>
      <c r="G4078" t="s">
        <v>19</v>
      </c>
      <c r="H4078" t="s">
        <v>15</v>
      </c>
      <c r="I4078" s="2">
        <v>3.8</v>
      </c>
      <c r="J4078" s="4">
        <v>15</v>
      </c>
      <c r="K4078" s="3">
        <v>5</v>
      </c>
      <c r="L4078" s="1">
        <f t="shared" si="189"/>
        <v>1285.4379999999999</v>
      </c>
      <c r="M4078" t="str" cm="1">
        <f t="array" ref="M4078">_xlfn.IFS(B4078&lt;18,"Under 18",B4078 &lt;=25,"18-25",B4078&lt;=35,"26-35",B4078&lt;=45,"36-45",B4078&lt;=60,"46-60",TRUE,"60+")</f>
        <v>36-45</v>
      </c>
      <c r="N4078" t="str">
        <f t="shared" si="190"/>
        <v>Discounted</v>
      </c>
      <c r="O4078" t="str">
        <f t="shared" si="191"/>
        <v>Returning</v>
      </c>
    </row>
    <row r="4079" spans="1:15" x14ac:dyDescent="0.25">
      <c r="A4079">
        <v>4078</v>
      </c>
      <c r="B4079">
        <v>62</v>
      </c>
      <c r="C4079" t="s">
        <v>16</v>
      </c>
      <c r="D4079" t="s">
        <v>17</v>
      </c>
      <c r="E4079" t="s">
        <v>35</v>
      </c>
      <c r="F4079" s="1">
        <v>71.94</v>
      </c>
      <c r="G4079" t="s">
        <v>31</v>
      </c>
      <c r="H4079" t="s">
        <v>15</v>
      </c>
      <c r="I4079" s="2">
        <v>4.9000000000000004</v>
      </c>
      <c r="J4079" s="4">
        <v>17</v>
      </c>
      <c r="K4079" s="3">
        <v>6</v>
      </c>
      <c r="L4079" s="1">
        <f t="shared" si="189"/>
        <v>59.710199999999993</v>
      </c>
      <c r="M4079" t="str" cm="1">
        <f t="array" ref="M4079">_xlfn.IFS(B4079&lt;18,"Under 18",B4079 &lt;=25,"18-25",B4079&lt;=35,"26-35",B4079&lt;=45,"36-45",B4079&lt;=60,"46-60",TRUE,"60+")</f>
        <v>60+</v>
      </c>
      <c r="N4079" t="str">
        <f t="shared" si="190"/>
        <v>Discounted</v>
      </c>
      <c r="O4079" t="str">
        <f t="shared" si="191"/>
        <v>Returning</v>
      </c>
    </row>
    <row r="4080" spans="1:15" x14ac:dyDescent="0.25">
      <c r="A4080">
        <v>4079</v>
      </c>
      <c r="B4080">
        <v>28</v>
      </c>
      <c r="C4080" t="s">
        <v>16</v>
      </c>
      <c r="D4080" t="s">
        <v>20</v>
      </c>
      <c r="E4080" t="s">
        <v>21</v>
      </c>
      <c r="F4080" s="1">
        <v>153.12</v>
      </c>
      <c r="G4080" t="s">
        <v>24</v>
      </c>
      <c r="H4080" t="s">
        <v>15</v>
      </c>
      <c r="I4080" s="2">
        <v>4.4000000000000004</v>
      </c>
      <c r="J4080" s="4">
        <v>9</v>
      </c>
      <c r="K4080" s="3">
        <v>2</v>
      </c>
      <c r="L4080" s="1">
        <f t="shared" si="189"/>
        <v>139.33920000000001</v>
      </c>
      <c r="M4080" t="str" cm="1">
        <f t="array" ref="M4080">_xlfn.IFS(B4080&lt;18,"Under 18",B4080 &lt;=25,"18-25",B4080&lt;=35,"26-35",B4080&lt;=45,"36-45",B4080&lt;=60,"46-60",TRUE,"60+")</f>
        <v>26-35</v>
      </c>
      <c r="N4080" t="str">
        <f t="shared" si="190"/>
        <v>Discounted</v>
      </c>
      <c r="O4080" t="str">
        <f t="shared" si="191"/>
        <v>Returning</v>
      </c>
    </row>
    <row r="4081" spans="1:15" x14ac:dyDescent="0.25">
      <c r="A4081">
        <v>4080</v>
      </c>
      <c r="B4081">
        <v>43</v>
      </c>
      <c r="C4081" t="s">
        <v>11</v>
      </c>
      <c r="D4081" t="s">
        <v>12</v>
      </c>
      <c r="E4081" t="s">
        <v>50</v>
      </c>
      <c r="F4081" s="1">
        <v>74.33</v>
      </c>
      <c r="G4081" t="s">
        <v>14</v>
      </c>
      <c r="H4081" t="s">
        <v>15</v>
      </c>
      <c r="I4081" s="2">
        <v>3.6</v>
      </c>
      <c r="J4081" s="4">
        <v>11</v>
      </c>
      <c r="K4081" s="3">
        <v>3</v>
      </c>
      <c r="L4081" s="1">
        <f t="shared" si="189"/>
        <v>66.153700000000001</v>
      </c>
      <c r="M4081" t="str" cm="1">
        <f t="array" ref="M4081">_xlfn.IFS(B4081&lt;18,"Under 18",B4081 &lt;=25,"18-25",B4081&lt;=35,"26-35",B4081&lt;=45,"36-45",B4081&lt;=60,"46-60",TRUE,"60+")</f>
        <v>36-45</v>
      </c>
      <c r="N4081" t="str">
        <f t="shared" si="190"/>
        <v>Discounted</v>
      </c>
      <c r="O4081" t="str">
        <f t="shared" si="191"/>
        <v>Returning</v>
      </c>
    </row>
    <row r="4082" spans="1:15" x14ac:dyDescent="0.25">
      <c r="A4082">
        <v>4081</v>
      </c>
      <c r="B4082">
        <v>22</v>
      </c>
      <c r="C4082" t="s">
        <v>11</v>
      </c>
      <c r="D4082" t="s">
        <v>12</v>
      </c>
      <c r="E4082" t="s">
        <v>50</v>
      </c>
      <c r="F4082" s="1">
        <v>100.98</v>
      </c>
      <c r="G4082" t="s">
        <v>19</v>
      </c>
      <c r="H4082" t="s">
        <v>15</v>
      </c>
      <c r="I4082" s="2">
        <v>4.3</v>
      </c>
      <c r="J4082" s="4">
        <v>13</v>
      </c>
      <c r="K4082" s="3">
        <v>4</v>
      </c>
      <c r="L4082" s="1">
        <f t="shared" si="189"/>
        <v>87.85260000000001</v>
      </c>
      <c r="M4082" t="str" cm="1">
        <f t="array" ref="M4082">_xlfn.IFS(B4082&lt;18,"Under 18",B4082 &lt;=25,"18-25",B4082&lt;=35,"26-35",B4082&lt;=45,"36-45",B4082&lt;=60,"46-60",TRUE,"60+")</f>
        <v>18-25</v>
      </c>
      <c r="N4082" t="str">
        <f t="shared" si="190"/>
        <v>Discounted</v>
      </c>
      <c r="O4082" t="str">
        <f t="shared" si="191"/>
        <v>Returning</v>
      </c>
    </row>
    <row r="4083" spans="1:15" x14ac:dyDescent="0.25">
      <c r="A4083">
        <v>4082</v>
      </c>
      <c r="B4083">
        <v>51</v>
      </c>
      <c r="C4083" t="s">
        <v>16</v>
      </c>
      <c r="D4083" t="s">
        <v>27</v>
      </c>
      <c r="E4083" t="s">
        <v>49</v>
      </c>
      <c r="F4083" s="1">
        <v>2199.5100000000002</v>
      </c>
      <c r="G4083" t="s">
        <v>19</v>
      </c>
      <c r="H4083" t="s">
        <v>15</v>
      </c>
      <c r="I4083" s="2">
        <v>3.6</v>
      </c>
      <c r="J4083" s="4">
        <v>15</v>
      </c>
      <c r="K4083" s="3">
        <v>5</v>
      </c>
      <c r="L4083" s="1">
        <f t="shared" si="189"/>
        <v>1869.5835000000002</v>
      </c>
      <c r="M4083" t="str" cm="1">
        <f t="array" ref="M4083">_xlfn.IFS(B4083&lt;18,"Under 18",B4083 &lt;=25,"18-25",B4083&lt;=35,"26-35",B4083&lt;=45,"36-45",B4083&lt;=60,"46-60",TRUE,"60+")</f>
        <v>46-60</v>
      </c>
      <c r="N4083" t="str">
        <f t="shared" si="190"/>
        <v>Discounted</v>
      </c>
      <c r="O4083" t="str">
        <f t="shared" si="191"/>
        <v>Returning</v>
      </c>
    </row>
    <row r="4084" spans="1:15" x14ac:dyDescent="0.25">
      <c r="A4084">
        <v>4083</v>
      </c>
      <c r="B4084">
        <v>53</v>
      </c>
      <c r="C4084" t="s">
        <v>16</v>
      </c>
      <c r="D4084" t="s">
        <v>20</v>
      </c>
      <c r="E4084" t="s">
        <v>39</v>
      </c>
      <c r="F4084" s="1">
        <v>74.23</v>
      </c>
      <c r="G4084" t="s">
        <v>24</v>
      </c>
      <c r="H4084" t="s">
        <v>15</v>
      </c>
      <c r="I4084" s="2">
        <v>2.2000000000000002</v>
      </c>
      <c r="J4084" s="4">
        <v>19</v>
      </c>
      <c r="K4084" s="3">
        <v>7</v>
      </c>
      <c r="L4084" s="1">
        <f t="shared" si="189"/>
        <v>60.126300000000008</v>
      </c>
      <c r="M4084" t="str" cm="1">
        <f t="array" ref="M4084">_xlfn.IFS(B4084&lt;18,"Under 18",B4084 &lt;=25,"18-25",B4084&lt;=35,"26-35",B4084&lt;=45,"36-45",B4084&lt;=60,"46-60",TRUE,"60+")</f>
        <v>46-60</v>
      </c>
      <c r="N4084" t="str">
        <f t="shared" si="190"/>
        <v>Discounted</v>
      </c>
      <c r="O4084" t="str">
        <f t="shared" si="191"/>
        <v>Returning</v>
      </c>
    </row>
    <row r="4085" spans="1:15" x14ac:dyDescent="0.25">
      <c r="A4085">
        <v>4084</v>
      </c>
      <c r="B4085">
        <v>36</v>
      </c>
      <c r="C4085" t="s">
        <v>16</v>
      </c>
      <c r="D4085" t="s">
        <v>27</v>
      </c>
      <c r="E4085" t="s">
        <v>49</v>
      </c>
      <c r="F4085" s="1">
        <v>2049.23</v>
      </c>
      <c r="G4085" t="s">
        <v>19</v>
      </c>
      <c r="H4085" t="s">
        <v>15</v>
      </c>
      <c r="I4085" s="2">
        <v>3</v>
      </c>
      <c r="J4085" s="4">
        <v>22</v>
      </c>
      <c r="K4085" s="3">
        <v>6</v>
      </c>
      <c r="L4085" s="1">
        <f t="shared" si="189"/>
        <v>1598.3994</v>
      </c>
      <c r="M4085" t="str" cm="1">
        <f t="array" ref="M4085">_xlfn.IFS(B4085&lt;18,"Under 18",B4085 &lt;=25,"18-25",B4085&lt;=35,"26-35",B4085&lt;=45,"36-45",B4085&lt;=60,"46-60",TRUE,"60+")</f>
        <v>36-45</v>
      </c>
      <c r="N4085" t="str">
        <f t="shared" si="190"/>
        <v>Discounted</v>
      </c>
      <c r="O4085" t="str">
        <f t="shared" si="191"/>
        <v>Returning</v>
      </c>
    </row>
    <row r="4086" spans="1:15" x14ac:dyDescent="0.25">
      <c r="A4086">
        <v>4085</v>
      </c>
      <c r="B4086">
        <v>68</v>
      </c>
      <c r="C4086" t="s">
        <v>16</v>
      </c>
      <c r="D4086" t="s">
        <v>27</v>
      </c>
      <c r="E4086" t="s">
        <v>28</v>
      </c>
      <c r="F4086" s="1">
        <v>2813.71</v>
      </c>
      <c r="G4086" t="s">
        <v>31</v>
      </c>
      <c r="H4086" t="s">
        <v>15</v>
      </c>
      <c r="I4086" s="2">
        <v>4.0999999999999996</v>
      </c>
      <c r="J4086" s="4">
        <v>13</v>
      </c>
      <c r="K4086" s="3">
        <v>4</v>
      </c>
      <c r="L4086" s="1">
        <f t="shared" si="189"/>
        <v>2447.9277000000002</v>
      </c>
      <c r="M4086" t="str" cm="1">
        <f t="array" ref="M4086">_xlfn.IFS(B4086&lt;18,"Under 18",B4086 &lt;=25,"18-25",B4086&lt;=35,"26-35",B4086&lt;=45,"36-45",B4086&lt;=60,"46-60",TRUE,"60+")</f>
        <v>60+</v>
      </c>
      <c r="N4086" t="str">
        <f t="shared" si="190"/>
        <v>Discounted</v>
      </c>
      <c r="O4086" t="str">
        <f t="shared" si="191"/>
        <v>Returning</v>
      </c>
    </row>
    <row r="4087" spans="1:15" x14ac:dyDescent="0.25">
      <c r="A4087">
        <v>4086</v>
      </c>
      <c r="B4087">
        <v>53</v>
      </c>
      <c r="C4087" t="s">
        <v>11</v>
      </c>
      <c r="D4087" t="s">
        <v>41</v>
      </c>
      <c r="E4087" t="s">
        <v>44</v>
      </c>
      <c r="F4087" s="1">
        <v>81.17</v>
      </c>
      <c r="G4087" t="s">
        <v>24</v>
      </c>
      <c r="H4087" t="s">
        <v>37</v>
      </c>
      <c r="I4087" s="2">
        <v>5</v>
      </c>
      <c r="J4087" s="4">
        <v>20</v>
      </c>
      <c r="K4087" s="3">
        <v>5</v>
      </c>
      <c r="L4087" s="1">
        <f t="shared" si="189"/>
        <v>64.936000000000007</v>
      </c>
      <c r="M4087" t="str" cm="1">
        <f t="array" ref="M4087">_xlfn.IFS(B4087&lt;18,"Under 18",B4087 &lt;=25,"18-25",B4087&lt;=35,"26-35",B4087&lt;=45,"36-45",B4087&lt;=60,"46-60",TRUE,"60+")</f>
        <v>46-60</v>
      </c>
      <c r="N4087" t="str">
        <f t="shared" si="190"/>
        <v>Discounted</v>
      </c>
      <c r="O4087" t="str">
        <f t="shared" si="191"/>
        <v>Returning</v>
      </c>
    </row>
    <row r="4088" spans="1:15" x14ac:dyDescent="0.25">
      <c r="A4088">
        <v>4087</v>
      </c>
      <c r="B4088">
        <v>46</v>
      </c>
      <c r="C4088" t="s">
        <v>16</v>
      </c>
      <c r="D4088" t="s">
        <v>17</v>
      </c>
      <c r="E4088" t="s">
        <v>42</v>
      </c>
      <c r="F4088" s="1">
        <v>30.78</v>
      </c>
      <c r="G4088" t="s">
        <v>24</v>
      </c>
      <c r="H4088" t="s">
        <v>15</v>
      </c>
      <c r="I4088" s="2">
        <v>5</v>
      </c>
      <c r="J4088" s="4">
        <v>12</v>
      </c>
      <c r="K4088" s="3">
        <v>6</v>
      </c>
      <c r="L4088" s="1">
        <f t="shared" si="189"/>
        <v>27.086400000000001</v>
      </c>
      <c r="M4088" t="str" cm="1">
        <f t="array" ref="M4088">_xlfn.IFS(B4088&lt;18,"Under 18",B4088 &lt;=25,"18-25",B4088&lt;=35,"26-35",B4088&lt;=45,"36-45",B4088&lt;=60,"46-60",TRUE,"60+")</f>
        <v>46-60</v>
      </c>
      <c r="N4088" t="str">
        <f t="shared" si="190"/>
        <v>Discounted</v>
      </c>
      <c r="O4088" t="str">
        <f t="shared" si="191"/>
        <v>Returning</v>
      </c>
    </row>
    <row r="4089" spans="1:15" x14ac:dyDescent="0.25">
      <c r="A4089">
        <v>4088</v>
      </c>
      <c r="B4089">
        <v>66</v>
      </c>
      <c r="C4089" t="s">
        <v>16</v>
      </c>
      <c r="D4089" t="s">
        <v>20</v>
      </c>
      <c r="E4089" t="s">
        <v>39</v>
      </c>
      <c r="F4089" s="1">
        <v>181.35</v>
      </c>
      <c r="G4089" t="s">
        <v>19</v>
      </c>
      <c r="H4089" t="s">
        <v>15</v>
      </c>
      <c r="I4089" s="2">
        <v>4</v>
      </c>
      <c r="J4089" s="4">
        <v>23</v>
      </c>
      <c r="K4089" s="3">
        <v>9</v>
      </c>
      <c r="L4089" s="1">
        <f t="shared" si="189"/>
        <v>139.6395</v>
      </c>
      <c r="M4089" t="str" cm="1">
        <f t="array" ref="M4089">_xlfn.IFS(B4089&lt;18,"Under 18",B4089 &lt;=25,"18-25",B4089&lt;=35,"26-35",B4089&lt;=45,"36-45",B4089&lt;=60,"46-60",TRUE,"60+")</f>
        <v>60+</v>
      </c>
      <c r="N4089" t="str">
        <f t="shared" si="190"/>
        <v>Discounted</v>
      </c>
      <c r="O4089" t="str">
        <f t="shared" si="191"/>
        <v>Returning</v>
      </c>
    </row>
    <row r="4090" spans="1:15" x14ac:dyDescent="0.25">
      <c r="A4090">
        <v>4089</v>
      </c>
      <c r="B4090">
        <v>68</v>
      </c>
      <c r="C4090" t="s">
        <v>16</v>
      </c>
      <c r="D4090" t="s">
        <v>27</v>
      </c>
      <c r="E4090" t="s">
        <v>49</v>
      </c>
      <c r="F4090" s="1">
        <v>2171.9299999999998</v>
      </c>
      <c r="G4090" t="s">
        <v>19</v>
      </c>
      <c r="H4090" t="s">
        <v>15</v>
      </c>
      <c r="I4090" s="2">
        <v>3.8</v>
      </c>
      <c r="J4090" s="4">
        <v>14</v>
      </c>
      <c r="K4090" s="3">
        <v>2</v>
      </c>
      <c r="L4090" s="1">
        <f t="shared" si="189"/>
        <v>1867.8597999999997</v>
      </c>
      <c r="M4090" t="str" cm="1">
        <f t="array" ref="M4090">_xlfn.IFS(B4090&lt;18,"Under 18",B4090 &lt;=25,"18-25",B4090&lt;=35,"26-35",B4090&lt;=45,"36-45",B4090&lt;=60,"46-60",TRUE,"60+")</f>
        <v>60+</v>
      </c>
      <c r="N4090" t="str">
        <f t="shared" si="190"/>
        <v>Discounted</v>
      </c>
      <c r="O4090" t="str">
        <f t="shared" si="191"/>
        <v>Returning</v>
      </c>
    </row>
    <row r="4091" spans="1:15" x14ac:dyDescent="0.25">
      <c r="A4091">
        <v>4090</v>
      </c>
      <c r="B4091">
        <v>24</v>
      </c>
      <c r="C4091" t="s">
        <v>11</v>
      </c>
      <c r="D4091" t="s">
        <v>20</v>
      </c>
      <c r="E4091" t="s">
        <v>36</v>
      </c>
      <c r="F4091" s="1">
        <v>164.57</v>
      </c>
      <c r="G4091" t="s">
        <v>19</v>
      </c>
      <c r="H4091" t="s">
        <v>15</v>
      </c>
      <c r="I4091" s="2">
        <v>3</v>
      </c>
      <c r="J4091" s="4">
        <v>14</v>
      </c>
      <c r="K4091" s="3">
        <v>7</v>
      </c>
      <c r="L4091" s="1">
        <f t="shared" si="189"/>
        <v>141.53019999999998</v>
      </c>
      <c r="M4091" t="str" cm="1">
        <f t="array" ref="M4091">_xlfn.IFS(B4091&lt;18,"Under 18",B4091 &lt;=25,"18-25",B4091&lt;=35,"26-35",B4091&lt;=45,"36-45",B4091&lt;=60,"46-60",TRUE,"60+")</f>
        <v>18-25</v>
      </c>
      <c r="N4091" t="str">
        <f t="shared" si="190"/>
        <v>Discounted</v>
      </c>
      <c r="O4091" t="str">
        <f t="shared" si="191"/>
        <v>Returning</v>
      </c>
    </row>
    <row r="4092" spans="1:15" x14ac:dyDescent="0.25">
      <c r="A4092">
        <v>4091</v>
      </c>
      <c r="B4092">
        <v>37</v>
      </c>
      <c r="C4092" t="s">
        <v>16</v>
      </c>
      <c r="D4092" t="s">
        <v>25</v>
      </c>
      <c r="E4092" t="s">
        <v>54</v>
      </c>
      <c r="F4092" s="1">
        <v>18.23</v>
      </c>
      <c r="G4092" t="s">
        <v>14</v>
      </c>
      <c r="H4092" t="s">
        <v>15</v>
      </c>
      <c r="I4092" s="2">
        <v>3.5</v>
      </c>
      <c r="J4092" s="4">
        <v>10</v>
      </c>
      <c r="K4092" s="3">
        <v>5</v>
      </c>
      <c r="L4092" s="1">
        <f t="shared" si="189"/>
        <v>16.407</v>
      </c>
      <c r="M4092" t="str" cm="1">
        <f t="array" ref="M4092">_xlfn.IFS(B4092&lt;18,"Under 18",B4092 &lt;=25,"18-25",B4092&lt;=35,"26-35",B4092&lt;=45,"36-45",B4092&lt;=60,"46-60",TRUE,"60+")</f>
        <v>36-45</v>
      </c>
      <c r="N4092" t="str">
        <f t="shared" si="190"/>
        <v>Discounted</v>
      </c>
      <c r="O4092" t="str">
        <f t="shared" si="191"/>
        <v>Returning</v>
      </c>
    </row>
    <row r="4093" spans="1:15" x14ac:dyDescent="0.25">
      <c r="A4093">
        <v>4092</v>
      </c>
      <c r="B4093">
        <v>64</v>
      </c>
      <c r="C4093" t="s">
        <v>11</v>
      </c>
      <c r="D4093" t="s">
        <v>29</v>
      </c>
      <c r="E4093" t="s">
        <v>55</v>
      </c>
      <c r="F4093" s="1">
        <v>73.92</v>
      </c>
      <c r="G4093" t="s">
        <v>24</v>
      </c>
      <c r="H4093" t="s">
        <v>15</v>
      </c>
      <c r="I4093" s="2">
        <v>3.1</v>
      </c>
      <c r="J4093" s="4">
        <v>7</v>
      </c>
      <c r="K4093" s="3">
        <v>1</v>
      </c>
      <c r="L4093" s="1">
        <f t="shared" si="189"/>
        <v>68.745599999999996</v>
      </c>
      <c r="M4093" t="str" cm="1">
        <f t="array" ref="M4093">_xlfn.IFS(B4093&lt;18,"Under 18",B4093 &lt;=25,"18-25",B4093&lt;=35,"26-35",B4093&lt;=45,"36-45",B4093&lt;=60,"46-60",TRUE,"60+")</f>
        <v>60+</v>
      </c>
      <c r="N4093" t="str">
        <f t="shared" si="190"/>
        <v>Discounted</v>
      </c>
      <c r="O4093" t="str">
        <f t="shared" si="191"/>
        <v>Returning</v>
      </c>
    </row>
    <row r="4094" spans="1:15" x14ac:dyDescent="0.25">
      <c r="A4094">
        <v>4093</v>
      </c>
      <c r="B4094">
        <v>43</v>
      </c>
      <c r="C4094" t="s">
        <v>16</v>
      </c>
      <c r="D4094" t="s">
        <v>20</v>
      </c>
      <c r="E4094" t="s">
        <v>21</v>
      </c>
      <c r="F4094" s="1">
        <v>221.83</v>
      </c>
      <c r="G4094" t="s">
        <v>14</v>
      </c>
      <c r="H4094" t="s">
        <v>15</v>
      </c>
      <c r="I4094" s="2">
        <v>4.3</v>
      </c>
      <c r="J4094" s="4">
        <v>21</v>
      </c>
      <c r="K4094" s="3">
        <v>8</v>
      </c>
      <c r="L4094" s="1">
        <f t="shared" si="189"/>
        <v>175.24570000000003</v>
      </c>
      <c r="M4094" t="str" cm="1">
        <f t="array" ref="M4094">_xlfn.IFS(B4094&lt;18,"Under 18",B4094 &lt;=25,"18-25",B4094&lt;=35,"26-35",B4094&lt;=45,"36-45",B4094&lt;=60,"46-60",TRUE,"60+")</f>
        <v>36-45</v>
      </c>
      <c r="N4094" t="str">
        <f t="shared" si="190"/>
        <v>Discounted</v>
      </c>
      <c r="O4094" t="str">
        <f t="shared" si="191"/>
        <v>Returning</v>
      </c>
    </row>
    <row r="4095" spans="1:15" x14ac:dyDescent="0.25">
      <c r="A4095">
        <v>4094</v>
      </c>
      <c r="B4095">
        <v>68</v>
      </c>
      <c r="C4095" t="s">
        <v>11</v>
      </c>
      <c r="D4095" t="s">
        <v>29</v>
      </c>
      <c r="E4095" t="s">
        <v>51</v>
      </c>
      <c r="F4095" s="1">
        <v>100.18</v>
      </c>
      <c r="G4095" t="s">
        <v>14</v>
      </c>
      <c r="H4095" t="s">
        <v>15</v>
      </c>
      <c r="I4095" s="2">
        <v>3.3</v>
      </c>
      <c r="J4095" s="4">
        <v>18</v>
      </c>
      <c r="K4095" s="3">
        <v>4</v>
      </c>
      <c r="L4095" s="1">
        <f t="shared" si="189"/>
        <v>82.147600000000011</v>
      </c>
      <c r="M4095" t="str" cm="1">
        <f t="array" ref="M4095">_xlfn.IFS(B4095&lt;18,"Under 18",B4095 &lt;=25,"18-25",B4095&lt;=35,"26-35",B4095&lt;=45,"36-45",B4095&lt;=60,"46-60",TRUE,"60+")</f>
        <v>60+</v>
      </c>
      <c r="N4095" t="str">
        <f t="shared" si="190"/>
        <v>Discounted</v>
      </c>
      <c r="O4095" t="str">
        <f t="shared" si="191"/>
        <v>Returning</v>
      </c>
    </row>
    <row r="4096" spans="1:15" x14ac:dyDescent="0.25">
      <c r="A4096">
        <v>4095</v>
      </c>
      <c r="B4096">
        <v>41</v>
      </c>
      <c r="C4096" t="s">
        <v>16</v>
      </c>
      <c r="D4096" t="s">
        <v>20</v>
      </c>
      <c r="E4096" t="s">
        <v>21</v>
      </c>
      <c r="F4096" s="1">
        <v>70.849999999999994</v>
      </c>
      <c r="G4096" t="s">
        <v>31</v>
      </c>
      <c r="H4096" t="s">
        <v>37</v>
      </c>
      <c r="I4096" s="2">
        <v>5</v>
      </c>
      <c r="J4096" s="4">
        <v>18</v>
      </c>
      <c r="K4096" s="3">
        <v>4</v>
      </c>
      <c r="L4096" s="1">
        <f t="shared" si="189"/>
        <v>58.097000000000001</v>
      </c>
      <c r="M4096" t="str" cm="1">
        <f t="array" ref="M4096">_xlfn.IFS(B4096&lt;18,"Under 18",B4096 &lt;=25,"18-25",B4096&lt;=35,"26-35",B4096&lt;=45,"36-45",B4096&lt;=60,"46-60",TRUE,"60+")</f>
        <v>36-45</v>
      </c>
      <c r="N4096" t="str">
        <f t="shared" si="190"/>
        <v>Discounted</v>
      </c>
      <c r="O4096" t="str">
        <f t="shared" si="191"/>
        <v>Returning</v>
      </c>
    </row>
    <row r="4097" spans="1:15" x14ac:dyDescent="0.25">
      <c r="A4097">
        <v>4096</v>
      </c>
      <c r="B4097">
        <v>26</v>
      </c>
      <c r="C4097" t="s">
        <v>11</v>
      </c>
      <c r="D4097" t="s">
        <v>22</v>
      </c>
      <c r="E4097" t="s">
        <v>23</v>
      </c>
      <c r="F4097" s="1">
        <v>209.2</v>
      </c>
      <c r="G4097" t="s">
        <v>19</v>
      </c>
      <c r="H4097" t="s">
        <v>15</v>
      </c>
      <c r="I4097" s="2">
        <v>4.3</v>
      </c>
      <c r="J4097" s="4">
        <v>6</v>
      </c>
      <c r="K4097" s="3">
        <v>3</v>
      </c>
      <c r="L4097" s="1">
        <f t="shared" si="189"/>
        <v>196.64799999999997</v>
      </c>
      <c r="M4097" t="str" cm="1">
        <f t="array" ref="M4097">_xlfn.IFS(B4097&lt;18,"Under 18",B4097 &lt;=25,"18-25",B4097&lt;=35,"26-35",B4097&lt;=45,"36-45",B4097&lt;=60,"46-60",TRUE,"60+")</f>
        <v>26-35</v>
      </c>
      <c r="N4097" t="str">
        <f t="shared" si="190"/>
        <v>Discounted</v>
      </c>
      <c r="O4097" t="str">
        <f t="shared" si="191"/>
        <v>Returning</v>
      </c>
    </row>
    <row r="4098" spans="1:15" x14ac:dyDescent="0.25">
      <c r="A4098">
        <v>4097</v>
      </c>
      <c r="B4098">
        <v>30</v>
      </c>
      <c r="C4098" t="s">
        <v>11</v>
      </c>
      <c r="D4098" t="s">
        <v>41</v>
      </c>
      <c r="E4098" t="s">
        <v>44</v>
      </c>
      <c r="F4098" s="1">
        <v>186.87</v>
      </c>
      <c r="G4098" t="s">
        <v>24</v>
      </c>
      <c r="H4098" t="s">
        <v>15</v>
      </c>
      <c r="I4098" s="2">
        <v>2.6</v>
      </c>
      <c r="J4098" s="4">
        <v>4</v>
      </c>
      <c r="K4098" s="3">
        <v>2</v>
      </c>
      <c r="L4098" s="1">
        <f t="shared" si="189"/>
        <v>179.39519999999999</v>
      </c>
      <c r="M4098" t="str" cm="1">
        <f t="array" ref="M4098">_xlfn.IFS(B4098&lt;18,"Under 18",B4098 &lt;=25,"18-25",B4098&lt;=35,"26-35",B4098&lt;=45,"36-45",B4098&lt;=60,"46-60",TRUE,"60+")</f>
        <v>26-35</v>
      </c>
      <c r="N4098" t="str">
        <f t="shared" si="190"/>
        <v>Discounted</v>
      </c>
      <c r="O4098" t="str">
        <f t="shared" si="191"/>
        <v>Returning</v>
      </c>
    </row>
    <row r="4099" spans="1:15" x14ac:dyDescent="0.25">
      <c r="A4099">
        <v>4098</v>
      </c>
      <c r="B4099">
        <v>68</v>
      </c>
      <c r="C4099" t="s">
        <v>11</v>
      </c>
      <c r="D4099" t="s">
        <v>12</v>
      </c>
      <c r="E4099" t="s">
        <v>56</v>
      </c>
      <c r="F4099" s="1">
        <v>150.12</v>
      </c>
      <c r="G4099" t="s">
        <v>24</v>
      </c>
      <c r="H4099" t="s">
        <v>15</v>
      </c>
      <c r="I4099" s="2">
        <v>2.9</v>
      </c>
      <c r="J4099" s="4">
        <v>6</v>
      </c>
      <c r="K4099" s="3">
        <v>3</v>
      </c>
      <c r="L4099" s="1">
        <f t="shared" ref="L4099:L4162" si="192">F4099 * (1 - J4099 / 100)</f>
        <v>141.11279999999999</v>
      </c>
      <c r="M4099" t="str" cm="1">
        <f t="array" ref="M4099">_xlfn.IFS(B4099&lt;18,"Under 18",B4099 &lt;=25,"18-25",B4099&lt;=35,"26-35",B4099&lt;=45,"36-45",B4099&lt;=60,"46-60",TRUE,"60+")</f>
        <v>60+</v>
      </c>
      <c r="N4099" t="str">
        <f t="shared" ref="N4099:N4162" si="193">IF(J4099&gt;0,"Discounted","No Discount")</f>
        <v>Discounted</v>
      </c>
      <c r="O4099" t="str">
        <f t="shared" ref="O4099:O4162" si="194">IF(K4099&gt;0,"Returning","New")</f>
        <v>Returning</v>
      </c>
    </row>
    <row r="4100" spans="1:15" x14ac:dyDescent="0.25">
      <c r="A4100">
        <v>4099</v>
      </c>
      <c r="B4100">
        <v>26</v>
      </c>
      <c r="C4100" t="s">
        <v>16</v>
      </c>
      <c r="D4100" t="s">
        <v>17</v>
      </c>
      <c r="E4100" t="s">
        <v>42</v>
      </c>
      <c r="F4100" s="1">
        <v>119.13</v>
      </c>
      <c r="G4100" t="s">
        <v>14</v>
      </c>
      <c r="H4100" t="s">
        <v>15</v>
      </c>
      <c r="I4100" s="2">
        <v>4.5</v>
      </c>
      <c r="J4100" s="4">
        <v>6</v>
      </c>
      <c r="K4100" s="3">
        <v>3</v>
      </c>
      <c r="L4100" s="1">
        <f t="shared" si="192"/>
        <v>111.98219999999999</v>
      </c>
      <c r="M4100" t="str" cm="1">
        <f t="array" ref="M4100">_xlfn.IFS(B4100&lt;18,"Under 18",B4100 &lt;=25,"18-25",B4100&lt;=35,"26-35",B4100&lt;=45,"36-45",B4100&lt;=60,"46-60",TRUE,"60+")</f>
        <v>26-35</v>
      </c>
      <c r="N4100" t="str">
        <f t="shared" si="193"/>
        <v>Discounted</v>
      </c>
      <c r="O4100" t="str">
        <f t="shared" si="194"/>
        <v>Returning</v>
      </c>
    </row>
    <row r="4101" spans="1:15" x14ac:dyDescent="0.25">
      <c r="A4101">
        <v>4100</v>
      </c>
      <c r="B4101">
        <v>40</v>
      </c>
      <c r="C4101" t="s">
        <v>16</v>
      </c>
      <c r="D4101" t="s">
        <v>27</v>
      </c>
      <c r="E4101" t="s">
        <v>49</v>
      </c>
      <c r="F4101" s="1">
        <v>2011.55</v>
      </c>
      <c r="G4101" t="s">
        <v>24</v>
      </c>
      <c r="H4101" t="s">
        <v>15</v>
      </c>
      <c r="I4101" s="2">
        <v>3.8</v>
      </c>
      <c r="J4101" s="4">
        <v>10</v>
      </c>
      <c r="K4101" s="3">
        <v>5</v>
      </c>
      <c r="L4101" s="1">
        <f t="shared" si="192"/>
        <v>1810.395</v>
      </c>
      <c r="M4101" t="str" cm="1">
        <f t="array" ref="M4101">_xlfn.IFS(B4101&lt;18,"Under 18",B4101 &lt;=25,"18-25",B4101&lt;=35,"26-35",B4101&lt;=45,"36-45",B4101&lt;=60,"46-60",TRUE,"60+")</f>
        <v>36-45</v>
      </c>
      <c r="N4101" t="str">
        <f t="shared" si="193"/>
        <v>Discounted</v>
      </c>
      <c r="O4101" t="str">
        <f t="shared" si="194"/>
        <v>Returning</v>
      </c>
    </row>
    <row r="4102" spans="1:15" x14ac:dyDescent="0.25">
      <c r="A4102">
        <v>4101</v>
      </c>
      <c r="B4102">
        <v>65</v>
      </c>
      <c r="C4102" t="s">
        <v>11</v>
      </c>
      <c r="D4102" t="s">
        <v>12</v>
      </c>
      <c r="E4102" t="s">
        <v>50</v>
      </c>
      <c r="F4102" s="1">
        <v>98.52</v>
      </c>
      <c r="G4102" t="s">
        <v>31</v>
      </c>
      <c r="H4102" t="s">
        <v>37</v>
      </c>
      <c r="I4102" s="2">
        <v>5</v>
      </c>
      <c r="J4102" s="4">
        <v>12</v>
      </c>
      <c r="K4102" s="3">
        <v>6</v>
      </c>
      <c r="L4102" s="1">
        <f t="shared" si="192"/>
        <v>86.697599999999994</v>
      </c>
      <c r="M4102" t="str" cm="1">
        <f t="array" ref="M4102">_xlfn.IFS(B4102&lt;18,"Under 18",B4102 &lt;=25,"18-25",B4102&lt;=35,"26-35",B4102&lt;=45,"36-45",B4102&lt;=60,"46-60",TRUE,"60+")</f>
        <v>60+</v>
      </c>
      <c r="N4102" t="str">
        <f t="shared" si="193"/>
        <v>Discounted</v>
      </c>
      <c r="O4102" t="str">
        <f t="shared" si="194"/>
        <v>Returning</v>
      </c>
    </row>
    <row r="4103" spans="1:15" x14ac:dyDescent="0.25">
      <c r="A4103">
        <v>4102</v>
      </c>
      <c r="B4103">
        <v>53</v>
      </c>
      <c r="C4103" t="s">
        <v>16</v>
      </c>
      <c r="D4103" t="s">
        <v>20</v>
      </c>
      <c r="E4103" t="s">
        <v>21</v>
      </c>
      <c r="F4103" s="1">
        <v>138.94</v>
      </c>
      <c r="G4103" t="s">
        <v>14</v>
      </c>
      <c r="H4103" t="s">
        <v>15</v>
      </c>
      <c r="I4103" s="2">
        <v>3.6</v>
      </c>
      <c r="J4103" s="4">
        <v>10</v>
      </c>
      <c r="K4103" s="3">
        <v>5</v>
      </c>
      <c r="L4103" s="1">
        <f t="shared" si="192"/>
        <v>125.04600000000001</v>
      </c>
      <c r="M4103" t="str" cm="1">
        <f t="array" ref="M4103">_xlfn.IFS(B4103&lt;18,"Under 18",B4103 &lt;=25,"18-25",B4103&lt;=35,"26-35",B4103&lt;=45,"36-45",B4103&lt;=60,"46-60",TRUE,"60+")</f>
        <v>46-60</v>
      </c>
      <c r="N4103" t="str">
        <f t="shared" si="193"/>
        <v>Discounted</v>
      </c>
      <c r="O4103" t="str">
        <f t="shared" si="194"/>
        <v>Returning</v>
      </c>
    </row>
    <row r="4104" spans="1:15" x14ac:dyDescent="0.25">
      <c r="A4104">
        <v>4103</v>
      </c>
      <c r="B4104">
        <v>60</v>
      </c>
      <c r="C4104" t="s">
        <v>11</v>
      </c>
      <c r="D4104" t="s">
        <v>12</v>
      </c>
      <c r="E4104" t="s">
        <v>13</v>
      </c>
      <c r="F4104" s="1">
        <v>84.56</v>
      </c>
      <c r="G4104" t="s">
        <v>19</v>
      </c>
      <c r="H4104" t="s">
        <v>37</v>
      </c>
      <c r="I4104" s="2">
        <v>3.5</v>
      </c>
      <c r="J4104" s="4">
        <v>22</v>
      </c>
      <c r="K4104" s="3">
        <v>6</v>
      </c>
      <c r="L4104" s="1">
        <f t="shared" si="192"/>
        <v>65.956800000000001</v>
      </c>
      <c r="M4104" t="str" cm="1">
        <f t="array" ref="M4104">_xlfn.IFS(B4104&lt;18,"Under 18",B4104 &lt;=25,"18-25",B4104&lt;=35,"26-35",B4104&lt;=45,"36-45",B4104&lt;=60,"46-60",TRUE,"60+")</f>
        <v>46-60</v>
      </c>
      <c r="N4104" t="str">
        <f t="shared" si="193"/>
        <v>Discounted</v>
      </c>
      <c r="O4104" t="str">
        <f t="shared" si="194"/>
        <v>Returning</v>
      </c>
    </row>
    <row r="4105" spans="1:15" x14ac:dyDescent="0.25">
      <c r="A4105">
        <v>4104</v>
      </c>
      <c r="B4105">
        <v>58</v>
      </c>
      <c r="C4105" t="s">
        <v>11</v>
      </c>
      <c r="D4105" t="s">
        <v>41</v>
      </c>
      <c r="E4105" t="s">
        <v>46</v>
      </c>
      <c r="F4105" s="1">
        <v>71.760000000000005</v>
      </c>
      <c r="G4105" t="s">
        <v>19</v>
      </c>
      <c r="H4105" t="s">
        <v>15</v>
      </c>
      <c r="I4105" s="2">
        <v>5</v>
      </c>
      <c r="J4105" s="4">
        <v>9</v>
      </c>
      <c r="K4105" s="3">
        <v>2</v>
      </c>
      <c r="L4105" s="1">
        <f t="shared" si="192"/>
        <v>65.301600000000008</v>
      </c>
      <c r="M4105" t="str" cm="1">
        <f t="array" ref="M4105">_xlfn.IFS(B4105&lt;18,"Under 18",B4105 &lt;=25,"18-25",B4105&lt;=35,"26-35",B4105&lt;=45,"36-45",B4105&lt;=60,"46-60",TRUE,"60+")</f>
        <v>46-60</v>
      </c>
      <c r="N4105" t="str">
        <f t="shared" si="193"/>
        <v>Discounted</v>
      </c>
      <c r="O4105" t="str">
        <f t="shared" si="194"/>
        <v>Returning</v>
      </c>
    </row>
    <row r="4106" spans="1:15" x14ac:dyDescent="0.25">
      <c r="A4106">
        <v>4105</v>
      </c>
      <c r="B4106">
        <v>47</v>
      </c>
      <c r="C4106" t="s">
        <v>16</v>
      </c>
      <c r="D4106" t="s">
        <v>27</v>
      </c>
      <c r="E4106" t="s">
        <v>49</v>
      </c>
      <c r="F4106" s="1">
        <v>2924.57</v>
      </c>
      <c r="G4106" t="s">
        <v>24</v>
      </c>
      <c r="H4106" t="s">
        <v>15</v>
      </c>
      <c r="I4106" s="2">
        <v>3.5</v>
      </c>
      <c r="J4106" s="4">
        <v>13</v>
      </c>
      <c r="K4106" s="3">
        <v>4</v>
      </c>
      <c r="L4106" s="1">
        <f t="shared" si="192"/>
        <v>2544.3759</v>
      </c>
      <c r="M4106" t="str" cm="1">
        <f t="array" ref="M4106">_xlfn.IFS(B4106&lt;18,"Under 18",B4106 &lt;=25,"18-25",B4106&lt;=35,"26-35",B4106&lt;=45,"36-45",B4106&lt;=60,"46-60",TRUE,"60+")</f>
        <v>46-60</v>
      </c>
      <c r="N4106" t="str">
        <f t="shared" si="193"/>
        <v>Discounted</v>
      </c>
      <c r="O4106" t="str">
        <f t="shared" si="194"/>
        <v>Returning</v>
      </c>
    </row>
    <row r="4107" spans="1:15" x14ac:dyDescent="0.25">
      <c r="A4107">
        <v>4106</v>
      </c>
      <c r="B4107">
        <v>57</v>
      </c>
      <c r="C4107" t="s">
        <v>11</v>
      </c>
      <c r="D4107" t="s">
        <v>12</v>
      </c>
      <c r="E4107" t="s">
        <v>13</v>
      </c>
      <c r="F4107" s="1">
        <v>96.5</v>
      </c>
      <c r="G4107" t="s">
        <v>19</v>
      </c>
      <c r="H4107" t="s">
        <v>15</v>
      </c>
      <c r="I4107" s="2">
        <v>2.9</v>
      </c>
      <c r="J4107" s="4">
        <v>13</v>
      </c>
      <c r="K4107" s="3">
        <v>4</v>
      </c>
      <c r="L4107" s="1">
        <f t="shared" si="192"/>
        <v>83.954999999999998</v>
      </c>
      <c r="M4107" t="str" cm="1">
        <f t="array" ref="M4107">_xlfn.IFS(B4107&lt;18,"Under 18",B4107 &lt;=25,"18-25",B4107&lt;=35,"26-35",B4107&lt;=45,"36-45",B4107&lt;=60,"46-60",TRUE,"60+")</f>
        <v>46-60</v>
      </c>
      <c r="N4107" t="str">
        <f t="shared" si="193"/>
        <v>Discounted</v>
      </c>
      <c r="O4107" t="str">
        <f t="shared" si="194"/>
        <v>Returning</v>
      </c>
    </row>
    <row r="4108" spans="1:15" x14ac:dyDescent="0.25">
      <c r="A4108">
        <v>4107</v>
      </c>
      <c r="B4108">
        <v>62</v>
      </c>
      <c r="C4108" t="s">
        <v>11</v>
      </c>
      <c r="D4108" t="s">
        <v>33</v>
      </c>
      <c r="E4108" t="s">
        <v>40</v>
      </c>
      <c r="F4108" s="1">
        <v>93.71</v>
      </c>
      <c r="G4108" t="s">
        <v>31</v>
      </c>
      <c r="H4108" t="s">
        <v>15</v>
      </c>
      <c r="I4108" s="2">
        <v>3.4</v>
      </c>
      <c r="J4108" s="4">
        <v>14</v>
      </c>
      <c r="K4108" s="3">
        <v>7</v>
      </c>
      <c r="L4108" s="1">
        <f t="shared" si="192"/>
        <v>80.590599999999995</v>
      </c>
      <c r="M4108" t="str" cm="1">
        <f t="array" ref="M4108">_xlfn.IFS(B4108&lt;18,"Under 18",B4108 &lt;=25,"18-25",B4108&lt;=35,"26-35",B4108&lt;=45,"36-45",B4108&lt;=60,"46-60",TRUE,"60+")</f>
        <v>60+</v>
      </c>
      <c r="N4108" t="str">
        <f t="shared" si="193"/>
        <v>Discounted</v>
      </c>
      <c r="O4108" t="str">
        <f t="shared" si="194"/>
        <v>Returning</v>
      </c>
    </row>
    <row r="4109" spans="1:15" x14ac:dyDescent="0.25">
      <c r="A4109">
        <v>4108</v>
      </c>
      <c r="B4109">
        <v>59</v>
      </c>
      <c r="C4109" t="s">
        <v>11</v>
      </c>
      <c r="D4109" t="s">
        <v>41</v>
      </c>
      <c r="E4109" t="s">
        <v>46</v>
      </c>
      <c r="F4109" s="1">
        <v>107.94</v>
      </c>
      <c r="G4109" t="s">
        <v>24</v>
      </c>
      <c r="H4109" t="s">
        <v>15</v>
      </c>
      <c r="I4109" s="2">
        <v>3.5</v>
      </c>
      <c r="J4109" s="4">
        <v>10</v>
      </c>
      <c r="K4109" s="3">
        <v>5</v>
      </c>
      <c r="L4109" s="1">
        <f t="shared" si="192"/>
        <v>97.146000000000001</v>
      </c>
      <c r="M4109" t="str" cm="1">
        <f t="array" ref="M4109">_xlfn.IFS(B4109&lt;18,"Under 18",B4109 &lt;=25,"18-25",B4109&lt;=35,"26-35",B4109&lt;=45,"36-45",B4109&lt;=60,"46-60",TRUE,"60+")</f>
        <v>46-60</v>
      </c>
      <c r="N4109" t="str">
        <f t="shared" si="193"/>
        <v>Discounted</v>
      </c>
      <c r="O4109" t="str">
        <f t="shared" si="194"/>
        <v>Returning</v>
      </c>
    </row>
    <row r="4110" spans="1:15" x14ac:dyDescent="0.25">
      <c r="A4110">
        <v>4109</v>
      </c>
      <c r="B4110">
        <v>29</v>
      </c>
      <c r="C4110" t="s">
        <v>16</v>
      </c>
      <c r="D4110" t="s">
        <v>33</v>
      </c>
      <c r="E4110" t="s">
        <v>40</v>
      </c>
      <c r="F4110" s="1">
        <v>75.989999999999995</v>
      </c>
      <c r="G4110" t="s">
        <v>19</v>
      </c>
      <c r="H4110" t="s">
        <v>37</v>
      </c>
      <c r="I4110" s="2">
        <v>4.5999999999999996</v>
      </c>
      <c r="J4110" s="4">
        <v>18</v>
      </c>
      <c r="K4110" s="3">
        <v>4</v>
      </c>
      <c r="L4110" s="1">
        <f t="shared" si="192"/>
        <v>62.311799999999998</v>
      </c>
      <c r="M4110" t="str" cm="1">
        <f t="array" ref="M4110">_xlfn.IFS(B4110&lt;18,"Under 18",B4110 &lt;=25,"18-25",B4110&lt;=35,"26-35",B4110&lt;=45,"36-45",B4110&lt;=60,"46-60",TRUE,"60+")</f>
        <v>26-35</v>
      </c>
      <c r="N4110" t="str">
        <f t="shared" si="193"/>
        <v>Discounted</v>
      </c>
      <c r="O4110" t="str">
        <f t="shared" si="194"/>
        <v>Returning</v>
      </c>
    </row>
    <row r="4111" spans="1:15" x14ac:dyDescent="0.25">
      <c r="A4111">
        <v>4110</v>
      </c>
      <c r="B4111">
        <v>39</v>
      </c>
      <c r="C4111" t="s">
        <v>11</v>
      </c>
      <c r="D4111" t="s">
        <v>41</v>
      </c>
      <c r="E4111" t="s">
        <v>46</v>
      </c>
      <c r="F4111" s="1">
        <v>154.16999999999999</v>
      </c>
      <c r="G4111" t="s">
        <v>14</v>
      </c>
      <c r="H4111" t="s">
        <v>15</v>
      </c>
      <c r="I4111" s="2">
        <v>4</v>
      </c>
      <c r="J4111" s="4">
        <v>23</v>
      </c>
      <c r="K4111" s="3">
        <v>9</v>
      </c>
      <c r="L4111" s="1">
        <f t="shared" si="192"/>
        <v>118.7109</v>
      </c>
      <c r="M4111" t="str" cm="1">
        <f t="array" ref="M4111">_xlfn.IFS(B4111&lt;18,"Under 18",B4111 &lt;=25,"18-25",B4111&lt;=35,"26-35",B4111&lt;=45,"36-45",B4111&lt;=60,"46-60",TRUE,"60+")</f>
        <v>36-45</v>
      </c>
      <c r="N4111" t="str">
        <f t="shared" si="193"/>
        <v>Discounted</v>
      </c>
      <c r="O4111" t="str">
        <f t="shared" si="194"/>
        <v>Returning</v>
      </c>
    </row>
    <row r="4112" spans="1:15" x14ac:dyDescent="0.25">
      <c r="A4112">
        <v>4111</v>
      </c>
      <c r="B4112">
        <v>23</v>
      </c>
      <c r="C4112" t="s">
        <v>11</v>
      </c>
      <c r="D4112" t="s">
        <v>12</v>
      </c>
      <c r="E4112" t="s">
        <v>13</v>
      </c>
      <c r="F4112" s="1">
        <v>100.67</v>
      </c>
      <c r="G4112" t="s">
        <v>31</v>
      </c>
      <c r="H4112" t="s">
        <v>15</v>
      </c>
      <c r="I4112" s="2">
        <v>3.7</v>
      </c>
      <c r="J4112" s="4">
        <v>18</v>
      </c>
      <c r="K4112" s="3">
        <v>4</v>
      </c>
      <c r="L4112" s="1">
        <f t="shared" si="192"/>
        <v>82.549400000000006</v>
      </c>
      <c r="M4112" t="str" cm="1">
        <f t="array" ref="M4112">_xlfn.IFS(B4112&lt;18,"Under 18",B4112 &lt;=25,"18-25",B4112&lt;=35,"26-35",B4112&lt;=45,"36-45",B4112&lt;=60,"46-60",TRUE,"60+")</f>
        <v>18-25</v>
      </c>
      <c r="N4112" t="str">
        <f t="shared" si="193"/>
        <v>Discounted</v>
      </c>
      <c r="O4112" t="str">
        <f t="shared" si="194"/>
        <v>Returning</v>
      </c>
    </row>
    <row r="4113" spans="1:15" x14ac:dyDescent="0.25">
      <c r="A4113">
        <v>4112</v>
      </c>
      <c r="B4113">
        <v>63</v>
      </c>
      <c r="C4113" t="s">
        <v>11</v>
      </c>
      <c r="D4113" t="s">
        <v>33</v>
      </c>
      <c r="E4113" t="s">
        <v>38</v>
      </c>
      <c r="F4113" s="1">
        <v>116.77</v>
      </c>
      <c r="G4113" t="s">
        <v>31</v>
      </c>
      <c r="H4113" t="s">
        <v>15</v>
      </c>
      <c r="I4113" s="2">
        <v>4.3</v>
      </c>
      <c r="J4113" s="4">
        <v>26</v>
      </c>
      <c r="K4113" s="3">
        <v>8</v>
      </c>
      <c r="L4113" s="1">
        <f t="shared" si="192"/>
        <v>86.40979999999999</v>
      </c>
      <c r="M4113" t="str" cm="1">
        <f t="array" ref="M4113">_xlfn.IFS(B4113&lt;18,"Under 18",B4113 &lt;=25,"18-25",B4113&lt;=35,"26-35",B4113&lt;=45,"36-45",B4113&lt;=60,"46-60",TRUE,"60+")</f>
        <v>60+</v>
      </c>
      <c r="N4113" t="str">
        <f t="shared" si="193"/>
        <v>Discounted</v>
      </c>
      <c r="O4113" t="str">
        <f t="shared" si="194"/>
        <v>Returning</v>
      </c>
    </row>
    <row r="4114" spans="1:15" x14ac:dyDescent="0.25">
      <c r="A4114">
        <v>4113</v>
      </c>
      <c r="B4114">
        <v>38</v>
      </c>
      <c r="C4114" t="s">
        <v>16</v>
      </c>
      <c r="D4114" t="s">
        <v>33</v>
      </c>
      <c r="E4114" t="s">
        <v>38</v>
      </c>
      <c r="F4114" s="1">
        <v>157.97999999999999</v>
      </c>
      <c r="G4114" t="s">
        <v>31</v>
      </c>
      <c r="H4114" t="s">
        <v>15</v>
      </c>
      <c r="I4114" s="2">
        <v>4.9000000000000004</v>
      </c>
      <c r="J4114" s="4">
        <v>22</v>
      </c>
      <c r="K4114" s="3">
        <v>6</v>
      </c>
      <c r="L4114" s="1">
        <f t="shared" si="192"/>
        <v>123.2244</v>
      </c>
      <c r="M4114" t="str" cm="1">
        <f t="array" ref="M4114">_xlfn.IFS(B4114&lt;18,"Under 18",B4114 &lt;=25,"18-25",B4114&lt;=35,"26-35",B4114&lt;=45,"36-45",B4114&lt;=60,"46-60",TRUE,"60+")</f>
        <v>36-45</v>
      </c>
      <c r="N4114" t="str">
        <f t="shared" si="193"/>
        <v>Discounted</v>
      </c>
      <c r="O4114" t="str">
        <f t="shared" si="194"/>
        <v>Returning</v>
      </c>
    </row>
    <row r="4115" spans="1:15" x14ac:dyDescent="0.25">
      <c r="A4115">
        <v>4114</v>
      </c>
      <c r="B4115">
        <v>63</v>
      </c>
      <c r="C4115" t="s">
        <v>11</v>
      </c>
      <c r="D4115" t="s">
        <v>20</v>
      </c>
      <c r="E4115" t="s">
        <v>21</v>
      </c>
      <c r="F4115" s="1">
        <v>108.5</v>
      </c>
      <c r="G4115" t="s">
        <v>14</v>
      </c>
      <c r="H4115" t="s">
        <v>15</v>
      </c>
      <c r="I4115" s="2">
        <v>3.5</v>
      </c>
      <c r="J4115" s="4">
        <v>17</v>
      </c>
      <c r="K4115" s="3">
        <v>6</v>
      </c>
      <c r="L4115" s="1">
        <f t="shared" si="192"/>
        <v>90.054999999999993</v>
      </c>
      <c r="M4115" t="str" cm="1">
        <f t="array" ref="M4115">_xlfn.IFS(B4115&lt;18,"Under 18",B4115 &lt;=25,"18-25",B4115&lt;=35,"26-35",B4115&lt;=45,"36-45",B4115&lt;=60,"46-60",TRUE,"60+")</f>
        <v>60+</v>
      </c>
      <c r="N4115" t="str">
        <f t="shared" si="193"/>
        <v>Discounted</v>
      </c>
      <c r="O4115" t="str">
        <f t="shared" si="194"/>
        <v>Returning</v>
      </c>
    </row>
    <row r="4116" spans="1:15" x14ac:dyDescent="0.25">
      <c r="A4116">
        <v>4115</v>
      </c>
      <c r="B4116">
        <v>44</v>
      </c>
      <c r="C4116" t="s">
        <v>16</v>
      </c>
      <c r="D4116" t="s">
        <v>33</v>
      </c>
      <c r="E4116" t="s">
        <v>40</v>
      </c>
      <c r="F4116" s="1">
        <v>45.36</v>
      </c>
      <c r="G4116" t="s">
        <v>31</v>
      </c>
      <c r="H4116" t="s">
        <v>15</v>
      </c>
      <c r="I4116" s="2">
        <v>3</v>
      </c>
      <c r="J4116" s="4">
        <v>28</v>
      </c>
      <c r="K4116" s="3">
        <v>9</v>
      </c>
      <c r="L4116" s="1">
        <f t="shared" si="192"/>
        <v>32.659199999999998</v>
      </c>
      <c r="M4116" t="str" cm="1">
        <f t="array" ref="M4116">_xlfn.IFS(B4116&lt;18,"Under 18",B4116 &lt;=25,"18-25",B4116&lt;=35,"26-35",B4116&lt;=45,"36-45",B4116&lt;=60,"46-60",TRUE,"60+")</f>
        <v>36-45</v>
      </c>
      <c r="N4116" t="str">
        <f t="shared" si="193"/>
        <v>Discounted</v>
      </c>
      <c r="O4116" t="str">
        <f t="shared" si="194"/>
        <v>Returning</v>
      </c>
    </row>
    <row r="4117" spans="1:15" x14ac:dyDescent="0.25">
      <c r="A4117">
        <v>4116</v>
      </c>
      <c r="B4117">
        <v>68</v>
      </c>
      <c r="C4117" t="s">
        <v>16</v>
      </c>
      <c r="D4117" t="s">
        <v>17</v>
      </c>
      <c r="E4117" t="s">
        <v>42</v>
      </c>
      <c r="F4117" s="1">
        <v>185.02</v>
      </c>
      <c r="G4117" t="s">
        <v>14</v>
      </c>
      <c r="H4117" t="s">
        <v>15</v>
      </c>
      <c r="I4117" s="2">
        <v>3.8</v>
      </c>
      <c r="J4117" s="4">
        <v>14</v>
      </c>
      <c r="K4117" s="3">
        <v>2</v>
      </c>
      <c r="L4117" s="1">
        <f t="shared" si="192"/>
        <v>159.1172</v>
      </c>
      <c r="M4117" t="str" cm="1">
        <f t="array" ref="M4117">_xlfn.IFS(B4117&lt;18,"Under 18",B4117 &lt;=25,"18-25",B4117&lt;=35,"26-35",B4117&lt;=45,"36-45",B4117&lt;=60,"46-60",TRUE,"60+")</f>
        <v>60+</v>
      </c>
      <c r="N4117" t="str">
        <f t="shared" si="193"/>
        <v>Discounted</v>
      </c>
      <c r="O4117" t="str">
        <f t="shared" si="194"/>
        <v>Returning</v>
      </c>
    </row>
    <row r="4118" spans="1:15" x14ac:dyDescent="0.25">
      <c r="A4118">
        <v>4117</v>
      </c>
      <c r="B4118">
        <v>63</v>
      </c>
      <c r="C4118" t="s">
        <v>11</v>
      </c>
      <c r="D4118" t="s">
        <v>41</v>
      </c>
      <c r="E4118" t="s">
        <v>42</v>
      </c>
      <c r="F4118" s="1">
        <v>44.04</v>
      </c>
      <c r="G4118" t="s">
        <v>24</v>
      </c>
      <c r="H4118" t="s">
        <v>15</v>
      </c>
      <c r="I4118" s="2">
        <v>5</v>
      </c>
      <c r="J4118" s="4">
        <v>16</v>
      </c>
      <c r="K4118" s="3">
        <v>3</v>
      </c>
      <c r="L4118" s="1">
        <f t="shared" si="192"/>
        <v>36.993600000000001</v>
      </c>
      <c r="M4118" t="str" cm="1">
        <f t="array" ref="M4118">_xlfn.IFS(B4118&lt;18,"Under 18",B4118 &lt;=25,"18-25",B4118&lt;=35,"26-35",B4118&lt;=45,"36-45",B4118&lt;=60,"46-60",TRUE,"60+")</f>
        <v>60+</v>
      </c>
      <c r="N4118" t="str">
        <f t="shared" si="193"/>
        <v>Discounted</v>
      </c>
      <c r="O4118" t="str">
        <f t="shared" si="194"/>
        <v>Returning</v>
      </c>
    </row>
    <row r="4119" spans="1:15" x14ac:dyDescent="0.25">
      <c r="A4119">
        <v>4118</v>
      </c>
      <c r="B4119">
        <v>27</v>
      </c>
      <c r="C4119" t="s">
        <v>16</v>
      </c>
      <c r="D4119" t="s">
        <v>20</v>
      </c>
      <c r="E4119" t="s">
        <v>39</v>
      </c>
      <c r="F4119" s="1">
        <v>100.08</v>
      </c>
      <c r="G4119" t="s">
        <v>19</v>
      </c>
      <c r="H4119" t="s">
        <v>15</v>
      </c>
      <c r="I4119" s="2">
        <v>3.6</v>
      </c>
      <c r="J4119" s="4">
        <v>5</v>
      </c>
      <c r="K4119" s="3">
        <v>0</v>
      </c>
      <c r="L4119" s="1">
        <f t="shared" si="192"/>
        <v>95.075999999999993</v>
      </c>
      <c r="M4119" t="str" cm="1">
        <f t="array" ref="M4119">_xlfn.IFS(B4119&lt;18,"Under 18",B4119 &lt;=25,"18-25",B4119&lt;=35,"26-35",B4119&lt;=45,"36-45",B4119&lt;=60,"46-60",TRUE,"60+")</f>
        <v>26-35</v>
      </c>
      <c r="N4119" t="str">
        <f t="shared" si="193"/>
        <v>Discounted</v>
      </c>
      <c r="O4119" t="str">
        <f t="shared" si="194"/>
        <v>New</v>
      </c>
    </row>
    <row r="4120" spans="1:15" x14ac:dyDescent="0.25">
      <c r="A4120">
        <v>4119</v>
      </c>
      <c r="B4120">
        <v>49</v>
      </c>
      <c r="C4120" t="s">
        <v>11</v>
      </c>
      <c r="D4120" t="s">
        <v>20</v>
      </c>
      <c r="E4120" t="s">
        <v>36</v>
      </c>
      <c r="F4120" s="1">
        <v>107.29</v>
      </c>
      <c r="G4120" t="s">
        <v>24</v>
      </c>
      <c r="H4120" t="s">
        <v>15</v>
      </c>
      <c r="I4120" s="2">
        <v>3.8</v>
      </c>
      <c r="J4120" s="4">
        <v>16</v>
      </c>
      <c r="K4120" s="3">
        <v>8</v>
      </c>
      <c r="L4120" s="1">
        <f t="shared" si="192"/>
        <v>90.123599999999996</v>
      </c>
      <c r="M4120" t="str" cm="1">
        <f t="array" ref="M4120">_xlfn.IFS(B4120&lt;18,"Under 18",B4120 &lt;=25,"18-25",B4120&lt;=35,"26-35",B4120&lt;=45,"36-45",B4120&lt;=60,"46-60",TRUE,"60+")</f>
        <v>46-60</v>
      </c>
      <c r="N4120" t="str">
        <f t="shared" si="193"/>
        <v>Discounted</v>
      </c>
      <c r="O4120" t="str">
        <f t="shared" si="194"/>
        <v>Returning</v>
      </c>
    </row>
    <row r="4121" spans="1:15" x14ac:dyDescent="0.25">
      <c r="A4121">
        <v>4120</v>
      </c>
      <c r="B4121">
        <v>43</v>
      </c>
      <c r="C4121" t="s">
        <v>11</v>
      </c>
      <c r="D4121" t="s">
        <v>22</v>
      </c>
      <c r="E4121" t="s">
        <v>52</v>
      </c>
      <c r="F4121" s="1">
        <v>163.18</v>
      </c>
      <c r="G4121" t="s">
        <v>31</v>
      </c>
      <c r="H4121" t="s">
        <v>15</v>
      </c>
      <c r="I4121" s="2">
        <v>5</v>
      </c>
      <c r="J4121" s="4">
        <v>6</v>
      </c>
      <c r="K4121" s="3">
        <v>3</v>
      </c>
      <c r="L4121" s="1">
        <f t="shared" si="192"/>
        <v>153.38919999999999</v>
      </c>
      <c r="M4121" t="str" cm="1">
        <f t="array" ref="M4121">_xlfn.IFS(B4121&lt;18,"Under 18",B4121 &lt;=25,"18-25",B4121&lt;=35,"26-35",B4121&lt;=45,"36-45",B4121&lt;=60,"46-60",TRUE,"60+")</f>
        <v>36-45</v>
      </c>
      <c r="N4121" t="str">
        <f t="shared" si="193"/>
        <v>Discounted</v>
      </c>
      <c r="O4121" t="str">
        <f t="shared" si="194"/>
        <v>Returning</v>
      </c>
    </row>
    <row r="4122" spans="1:15" x14ac:dyDescent="0.25">
      <c r="A4122">
        <v>4121</v>
      </c>
      <c r="B4122">
        <v>67</v>
      </c>
      <c r="C4122" t="s">
        <v>11</v>
      </c>
      <c r="D4122" t="s">
        <v>29</v>
      </c>
      <c r="E4122" t="s">
        <v>30</v>
      </c>
      <c r="F4122" s="1">
        <v>58.38</v>
      </c>
      <c r="G4122" t="s">
        <v>31</v>
      </c>
      <c r="H4122" t="s">
        <v>15</v>
      </c>
      <c r="I4122" s="2">
        <v>4</v>
      </c>
      <c r="J4122" s="4">
        <v>12</v>
      </c>
      <c r="K4122" s="3">
        <v>6</v>
      </c>
      <c r="L4122" s="1">
        <f t="shared" si="192"/>
        <v>51.374400000000001</v>
      </c>
      <c r="M4122" t="str" cm="1">
        <f t="array" ref="M4122">_xlfn.IFS(B4122&lt;18,"Under 18",B4122 &lt;=25,"18-25",B4122&lt;=35,"26-35",B4122&lt;=45,"36-45",B4122&lt;=60,"46-60",TRUE,"60+")</f>
        <v>60+</v>
      </c>
      <c r="N4122" t="str">
        <f t="shared" si="193"/>
        <v>Discounted</v>
      </c>
      <c r="O4122" t="str">
        <f t="shared" si="194"/>
        <v>Returning</v>
      </c>
    </row>
    <row r="4123" spans="1:15" x14ac:dyDescent="0.25">
      <c r="A4123">
        <v>4122</v>
      </c>
      <c r="B4123">
        <v>69</v>
      </c>
      <c r="C4123" t="s">
        <v>16</v>
      </c>
      <c r="D4123" t="s">
        <v>20</v>
      </c>
      <c r="E4123" t="s">
        <v>21</v>
      </c>
      <c r="F4123" s="1">
        <v>169.84</v>
      </c>
      <c r="G4123" t="s">
        <v>19</v>
      </c>
      <c r="H4123" t="s">
        <v>15</v>
      </c>
      <c r="I4123" s="2">
        <v>3.5</v>
      </c>
      <c r="J4123" s="4">
        <v>18</v>
      </c>
      <c r="K4123" s="3">
        <v>4</v>
      </c>
      <c r="L4123" s="1">
        <f t="shared" si="192"/>
        <v>139.26880000000003</v>
      </c>
      <c r="M4123" t="str" cm="1">
        <f t="array" ref="M4123">_xlfn.IFS(B4123&lt;18,"Under 18",B4123 &lt;=25,"18-25",B4123&lt;=35,"26-35",B4123&lt;=45,"36-45",B4123&lt;=60,"46-60",TRUE,"60+")</f>
        <v>60+</v>
      </c>
      <c r="N4123" t="str">
        <f t="shared" si="193"/>
        <v>Discounted</v>
      </c>
      <c r="O4123" t="str">
        <f t="shared" si="194"/>
        <v>Returning</v>
      </c>
    </row>
    <row r="4124" spans="1:15" x14ac:dyDescent="0.25">
      <c r="A4124">
        <v>4123</v>
      </c>
      <c r="B4124">
        <v>20</v>
      </c>
      <c r="C4124" t="s">
        <v>11</v>
      </c>
      <c r="D4124" t="s">
        <v>12</v>
      </c>
      <c r="E4124" t="s">
        <v>50</v>
      </c>
      <c r="F4124" s="1">
        <v>145.22</v>
      </c>
      <c r="G4124" t="s">
        <v>14</v>
      </c>
      <c r="H4124" t="s">
        <v>15</v>
      </c>
      <c r="I4124" s="2">
        <v>3.8</v>
      </c>
      <c r="J4124" s="4">
        <v>20</v>
      </c>
      <c r="K4124" s="3">
        <v>5</v>
      </c>
      <c r="L4124" s="1">
        <f t="shared" si="192"/>
        <v>116.176</v>
      </c>
      <c r="M4124" t="str" cm="1">
        <f t="array" ref="M4124">_xlfn.IFS(B4124&lt;18,"Under 18",B4124 &lt;=25,"18-25",B4124&lt;=35,"26-35",B4124&lt;=45,"36-45",B4124&lt;=60,"46-60",TRUE,"60+")</f>
        <v>18-25</v>
      </c>
      <c r="N4124" t="str">
        <f t="shared" si="193"/>
        <v>Discounted</v>
      </c>
      <c r="O4124" t="str">
        <f t="shared" si="194"/>
        <v>Returning</v>
      </c>
    </row>
    <row r="4125" spans="1:15" x14ac:dyDescent="0.25">
      <c r="A4125">
        <v>4124</v>
      </c>
      <c r="B4125">
        <v>31</v>
      </c>
      <c r="C4125" t="s">
        <v>16</v>
      </c>
      <c r="D4125" t="s">
        <v>20</v>
      </c>
      <c r="E4125" t="s">
        <v>21</v>
      </c>
      <c r="F4125" s="1">
        <v>117.9</v>
      </c>
      <c r="G4125" t="s">
        <v>24</v>
      </c>
      <c r="H4125" t="s">
        <v>15</v>
      </c>
      <c r="I4125" s="2">
        <v>4.5999999999999996</v>
      </c>
      <c r="J4125" s="4">
        <v>24</v>
      </c>
      <c r="K4125" s="3">
        <v>7</v>
      </c>
      <c r="L4125" s="1">
        <f t="shared" si="192"/>
        <v>89.603999999999999</v>
      </c>
      <c r="M4125" t="str" cm="1">
        <f t="array" ref="M4125">_xlfn.IFS(B4125&lt;18,"Under 18",B4125 &lt;=25,"18-25",B4125&lt;=35,"26-35",B4125&lt;=45,"36-45",B4125&lt;=60,"46-60",TRUE,"60+")</f>
        <v>26-35</v>
      </c>
      <c r="N4125" t="str">
        <f t="shared" si="193"/>
        <v>Discounted</v>
      </c>
      <c r="O4125" t="str">
        <f t="shared" si="194"/>
        <v>Returning</v>
      </c>
    </row>
    <row r="4126" spans="1:15" x14ac:dyDescent="0.25">
      <c r="A4126">
        <v>4125</v>
      </c>
      <c r="B4126">
        <v>23</v>
      </c>
      <c r="C4126" t="s">
        <v>11</v>
      </c>
      <c r="D4126" t="s">
        <v>33</v>
      </c>
      <c r="E4126" t="s">
        <v>38</v>
      </c>
      <c r="F4126" s="1">
        <v>92.07</v>
      </c>
      <c r="G4126" t="s">
        <v>19</v>
      </c>
      <c r="H4126" t="s">
        <v>15</v>
      </c>
      <c r="I4126" s="2">
        <v>3.2</v>
      </c>
      <c r="J4126" s="4">
        <v>18</v>
      </c>
      <c r="K4126" s="3">
        <v>4</v>
      </c>
      <c r="L4126" s="1">
        <f t="shared" si="192"/>
        <v>75.497399999999999</v>
      </c>
      <c r="M4126" t="str" cm="1">
        <f t="array" ref="M4126">_xlfn.IFS(B4126&lt;18,"Under 18",B4126 &lt;=25,"18-25",B4126&lt;=35,"26-35",B4126&lt;=45,"36-45",B4126&lt;=60,"46-60",TRUE,"60+")</f>
        <v>18-25</v>
      </c>
      <c r="N4126" t="str">
        <f t="shared" si="193"/>
        <v>Discounted</v>
      </c>
      <c r="O4126" t="str">
        <f t="shared" si="194"/>
        <v>Returning</v>
      </c>
    </row>
    <row r="4127" spans="1:15" x14ac:dyDescent="0.25">
      <c r="A4127">
        <v>4126</v>
      </c>
      <c r="B4127">
        <v>33</v>
      </c>
      <c r="C4127" t="s">
        <v>11</v>
      </c>
      <c r="D4127" t="s">
        <v>41</v>
      </c>
      <c r="E4127" t="s">
        <v>44</v>
      </c>
      <c r="F4127" s="1">
        <v>133.31</v>
      </c>
      <c r="G4127" t="s">
        <v>31</v>
      </c>
      <c r="H4127" t="s">
        <v>15</v>
      </c>
      <c r="I4127" s="2">
        <v>2.9</v>
      </c>
      <c r="J4127" s="4">
        <v>4</v>
      </c>
      <c r="K4127" s="3">
        <v>2</v>
      </c>
      <c r="L4127" s="1">
        <f t="shared" si="192"/>
        <v>127.9776</v>
      </c>
      <c r="M4127" t="str" cm="1">
        <f t="array" ref="M4127">_xlfn.IFS(B4127&lt;18,"Under 18",B4127 &lt;=25,"18-25",B4127&lt;=35,"26-35",B4127&lt;=45,"36-45",B4127&lt;=60,"46-60",TRUE,"60+")</f>
        <v>26-35</v>
      </c>
      <c r="N4127" t="str">
        <f t="shared" si="193"/>
        <v>Discounted</v>
      </c>
      <c r="O4127" t="str">
        <f t="shared" si="194"/>
        <v>Returning</v>
      </c>
    </row>
    <row r="4128" spans="1:15" x14ac:dyDescent="0.25">
      <c r="A4128">
        <v>4127</v>
      </c>
      <c r="B4128">
        <v>22</v>
      </c>
      <c r="C4128" t="s">
        <v>11</v>
      </c>
      <c r="D4128" t="s">
        <v>12</v>
      </c>
      <c r="E4128" t="s">
        <v>56</v>
      </c>
      <c r="F4128" s="1">
        <v>77.069999999999993</v>
      </c>
      <c r="G4128" t="s">
        <v>19</v>
      </c>
      <c r="H4128" t="s">
        <v>15</v>
      </c>
      <c r="I4128" s="2">
        <v>4.7</v>
      </c>
      <c r="J4128" s="4">
        <v>18</v>
      </c>
      <c r="K4128" s="3">
        <v>4</v>
      </c>
      <c r="L4128" s="1">
        <f t="shared" si="192"/>
        <v>63.197400000000002</v>
      </c>
      <c r="M4128" t="str" cm="1">
        <f t="array" ref="M4128">_xlfn.IFS(B4128&lt;18,"Under 18",B4128 &lt;=25,"18-25",B4128&lt;=35,"26-35",B4128&lt;=45,"36-45",B4128&lt;=60,"46-60",TRUE,"60+")</f>
        <v>18-25</v>
      </c>
      <c r="N4128" t="str">
        <f t="shared" si="193"/>
        <v>Discounted</v>
      </c>
      <c r="O4128" t="str">
        <f t="shared" si="194"/>
        <v>Returning</v>
      </c>
    </row>
    <row r="4129" spans="1:15" x14ac:dyDescent="0.25">
      <c r="A4129">
        <v>4128</v>
      </c>
      <c r="B4129">
        <v>45</v>
      </c>
      <c r="C4129" t="s">
        <v>11</v>
      </c>
      <c r="D4129" t="s">
        <v>25</v>
      </c>
      <c r="E4129" t="s">
        <v>54</v>
      </c>
      <c r="F4129" s="1">
        <v>60.2</v>
      </c>
      <c r="G4129" t="s">
        <v>24</v>
      </c>
      <c r="H4129" t="s">
        <v>15</v>
      </c>
      <c r="I4129" s="2">
        <v>3.3</v>
      </c>
      <c r="J4129" s="4">
        <v>10</v>
      </c>
      <c r="K4129" s="3">
        <v>5</v>
      </c>
      <c r="L4129" s="1">
        <f t="shared" si="192"/>
        <v>54.180000000000007</v>
      </c>
      <c r="M4129" t="str" cm="1">
        <f t="array" ref="M4129">_xlfn.IFS(B4129&lt;18,"Under 18",B4129 &lt;=25,"18-25",B4129&lt;=35,"26-35",B4129&lt;=45,"36-45",B4129&lt;=60,"46-60",TRUE,"60+")</f>
        <v>36-45</v>
      </c>
      <c r="N4129" t="str">
        <f t="shared" si="193"/>
        <v>Discounted</v>
      </c>
      <c r="O4129" t="str">
        <f t="shared" si="194"/>
        <v>Returning</v>
      </c>
    </row>
    <row r="4130" spans="1:15" x14ac:dyDescent="0.25">
      <c r="A4130">
        <v>4129</v>
      </c>
      <c r="B4130">
        <v>39</v>
      </c>
      <c r="C4130" t="s">
        <v>11</v>
      </c>
      <c r="D4130" t="s">
        <v>33</v>
      </c>
      <c r="E4130" t="s">
        <v>34</v>
      </c>
      <c r="F4130" s="1">
        <v>113.87</v>
      </c>
      <c r="G4130" t="s">
        <v>19</v>
      </c>
      <c r="H4130" t="s">
        <v>15</v>
      </c>
      <c r="I4130" s="2">
        <v>4.3</v>
      </c>
      <c r="J4130" s="4">
        <v>8</v>
      </c>
      <c r="K4130" s="3">
        <v>4</v>
      </c>
      <c r="L4130" s="1">
        <f t="shared" si="192"/>
        <v>104.7604</v>
      </c>
      <c r="M4130" t="str" cm="1">
        <f t="array" ref="M4130">_xlfn.IFS(B4130&lt;18,"Under 18",B4130 &lt;=25,"18-25",B4130&lt;=35,"26-35",B4130&lt;=45,"36-45",B4130&lt;=60,"46-60",TRUE,"60+")</f>
        <v>36-45</v>
      </c>
      <c r="N4130" t="str">
        <f t="shared" si="193"/>
        <v>Discounted</v>
      </c>
      <c r="O4130" t="str">
        <f t="shared" si="194"/>
        <v>Returning</v>
      </c>
    </row>
    <row r="4131" spans="1:15" x14ac:dyDescent="0.25">
      <c r="A4131">
        <v>4130</v>
      </c>
      <c r="B4131">
        <v>43</v>
      </c>
      <c r="C4131" t="s">
        <v>16</v>
      </c>
      <c r="D4131" t="s">
        <v>17</v>
      </c>
      <c r="E4131" t="s">
        <v>35</v>
      </c>
      <c r="F4131" s="1">
        <v>143.99</v>
      </c>
      <c r="G4131" t="s">
        <v>24</v>
      </c>
      <c r="H4131" t="s">
        <v>15</v>
      </c>
      <c r="I4131" s="2">
        <v>4</v>
      </c>
      <c r="J4131" s="4">
        <v>23</v>
      </c>
      <c r="K4131" s="3">
        <v>9</v>
      </c>
      <c r="L4131" s="1">
        <f t="shared" si="192"/>
        <v>110.87230000000001</v>
      </c>
      <c r="M4131" t="str" cm="1">
        <f t="array" ref="M4131">_xlfn.IFS(B4131&lt;18,"Under 18",B4131 &lt;=25,"18-25",B4131&lt;=35,"26-35",B4131&lt;=45,"36-45",B4131&lt;=60,"46-60",TRUE,"60+")</f>
        <v>36-45</v>
      </c>
      <c r="N4131" t="str">
        <f t="shared" si="193"/>
        <v>Discounted</v>
      </c>
      <c r="O4131" t="str">
        <f t="shared" si="194"/>
        <v>Returning</v>
      </c>
    </row>
    <row r="4132" spans="1:15" x14ac:dyDescent="0.25">
      <c r="A4132">
        <v>4131</v>
      </c>
      <c r="B4132">
        <v>50</v>
      </c>
      <c r="C4132" t="s">
        <v>16</v>
      </c>
      <c r="D4132" t="s">
        <v>17</v>
      </c>
      <c r="E4132" t="s">
        <v>18</v>
      </c>
      <c r="F4132" s="1">
        <v>131.03</v>
      </c>
      <c r="G4132" t="s">
        <v>14</v>
      </c>
      <c r="H4132" t="s">
        <v>15</v>
      </c>
      <c r="I4132" s="2">
        <v>3.3</v>
      </c>
      <c r="J4132" s="4">
        <v>24</v>
      </c>
      <c r="K4132" s="3">
        <v>7</v>
      </c>
      <c r="L4132" s="1">
        <f t="shared" si="192"/>
        <v>99.582800000000006</v>
      </c>
      <c r="M4132" t="str" cm="1">
        <f t="array" ref="M4132">_xlfn.IFS(B4132&lt;18,"Under 18",B4132 &lt;=25,"18-25",B4132&lt;=35,"26-35",B4132&lt;=45,"36-45",B4132&lt;=60,"46-60",TRUE,"60+")</f>
        <v>46-60</v>
      </c>
      <c r="N4132" t="str">
        <f t="shared" si="193"/>
        <v>Discounted</v>
      </c>
      <c r="O4132" t="str">
        <f t="shared" si="194"/>
        <v>Returning</v>
      </c>
    </row>
    <row r="4133" spans="1:15" x14ac:dyDescent="0.25">
      <c r="A4133">
        <v>4132</v>
      </c>
      <c r="B4133">
        <v>54</v>
      </c>
      <c r="C4133" t="s">
        <v>11</v>
      </c>
      <c r="D4133" t="s">
        <v>41</v>
      </c>
      <c r="E4133" t="s">
        <v>46</v>
      </c>
      <c r="F4133" s="1">
        <v>197.73</v>
      </c>
      <c r="G4133" t="s">
        <v>31</v>
      </c>
      <c r="H4133" t="s">
        <v>15</v>
      </c>
      <c r="I4133" s="2">
        <v>5</v>
      </c>
      <c r="J4133" s="4">
        <v>10</v>
      </c>
      <c r="K4133" s="3">
        <v>5</v>
      </c>
      <c r="L4133" s="1">
        <f t="shared" si="192"/>
        <v>177.95699999999999</v>
      </c>
      <c r="M4133" t="str" cm="1">
        <f t="array" ref="M4133">_xlfn.IFS(B4133&lt;18,"Under 18",B4133 &lt;=25,"18-25",B4133&lt;=35,"26-35",B4133&lt;=45,"36-45",B4133&lt;=60,"46-60",TRUE,"60+")</f>
        <v>46-60</v>
      </c>
      <c r="N4133" t="str">
        <f t="shared" si="193"/>
        <v>Discounted</v>
      </c>
      <c r="O4133" t="str">
        <f t="shared" si="194"/>
        <v>Returning</v>
      </c>
    </row>
    <row r="4134" spans="1:15" x14ac:dyDescent="0.25">
      <c r="A4134">
        <v>4133</v>
      </c>
      <c r="B4134">
        <v>46</v>
      </c>
      <c r="C4134" t="s">
        <v>11</v>
      </c>
      <c r="D4134" t="s">
        <v>33</v>
      </c>
      <c r="E4134" t="s">
        <v>38</v>
      </c>
      <c r="F4134" s="1">
        <v>40.76</v>
      </c>
      <c r="G4134" t="s">
        <v>14</v>
      </c>
      <c r="H4134" t="s">
        <v>37</v>
      </c>
      <c r="I4134" s="2">
        <v>4.7</v>
      </c>
      <c r="J4134" s="4">
        <v>2</v>
      </c>
      <c r="K4134" s="3">
        <v>1</v>
      </c>
      <c r="L4134" s="1">
        <f t="shared" si="192"/>
        <v>39.944800000000001</v>
      </c>
      <c r="M4134" t="str" cm="1">
        <f t="array" ref="M4134">_xlfn.IFS(B4134&lt;18,"Under 18",B4134 &lt;=25,"18-25",B4134&lt;=35,"26-35",B4134&lt;=45,"36-45",B4134&lt;=60,"46-60",TRUE,"60+")</f>
        <v>46-60</v>
      </c>
      <c r="N4134" t="str">
        <f t="shared" si="193"/>
        <v>Discounted</v>
      </c>
      <c r="O4134" t="str">
        <f t="shared" si="194"/>
        <v>Returning</v>
      </c>
    </row>
    <row r="4135" spans="1:15" x14ac:dyDescent="0.25">
      <c r="A4135">
        <v>4134</v>
      </c>
      <c r="B4135">
        <v>65</v>
      </c>
      <c r="C4135" t="s">
        <v>11</v>
      </c>
      <c r="D4135" t="s">
        <v>29</v>
      </c>
      <c r="E4135" t="s">
        <v>51</v>
      </c>
      <c r="F4135" s="1">
        <v>74.680000000000007</v>
      </c>
      <c r="G4135" t="s">
        <v>19</v>
      </c>
      <c r="H4135" t="s">
        <v>15</v>
      </c>
      <c r="I4135" s="2">
        <v>4.0999999999999996</v>
      </c>
      <c r="J4135" s="4">
        <v>18</v>
      </c>
      <c r="K4135" s="3">
        <v>9</v>
      </c>
      <c r="L4135" s="1">
        <f t="shared" si="192"/>
        <v>61.237600000000008</v>
      </c>
      <c r="M4135" t="str" cm="1">
        <f t="array" ref="M4135">_xlfn.IFS(B4135&lt;18,"Under 18",B4135 &lt;=25,"18-25",B4135&lt;=35,"26-35",B4135&lt;=45,"36-45",B4135&lt;=60,"46-60",TRUE,"60+")</f>
        <v>60+</v>
      </c>
      <c r="N4135" t="str">
        <f t="shared" si="193"/>
        <v>Discounted</v>
      </c>
      <c r="O4135" t="str">
        <f t="shared" si="194"/>
        <v>Returning</v>
      </c>
    </row>
    <row r="4136" spans="1:15" x14ac:dyDescent="0.25">
      <c r="A4136">
        <v>4135</v>
      </c>
      <c r="B4136">
        <v>27</v>
      </c>
      <c r="C4136" t="s">
        <v>11</v>
      </c>
      <c r="D4136" t="s">
        <v>29</v>
      </c>
      <c r="E4136" t="s">
        <v>51</v>
      </c>
      <c r="F4136" s="1">
        <v>117.55</v>
      </c>
      <c r="G4136" t="s">
        <v>14</v>
      </c>
      <c r="H4136" t="s">
        <v>15</v>
      </c>
      <c r="I4136" s="2">
        <v>3.2</v>
      </c>
      <c r="J4136" s="4">
        <v>11</v>
      </c>
      <c r="K4136" s="3">
        <v>3</v>
      </c>
      <c r="L4136" s="1">
        <f t="shared" si="192"/>
        <v>104.6195</v>
      </c>
      <c r="M4136" t="str" cm="1">
        <f t="array" ref="M4136">_xlfn.IFS(B4136&lt;18,"Under 18",B4136 &lt;=25,"18-25",B4136&lt;=35,"26-35",B4136&lt;=45,"36-45",B4136&lt;=60,"46-60",TRUE,"60+")</f>
        <v>26-35</v>
      </c>
      <c r="N4136" t="str">
        <f t="shared" si="193"/>
        <v>Discounted</v>
      </c>
      <c r="O4136" t="str">
        <f t="shared" si="194"/>
        <v>Returning</v>
      </c>
    </row>
    <row r="4137" spans="1:15" x14ac:dyDescent="0.25">
      <c r="A4137">
        <v>4136</v>
      </c>
      <c r="B4137">
        <v>44</v>
      </c>
      <c r="C4137" t="s">
        <v>11</v>
      </c>
      <c r="D4137" t="s">
        <v>22</v>
      </c>
      <c r="E4137" t="s">
        <v>23</v>
      </c>
      <c r="F4137" s="1">
        <v>211.32</v>
      </c>
      <c r="G4137" t="s">
        <v>14</v>
      </c>
      <c r="H4137" t="s">
        <v>15</v>
      </c>
      <c r="I4137" s="2">
        <v>4.5</v>
      </c>
      <c r="J4137" s="4">
        <v>16</v>
      </c>
      <c r="K4137" s="3">
        <v>8</v>
      </c>
      <c r="L4137" s="1">
        <f t="shared" si="192"/>
        <v>177.50879999999998</v>
      </c>
      <c r="M4137" t="str" cm="1">
        <f t="array" ref="M4137">_xlfn.IFS(B4137&lt;18,"Under 18",B4137 &lt;=25,"18-25",B4137&lt;=35,"26-35",B4137&lt;=45,"36-45",B4137&lt;=60,"46-60",TRUE,"60+")</f>
        <v>36-45</v>
      </c>
      <c r="N4137" t="str">
        <f t="shared" si="193"/>
        <v>Discounted</v>
      </c>
      <c r="O4137" t="str">
        <f t="shared" si="194"/>
        <v>Returning</v>
      </c>
    </row>
    <row r="4138" spans="1:15" x14ac:dyDescent="0.25">
      <c r="A4138">
        <v>4137</v>
      </c>
      <c r="B4138">
        <v>29</v>
      </c>
      <c r="C4138" t="s">
        <v>16</v>
      </c>
      <c r="D4138" t="s">
        <v>17</v>
      </c>
      <c r="E4138" t="s">
        <v>35</v>
      </c>
      <c r="F4138" s="1">
        <v>32.81</v>
      </c>
      <c r="G4138" t="s">
        <v>19</v>
      </c>
      <c r="H4138" t="s">
        <v>37</v>
      </c>
      <c r="I4138" s="2">
        <v>3.8</v>
      </c>
      <c r="J4138" s="4">
        <v>9</v>
      </c>
      <c r="K4138" s="3">
        <v>2</v>
      </c>
      <c r="L4138" s="1">
        <f t="shared" si="192"/>
        <v>29.857100000000003</v>
      </c>
      <c r="M4138" t="str" cm="1">
        <f t="array" ref="M4138">_xlfn.IFS(B4138&lt;18,"Under 18",B4138 &lt;=25,"18-25",B4138&lt;=35,"26-35",B4138&lt;=45,"36-45",B4138&lt;=60,"46-60",TRUE,"60+")</f>
        <v>26-35</v>
      </c>
      <c r="N4138" t="str">
        <f t="shared" si="193"/>
        <v>Discounted</v>
      </c>
      <c r="O4138" t="str">
        <f t="shared" si="194"/>
        <v>Returning</v>
      </c>
    </row>
    <row r="4139" spans="1:15" x14ac:dyDescent="0.25">
      <c r="A4139">
        <v>4138</v>
      </c>
      <c r="B4139">
        <v>41</v>
      </c>
      <c r="C4139" t="s">
        <v>16</v>
      </c>
      <c r="D4139" t="s">
        <v>33</v>
      </c>
      <c r="E4139" t="s">
        <v>34</v>
      </c>
      <c r="F4139" s="1">
        <v>104.2</v>
      </c>
      <c r="G4139" t="s">
        <v>24</v>
      </c>
      <c r="H4139" t="s">
        <v>15</v>
      </c>
      <c r="I4139" s="2">
        <v>4.0999999999999996</v>
      </c>
      <c r="J4139" s="4">
        <v>11</v>
      </c>
      <c r="K4139" s="3">
        <v>3</v>
      </c>
      <c r="L4139" s="1">
        <f t="shared" si="192"/>
        <v>92.738</v>
      </c>
      <c r="M4139" t="str" cm="1">
        <f t="array" ref="M4139">_xlfn.IFS(B4139&lt;18,"Under 18",B4139 &lt;=25,"18-25",B4139&lt;=35,"26-35",B4139&lt;=45,"36-45",B4139&lt;=60,"46-60",TRUE,"60+")</f>
        <v>36-45</v>
      </c>
      <c r="N4139" t="str">
        <f t="shared" si="193"/>
        <v>Discounted</v>
      </c>
      <c r="O4139" t="str">
        <f t="shared" si="194"/>
        <v>Returning</v>
      </c>
    </row>
    <row r="4140" spans="1:15" x14ac:dyDescent="0.25">
      <c r="A4140">
        <v>4139</v>
      </c>
      <c r="B4140">
        <v>25</v>
      </c>
      <c r="C4140" t="s">
        <v>16</v>
      </c>
      <c r="D4140" t="s">
        <v>27</v>
      </c>
      <c r="E4140" t="s">
        <v>32</v>
      </c>
      <c r="F4140" s="1">
        <v>991.14</v>
      </c>
      <c r="G4140" t="s">
        <v>24</v>
      </c>
      <c r="H4140" t="s">
        <v>15</v>
      </c>
      <c r="I4140" s="2">
        <v>2.1</v>
      </c>
      <c r="J4140" s="4">
        <v>4</v>
      </c>
      <c r="K4140" s="3">
        <v>2</v>
      </c>
      <c r="L4140" s="1">
        <f t="shared" si="192"/>
        <v>951.49439999999993</v>
      </c>
      <c r="M4140" t="str" cm="1">
        <f t="array" ref="M4140">_xlfn.IFS(B4140&lt;18,"Under 18",B4140 &lt;=25,"18-25",B4140&lt;=35,"26-35",B4140&lt;=45,"36-45",B4140&lt;=60,"46-60",TRUE,"60+")</f>
        <v>18-25</v>
      </c>
      <c r="N4140" t="str">
        <f t="shared" si="193"/>
        <v>Discounted</v>
      </c>
      <c r="O4140" t="str">
        <f t="shared" si="194"/>
        <v>Returning</v>
      </c>
    </row>
    <row r="4141" spans="1:15" x14ac:dyDescent="0.25">
      <c r="A4141">
        <v>4140</v>
      </c>
      <c r="B4141">
        <v>34</v>
      </c>
      <c r="C4141" t="s">
        <v>11</v>
      </c>
      <c r="D4141" t="s">
        <v>22</v>
      </c>
      <c r="E4141" t="s">
        <v>52</v>
      </c>
      <c r="F4141" s="1">
        <v>138.43</v>
      </c>
      <c r="G4141" t="s">
        <v>24</v>
      </c>
      <c r="H4141" t="s">
        <v>15</v>
      </c>
      <c r="I4141" s="2">
        <v>4.0999999999999996</v>
      </c>
      <c r="J4141" s="4">
        <v>12</v>
      </c>
      <c r="K4141" s="3">
        <v>1</v>
      </c>
      <c r="L4141" s="1">
        <f t="shared" si="192"/>
        <v>121.81840000000001</v>
      </c>
      <c r="M4141" t="str" cm="1">
        <f t="array" ref="M4141">_xlfn.IFS(B4141&lt;18,"Under 18",B4141 &lt;=25,"18-25",B4141&lt;=35,"26-35",B4141&lt;=45,"36-45",B4141&lt;=60,"46-60",TRUE,"60+")</f>
        <v>26-35</v>
      </c>
      <c r="N4141" t="str">
        <f t="shared" si="193"/>
        <v>Discounted</v>
      </c>
      <c r="O4141" t="str">
        <f t="shared" si="194"/>
        <v>Returning</v>
      </c>
    </row>
    <row r="4142" spans="1:15" x14ac:dyDescent="0.25">
      <c r="A4142">
        <v>4141</v>
      </c>
      <c r="B4142">
        <v>61</v>
      </c>
      <c r="C4142" t="s">
        <v>16</v>
      </c>
      <c r="D4142" t="s">
        <v>20</v>
      </c>
      <c r="E4142" t="s">
        <v>39</v>
      </c>
      <c r="F4142" s="1">
        <v>176.45</v>
      </c>
      <c r="G4142" t="s">
        <v>14</v>
      </c>
      <c r="H4142" t="s">
        <v>15</v>
      </c>
      <c r="I4142" s="2">
        <v>3.9</v>
      </c>
      <c r="J4142" s="4">
        <v>6</v>
      </c>
      <c r="K4142" s="3">
        <v>3</v>
      </c>
      <c r="L4142" s="1">
        <f t="shared" si="192"/>
        <v>165.86299999999997</v>
      </c>
      <c r="M4142" t="str" cm="1">
        <f t="array" ref="M4142">_xlfn.IFS(B4142&lt;18,"Under 18",B4142 &lt;=25,"18-25",B4142&lt;=35,"26-35",B4142&lt;=45,"36-45",B4142&lt;=60,"46-60",TRUE,"60+")</f>
        <v>60+</v>
      </c>
      <c r="N4142" t="str">
        <f t="shared" si="193"/>
        <v>Discounted</v>
      </c>
      <c r="O4142" t="str">
        <f t="shared" si="194"/>
        <v>Returning</v>
      </c>
    </row>
    <row r="4143" spans="1:15" x14ac:dyDescent="0.25">
      <c r="A4143">
        <v>4142</v>
      </c>
      <c r="B4143">
        <v>56</v>
      </c>
      <c r="C4143" t="s">
        <v>16</v>
      </c>
      <c r="D4143" t="s">
        <v>17</v>
      </c>
      <c r="E4143" t="s">
        <v>35</v>
      </c>
      <c r="F4143" s="1">
        <v>156.69</v>
      </c>
      <c r="G4143" t="s">
        <v>31</v>
      </c>
      <c r="H4143" t="s">
        <v>15</v>
      </c>
      <c r="I4143" s="2">
        <v>3.7</v>
      </c>
      <c r="J4143" s="4">
        <v>11</v>
      </c>
      <c r="K4143" s="3">
        <v>3</v>
      </c>
      <c r="L4143" s="1">
        <f t="shared" si="192"/>
        <v>139.45410000000001</v>
      </c>
      <c r="M4143" t="str" cm="1">
        <f t="array" ref="M4143">_xlfn.IFS(B4143&lt;18,"Under 18",B4143 &lt;=25,"18-25",B4143&lt;=35,"26-35",B4143&lt;=45,"36-45",B4143&lt;=60,"46-60",TRUE,"60+")</f>
        <v>46-60</v>
      </c>
      <c r="N4143" t="str">
        <f t="shared" si="193"/>
        <v>Discounted</v>
      </c>
      <c r="O4143" t="str">
        <f t="shared" si="194"/>
        <v>Returning</v>
      </c>
    </row>
    <row r="4144" spans="1:15" x14ac:dyDescent="0.25">
      <c r="A4144">
        <v>4143</v>
      </c>
      <c r="B4144">
        <v>34</v>
      </c>
      <c r="C4144" t="s">
        <v>16</v>
      </c>
      <c r="D4144" t="s">
        <v>27</v>
      </c>
      <c r="E4144" t="s">
        <v>53</v>
      </c>
      <c r="F4144" s="1">
        <v>1532.93</v>
      </c>
      <c r="G4144" t="s">
        <v>24</v>
      </c>
      <c r="H4144" t="s">
        <v>15</v>
      </c>
      <c r="I4144" s="2">
        <v>3.8</v>
      </c>
      <c r="J4144" s="4">
        <v>24</v>
      </c>
      <c r="K4144" s="3">
        <v>7</v>
      </c>
      <c r="L4144" s="1">
        <f t="shared" si="192"/>
        <v>1165.0268000000001</v>
      </c>
      <c r="M4144" t="str" cm="1">
        <f t="array" ref="M4144">_xlfn.IFS(B4144&lt;18,"Under 18",B4144 &lt;=25,"18-25",B4144&lt;=35,"26-35",B4144&lt;=45,"36-45",B4144&lt;=60,"46-60",TRUE,"60+")</f>
        <v>26-35</v>
      </c>
      <c r="N4144" t="str">
        <f t="shared" si="193"/>
        <v>Discounted</v>
      </c>
      <c r="O4144" t="str">
        <f t="shared" si="194"/>
        <v>Returning</v>
      </c>
    </row>
    <row r="4145" spans="1:15" x14ac:dyDescent="0.25">
      <c r="A4145">
        <v>4144</v>
      </c>
      <c r="B4145">
        <v>24</v>
      </c>
      <c r="C4145" t="s">
        <v>11</v>
      </c>
      <c r="D4145" t="s">
        <v>29</v>
      </c>
      <c r="E4145" t="s">
        <v>30</v>
      </c>
      <c r="F4145" s="1">
        <v>37.85</v>
      </c>
      <c r="G4145" t="s">
        <v>19</v>
      </c>
      <c r="H4145" t="s">
        <v>37</v>
      </c>
      <c r="I4145" s="2">
        <v>3.7</v>
      </c>
      <c r="J4145" s="4">
        <v>18</v>
      </c>
      <c r="K4145" s="3">
        <v>4</v>
      </c>
      <c r="L4145" s="1">
        <f t="shared" si="192"/>
        <v>31.037000000000003</v>
      </c>
      <c r="M4145" t="str" cm="1">
        <f t="array" ref="M4145">_xlfn.IFS(B4145&lt;18,"Under 18",B4145 &lt;=25,"18-25",B4145&lt;=35,"26-35",B4145&lt;=45,"36-45",B4145&lt;=60,"46-60",TRUE,"60+")</f>
        <v>18-25</v>
      </c>
      <c r="N4145" t="str">
        <f t="shared" si="193"/>
        <v>Discounted</v>
      </c>
      <c r="O4145" t="str">
        <f t="shared" si="194"/>
        <v>Returning</v>
      </c>
    </row>
    <row r="4146" spans="1:15" x14ac:dyDescent="0.25">
      <c r="A4146">
        <v>4145</v>
      </c>
      <c r="B4146">
        <v>49</v>
      </c>
      <c r="C4146" t="s">
        <v>16</v>
      </c>
      <c r="D4146" t="s">
        <v>17</v>
      </c>
      <c r="E4146" t="s">
        <v>42</v>
      </c>
      <c r="F4146" s="1">
        <v>132.37</v>
      </c>
      <c r="G4146" t="s">
        <v>31</v>
      </c>
      <c r="H4146" t="s">
        <v>15</v>
      </c>
      <c r="I4146" s="2">
        <v>2.9</v>
      </c>
      <c r="J4146" s="4">
        <v>13</v>
      </c>
      <c r="K4146" s="3">
        <v>4</v>
      </c>
      <c r="L4146" s="1">
        <f t="shared" si="192"/>
        <v>115.1619</v>
      </c>
      <c r="M4146" t="str" cm="1">
        <f t="array" ref="M4146">_xlfn.IFS(B4146&lt;18,"Under 18",B4146 &lt;=25,"18-25",B4146&lt;=35,"26-35",B4146&lt;=45,"36-45",B4146&lt;=60,"46-60",TRUE,"60+")</f>
        <v>46-60</v>
      </c>
      <c r="N4146" t="str">
        <f t="shared" si="193"/>
        <v>Discounted</v>
      </c>
      <c r="O4146" t="str">
        <f t="shared" si="194"/>
        <v>Returning</v>
      </c>
    </row>
    <row r="4147" spans="1:15" x14ac:dyDescent="0.25">
      <c r="A4147">
        <v>4146</v>
      </c>
      <c r="B4147">
        <v>40</v>
      </c>
      <c r="C4147" t="s">
        <v>16</v>
      </c>
      <c r="D4147" t="s">
        <v>20</v>
      </c>
      <c r="E4147" t="s">
        <v>21</v>
      </c>
      <c r="F4147" s="1">
        <v>42.76</v>
      </c>
      <c r="G4147" t="s">
        <v>14</v>
      </c>
      <c r="H4147" t="s">
        <v>37</v>
      </c>
      <c r="I4147" s="2">
        <v>2.7</v>
      </c>
      <c r="J4147" s="4">
        <v>8</v>
      </c>
      <c r="K4147" s="3">
        <v>4</v>
      </c>
      <c r="L4147" s="1">
        <f t="shared" si="192"/>
        <v>39.339199999999998</v>
      </c>
      <c r="M4147" t="str" cm="1">
        <f t="array" ref="M4147">_xlfn.IFS(B4147&lt;18,"Under 18",B4147 &lt;=25,"18-25",B4147&lt;=35,"26-35",B4147&lt;=45,"36-45",B4147&lt;=60,"46-60",TRUE,"60+")</f>
        <v>36-45</v>
      </c>
      <c r="N4147" t="str">
        <f t="shared" si="193"/>
        <v>Discounted</v>
      </c>
      <c r="O4147" t="str">
        <f t="shared" si="194"/>
        <v>Returning</v>
      </c>
    </row>
    <row r="4148" spans="1:15" x14ac:dyDescent="0.25">
      <c r="A4148">
        <v>4147</v>
      </c>
      <c r="B4148">
        <v>39</v>
      </c>
      <c r="C4148" t="s">
        <v>11</v>
      </c>
      <c r="D4148" t="s">
        <v>29</v>
      </c>
      <c r="E4148" t="s">
        <v>51</v>
      </c>
      <c r="F4148" s="1">
        <v>28.3</v>
      </c>
      <c r="G4148" t="s">
        <v>19</v>
      </c>
      <c r="H4148" t="s">
        <v>15</v>
      </c>
      <c r="I4148" s="2">
        <v>3.9</v>
      </c>
      <c r="J4148" s="4">
        <v>28</v>
      </c>
      <c r="K4148" s="3">
        <v>9</v>
      </c>
      <c r="L4148" s="1">
        <f t="shared" si="192"/>
        <v>20.376000000000001</v>
      </c>
      <c r="M4148" t="str" cm="1">
        <f t="array" ref="M4148">_xlfn.IFS(B4148&lt;18,"Under 18",B4148 &lt;=25,"18-25",B4148&lt;=35,"26-35",B4148&lt;=45,"36-45",B4148&lt;=60,"46-60",TRUE,"60+")</f>
        <v>36-45</v>
      </c>
      <c r="N4148" t="str">
        <f t="shared" si="193"/>
        <v>Discounted</v>
      </c>
      <c r="O4148" t="str">
        <f t="shared" si="194"/>
        <v>Returning</v>
      </c>
    </row>
    <row r="4149" spans="1:15" x14ac:dyDescent="0.25">
      <c r="A4149">
        <v>4148</v>
      </c>
      <c r="B4149">
        <v>27</v>
      </c>
      <c r="C4149" t="s">
        <v>16</v>
      </c>
      <c r="D4149" t="s">
        <v>27</v>
      </c>
      <c r="E4149" t="s">
        <v>49</v>
      </c>
      <c r="F4149" s="1">
        <v>2662.63</v>
      </c>
      <c r="G4149" t="s">
        <v>19</v>
      </c>
      <c r="H4149" t="s">
        <v>15</v>
      </c>
      <c r="I4149" s="2">
        <v>3.4</v>
      </c>
      <c r="J4149" s="4">
        <v>15</v>
      </c>
      <c r="K4149" s="3">
        <v>5</v>
      </c>
      <c r="L4149" s="1">
        <f t="shared" si="192"/>
        <v>2263.2355000000002</v>
      </c>
      <c r="M4149" t="str" cm="1">
        <f t="array" ref="M4149">_xlfn.IFS(B4149&lt;18,"Under 18",B4149 &lt;=25,"18-25",B4149&lt;=35,"26-35",B4149&lt;=45,"36-45",B4149&lt;=60,"46-60",TRUE,"60+")</f>
        <v>26-35</v>
      </c>
      <c r="N4149" t="str">
        <f t="shared" si="193"/>
        <v>Discounted</v>
      </c>
      <c r="O4149" t="str">
        <f t="shared" si="194"/>
        <v>Returning</v>
      </c>
    </row>
    <row r="4150" spans="1:15" x14ac:dyDescent="0.25">
      <c r="A4150">
        <v>4149</v>
      </c>
      <c r="B4150">
        <v>63</v>
      </c>
      <c r="C4150" t="s">
        <v>16</v>
      </c>
      <c r="D4150" t="s">
        <v>27</v>
      </c>
      <c r="E4150" t="s">
        <v>53</v>
      </c>
      <c r="F4150" s="1">
        <v>783.46</v>
      </c>
      <c r="G4150" t="s">
        <v>19</v>
      </c>
      <c r="H4150" t="s">
        <v>15</v>
      </c>
      <c r="I4150" s="2">
        <v>2.9</v>
      </c>
      <c r="J4150" s="4">
        <v>16</v>
      </c>
      <c r="K4150" s="3">
        <v>8</v>
      </c>
      <c r="L4150" s="1">
        <f t="shared" si="192"/>
        <v>658.10640000000001</v>
      </c>
      <c r="M4150" t="str" cm="1">
        <f t="array" ref="M4150">_xlfn.IFS(B4150&lt;18,"Under 18",B4150 &lt;=25,"18-25",B4150&lt;=35,"26-35",B4150&lt;=45,"36-45",B4150&lt;=60,"46-60",TRUE,"60+")</f>
        <v>60+</v>
      </c>
      <c r="N4150" t="str">
        <f t="shared" si="193"/>
        <v>Discounted</v>
      </c>
      <c r="O4150" t="str">
        <f t="shared" si="194"/>
        <v>Returning</v>
      </c>
    </row>
    <row r="4151" spans="1:15" x14ac:dyDescent="0.25">
      <c r="A4151">
        <v>4150</v>
      </c>
      <c r="B4151">
        <v>40</v>
      </c>
      <c r="C4151" t="s">
        <v>11</v>
      </c>
      <c r="D4151" t="s">
        <v>12</v>
      </c>
      <c r="E4151" t="s">
        <v>50</v>
      </c>
      <c r="F4151" s="1">
        <v>28.71</v>
      </c>
      <c r="G4151" t="s">
        <v>24</v>
      </c>
      <c r="H4151" t="s">
        <v>37</v>
      </c>
      <c r="I4151" s="2">
        <v>2.5</v>
      </c>
      <c r="J4151" s="4">
        <v>16</v>
      </c>
      <c r="K4151" s="3">
        <v>8</v>
      </c>
      <c r="L4151" s="1">
        <f t="shared" si="192"/>
        <v>24.116399999999999</v>
      </c>
      <c r="M4151" t="str" cm="1">
        <f t="array" ref="M4151">_xlfn.IFS(B4151&lt;18,"Under 18",B4151 &lt;=25,"18-25",B4151&lt;=35,"26-35",B4151&lt;=45,"36-45",B4151&lt;=60,"46-60",TRUE,"60+")</f>
        <v>36-45</v>
      </c>
      <c r="N4151" t="str">
        <f t="shared" si="193"/>
        <v>Discounted</v>
      </c>
      <c r="O4151" t="str">
        <f t="shared" si="194"/>
        <v>Returning</v>
      </c>
    </row>
    <row r="4152" spans="1:15" x14ac:dyDescent="0.25">
      <c r="A4152">
        <v>4151</v>
      </c>
      <c r="B4152">
        <v>29</v>
      </c>
      <c r="C4152" t="s">
        <v>16</v>
      </c>
      <c r="D4152" t="s">
        <v>20</v>
      </c>
      <c r="E4152" t="s">
        <v>39</v>
      </c>
      <c r="F4152" s="1">
        <v>103</v>
      </c>
      <c r="G4152" t="s">
        <v>31</v>
      </c>
      <c r="H4152" t="s">
        <v>15</v>
      </c>
      <c r="I4152" s="2">
        <v>2.9</v>
      </c>
      <c r="J4152" s="4">
        <v>23</v>
      </c>
      <c r="K4152" s="3">
        <v>9</v>
      </c>
      <c r="L4152" s="1">
        <f t="shared" si="192"/>
        <v>79.31</v>
      </c>
      <c r="M4152" t="str" cm="1">
        <f t="array" ref="M4152">_xlfn.IFS(B4152&lt;18,"Under 18",B4152 &lt;=25,"18-25",B4152&lt;=35,"26-35",B4152&lt;=45,"36-45",B4152&lt;=60,"46-60",TRUE,"60+")</f>
        <v>26-35</v>
      </c>
      <c r="N4152" t="str">
        <f t="shared" si="193"/>
        <v>Discounted</v>
      </c>
      <c r="O4152" t="str">
        <f t="shared" si="194"/>
        <v>Returning</v>
      </c>
    </row>
    <row r="4153" spans="1:15" x14ac:dyDescent="0.25">
      <c r="A4153">
        <v>4152</v>
      </c>
      <c r="B4153">
        <v>48</v>
      </c>
      <c r="C4153" t="s">
        <v>16</v>
      </c>
      <c r="D4153" t="s">
        <v>17</v>
      </c>
      <c r="E4153" t="s">
        <v>48</v>
      </c>
      <c r="F4153" s="1">
        <v>121.26</v>
      </c>
      <c r="G4153" t="s">
        <v>31</v>
      </c>
      <c r="H4153" t="s">
        <v>15</v>
      </c>
      <c r="I4153" s="2">
        <v>1.9</v>
      </c>
      <c r="J4153" s="4">
        <v>12</v>
      </c>
      <c r="K4153" s="3">
        <v>6</v>
      </c>
      <c r="L4153" s="1">
        <f t="shared" si="192"/>
        <v>106.70880000000001</v>
      </c>
      <c r="M4153" t="str" cm="1">
        <f t="array" ref="M4153">_xlfn.IFS(B4153&lt;18,"Under 18",B4153 &lt;=25,"18-25",B4153&lt;=35,"26-35",B4153&lt;=45,"36-45",B4153&lt;=60,"46-60",TRUE,"60+")</f>
        <v>46-60</v>
      </c>
      <c r="N4153" t="str">
        <f t="shared" si="193"/>
        <v>Discounted</v>
      </c>
      <c r="O4153" t="str">
        <f t="shared" si="194"/>
        <v>Returning</v>
      </c>
    </row>
    <row r="4154" spans="1:15" x14ac:dyDescent="0.25">
      <c r="A4154">
        <v>4153</v>
      </c>
      <c r="B4154">
        <v>30</v>
      </c>
      <c r="C4154" t="s">
        <v>16</v>
      </c>
      <c r="D4154" t="s">
        <v>25</v>
      </c>
      <c r="E4154" t="s">
        <v>57</v>
      </c>
      <c r="F4154" s="1">
        <v>5.89</v>
      </c>
      <c r="G4154" t="s">
        <v>31</v>
      </c>
      <c r="H4154" t="s">
        <v>37</v>
      </c>
      <c r="I4154" s="2">
        <v>3.2</v>
      </c>
      <c r="J4154" s="4">
        <v>17</v>
      </c>
      <c r="K4154" s="3">
        <v>6</v>
      </c>
      <c r="L4154" s="1">
        <f t="shared" si="192"/>
        <v>4.8886999999999992</v>
      </c>
      <c r="M4154" t="str" cm="1">
        <f t="array" ref="M4154">_xlfn.IFS(B4154&lt;18,"Under 18",B4154 &lt;=25,"18-25",B4154&lt;=35,"26-35",B4154&lt;=45,"36-45",B4154&lt;=60,"46-60",TRUE,"60+")</f>
        <v>26-35</v>
      </c>
      <c r="N4154" t="str">
        <f t="shared" si="193"/>
        <v>Discounted</v>
      </c>
      <c r="O4154" t="str">
        <f t="shared" si="194"/>
        <v>Returning</v>
      </c>
    </row>
    <row r="4155" spans="1:15" x14ac:dyDescent="0.25">
      <c r="A4155">
        <v>4154</v>
      </c>
      <c r="B4155">
        <v>35</v>
      </c>
      <c r="C4155" t="s">
        <v>16</v>
      </c>
      <c r="D4155" t="s">
        <v>33</v>
      </c>
      <c r="E4155" t="s">
        <v>38</v>
      </c>
      <c r="F4155" s="1">
        <v>240.97</v>
      </c>
      <c r="G4155" t="s">
        <v>31</v>
      </c>
      <c r="H4155" t="s">
        <v>15</v>
      </c>
      <c r="I4155" s="2">
        <v>2.8</v>
      </c>
      <c r="J4155" s="4">
        <v>22</v>
      </c>
      <c r="K4155" s="3">
        <v>6</v>
      </c>
      <c r="L4155" s="1">
        <f t="shared" si="192"/>
        <v>187.95660000000001</v>
      </c>
      <c r="M4155" t="str" cm="1">
        <f t="array" ref="M4155">_xlfn.IFS(B4155&lt;18,"Under 18",B4155 &lt;=25,"18-25",B4155&lt;=35,"26-35",B4155&lt;=45,"36-45",B4155&lt;=60,"46-60",TRUE,"60+")</f>
        <v>26-35</v>
      </c>
      <c r="N4155" t="str">
        <f t="shared" si="193"/>
        <v>Discounted</v>
      </c>
      <c r="O4155" t="str">
        <f t="shared" si="194"/>
        <v>Returning</v>
      </c>
    </row>
    <row r="4156" spans="1:15" x14ac:dyDescent="0.25">
      <c r="A4156">
        <v>4155</v>
      </c>
      <c r="B4156">
        <v>62</v>
      </c>
      <c r="C4156" t="s">
        <v>11</v>
      </c>
      <c r="D4156" t="s">
        <v>29</v>
      </c>
      <c r="E4156" t="s">
        <v>51</v>
      </c>
      <c r="F4156" s="1">
        <v>140.77000000000001</v>
      </c>
      <c r="G4156" t="s">
        <v>31</v>
      </c>
      <c r="H4156" t="s">
        <v>15</v>
      </c>
      <c r="I4156" s="2">
        <v>2.7</v>
      </c>
      <c r="J4156" s="4">
        <v>6</v>
      </c>
      <c r="K4156" s="3">
        <v>3</v>
      </c>
      <c r="L4156" s="1">
        <f t="shared" si="192"/>
        <v>132.32380000000001</v>
      </c>
      <c r="M4156" t="str" cm="1">
        <f t="array" ref="M4156">_xlfn.IFS(B4156&lt;18,"Under 18",B4156 &lt;=25,"18-25",B4156&lt;=35,"26-35",B4156&lt;=45,"36-45",B4156&lt;=60,"46-60",TRUE,"60+")</f>
        <v>60+</v>
      </c>
      <c r="N4156" t="str">
        <f t="shared" si="193"/>
        <v>Discounted</v>
      </c>
      <c r="O4156" t="str">
        <f t="shared" si="194"/>
        <v>Returning</v>
      </c>
    </row>
    <row r="4157" spans="1:15" x14ac:dyDescent="0.25">
      <c r="A4157">
        <v>4156</v>
      </c>
      <c r="B4157">
        <v>21</v>
      </c>
      <c r="C4157" t="s">
        <v>16</v>
      </c>
      <c r="D4157" t="s">
        <v>27</v>
      </c>
      <c r="E4157" t="s">
        <v>53</v>
      </c>
      <c r="F4157" s="1">
        <v>1584.57</v>
      </c>
      <c r="G4157" t="s">
        <v>24</v>
      </c>
      <c r="H4157" t="s">
        <v>15</v>
      </c>
      <c r="I4157" s="2">
        <v>3.6</v>
      </c>
      <c r="J4157" s="4">
        <v>15</v>
      </c>
      <c r="K4157" s="3">
        <v>5</v>
      </c>
      <c r="L4157" s="1">
        <f t="shared" si="192"/>
        <v>1346.8844999999999</v>
      </c>
      <c r="M4157" t="str" cm="1">
        <f t="array" ref="M4157">_xlfn.IFS(B4157&lt;18,"Under 18",B4157 &lt;=25,"18-25",B4157&lt;=35,"26-35",B4157&lt;=45,"36-45",B4157&lt;=60,"46-60",TRUE,"60+")</f>
        <v>18-25</v>
      </c>
      <c r="N4157" t="str">
        <f t="shared" si="193"/>
        <v>Discounted</v>
      </c>
      <c r="O4157" t="str">
        <f t="shared" si="194"/>
        <v>Returning</v>
      </c>
    </row>
    <row r="4158" spans="1:15" x14ac:dyDescent="0.25">
      <c r="A4158">
        <v>4157</v>
      </c>
      <c r="B4158">
        <v>56</v>
      </c>
      <c r="C4158" t="s">
        <v>11</v>
      </c>
      <c r="D4158" t="s">
        <v>41</v>
      </c>
      <c r="E4158" t="s">
        <v>45</v>
      </c>
      <c r="F4158" s="1">
        <v>123.71</v>
      </c>
      <c r="G4158" t="s">
        <v>14</v>
      </c>
      <c r="H4158" t="s">
        <v>15</v>
      </c>
      <c r="I4158" s="2">
        <v>3.2</v>
      </c>
      <c r="J4158" s="4">
        <v>11</v>
      </c>
      <c r="K4158" s="3">
        <v>3</v>
      </c>
      <c r="L4158" s="1">
        <f t="shared" si="192"/>
        <v>110.1019</v>
      </c>
      <c r="M4158" t="str" cm="1">
        <f t="array" ref="M4158">_xlfn.IFS(B4158&lt;18,"Under 18",B4158 &lt;=25,"18-25",B4158&lt;=35,"26-35",B4158&lt;=45,"36-45",B4158&lt;=60,"46-60",TRUE,"60+")</f>
        <v>46-60</v>
      </c>
      <c r="N4158" t="str">
        <f t="shared" si="193"/>
        <v>Discounted</v>
      </c>
      <c r="O4158" t="str">
        <f t="shared" si="194"/>
        <v>Returning</v>
      </c>
    </row>
    <row r="4159" spans="1:15" x14ac:dyDescent="0.25">
      <c r="A4159">
        <v>4158</v>
      </c>
      <c r="B4159">
        <v>20</v>
      </c>
      <c r="C4159" t="s">
        <v>11</v>
      </c>
      <c r="D4159" t="s">
        <v>12</v>
      </c>
      <c r="E4159" t="s">
        <v>56</v>
      </c>
      <c r="F4159" s="1">
        <v>127.91</v>
      </c>
      <c r="G4159" t="s">
        <v>19</v>
      </c>
      <c r="H4159" t="s">
        <v>15</v>
      </c>
      <c r="I4159" s="2">
        <v>2.9</v>
      </c>
      <c r="J4159" s="4">
        <v>17</v>
      </c>
      <c r="K4159" s="3">
        <v>6</v>
      </c>
      <c r="L4159" s="1">
        <f t="shared" si="192"/>
        <v>106.16529999999999</v>
      </c>
      <c r="M4159" t="str" cm="1">
        <f t="array" ref="M4159">_xlfn.IFS(B4159&lt;18,"Under 18",B4159 &lt;=25,"18-25",B4159&lt;=35,"26-35",B4159&lt;=45,"36-45",B4159&lt;=60,"46-60",TRUE,"60+")</f>
        <v>18-25</v>
      </c>
      <c r="N4159" t="str">
        <f t="shared" si="193"/>
        <v>Discounted</v>
      </c>
      <c r="O4159" t="str">
        <f t="shared" si="194"/>
        <v>Returning</v>
      </c>
    </row>
    <row r="4160" spans="1:15" x14ac:dyDescent="0.25">
      <c r="A4160">
        <v>4159</v>
      </c>
      <c r="B4160">
        <v>22</v>
      </c>
      <c r="C4160" t="s">
        <v>11</v>
      </c>
      <c r="D4160" t="s">
        <v>25</v>
      </c>
      <c r="E4160" t="s">
        <v>26</v>
      </c>
      <c r="F4160" s="1">
        <v>23.75</v>
      </c>
      <c r="G4160" t="s">
        <v>19</v>
      </c>
      <c r="H4160" t="s">
        <v>15</v>
      </c>
      <c r="I4160" s="2">
        <v>3.7</v>
      </c>
      <c r="J4160" s="4">
        <v>18</v>
      </c>
      <c r="K4160" s="3">
        <v>4</v>
      </c>
      <c r="L4160" s="1">
        <f t="shared" si="192"/>
        <v>19.475000000000001</v>
      </c>
      <c r="M4160" t="str" cm="1">
        <f t="array" ref="M4160">_xlfn.IFS(B4160&lt;18,"Under 18",B4160 &lt;=25,"18-25",B4160&lt;=35,"26-35",B4160&lt;=45,"36-45",B4160&lt;=60,"46-60",TRUE,"60+")</f>
        <v>18-25</v>
      </c>
      <c r="N4160" t="str">
        <f t="shared" si="193"/>
        <v>Discounted</v>
      </c>
      <c r="O4160" t="str">
        <f t="shared" si="194"/>
        <v>Returning</v>
      </c>
    </row>
    <row r="4161" spans="1:15" x14ac:dyDescent="0.25">
      <c r="A4161">
        <v>4160</v>
      </c>
      <c r="B4161">
        <v>47</v>
      </c>
      <c r="C4161" t="s">
        <v>16</v>
      </c>
      <c r="D4161" t="s">
        <v>33</v>
      </c>
      <c r="E4161" t="s">
        <v>38</v>
      </c>
      <c r="F4161" s="1">
        <v>71.63</v>
      </c>
      <c r="G4161" t="s">
        <v>14</v>
      </c>
      <c r="H4161" t="s">
        <v>37</v>
      </c>
      <c r="I4161" s="2">
        <v>3.2</v>
      </c>
      <c r="J4161" s="4">
        <v>15</v>
      </c>
      <c r="K4161" s="3">
        <v>5</v>
      </c>
      <c r="L4161" s="1">
        <f t="shared" si="192"/>
        <v>60.885499999999993</v>
      </c>
      <c r="M4161" t="str" cm="1">
        <f t="array" ref="M4161">_xlfn.IFS(B4161&lt;18,"Under 18",B4161 &lt;=25,"18-25",B4161&lt;=35,"26-35",B4161&lt;=45,"36-45",B4161&lt;=60,"46-60",TRUE,"60+")</f>
        <v>46-60</v>
      </c>
      <c r="N4161" t="str">
        <f t="shared" si="193"/>
        <v>Discounted</v>
      </c>
      <c r="O4161" t="str">
        <f t="shared" si="194"/>
        <v>Returning</v>
      </c>
    </row>
    <row r="4162" spans="1:15" x14ac:dyDescent="0.25">
      <c r="A4162">
        <v>4161</v>
      </c>
      <c r="B4162">
        <v>44</v>
      </c>
      <c r="C4162" t="s">
        <v>11</v>
      </c>
      <c r="D4162" t="s">
        <v>12</v>
      </c>
      <c r="E4162" t="s">
        <v>56</v>
      </c>
      <c r="F4162" s="1">
        <v>132.41999999999999</v>
      </c>
      <c r="G4162" t="s">
        <v>14</v>
      </c>
      <c r="H4162" t="s">
        <v>15</v>
      </c>
      <c r="I4162" s="2">
        <v>3.7</v>
      </c>
      <c r="J4162" s="4">
        <v>15</v>
      </c>
      <c r="K4162" s="3">
        <v>5</v>
      </c>
      <c r="L4162" s="1">
        <f t="shared" si="192"/>
        <v>112.55699999999999</v>
      </c>
      <c r="M4162" t="str" cm="1">
        <f t="array" ref="M4162">_xlfn.IFS(B4162&lt;18,"Under 18",B4162 &lt;=25,"18-25",B4162&lt;=35,"26-35",B4162&lt;=45,"36-45",B4162&lt;=60,"46-60",TRUE,"60+")</f>
        <v>36-45</v>
      </c>
      <c r="N4162" t="str">
        <f t="shared" si="193"/>
        <v>Discounted</v>
      </c>
      <c r="O4162" t="str">
        <f t="shared" si="194"/>
        <v>Returning</v>
      </c>
    </row>
    <row r="4163" spans="1:15" x14ac:dyDescent="0.25">
      <c r="A4163">
        <v>4162</v>
      </c>
      <c r="B4163">
        <v>50</v>
      </c>
      <c r="C4163" t="s">
        <v>11</v>
      </c>
      <c r="D4163" t="s">
        <v>29</v>
      </c>
      <c r="E4163" t="s">
        <v>55</v>
      </c>
      <c r="F4163" s="1">
        <v>128.51</v>
      </c>
      <c r="G4163" t="s">
        <v>19</v>
      </c>
      <c r="H4163" t="s">
        <v>15</v>
      </c>
      <c r="I4163" s="2">
        <v>3.8</v>
      </c>
      <c r="J4163" s="4">
        <v>16</v>
      </c>
      <c r="K4163" s="3">
        <v>8</v>
      </c>
      <c r="L4163" s="1">
        <f t="shared" ref="L4163:L4226" si="195">F4163 * (1 - J4163 / 100)</f>
        <v>107.94839999999999</v>
      </c>
      <c r="M4163" t="str" cm="1">
        <f t="array" ref="M4163">_xlfn.IFS(B4163&lt;18,"Under 18",B4163 &lt;=25,"18-25",B4163&lt;=35,"26-35",B4163&lt;=45,"36-45",B4163&lt;=60,"46-60",TRUE,"60+")</f>
        <v>46-60</v>
      </c>
      <c r="N4163" t="str">
        <f t="shared" ref="N4163:N4226" si="196">IF(J4163&gt;0,"Discounted","No Discount")</f>
        <v>Discounted</v>
      </c>
      <c r="O4163" t="str">
        <f t="shared" ref="O4163:O4226" si="197">IF(K4163&gt;0,"Returning","New")</f>
        <v>Returning</v>
      </c>
    </row>
    <row r="4164" spans="1:15" x14ac:dyDescent="0.25">
      <c r="A4164">
        <v>4163</v>
      </c>
      <c r="B4164">
        <v>39</v>
      </c>
      <c r="C4164" t="s">
        <v>16</v>
      </c>
      <c r="D4164" t="s">
        <v>17</v>
      </c>
      <c r="E4164" t="s">
        <v>48</v>
      </c>
      <c r="F4164" s="1">
        <v>143.5</v>
      </c>
      <c r="G4164" t="s">
        <v>24</v>
      </c>
      <c r="H4164" t="s">
        <v>15</v>
      </c>
      <c r="I4164" s="2">
        <v>4.9000000000000004</v>
      </c>
      <c r="J4164" s="4">
        <v>19</v>
      </c>
      <c r="K4164" s="3">
        <v>7</v>
      </c>
      <c r="L4164" s="1">
        <f t="shared" si="195"/>
        <v>116.23500000000001</v>
      </c>
      <c r="M4164" t="str" cm="1">
        <f t="array" ref="M4164">_xlfn.IFS(B4164&lt;18,"Under 18",B4164 &lt;=25,"18-25",B4164&lt;=35,"26-35",B4164&lt;=45,"36-45",B4164&lt;=60,"46-60",TRUE,"60+")</f>
        <v>36-45</v>
      </c>
      <c r="N4164" t="str">
        <f t="shared" si="196"/>
        <v>Discounted</v>
      </c>
      <c r="O4164" t="str">
        <f t="shared" si="197"/>
        <v>Returning</v>
      </c>
    </row>
    <row r="4165" spans="1:15" x14ac:dyDescent="0.25">
      <c r="A4165">
        <v>4164</v>
      </c>
      <c r="B4165">
        <v>64</v>
      </c>
      <c r="C4165" t="s">
        <v>11</v>
      </c>
      <c r="D4165" t="s">
        <v>33</v>
      </c>
      <c r="E4165" t="s">
        <v>40</v>
      </c>
      <c r="F4165" s="1">
        <v>162.31</v>
      </c>
      <c r="G4165" t="s">
        <v>31</v>
      </c>
      <c r="H4165" t="s">
        <v>15</v>
      </c>
      <c r="I4165" s="2">
        <v>3.7</v>
      </c>
      <c r="J4165" s="4">
        <v>14</v>
      </c>
      <c r="K4165" s="3">
        <v>7</v>
      </c>
      <c r="L4165" s="1">
        <f t="shared" si="195"/>
        <v>139.5866</v>
      </c>
      <c r="M4165" t="str" cm="1">
        <f t="array" ref="M4165">_xlfn.IFS(B4165&lt;18,"Under 18",B4165 &lt;=25,"18-25",B4165&lt;=35,"26-35",B4165&lt;=45,"36-45",B4165&lt;=60,"46-60",TRUE,"60+")</f>
        <v>60+</v>
      </c>
      <c r="N4165" t="str">
        <f t="shared" si="196"/>
        <v>Discounted</v>
      </c>
      <c r="O4165" t="str">
        <f t="shared" si="197"/>
        <v>Returning</v>
      </c>
    </row>
    <row r="4166" spans="1:15" x14ac:dyDescent="0.25">
      <c r="A4166">
        <v>4165</v>
      </c>
      <c r="B4166">
        <v>67</v>
      </c>
      <c r="C4166" t="s">
        <v>11</v>
      </c>
      <c r="D4166" t="s">
        <v>33</v>
      </c>
      <c r="E4166" t="s">
        <v>38</v>
      </c>
      <c r="F4166" s="1">
        <v>210.1</v>
      </c>
      <c r="G4166" t="s">
        <v>14</v>
      </c>
      <c r="H4166" t="s">
        <v>15</v>
      </c>
      <c r="I4166" s="2">
        <v>3.9</v>
      </c>
      <c r="J4166" s="4">
        <v>4</v>
      </c>
      <c r="K4166" s="3">
        <v>2</v>
      </c>
      <c r="L4166" s="1">
        <f t="shared" si="195"/>
        <v>201.696</v>
      </c>
      <c r="M4166" t="str" cm="1">
        <f t="array" ref="M4166">_xlfn.IFS(B4166&lt;18,"Under 18",B4166 &lt;=25,"18-25",B4166&lt;=35,"26-35",B4166&lt;=45,"36-45",B4166&lt;=60,"46-60",TRUE,"60+")</f>
        <v>60+</v>
      </c>
      <c r="N4166" t="str">
        <f t="shared" si="196"/>
        <v>Discounted</v>
      </c>
      <c r="O4166" t="str">
        <f t="shared" si="197"/>
        <v>Returning</v>
      </c>
    </row>
    <row r="4167" spans="1:15" x14ac:dyDescent="0.25">
      <c r="A4167">
        <v>4166</v>
      </c>
      <c r="B4167">
        <v>48</v>
      </c>
      <c r="C4167" t="s">
        <v>16</v>
      </c>
      <c r="D4167" t="s">
        <v>27</v>
      </c>
      <c r="E4167" t="s">
        <v>28</v>
      </c>
      <c r="F4167" s="1">
        <v>1794.93</v>
      </c>
      <c r="G4167" t="s">
        <v>19</v>
      </c>
      <c r="H4167" t="s">
        <v>15</v>
      </c>
      <c r="I4167" s="2">
        <v>4.5999999999999996</v>
      </c>
      <c r="J4167" s="4">
        <v>16</v>
      </c>
      <c r="K4167" s="3">
        <v>8</v>
      </c>
      <c r="L4167" s="1">
        <f t="shared" si="195"/>
        <v>1507.7411999999999</v>
      </c>
      <c r="M4167" t="str" cm="1">
        <f t="array" ref="M4167">_xlfn.IFS(B4167&lt;18,"Under 18",B4167 &lt;=25,"18-25",B4167&lt;=35,"26-35",B4167&lt;=45,"36-45",B4167&lt;=60,"46-60",TRUE,"60+")</f>
        <v>46-60</v>
      </c>
      <c r="N4167" t="str">
        <f t="shared" si="196"/>
        <v>Discounted</v>
      </c>
      <c r="O4167" t="str">
        <f t="shared" si="197"/>
        <v>Returning</v>
      </c>
    </row>
    <row r="4168" spans="1:15" x14ac:dyDescent="0.25">
      <c r="A4168">
        <v>4167</v>
      </c>
      <c r="B4168">
        <v>26</v>
      </c>
      <c r="C4168" t="s">
        <v>16</v>
      </c>
      <c r="D4168" t="s">
        <v>17</v>
      </c>
      <c r="E4168" t="s">
        <v>35</v>
      </c>
      <c r="F4168" s="1">
        <v>52.64</v>
      </c>
      <c r="G4168" t="s">
        <v>14</v>
      </c>
      <c r="H4168" t="s">
        <v>37</v>
      </c>
      <c r="I4168" s="2">
        <v>4.5</v>
      </c>
      <c r="J4168" s="4">
        <v>9</v>
      </c>
      <c r="K4168" s="3">
        <v>2</v>
      </c>
      <c r="L4168" s="1">
        <f t="shared" si="195"/>
        <v>47.9024</v>
      </c>
      <c r="M4168" t="str" cm="1">
        <f t="array" ref="M4168">_xlfn.IFS(B4168&lt;18,"Under 18",B4168 &lt;=25,"18-25",B4168&lt;=35,"26-35",B4168&lt;=45,"36-45",B4168&lt;=60,"46-60",TRUE,"60+")</f>
        <v>26-35</v>
      </c>
      <c r="N4168" t="str">
        <f t="shared" si="196"/>
        <v>Discounted</v>
      </c>
      <c r="O4168" t="str">
        <f t="shared" si="197"/>
        <v>Returning</v>
      </c>
    </row>
    <row r="4169" spans="1:15" x14ac:dyDescent="0.25">
      <c r="A4169">
        <v>4168</v>
      </c>
      <c r="B4169">
        <v>46</v>
      </c>
      <c r="C4169" t="s">
        <v>16</v>
      </c>
      <c r="D4169" t="s">
        <v>20</v>
      </c>
      <c r="E4169" t="s">
        <v>39</v>
      </c>
      <c r="F4169" s="1">
        <v>119.62</v>
      </c>
      <c r="G4169" t="s">
        <v>14</v>
      </c>
      <c r="H4169" t="s">
        <v>15</v>
      </c>
      <c r="I4169" s="2">
        <v>4.5</v>
      </c>
      <c r="J4169" s="4">
        <v>15</v>
      </c>
      <c r="K4169" s="3">
        <v>5</v>
      </c>
      <c r="L4169" s="1">
        <f t="shared" si="195"/>
        <v>101.67700000000001</v>
      </c>
      <c r="M4169" t="str" cm="1">
        <f t="array" ref="M4169">_xlfn.IFS(B4169&lt;18,"Under 18",B4169 &lt;=25,"18-25",B4169&lt;=35,"26-35",B4169&lt;=45,"36-45",B4169&lt;=60,"46-60",TRUE,"60+")</f>
        <v>46-60</v>
      </c>
      <c r="N4169" t="str">
        <f t="shared" si="196"/>
        <v>Discounted</v>
      </c>
      <c r="O4169" t="str">
        <f t="shared" si="197"/>
        <v>Returning</v>
      </c>
    </row>
    <row r="4170" spans="1:15" x14ac:dyDescent="0.25">
      <c r="A4170">
        <v>4169</v>
      </c>
      <c r="B4170">
        <v>26</v>
      </c>
      <c r="C4170" t="s">
        <v>11</v>
      </c>
      <c r="D4170" t="s">
        <v>33</v>
      </c>
      <c r="E4170" t="s">
        <v>38</v>
      </c>
      <c r="F4170" s="1">
        <v>230.19</v>
      </c>
      <c r="G4170" t="s">
        <v>24</v>
      </c>
      <c r="H4170" t="s">
        <v>15</v>
      </c>
      <c r="I4170" s="2">
        <v>3.9</v>
      </c>
      <c r="J4170" s="4">
        <v>22</v>
      </c>
      <c r="K4170" s="3">
        <v>6</v>
      </c>
      <c r="L4170" s="1">
        <f t="shared" si="195"/>
        <v>179.54820000000001</v>
      </c>
      <c r="M4170" t="str" cm="1">
        <f t="array" ref="M4170">_xlfn.IFS(B4170&lt;18,"Under 18",B4170 &lt;=25,"18-25",B4170&lt;=35,"26-35",B4170&lt;=45,"36-45",B4170&lt;=60,"46-60",TRUE,"60+")</f>
        <v>26-35</v>
      </c>
      <c r="N4170" t="str">
        <f t="shared" si="196"/>
        <v>Discounted</v>
      </c>
      <c r="O4170" t="str">
        <f t="shared" si="197"/>
        <v>Returning</v>
      </c>
    </row>
    <row r="4171" spans="1:15" x14ac:dyDescent="0.25">
      <c r="A4171">
        <v>4170</v>
      </c>
      <c r="B4171">
        <v>50</v>
      </c>
      <c r="C4171" t="s">
        <v>11</v>
      </c>
      <c r="D4171" t="s">
        <v>22</v>
      </c>
      <c r="E4171" t="s">
        <v>23</v>
      </c>
      <c r="F4171" s="1">
        <v>58.78</v>
      </c>
      <c r="G4171" t="s">
        <v>24</v>
      </c>
      <c r="H4171" t="s">
        <v>37</v>
      </c>
      <c r="I4171" s="2">
        <v>4.8</v>
      </c>
      <c r="J4171" s="4">
        <v>16</v>
      </c>
      <c r="K4171" s="3">
        <v>3</v>
      </c>
      <c r="L4171" s="1">
        <f t="shared" si="195"/>
        <v>49.3752</v>
      </c>
      <c r="M4171" t="str" cm="1">
        <f t="array" ref="M4171">_xlfn.IFS(B4171&lt;18,"Under 18",B4171 &lt;=25,"18-25",B4171&lt;=35,"26-35",B4171&lt;=45,"36-45",B4171&lt;=60,"46-60",TRUE,"60+")</f>
        <v>46-60</v>
      </c>
      <c r="N4171" t="str">
        <f t="shared" si="196"/>
        <v>Discounted</v>
      </c>
      <c r="O4171" t="str">
        <f t="shared" si="197"/>
        <v>Returning</v>
      </c>
    </row>
    <row r="4172" spans="1:15" x14ac:dyDescent="0.25">
      <c r="A4172">
        <v>4171</v>
      </c>
      <c r="B4172">
        <v>36</v>
      </c>
      <c r="C4172" t="s">
        <v>16</v>
      </c>
      <c r="D4172" t="s">
        <v>27</v>
      </c>
      <c r="E4172" t="s">
        <v>53</v>
      </c>
      <c r="F4172" s="1">
        <v>2331.58</v>
      </c>
      <c r="G4172" t="s">
        <v>24</v>
      </c>
      <c r="H4172" t="s">
        <v>15</v>
      </c>
      <c r="I4172" s="2">
        <v>3</v>
      </c>
      <c r="J4172" s="4">
        <v>8</v>
      </c>
      <c r="K4172" s="3">
        <v>4</v>
      </c>
      <c r="L4172" s="1">
        <f t="shared" si="195"/>
        <v>2145.0536000000002</v>
      </c>
      <c r="M4172" t="str" cm="1">
        <f t="array" ref="M4172">_xlfn.IFS(B4172&lt;18,"Under 18",B4172 &lt;=25,"18-25",B4172&lt;=35,"26-35",B4172&lt;=45,"36-45",B4172&lt;=60,"46-60",TRUE,"60+")</f>
        <v>36-45</v>
      </c>
      <c r="N4172" t="str">
        <f t="shared" si="196"/>
        <v>Discounted</v>
      </c>
      <c r="O4172" t="str">
        <f t="shared" si="197"/>
        <v>Returning</v>
      </c>
    </row>
    <row r="4173" spans="1:15" x14ac:dyDescent="0.25">
      <c r="A4173">
        <v>4172</v>
      </c>
      <c r="B4173">
        <v>36</v>
      </c>
      <c r="C4173" t="s">
        <v>16</v>
      </c>
      <c r="D4173" t="s">
        <v>20</v>
      </c>
      <c r="E4173" t="s">
        <v>39</v>
      </c>
      <c r="F4173" s="1">
        <v>149.44</v>
      </c>
      <c r="G4173" t="s">
        <v>14</v>
      </c>
      <c r="H4173" t="s">
        <v>15</v>
      </c>
      <c r="I4173" s="2">
        <v>3.6</v>
      </c>
      <c r="J4173" s="4">
        <v>20</v>
      </c>
      <c r="K4173" s="3">
        <v>5</v>
      </c>
      <c r="L4173" s="1">
        <f t="shared" si="195"/>
        <v>119.55200000000001</v>
      </c>
      <c r="M4173" t="str" cm="1">
        <f t="array" ref="M4173">_xlfn.IFS(B4173&lt;18,"Under 18",B4173 &lt;=25,"18-25",B4173&lt;=35,"26-35",B4173&lt;=45,"36-45",B4173&lt;=60,"46-60",TRUE,"60+")</f>
        <v>36-45</v>
      </c>
      <c r="N4173" t="str">
        <f t="shared" si="196"/>
        <v>Discounted</v>
      </c>
      <c r="O4173" t="str">
        <f t="shared" si="197"/>
        <v>Returning</v>
      </c>
    </row>
    <row r="4174" spans="1:15" x14ac:dyDescent="0.25">
      <c r="A4174">
        <v>4173</v>
      </c>
      <c r="B4174">
        <v>64</v>
      </c>
      <c r="C4174" t="s">
        <v>16</v>
      </c>
      <c r="D4174" t="s">
        <v>27</v>
      </c>
      <c r="E4174" t="s">
        <v>53</v>
      </c>
      <c r="F4174" s="1">
        <v>2758.3</v>
      </c>
      <c r="G4174" t="s">
        <v>19</v>
      </c>
      <c r="H4174" t="s">
        <v>15</v>
      </c>
      <c r="I4174" s="2">
        <v>3.4</v>
      </c>
      <c r="J4174" s="4">
        <v>17</v>
      </c>
      <c r="K4174" s="3">
        <v>6</v>
      </c>
      <c r="L4174" s="1">
        <f t="shared" si="195"/>
        <v>2289.3890000000001</v>
      </c>
      <c r="M4174" t="str" cm="1">
        <f t="array" ref="M4174">_xlfn.IFS(B4174&lt;18,"Under 18",B4174 &lt;=25,"18-25",B4174&lt;=35,"26-35",B4174&lt;=45,"36-45",B4174&lt;=60,"46-60",TRUE,"60+")</f>
        <v>60+</v>
      </c>
      <c r="N4174" t="str">
        <f t="shared" si="196"/>
        <v>Discounted</v>
      </c>
      <c r="O4174" t="str">
        <f t="shared" si="197"/>
        <v>Returning</v>
      </c>
    </row>
    <row r="4175" spans="1:15" x14ac:dyDescent="0.25">
      <c r="A4175">
        <v>4174</v>
      </c>
      <c r="B4175">
        <v>69</v>
      </c>
      <c r="C4175" t="s">
        <v>11</v>
      </c>
      <c r="D4175" t="s">
        <v>29</v>
      </c>
      <c r="E4175" t="s">
        <v>51</v>
      </c>
      <c r="F4175" s="1">
        <v>87.77</v>
      </c>
      <c r="G4175" t="s">
        <v>14</v>
      </c>
      <c r="H4175" t="s">
        <v>37</v>
      </c>
      <c r="I4175" s="2">
        <v>3.9</v>
      </c>
      <c r="J4175" s="4">
        <v>9</v>
      </c>
      <c r="K4175" s="3">
        <v>2</v>
      </c>
      <c r="L4175" s="1">
        <f t="shared" si="195"/>
        <v>79.870699999999999</v>
      </c>
      <c r="M4175" t="str" cm="1">
        <f t="array" ref="M4175">_xlfn.IFS(B4175&lt;18,"Under 18",B4175 &lt;=25,"18-25",B4175&lt;=35,"26-35",B4175&lt;=45,"36-45",B4175&lt;=60,"46-60",TRUE,"60+")</f>
        <v>60+</v>
      </c>
      <c r="N4175" t="str">
        <f t="shared" si="196"/>
        <v>Discounted</v>
      </c>
      <c r="O4175" t="str">
        <f t="shared" si="197"/>
        <v>Returning</v>
      </c>
    </row>
    <row r="4176" spans="1:15" x14ac:dyDescent="0.25">
      <c r="A4176">
        <v>4175</v>
      </c>
      <c r="B4176">
        <v>41</v>
      </c>
      <c r="C4176" t="s">
        <v>16</v>
      </c>
      <c r="D4176" t="s">
        <v>17</v>
      </c>
      <c r="E4176" t="s">
        <v>18</v>
      </c>
      <c r="F4176" s="1">
        <v>199.07</v>
      </c>
      <c r="G4176" t="s">
        <v>24</v>
      </c>
      <c r="H4176" t="s">
        <v>15</v>
      </c>
      <c r="I4176" s="2">
        <v>3.1</v>
      </c>
      <c r="J4176" s="4">
        <v>6</v>
      </c>
      <c r="K4176" s="3">
        <v>3</v>
      </c>
      <c r="L4176" s="1">
        <f t="shared" si="195"/>
        <v>187.12579999999997</v>
      </c>
      <c r="M4176" t="str" cm="1">
        <f t="array" ref="M4176">_xlfn.IFS(B4176&lt;18,"Under 18",B4176 &lt;=25,"18-25",B4176&lt;=35,"26-35",B4176&lt;=45,"36-45",B4176&lt;=60,"46-60",TRUE,"60+")</f>
        <v>36-45</v>
      </c>
      <c r="N4176" t="str">
        <f t="shared" si="196"/>
        <v>Discounted</v>
      </c>
      <c r="O4176" t="str">
        <f t="shared" si="197"/>
        <v>Returning</v>
      </c>
    </row>
    <row r="4177" spans="1:15" x14ac:dyDescent="0.25">
      <c r="A4177">
        <v>4176</v>
      </c>
      <c r="B4177">
        <v>39</v>
      </c>
      <c r="C4177" t="s">
        <v>16</v>
      </c>
      <c r="D4177" t="s">
        <v>17</v>
      </c>
      <c r="E4177" t="s">
        <v>18</v>
      </c>
      <c r="F4177" s="1">
        <v>145.5</v>
      </c>
      <c r="G4177" t="s">
        <v>14</v>
      </c>
      <c r="H4177" t="s">
        <v>15</v>
      </c>
      <c r="I4177" s="2">
        <v>3.8</v>
      </c>
      <c r="J4177" s="4">
        <v>4</v>
      </c>
      <c r="K4177" s="3">
        <v>2</v>
      </c>
      <c r="L4177" s="1">
        <f t="shared" si="195"/>
        <v>139.68</v>
      </c>
      <c r="M4177" t="str" cm="1">
        <f t="array" ref="M4177">_xlfn.IFS(B4177&lt;18,"Under 18",B4177 &lt;=25,"18-25",B4177&lt;=35,"26-35",B4177&lt;=45,"36-45",B4177&lt;=60,"46-60",TRUE,"60+")</f>
        <v>36-45</v>
      </c>
      <c r="N4177" t="str">
        <f t="shared" si="196"/>
        <v>Discounted</v>
      </c>
      <c r="O4177" t="str">
        <f t="shared" si="197"/>
        <v>Returning</v>
      </c>
    </row>
    <row r="4178" spans="1:15" x14ac:dyDescent="0.25">
      <c r="A4178">
        <v>4177</v>
      </c>
      <c r="B4178">
        <v>62</v>
      </c>
      <c r="C4178" t="s">
        <v>11</v>
      </c>
      <c r="D4178" t="s">
        <v>29</v>
      </c>
      <c r="E4178" t="s">
        <v>51</v>
      </c>
      <c r="F4178" s="1">
        <v>145.38999999999999</v>
      </c>
      <c r="G4178" t="s">
        <v>31</v>
      </c>
      <c r="H4178" t="s">
        <v>15</v>
      </c>
      <c r="I4178" s="2">
        <v>3.8</v>
      </c>
      <c r="J4178" s="4">
        <v>13</v>
      </c>
      <c r="K4178" s="3">
        <v>4</v>
      </c>
      <c r="L4178" s="1">
        <f t="shared" si="195"/>
        <v>126.48929999999999</v>
      </c>
      <c r="M4178" t="str" cm="1">
        <f t="array" ref="M4178">_xlfn.IFS(B4178&lt;18,"Under 18",B4178 &lt;=25,"18-25",B4178&lt;=35,"26-35",B4178&lt;=45,"36-45",B4178&lt;=60,"46-60",TRUE,"60+")</f>
        <v>60+</v>
      </c>
      <c r="N4178" t="str">
        <f t="shared" si="196"/>
        <v>Discounted</v>
      </c>
      <c r="O4178" t="str">
        <f t="shared" si="197"/>
        <v>Returning</v>
      </c>
    </row>
    <row r="4179" spans="1:15" x14ac:dyDescent="0.25">
      <c r="A4179">
        <v>4178</v>
      </c>
      <c r="B4179">
        <v>47</v>
      </c>
      <c r="C4179" t="s">
        <v>16</v>
      </c>
      <c r="D4179" t="s">
        <v>27</v>
      </c>
      <c r="E4179" t="s">
        <v>28</v>
      </c>
      <c r="F4179" s="1">
        <v>1665.59</v>
      </c>
      <c r="G4179" t="s">
        <v>31</v>
      </c>
      <c r="H4179" t="s">
        <v>15</v>
      </c>
      <c r="I4179" s="2">
        <v>3.9</v>
      </c>
      <c r="J4179" s="4">
        <v>17</v>
      </c>
      <c r="K4179" s="3">
        <v>6</v>
      </c>
      <c r="L4179" s="1">
        <f t="shared" si="195"/>
        <v>1382.4396999999999</v>
      </c>
      <c r="M4179" t="str" cm="1">
        <f t="array" ref="M4179">_xlfn.IFS(B4179&lt;18,"Under 18",B4179 &lt;=25,"18-25",B4179&lt;=35,"26-35",B4179&lt;=45,"36-45",B4179&lt;=60,"46-60",TRUE,"60+")</f>
        <v>46-60</v>
      </c>
      <c r="N4179" t="str">
        <f t="shared" si="196"/>
        <v>Discounted</v>
      </c>
      <c r="O4179" t="str">
        <f t="shared" si="197"/>
        <v>Returning</v>
      </c>
    </row>
    <row r="4180" spans="1:15" x14ac:dyDescent="0.25">
      <c r="A4180">
        <v>4179</v>
      </c>
      <c r="B4180">
        <v>46</v>
      </c>
      <c r="C4180" t="s">
        <v>11</v>
      </c>
      <c r="D4180" t="s">
        <v>33</v>
      </c>
      <c r="E4180" t="s">
        <v>38</v>
      </c>
      <c r="F4180" s="1">
        <v>89.47</v>
      </c>
      <c r="G4180" t="s">
        <v>19</v>
      </c>
      <c r="H4180" t="s">
        <v>37</v>
      </c>
      <c r="I4180" s="2">
        <v>4.3</v>
      </c>
      <c r="J4180" s="4">
        <v>17</v>
      </c>
      <c r="K4180" s="3">
        <v>6</v>
      </c>
      <c r="L4180" s="1">
        <f t="shared" si="195"/>
        <v>74.260099999999994</v>
      </c>
      <c r="M4180" t="str" cm="1">
        <f t="array" ref="M4180">_xlfn.IFS(B4180&lt;18,"Under 18",B4180 &lt;=25,"18-25",B4180&lt;=35,"26-35",B4180&lt;=45,"36-45",B4180&lt;=60,"46-60",TRUE,"60+")</f>
        <v>46-60</v>
      </c>
      <c r="N4180" t="str">
        <f t="shared" si="196"/>
        <v>Discounted</v>
      </c>
      <c r="O4180" t="str">
        <f t="shared" si="197"/>
        <v>Returning</v>
      </c>
    </row>
    <row r="4181" spans="1:15" x14ac:dyDescent="0.25">
      <c r="A4181">
        <v>4180</v>
      </c>
      <c r="B4181">
        <v>56</v>
      </c>
      <c r="C4181" t="s">
        <v>16</v>
      </c>
      <c r="D4181" t="s">
        <v>17</v>
      </c>
      <c r="E4181" t="s">
        <v>18</v>
      </c>
      <c r="F4181" s="1">
        <v>153.46</v>
      </c>
      <c r="G4181" t="s">
        <v>19</v>
      </c>
      <c r="H4181" t="s">
        <v>15</v>
      </c>
      <c r="I4181" s="2">
        <v>3.2</v>
      </c>
      <c r="J4181" s="4">
        <v>11</v>
      </c>
      <c r="K4181" s="3">
        <v>3</v>
      </c>
      <c r="L4181" s="1">
        <f t="shared" si="195"/>
        <v>136.57940000000002</v>
      </c>
      <c r="M4181" t="str" cm="1">
        <f t="array" ref="M4181">_xlfn.IFS(B4181&lt;18,"Under 18",B4181 &lt;=25,"18-25",B4181&lt;=35,"26-35",B4181&lt;=45,"36-45",B4181&lt;=60,"46-60",TRUE,"60+")</f>
        <v>46-60</v>
      </c>
      <c r="N4181" t="str">
        <f t="shared" si="196"/>
        <v>Discounted</v>
      </c>
      <c r="O4181" t="str">
        <f t="shared" si="197"/>
        <v>Returning</v>
      </c>
    </row>
    <row r="4182" spans="1:15" x14ac:dyDescent="0.25">
      <c r="A4182">
        <v>4181</v>
      </c>
      <c r="B4182">
        <v>32</v>
      </c>
      <c r="C4182" t="s">
        <v>11</v>
      </c>
      <c r="D4182" t="s">
        <v>12</v>
      </c>
      <c r="E4182" t="s">
        <v>50</v>
      </c>
      <c r="F4182" s="1">
        <v>156.18</v>
      </c>
      <c r="G4182" t="s">
        <v>24</v>
      </c>
      <c r="H4182" t="s">
        <v>15</v>
      </c>
      <c r="I4182" s="2">
        <v>2.6</v>
      </c>
      <c r="J4182" s="4">
        <v>12</v>
      </c>
      <c r="K4182" s="3">
        <v>6</v>
      </c>
      <c r="L4182" s="1">
        <f t="shared" si="195"/>
        <v>137.4384</v>
      </c>
      <c r="M4182" t="str" cm="1">
        <f t="array" ref="M4182">_xlfn.IFS(B4182&lt;18,"Under 18",B4182 &lt;=25,"18-25",B4182&lt;=35,"26-35",B4182&lt;=45,"36-45",B4182&lt;=60,"46-60",TRUE,"60+")</f>
        <v>26-35</v>
      </c>
      <c r="N4182" t="str">
        <f t="shared" si="196"/>
        <v>Discounted</v>
      </c>
      <c r="O4182" t="str">
        <f t="shared" si="197"/>
        <v>Returning</v>
      </c>
    </row>
    <row r="4183" spans="1:15" x14ac:dyDescent="0.25">
      <c r="A4183">
        <v>4182</v>
      </c>
      <c r="B4183">
        <v>50</v>
      </c>
      <c r="C4183" t="s">
        <v>16</v>
      </c>
      <c r="D4183" t="s">
        <v>20</v>
      </c>
      <c r="E4183" t="s">
        <v>39</v>
      </c>
      <c r="F4183" s="1">
        <v>83.36</v>
      </c>
      <c r="G4183" t="s">
        <v>31</v>
      </c>
      <c r="H4183" t="s">
        <v>15</v>
      </c>
      <c r="I4183" s="2">
        <v>3.4</v>
      </c>
      <c r="J4183" s="4">
        <v>10</v>
      </c>
      <c r="K4183" s="3">
        <v>5</v>
      </c>
      <c r="L4183" s="1">
        <f t="shared" si="195"/>
        <v>75.024000000000001</v>
      </c>
      <c r="M4183" t="str" cm="1">
        <f t="array" ref="M4183">_xlfn.IFS(B4183&lt;18,"Under 18",B4183 &lt;=25,"18-25",B4183&lt;=35,"26-35",B4183&lt;=45,"36-45",B4183&lt;=60,"46-60",TRUE,"60+")</f>
        <v>46-60</v>
      </c>
      <c r="N4183" t="str">
        <f t="shared" si="196"/>
        <v>Discounted</v>
      </c>
      <c r="O4183" t="str">
        <f t="shared" si="197"/>
        <v>Returning</v>
      </c>
    </row>
    <row r="4184" spans="1:15" x14ac:dyDescent="0.25">
      <c r="A4184">
        <v>4183</v>
      </c>
      <c r="B4184">
        <v>58</v>
      </c>
      <c r="C4184" t="s">
        <v>16</v>
      </c>
      <c r="D4184" t="s">
        <v>17</v>
      </c>
      <c r="E4184" t="s">
        <v>35</v>
      </c>
      <c r="F4184" s="1">
        <v>171.56</v>
      </c>
      <c r="G4184" t="s">
        <v>31</v>
      </c>
      <c r="H4184" t="s">
        <v>15</v>
      </c>
      <c r="I4184" s="2">
        <v>3.9</v>
      </c>
      <c r="J4184" s="4">
        <v>8</v>
      </c>
      <c r="K4184" s="3">
        <v>4</v>
      </c>
      <c r="L4184" s="1">
        <f t="shared" si="195"/>
        <v>157.83520000000001</v>
      </c>
      <c r="M4184" t="str" cm="1">
        <f t="array" ref="M4184">_xlfn.IFS(B4184&lt;18,"Under 18",B4184 &lt;=25,"18-25",B4184&lt;=35,"26-35",B4184&lt;=45,"36-45",B4184&lt;=60,"46-60",TRUE,"60+")</f>
        <v>46-60</v>
      </c>
      <c r="N4184" t="str">
        <f t="shared" si="196"/>
        <v>Discounted</v>
      </c>
      <c r="O4184" t="str">
        <f t="shared" si="197"/>
        <v>Returning</v>
      </c>
    </row>
    <row r="4185" spans="1:15" x14ac:dyDescent="0.25">
      <c r="A4185">
        <v>4184</v>
      </c>
      <c r="B4185">
        <v>26</v>
      </c>
      <c r="C4185" t="s">
        <v>11</v>
      </c>
      <c r="D4185" t="s">
        <v>41</v>
      </c>
      <c r="E4185" t="s">
        <v>45</v>
      </c>
      <c r="F4185" s="1">
        <v>31.99</v>
      </c>
      <c r="G4185" t="s">
        <v>24</v>
      </c>
      <c r="H4185" t="s">
        <v>37</v>
      </c>
      <c r="I4185" s="2">
        <v>3.4</v>
      </c>
      <c r="J4185" s="4">
        <v>23</v>
      </c>
      <c r="K4185" s="3">
        <v>9</v>
      </c>
      <c r="L4185" s="1">
        <f t="shared" si="195"/>
        <v>24.632300000000001</v>
      </c>
      <c r="M4185" t="str" cm="1">
        <f t="array" ref="M4185">_xlfn.IFS(B4185&lt;18,"Under 18",B4185 &lt;=25,"18-25",B4185&lt;=35,"26-35",B4185&lt;=45,"36-45",B4185&lt;=60,"46-60",TRUE,"60+")</f>
        <v>26-35</v>
      </c>
      <c r="N4185" t="str">
        <f t="shared" si="196"/>
        <v>Discounted</v>
      </c>
      <c r="O4185" t="str">
        <f t="shared" si="197"/>
        <v>Returning</v>
      </c>
    </row>
    <row r="4186" spans="1:15" x14ac:dyDescent="0.25">
      <c r="A4186">
        <v>4185</v>
      </c>
      <c r="B4186">
        <v>58</v>
      </c>
      <c r="C4186" t="s">
        <v>11</v>
      </c>
      <c r="D4186" t="s">
        <v>41</v>
      </c>
      <c r="E4186" t="s">
        <v>45</v>
      </c>
      <c r="F4186" s="1">
        <v>199.24</v>
      </c>
      <c r="G4186" t="s">
        <v>24</v>
      </c>
      <c r="H4186" t="s">
        <v>15</v>
      </c>
      <c r="I4186" s="2">
        <v>3.3</v>
      </c>
      <c r="J4186" s="4">
        <v>15</v>
      </c>
      <c r="K4186" s="3">
        <v>5</v>
      </c>
      <c r="L4186" s="1">
        <f t="shared" si="195"/>
        <v>169.35400000000001</v>
      </c>
      <c r="M4186" t="str" cm="1">
        <f t="array" ref="M4186">_xlfn.IFS(B4186&lt;18,"Under 18",B4186 &lt;=25,"18-25",B4186&lt;=35,"26-35",B4186&lt;=45,"36-45",B4186&lt;=60,"46-60",TRUE,"60+")</f>
        <v>46-60</v>
      </c>
      <c r="N4186" t="str">
        <f t="shared" si="196"/>
        <v>Discounted</v>
      </c>
      <c r="O4186" t="str">
        <f t="shared" si="197"/>
        <v>Returning</v>
      </c>
    </row>
    <row r="4187" spans="1:15" x14ac:dyDescent="0.25">
      <c r="A4187">
        <v>4186</v>
      </c>
      <c r="B4187">
        <v>24</v>
      </c>
      <c r="C4187" t="s">
        <v>11</v>
      </c>
      <c r="D4187" t="s">
        <v>41</v>
      </c>
      <c r="E4187" t="s">
        <v>45</v>
      </c>
      <c r="F4187" s="1">
        <v>80.739999999999995</v>
      </c>
      <c r="G4187" t="s">
        <v>19</v>
      </c>
      <c r="H4187" t="s">
        <v>15</v>
      </c>
      <c r="I4187" s="2">
        <v>3.4</v>
      </c>
      <c r="J4187" s="4">
        <v>24</v>
      </c>
      <c r="K4187" s="3">
        <v>7</v>
      </c>
      <c r="L4187" s="1">
        <f t="shared" si="195"/>
        <v>61.362399999999994</v>
      </c>
      <c r="M4187" t="str" cm="1">
        <f t="array" ref="M4187">_xlfn.IFS(B4187&lt;18,"Under 18",B4187 &lt;=25,"18-25",B4187&lt;=35,"26-35",B4187&lt;=45,"36-45",B4187&lt;=60,"46-60",TRUE,"60+")</f>
        <v>18-25</v>
      </c>
      <c r="N4187" t="str">
        <f t="shared" si="196"/>
        <v>Discounted</v>
      </c>
      <c r="O4187" t="str">
        <f t="shared" si="197"/>
        <v>Returning</v>
      </c>
    </row>
    <row r="4188" spans="1:15" x14ac:dyDescent="0.25">
      <c r="A4188">
        <v>4187</v>
      </c>
      <c r="B4188">
        <v>65</v>
      </c>
      <c r="C4188" t="s">
        <v>11</v>
      </c>
      <c r="D4188" t="s">
        <v>33</v>
      </c>
      <c r="E4188" t="s">
        <v>38</v>
      </c>
      <c r="F4188" s="1">
        <v>231.77</v>
      </c>
      <c r="G4188" t="s">
        <v>14</v>
      </c>
      <c r="H4188" t="s">
        <v>15</v>
      </c>
      <c r="I4188" s="2">
        <v>3.5</v>
      </c>
      <c r="J4188" s="4">
        <v>22</v>
      </c>
      <c r="K4188" s="3">
        <v>6</v>
      </c>
      <c r="L4188" s="1">
        <f t="shared" si="195"/>
        <v>180.78060000000002</v>
      </c>
      <c r="M4188" t="str" cm="1">
        <f t="array" ref="M4188">_xlfn.IFS(B4188&lt;18,"Under 18",B4188 &lt;=25,"18-25",B4188&lt;=35,"26-35",B4188&lt;=45,"36-45",B4188&lt;=60,"46-60",TRUE,"60+")</f>
        <v>60+</v>
      </c>
      <c r="N4188" t="str">
        <f t="shared" si="196"/>
        <v>Discounted</v>
      </c>
      <c r="O4188" t="str">
        <f t="shared" si="197"/>
        <v>Returning</v>
      </c>
    </row>
    <row r="4189" spans="1:15" x14ac:dyDescent="0.25">
      <c r="A4189">
        <v>4188</v>
      </c>
      <c r="B4189">
        <v>46</v>
      </c>
      <c r="C4189" t="s">
        <v>16</v>
      </c>
      <c r="D4189" t="s">
        <v>17</v>
      </c>
      <c r="E4189" t="s">
        <v>35</v>
      </c>
      <c r="F4189" s="1">
        <v>79.069999999999993</v>
      </c>
      <c r="G4189" t="s">
        <v>14</v>
      </c>
      <c r="H4189" t="s">
        <v>15</v>
      </c>
      <c r="I4189" s="2">
        <v>4.3</v>
      </c>
      <c r="J4189" s="4">
        <v>14</v>
      </c>
      <c r="K4189" s="3">
        <v>2</v>
      </c>
      <c r="L4189" s="1">
        <f t="shared" si="195"/>
        <v>68.000199999999992</v>
      </c>
      <c r="M4189" t="str" cm="1">
        <f t="array" ref="M4189">_xlfn.IFS(B4189&lt;18,"Under 18",B4189 &lt;=25,"18-25",B4189&lt;=35,"26-35",B4189&lt;=45,"36-45",B4189&lt;=60,"46-60",TRUE,"60+")</f>
        <v>46-60</v>
      </c>
      <c r="N4189" t="str">
        <f t="shared" si="196"/>
        <v>Discounted</v>
      </c>
      <c r="O4189" t="str">
        <f t="shared" si="197"/>
        <v>Returning</v>
      </c>
    </row>
    <row r="4190" spans="1:15" x14ac:dyDescent="0.25">
      <c r="A4190">
        <v>4189</v>
      </c>
      <c r="B4190">
        <v>57</v>
      </c>
      <c r="C4190" t="s">
        <v>11</v>
      </c>
      <c r="D4190" t="s">
        <v>25</v>
      </c>
      <c r="E4190" t="s">
        <v>47</v>
      </c>
      <c r="F4190" s="1">
        <v>13.76</v>
      </c>
      <c r="G4190" t="s">
        <v>24</v>
      </c>
      <c r="H4190" t="s">
        <v>15</v>
      </c>
      <c r="I4190" s="2">
        <v>4.4000000000000004</v>
      </c>
      <c r="J4190" s="4">
        <v>7</v>
      </c>
      <c r="K4190" s="3">
        <v>1</v>
      </c>
      <c r="L4190" s="1">
        <f t="shared" si="195"/>
        <v>12.796799999999999</v>
      </c>
      <c r="M4190" t="str" cm="1">
        <f t="array" ref="M4190">_xlfn.IFS(B4190&lt;18,"Under 18",B4190 &lt;=25,"18-25",B4190&lt;=35,"26-35",B4190&lt;=45,"36-45",B4190&lt;=60,"46-60",TRUE,"60+")</f>
        <v>46-60</v>
      </c>
      <c r="N4190" t="str">
        <f t="shared" si="196"/>
        <v>Discounted</v>
      </c>
      <c r="O4190" t="str">
        <f t="shared" si="197"/>
        <v>Returning</v>
      </c>
    </row>
    <row r="4191" spans="1:15" x14ac:dyDescent="0.25">
      <c r="A4191">
        <v>4190</v>
      </c>
      <c r="B4191">
        <v>27</v>
      </c>
      <c r="C4191" t="s">
        <v>11</v>
      </c>
      <c r="D4191" t="s">
        <v>29</v>
      </c>
      <c r="E4191" t="s">
        <v>30</v>
      </c>
      <c r="F4191" s="1">
        <v>113.95</v>
      </c>
      <c r="G4191" t="s">
        <v>19</v>
      </c>
      <c r="H4191" t="s">
        <v>15</v>
      </c>
      <c r="I4191" s="2">
        <v>3.7</v>
      </c>
      <c r="J4191" s="4">
        <v>11</v>
      </c>
      <c r="K4191" s="3">
        <v>3</v>
      </c>
      <c r="L4191" s="1">
        <f t="shared" si="195"/>
        <v>101.41550000000001</v>
      </c>
      <c r="M4191" t="str" cm="1">
        <f t="array" ref="M4191">_xlfn.IFS(B4191&lt;18,"Under 18",B4191 &lt;=25,"18-25",B4191&lt;=35,"26-35",B4191&lt;=45,"36-45",B4191&lt;=60,"46-60",TRUE,"60+")</f>
        <v>26-35</v>
      </c>
      <c r="N4191" t="str">
        <f t="shared" si="196"/>
        <v>Discounted</v>
      </c>
      <c r="O4191" t="str">
        <f t="shared" si="197"/>
        <v>Returning</v>
      </c>
    </row>
    <row r="4192" spans="1:15" x14ac:dyDescent="0.25">
      <c r="A4192">
        <v>4191</v>
      </c>
      <c r="B4192">
        <v>41</v>
      </c>
      <c r="C4192" t="s">
        <v>11</v>
      </c>
      <c r="D4192" t="s">
        <v>33</v>
      </c>
      <c r="E4192" t="s">
        <v>34</v>
      </c>
      <c r="F4192" s="1">
        <v>216.85</v>
      </c>
      <c r="G4192" t="s">
        <v>19</v>
      </c>
      <c r="H4192" t="s">
        <v>15</v>
      </c>
      <c r="I4192" s="2">
        <v>3.3</v>
      </c>
      <c r="J4192" s="4">
        <v>21</v>
      </c>
      <c r="K4192" s="3">
        <v>8</v>
      </c>
      <c r="L4192" s="1">
        <f t="shared" si="195"/>
        <v>171.3115</v>
      </c>
      <c r="M4192" t="str" cm="1">
        <f t="array" ref="M4192">_xlfn.IFS(B4192&lt;18,"Under 18",B4192 &lt;=25,"18-25",B4192&lt;=35,"26-35",B4192&lt;=45,"36-45",B4192&lt;=60,"46-60",TRUE,"60+")</f>
        <v>36-45</v>
      </c>
      <c r="N4192" t="str">
        <f t="shared" si="196"/>
        <v>Discounted</v>
      </c>
      <c r="O4192" t="str">
        <f t="shared" si="197"/>
        <v>Returning</v>
      </c>
    </row>
    <row r="4193" spans="1:15" x14ac:dyDescent="0.25">
      <c r="A4193">
        <v>4192</v>
      </c>
      <c r="B4193">
        <v>40</v>
      </c>
      <c r="C4193" t="s">
        <v>11</v>
      </c>
      <c r="D4193" t="s">
        <v>29</v>
      </c>
      <c r="E4193" t="s">
        <v>30</v>
      </c>
      <c r="F4193" s="1">
        <v>58.55</v>
      </c>
      <c r="G4193" t="s">
        <v>19</v>
      </c>
      <c r="H4193" t="s">
        <v>37</v>
      </c>
      <c r="I4193" s="2">
        <v>4.8</v>
      </c>
      <c r="J4193" s="4">
        <v>6</v>
      </c>
      <c r="K4193" s="3">
        <v>3</v>
      </c>
      <c r="L4193" s="1">
        <f t="shared" si="195"/>
        <v>55.036999999999992</v>
      </c>
      <c r="M4193" t="str" cm="1">
        <f t="array" ref="M4193">_xlfn.IFS(B4193&lt;18,"Under 18",B4193 &lt;=25,"18-25",B4193&lt;=35,"26-35",B4193&lt;=45,"36-45",B4193&lt;=60,"46-60",TRUE,"60+")</f>
        <v>36-45</v>
      </c>
      <c r="N4193" t="str">
        <f t="shared" si="196"/>
        <v>Discounted</v>
      </c>
      <c r="O4193" t="str">
        <f t="shared" si="197"/>
        <v>Returning</v>
      </c>
    </row>
    <row r="4194" spans="1:15" x14ac:dyDescent="0.25">
      <c r="A4194">
        <v>4193</v>
      </c>
      <c r="B4194">
        <v>43</v>
      </c>
      <c r="C4194" t="s">
        <v>16</v>
      </c>
      <c r="D4194" t="s">
        <v>20</v>
      </c>
      <c r="E4194" t="s">
        <v>36</v>
      </c>
      <c r="F4194" s="1">
        <v>188.28</v>
      </c>
      <c r="G4194" t="s">
        <v>24</v>
      </c>
      <c r="H4194" t="s">
        <v>15</v>
      </c>
      <c r="I4194" s="2">
        <v>4.4000000000000004</v>
      </c>
      <c r="J4194" s="4">
        <v>19</v>
      </c>
      <c r="K4194" s="3">
        <v>7</v>
      </c>
      <c r="L4194" s="1">
        <f t="shared" si="195"/>
        <v>152.5068</v>
      </c>
      <c r="M4194" t="str" cm="1">
        <f t="array" ref="M4194">_xlfn.IFS(B4194&lt;18,"Under 18",B4194 &lt;=25,"18-25",B4194&lt;=35,"26-35",B4194&lt;=45,"36-45",B4194&lt;=60,"46-60",TRUE,"60+")</f>
        <v>36-45</v>
      </c>
      <c r="N4194" t="str">
        <f t="shared" si="196"/>
        <v>Discounted</v>
      </c>
      <c r="O4194" t="str">
        <f t="shared" si="197"/>
        <v>Returning</v>
      </c>
    </row>
    <row r="4195" spans="1:15" x14ac:dyDescent="0.25">
      <c r="A4195">
        <v>4194</v>
      </c>
      <c r="B4195">
        <v>37</v>
      </c>
      <c r="C4195" t="s">
        <v>11</v>
      </c>
      <c r="D4195" t="s">
        <v>41</v>
      </c>
      <c r="E4195" t="s">
        <v>44</v>
      </c>
      <c r="F4195" s="1">
        <v>116.17</v>
      </c>
      <c r="G4195" t="s">
        <v>14</v>
      </c>
      <c r="H4195" t="s">
        <v>15</v>
      </c>
      <c r="I4195" s="2">
        <v>4.4000000000000004</v>
      </c>
      <c r="J4195" s="4">
        <v>22</v>
      </c>
      <c r="K4195" s="3">
        <v>6</v>
      </c>
      <c r="L4195" s="1">
        <f t="shared" si="195"/>
        <v>90.6126</v>
      </c>
      <c r="M4195" t="str" cm="1">
        <f t="array" ref="M4195">_xlfn.IFS(B4195&lt;18,"Under 18",B4195 &lt;=25,"18-25",B4195&lt;=35,"26-35",B4195&lt;=45,"36-45",B4195&lt;=60,"46-60",TRUE,"60+")</f>
        <v>36-45</v>
      </c>
      <c r="N4195" t="str">
        <f t="shared" si="196"/>
        <v>Discounted</v>
      </c>
      <c r="O4195" t="str">
        <f t="shared" si="197"/>
        <v>Returning</v>
      </c>
    </row>
    <row r="4196" spans="1:15" x14ac:dyDescent="0.25">
      <c r="A4196">
        <v>4195</v>
      </c>
      <c r="B4196">
        <v>34</v>
      </c>
      <c r="C4196" t="s">
        <v>11</v>
      </c>
      <c r="D4196" t="s">
        <v>22</v>
      </c>
      <c r="E4196" t="s">
        <v>23</v>
      </c>
      <c r="F4196" s="1">
        <v>142.76</v>
      </c>
      <c r="G4196" t="s">
        <v>31</v>
      </c>
      <c r="H4196" t="s">
        <v>15</v>
      </c>
      <c r="I4196" s="2">
        <v>4.5999999999999996</v>
      </c>
      <c r="J4196" s="4">
        <v>19</v>
      </c>
      <c r="K4196" s="3">
        <v>7</v>
      </c>
      <c r="L4196" s="1">
        <f t="shared" si="195"/>
        <v>115.6356</v>
      </c>
      <c r="M4196" t="str" cm="1">
        <f t="array" ref="M4196">_xlfn.IFS(B4196&lt;18,"Under 18",B4196 &lt;=25,"18-25",B4196&lt;=35,"26-35",B4196&lt;=45,"36-45",B4196&lt;=60,"46-60",TRUE,"60+")</f>
        <v>26-35</v>
      </c>
      <c r="N4196" t="str">
        <f t="shared" si="196"/>
        <v>Discounted</v>
      </c>
      <c r="O4196" t="str">
        <f t="shared" si="197"/>
        <v>Returning</v>
      </c>
    </row>
    <row r="4197" spans="1:15" x14ac:dyDescent="0.25">
      <c r="A4197">
        <v>4196</v>
      </c>
      <c r="B4197">
        <v>43</v>
      </c>
      <c r="C4197" t="s">
        <v>16</v>
      </c>
      <c r="D4197" t="s">
        <v>33</v>
      </c>
      <c r="E4197" t="s">
        <v>40</v>
      </c>
      <c r="F4197" s="1">
        <v>158.75</v>
      </c>
      <c r="G4197" t="s">
        <v>24</v>
      </c>
      <c r="H4197" t="s">
        <v>15</v>
      </c>
      <c r="I4197" s="2">
        <v>4.5</v>
      </c>
      <c r="J4197" s="4">
        <v>16</v>
      </c>
      <c r="K4197" s="3">
        <v>8</v>
      </c>
      <c r="L4197" s="1">
        <f t="shared" si="195"/>
        <v>133.35</v>
      </c>
      <c r="M4197" t="str" cm="1">
        <f t="array" ref="M4197">_xlfn.IFS(B4197&lt;18,"Under 18",B4197 &lt;=25,"18-25",B4197&lt;=35,"26-35",B4197&lt;=45,"36-45",B4197&lt;=60,"46-60",TRUE,"60+")</f>
        <v>36-45</v>
      </c>
      <c r="N4197" t="str">
        <f t="shared" si="196"/>
        <v>Discounted</v>
      </c>
      <c r="O4197" t="str">
        <f t="shared" si="197"/>
        <v>Returning</v>
      </c>
    </row>
    <row r="4198" spans="1:15" x14ac:dyDescent="0.25">
      <c r="A4198">
        <v>4197</v>
      </c>
      <c r="B4198">
        <v>49</v>
      </c>
      <c r="C4198" t="s">
        <v>11</v>
      </c>
      <c r="D4198" t="s">
        <v>25</v>
      </c>
      <c r="E4198" t="s">
        <v>54</v>
      </c>
      <c r="F4198" s="1">
        <v>43.81</v>
      </c>
      <c r="G4198" t="s">
        <v>19</v>
      </c>
      <c r="H4198" t="s">
        <v>37</v>
      </c>
      <c r="I4198" s="2">
        <v>4</v>
      </c>
      <c r="J4198" s="4">
        <v>12</v>
      </c>
      <c r="K4198" s="3">
        <v>6</v>
      </c>
      <c r="L4198" s="1">
        <f t="shared" si="195"/>
        <v>38.552800000000005</v>
      </c>
      <c r="M4198" t="str" cm="1">
        <f t="array" ref="M4198">_xlfn.IFS(B4198&lt;18,"Under 18",B4198 &lt;=25,"18-25",B4198&lt;=35,"26-35",B4198&lt;=45,"36-45",B4198&lt;=60,"46-60",TRUE,"60+")</f>
        <v>46-60</v>
      </c>
      <c r="N4198" t="str">
        <f t="shared" si="196"/>
        <v>Discounted</v>
      </c>
      <c r="O4198" t="str">
        <f t="shared" si="197"/>
        <v>Returning</v>
      </c>
    </row>
    <row r="4199" spans="1:15" x14ac:dyDescent="0.25">
      <c r="A4199">
        <v>4198</v>
      </c>
      <c r="B4199">
        <v>57</v>
      </c>
      <c r="C4199" t="s">
        <v>16</v>
      </c>
      <c r="D4199" t="s">
        <v>20</v>
      </c>
      <c r="E4199" t="s">
        <v>21</v>
      </c>
      <c r="F4199" s="1">
        <v>66.09</v>
      </c>
      <c r="G4199" t="s">
        <v>19</v>
      </c>
      <c r="H4199" t="s">
        <v>37</v>
      </c>
      <c r="I4199" s="2">
        <v>3.6</v>
      </c>
      <c r="J4199" s="4">
        <v>11</v>
      </c>
      <c r="K4199" s="3">
        <v>3</v>
      </c>
      <c r="L4199" s="1">
        <f t="shared" si="195"/>
        <v>58.820100000000004</v>
      </c>
      <c r="M4199" t="str" cm="1">
        <f t="array" ref="M4199">_xlfn.IFS(B4199&lt;18,"Under 18",B4199 &lt;=25,"18-25",B4199&lt;=35,"26-35",B4199&lt;=45,"36-45",B4199&lt;=60,"46-60",TRUE,"60+")</f>
        <v>46-60</v>
      </c>
      <c r="N4199" t="str">
        <f t="shared" si="196"/>
        <v>Discounted</v>
      </c>
      <c r="O4199" t="str">
        <f t="shared" si="197"/>
        <v>Returning</v>
      </c>
    </row>
    <row r="4200" spans="1:15" x14ac:dyDescent="0.25">
      <c r="A4200">
        <v>4199</v>
      </c>
      <c r="B4200">
        <v>60</v>
      </c>
      <c r="C4200" t="s">
        <v>16</v>
      </c>
      <c r="D4200" t="s">
        <v>27</v>
      </c>
      <c r="E4200" t="s">
        <v>49</v>
      </c>
      <c r="F4200" s="1">
        <v>2585.88</v>
      </c>
      <c r="G4200" t="s">
        <v>24</v>
      </c>
      <c r="H4200" t="s">
        <v>15</v>
      </c>
      <c r="I4200" s="2">
        <v>3.1</v>
      </c>
      <c r="J4200" s="4">
        <v>15</v>
      </c>
      <c r="K4200" s="3">
        <v>5</v>
      </c>
      <c r="L4200" s="1">
        <f t="shared" si="195"/>
        <v>2197.998</v>
      </c>
      <c r="M4200" t="str" cm="1">
        <f t="array" ref="M4200">_xlfn.IFS(B4200&lt;18,"Under 18",B4200 &lt;=25,"18-25",B4200&lt;=35,"26-35",B4200&lt;=45,"36-45",B4200&lt;=60,"46-60",TRUE,"60+")</f>
        <v>46-60</v>
      </c>
      <c r="N4200" t="str">
        <f t="shared" si="196"/>
        <v>Discounted</v>
      </c>
      <c r="O4200" t="str">
        <f t="shared" si="197"/>
        <v>Returning</v>
      </c>
    </row>
    <row r="4201" spans="1:15" x14ac:dyDescent="0.25">
      <c r="A4201">
        <v>4200</v>
      </c>
      <c r="B4201">
        <v>45</v>
      </c>
      <c r="C4201" t="s">
        <v>16</v>
      </c>
      <c r="D4201" t="s">
        <v>27</v>
      </c>
      <c r="E4201" t="s">
        <v>49</v>
      </c>
      <c r="F4201" s="1">
        <v>2462.83</v>
      </c>
      <c r="G4201" t="s">
        <v>19</v>
      </c>
      <c r="H4201" t="s">
        <v>15</v>
      </c>
      <c r="I4201" s="2">
        <v>4.5</v>
      </c>
      <c r="J4201" s="4">
        <v>12</v>
      </c>
      <c r="K4201" s="3">
        <v>6</v>
      </c>
      <c r="L4201" s="1">
        <f t="shared" si="195"/>
        <v>2167.2903999999999</v>
      </c>
      <c r="M4201" t="str" cm="1">
        <f t="array" ref="M4201">_xlfn.IFS(B4201&lt;18,"Under 18",B4201 &lt;=25,"18-25",B4201&lt;=35,"26-35",B4201&lt;=45,"36-45",B4201&lt;=60,"46-60",TRUE,"60+")</f>
        <v>36-45</v>
      </c>
      <c r="N4201" t="str">
        <f t="shared" si="196"/>
        <v>Discounted</v>
      </c>
      <c r="O4201" t="str">
        <f t="shared" si="197"/>
        <v>Returning</v>
      </c>
    </row>
    <row r="4202" spans="1:15" x14ac:dyDescent="0.25">
      <c r="A4202">
        <v>4201</v>
      </c>
      <c r="B4202">
        <v>38</v>
      </c>
      <c r="C4202" t="s">
        <v>16</v>
      </c>
      <c r="D4202" t="s">
        <v>20</v>
      </c>
      <c r="E4202" t="s">
        <v>36</v>
      </c>
      <c r="F4202" s="1">
        <v>92.59</v>
      </c>
      <c r="G4202" t="s">
        <v>19</v>
      </c>
      <c r="H4202" t="s">
        <v>15</v>
      </c>
      <c r="I4202" s="2">
        <v>4.5999999999999996</v>
      </c>
      <c r="J4202" s="4">
        <v>19</v>
      </c>
      <c r="K4202" s="3">
        <v>7</v>
      </c>
      <c r="L4202" s="1">
        <f t="shared" si="195"/>
        <v>74.997900000000001</v>
      </c>
      <c r="M4202" t="str" cm="1">
        <f t="array" ref="M4202">_xlfn.IFS(B4202&lt;18,"Under 18",B4202 &lt;=25,"18-25",B4202&lt;=35,"26-35",B4202&lt;=45,"36-45",B4202&lt;=60,"46-60",TRUE,"60+")</f>
        <v>36-45</v>
      </c>
      <c r="N4202" t="str">
        <f t="shared" si="196"/>
        <v>Discounted</v>
      </c>
      <c r="O4202" t="str">
        <f t="shared" si="197"/>
        <v>Returning</v>
      </c>
    </row>
    <row r="4203" spans="1:15" x14ac:dyDescent="0.25">
      <c r="A4203">
        <v>4202</v>
      </c>
      <c r="B4203">
        <v>52</v>
      </c>
      <c r="C4203" t="s">
        <v>11</v>
      </c>
      <c r="D4203" t="s">
        <v>41</v>
      </c>
      <c r="E4203" t="s">
        <v>42</v>
      </c>
      <c r="F4203" s="1">
        <v>132.66999999999999</v>
      </c>
      <c r="G4203" t="s">
        <v>14</v>
      </c>
      <c r="H4203" t="s">
        <v>15</v>
      </c>
      <c r="I4203" s="2">
        <v>5</v>
      </c>
      <c r="J4203" s="4">
        <v>13</v>
      </c>
      <c r="K4203" s="3">
        <v>4</v>
      </c>
      <c r="L4203" s="1">
        <f t="shared" si="195"/>
        <v>115.42289999999998</v>
      </c>
      <c r="M4203" t="str" cm="1">
        <f t="array" ref="M4203">_xlfn.IFS(B4203&lt;18,"Under 18",B4203 &lt;=25,"18-25",B4203&lt;=35,"26-35",B4203&lt;=45,"36-45",B4203&lt;=60,"46-60",TRUE,"60+")</f>
        <v>46-60</v>
      </c>
      <c r="N4203" t="str">
        <f t="shared" si="196"/>
        <v>Discounted</v>
      </c>
      <c r="O4203" t="str">
        <f t="shared" si="197"/>
        <v>Returning</v>
      </c>
    </row>
    <row r="4204" spans="1:15" x14ac:dyDescent="0.25">
      <c r="A4204">
        <v>4203</v>
      </c>
      <c r="B4204">
        <v>49</v>
      </c>
      <c r="C4204" t="s">
        <v>11</v>
      </c>
      <c r="D4204" t="s">
        <v>25</v>
      </c>
      <c r="E4204" t="s">
        <v>54</v>
      </c>
      <c r="F4204" s="1">
        <v>44.3</v>
      </c>
      <c r="G4204" t="s">
        <v>24</v>
      </c>
      <c r="H4204" t="s">
        <v>15</v>
      </c>
      <c r="I4204" s="2">
        <v>4.3</v>
      </c>
      <c r="J4204" s="4">
        <v>17</v>
      </c>
      <c r="K4204" s="3">
        <v>6</v>
      </c>
      <c r="L4204" s="1">
        <f t="shared" si="195"/>
        <v>36.768999999999998</v>
      </c>
      <c r="M4204" t="str" cm="1">
        <f t="array" ref="M4204">_xlfn.IFS(B4204&lt;18,"Under 18",B4204 &lt;=25,"18-25",B4204&lt;=35,"26-35",B4204&lt;=45,"36-45",B4204&lt;=60,"46-60",TRUE,"60+")</f>
        <v>46-60</v>
      </c>
      <c r="N4204" t="str">
        <f t="shared" si="196"/>
        <v>Discounted</v>
      </c>
      <c r="O4204" t="str">
        <f t="shared" si="197"/>
        <v>Returning</v>
      </c>
    </row>
    <row r="4205" spans="1:15" x14ac:dyDescent="0.25">
      <c r="A4205">
        <v>4204</v>
      </c>
      <c r="B4205">
        <v>26</v>
      </c>
      <c r="C4205" t="s">
        <v>11</v>
      </c>
      <c r="D4205" t="s">
        <v>29</v>
      </c>
      <c r="E4205" t="s">
        <v>30</v>
      </c>
      <c r="F4205" s="1">
        <v>76.87</v>
      </c>
      <c r="G4205" t="s">
        <v>19</v>
      </c>
      <c r="H4205" t="s">
        <v>15</v>
      </c>
      <c r="I4205" s="2">
        <v>3</v>
      </c>
      <c r="J4205" s="4">
        <v>10</v>
      </c>
      <c r="K4205" s="3">
        <v>5</v>
      </c>
      <c r="L4205" s="1">
        <f t="shared" si="195"/>
        <v>69.183000000000007</v>
      </c>
      <c r="M4205" t="str" cm="1">
        <f t="array" ref="M4205">_xlfn.IFS(B4205&lt;18,"Under 18",B4205 &lt;=25,"18-25",B4205&lt;=35,"26-35",B4205&lt;=45,"36-45",B4205&lt;=60,"46-60",TRUE,"60+")</f>
        <v>26-35</v>
      </c>
      <c r="N4205" t="str">
        <f t="shared" si="196"/>
        <v>Discounted</v>
      </c>
      <c r="O4205" t="str">
        <f t="shared" si="197"/>
        <v>Returning</v>
      </c>
    </row>
    <row r="4206" spans="1:15" x14ac:dyDescent="0.25">
      <c r="A4206">
        <v>4205</v>
      </c>
      <c r="B4206">
        <v>58</v>
      </c>
      <c r="C4206" t="s">
        <v>16</v>
      </c>
      <c r="D4206" t="s">
        <v>17</v>
      </c>
      <c r="E4206" t="s">
        <v>48</v>
      </c>
      <c r="F4206" s="1">
        <v>53.51</v>
      </c>
      <c r="G4206" t="s">
        <v>19</v>
      </c>
      <c r="H4206" t="s">
        <v>15</v>
      </c>
      <c r="I4206" s="2">
        <v>4.4000000000000004</v>
      </c>
      <c r="J4206" s="4">
        <v>12</v>
      </c>
      <c r="K4206" s="3">
        <v>6</v>
      </c>
      <c r="L4206" s="1">
        <f t="shared" si="195"/>
        <v>47.088799999999999</v>
      </c>
      <c r="M4206" t="str" cm="1">
        <f t="array" ref="M4206">_xlfn.IFS(B4206&lt;18,"Under 18",B4206 &lt;=25,"18-25",B4206&lt;=35,"26-35",B4206&lt;=45,"36-45",B4206&lt;=60,"46-60",TRUE,"60+")</f>
        <v>46-60</v>
      </c>
      <c r="N4206" t="str">
        <f t="shared" si="196"/>
        <v>Discounted</v>
      </c>
      <c r="O4206" t="str">
        <f t="shared" si="197"/>
        <v>Returning</v>
      </c>
    </row>
    <row r="4207" spans="1:15" x14ac:dyDescent="0.25">
      <c r="A4207">
        <v>4206</v>
      </c>
      <c r="B4207">
        <v>52</v>
      </c>
      <c r="C4207" t="s">
        <v>16</v>
      </c>
      <c r="D4207" t="s">
        <v>20</v>
      </c>
      <c r="E4207" t="s">
        <v>39</v>
      </c>
      <c r="F4207" s="1">
        <v>103.02</v>
      </c>
      <c r="G4207" t="s">
        <v>14</v>
      </c>
      <c r="H4207" t="s">
        <v>15</v>
      </c>
      <c r="I4207" s="2">
        <v>3.6</v>
      </c>
      <c r="J4207" s="4">
        <v>14</v>
      </c>
      <c r="K4207" s="3">
        <v>7</v>
      </c>
      <c r="L4207" s="1">
        <f t="shared" si="195"/>
        <v>88.597200000000001</v>
      </c>
      <c r="M4207" t="str" cm="1">
        <f t="array" ref="M4207">_xlfn.IFS(B4207&lt;18,"Under 18",B4207 &lt;=25,"18-25",B4207&lt;=35,"26-35",B4207&lt;=45,"36-45",B4207&lt;=60,"46-60",TRUE,"60+")</f>
        <v>46-60</v>
      </c>
      <c r="N4207" t="str">
        <f t="shared" si="196"/>
        <v>Discounted</v>
      </c>
      <c r="O4207" t="str">
        <f t="shared" si="197"/>
        <v>Returning</v>
      </c>
    </row>
    <row r="4208" spans="1:15" x14ac:dyDescent="0.25">
      <c r="A4208">
        <v>4207</v>
      </c>
      <c r="B4208">
        <v>64</v>
      </c>
      <c r="C4208" t="s">
        <v>16</v>
      </c>
      <c r="D4208" t="s">
        <v>33</v>
      </c>
      <c r="E4208" t="s">
        <v>40</v>
      </c>
      <c r="F4208" s="1">
        <v>184.26</v>
      </c>
      <c r="G4208" t="s">
        <v>24</v>
      </c>
      <c r="H4208" t="s">
        <v>15</v>
      </c>
      <c r="I4208" s="2">
        <v>4.5999999999999996</v>
      </c>
      <c r="J4208" s="4">
        <v>12</v>
      </c>
      <c r="K4208" s="3">
        <v>1</v>
      </c>
      <c r="L4208" s="1">
        <f t="shared" si="195"/>
        <v>162.14879999999999</v>
      </c>
      <c r="M4208" t="str" cm="1">
        <f t="array" ref="M4208">_xlfn.IFS(B4208&lt;18,"Under 18",B4208 &lt;=25,"18-25",B4208&lt;=35,"26-35",B4208&lt;=45,"36-45",B4208&lt;=60,"46-60",TRUE,"60+")</f>
        <v>60+</v>
      </c>
      <c r="N4208" t="str">
        <f t="shared" si="196"/>
        <v>Discounted</v>
      </c>
      <c r="O4208" t="str">
        <f t="shared" si="197"/>
        <v>Returning</v>
      </c>
    </row>
    <row r="4209" spans="1:15" x14ac:dyDescent="0.25">
      <c r="A4209">
        <v>4208</v>
      </c>
      <c r="B4209">
        <v>55</v>
      </c>
      <c r="C4209" t="s">
        <v>11</v>
      </c>
      <c r="D4209" t="s">
        <v>33</v>
      </c>
      <c r="E4209" t="s">
        <v>40</v>
      </c>
      <c r="F4209" s="1">
        <v>171.05</v>
      </c>
      <c r="G4209" t="s">
        <v>14</v>
      </c>
      <c r="H4209" t="s">
        <v>15</v>
      </c>
      <c r="I4209" s="2">
        <v>3.8</v>
      </c>
      <c r="J4209" s="4">
        <v>12</v>
      </c>
      <c r="K4209" s="3">
        <v>6</v>
      </c>
      <c r="L4209" s="1">
        <f t="shared" si="195"/>
        <v>150.524</v>
      </c>
      <c r="M4209" t="str" cm="1">
        <f t="array" ref="M4209">_xlfn.IFS(B4209&lt;18,"Under 18",B4209 &lt;=25,"18-25",B4209&lt;=35,"26-35",B4209&lt;=45,"36-45",B4209&lt;=60,"46-60",TRUE,"60+")</f>
        <v>46-60</v>
      </c>
      <c r="N4209" t="str">
        <f t="shared" si="196"/>
        <v>Discounted</v>
      </c>
      <c r="O4209" t="str">
        <f t="shared" si="197"/>
        <v>Returning</v>
      </c>
    </row>
    <row r="4210" spans="1:15" x14ac:dyDescent="0.25">
      <c r="A4210">
        <v>4209</v>
      </c>
      <c r="B4210">
        <v>67</v>
      </c>
      <c r="C4210" t="s">
        <v>11</v>
      </c>
      <c r="D4210" t="s">
        <v>12</v>
      </c>
      <c r="E4210" t="s">
        <v>56</v>
      </c>
      <c r="F4210" s="1">
        <v>37.770000000000003</v>
      </c>
      <c r="G4210" t="s">
        <v>24</v>
      </c>
      <c r="H4210" t="s">
        <v>37</v>
      </c>
      <c r="I4210" s="2">
        <v>4.5</v>
      </c>
      <c r="J4210" s="4">
        <v>20</v>
      </c>
      <c r="K4210" s="3">
        <v>5</v>
      </c>
      <c r="L4210" s="1">
        <f t="shared" si="195"/>
        <v>30.216000000000005</v>
      </c>
      <c r="M4210" t="str" cm="1">
        <f t="array" ref="M4210">_xlfn.IFS(B4210&lt;18,"Under 18",B4210 &lt;=25,"18-25",B4210&lt;=35,"26-35",B4210&lt;=45,"36-45",B4210&lt;=60,"46-60",TRUE,"60+")</f>
        <v>60+</v>
      </c>
      <c r="N4210" t="str">
        <f t="shared" si="196"/>
        <v>Discounted</v>
      </c>
      <c r="O4210" t="str">
        <f t="shared" si="197"/>
        <v>Returning</v>
      </c>
    </row>
    <row r="4211" spans="1:15" x14ac:dyDescent="0.25">
      <c r="A4211">
        <v>4210</v>
      </c>
      <c r="B4211">
        <v>41</v>
      </c>
      <c r="C4211" t="s">
        <v>16</v>
      </c>
      <c r="D4211" t="s">
        <v>22</v>
      </c>
      <c r="E4211" t="s">
        <v>43</v>
      </c>
      <c r="F4211" s="1">
        <v>170.89</v>
      </c>
      <c r="G4211" t="s">
        <v>14</v>
      </c>
      <c r="H4211" t="s">
        <v>15</v>
      </c>
      <c r="I4211" s="2">
        <v>4.7</v>
      </c>
      <c r="J4211" s="4">
        <v>24</v>
      </c>
      <c r="K4211" s="3">
        <v>7</v>
      </c>
      <c r="L4211" s="1">
        <f t="shared" si="195"/>
        <v>129.87639999999999</v>
      </c>
      <c r="M4211" t="str" cm="1">
        <f t="array" ref="M4211">_xlfn.IFS(B4211&lt;18,"Under 18",B4211 &lt;=25,"18-25",B4211&lt;=35,"26-35",B4211&lt;=45,"36-45",B4211&lt;=60,"46-60",TRUE,"60+")</f>
        <v>36-45</v>
      </c>
      <c r="N4211" t="str">
        <f t="shared" si="196"/>
        <v>Discounted</v>
      </c>
      <c r="O4211" t="str">
        <f t="shared" si="197"/>
        <v>Returning</v>
      </c>
    </row>
    <row r="4212" spans="1:15" x14ac:dyDescent="0.25">
      <c r="A4212">
        <v>4211</v>
      </c>
      <c r="B4212">
        <v>23</v>
      </c>
      <c r="C4212" t="s">
        <v>16</v>
      </c>
      <c r="D4212" t="s">
        <v>33</v>
      </c>
      <c r="E4212" t="s">
        <v>34</v>
      </c>
      <c r="F4212" s="1">
        <v>249.42</v>
      </c>
      <c r="G4212" t="s">
        <v>19</v>
      </c>
      <c r="H4212" t="s">
        <v>15</v>
      </c>
      <c r="I4212" s="2">
        <v>2.7</v>
      </c>
      <c r="J4212" s="4">
        <v>23</v>
      </c>
      <c r="K4212" s="3">
        <v>9</v>
      </c>
      <c r="L4212" s="1">
        <f t="shared" si="195"/>
        <v>192.05339999999998</v>
      </c>
      <c r="M4212" t="str" cm="1">
        <f t="array" ref="M4212">_xlfn.IFS(B4212&lt;18,"Under 18",B4212 &lt;=25,"18-25",B4212&lt;=35,"26-35",B4212&lt;=45,"36-45",B4212&lt;=60,"46-60",TRUE,"60+")</f>
        <v>18-25</v>
      </c>
      <c r="N4212" t="str">
        <f t="shared" si="196"/>
        <v>Discounted</v>
      </c>
      <c r="O4212" t="str">
        <f t="shared" si="197"/>
        <v>Returning</v>
      </c>
    </row>
    <row r="4213" spans="1:15" x14ac:dyDescent="0.25">
      <c r="A4213">
        <v>4212</v>
      </c>
      <c r="B4213">
        <v>66</v>
      </c>
      <c r="C4213" t="s">
        <v>11</v>
      </c>
      <c r="D4213" t="s">
        <v>33</v>
      </c>
      <c r="E4213" t="s">
        <v>38</v>
      </c>
      <c r="F4213" s="1">
        <v>167.08</v>
      </c>
      <c r="G4213" t="s">
        <v>19</v>
      </c>
      <c r="H4213" t="s">
        <v>15</v>
      </c>
      <c r="I4213" s="2">
        <v>4.2</v>
      </c>
      <c r="J4213" s="4">
        <v>24</v>
      </c>
      <c r="K4213" s="3">
        <v>7</v>
      </c>
      <c r="L4213" s="1">
        <f t="shared" si="195"/>
        <v>126.98080000000002</v>
      </c>
      <c r="M4213" t="str" cm="1">
        <f t="array" ref="M4213">_xlfn.IFS(B4213&lt;18,"Under 18",B4213 &lt;=25,"18-25",B4213&lt;=35,"26-35",B4213&lt;=45,"36-45",B4213&lt;=60,"46-60",TRUE,"60+")</f>
        <v>60+</v>
      </c>
      <c r="N4213" t="str">
        <f t="shared" si="196"/>
        <v>Discounted</v>
      </c>
      <c r="O4213" t="str">
        <f t="shared" si="197"/>
        <v>Returning</v>
      </c>
    </row>
    <row r="4214" spans="1:15" x14ac:dyDescent="0.25">
      <c r="A4214">
        <v>4213</v>
      </c>
      <c r="B4214">
        <v>26</v>
      </c>
      <c r="C4214" t="s">
        <v>11</v>
      </c>
      <c r="D4214" t="s">
        <v>25</v>
      </c>
      <c r="E4214" t="s">
        <v>54</v>
      </c>
      <c r="F4214" s="1">
        <v>59.78</v>
      </c>
      <c r="G4214" t="s">
        <v>14</v>
      </c>
      <c r="H4214" t="s">
        <v>15</v>
      </c>
      <c r="I4214" s="2">
        <v>4.3</v>
      </c>
      <c r="J4214" s="4">
        <v>15</v>
      </c>
      <c r="K4214" s="3">
        <v>5</v>
      </c>
      <c r="L4214" s="1">
        <f t="shared" si="195"/>
        <v>50.813000000000002</v>
      </c>
      <c r="M4214" t="str" cm="1">
        <f t="array" ref="M4214">_xlfn.IFS(B4214&lt;18,"Under 18",B4214 &lt;=25,"18-25",B4214&lt;=35,"26-35",B4214&lt;=45,"36-45",B4214&lt;=60,"46-60",TRUE,"60+")</f>
        <v>26-35</v>
      </c>
      <c r="N4214" t="str">
        <f t="shared" si="196"/>
        <v>Discounted</v>
      </c>
      <c r="O4214" t="str">
        <f t="shared" si="197"/>
        <v>Returning</v>
      </c>
    </row>
    <row r="4215" spans="1:15" x14ac:dyDescent="0.25">
      <c r="A4215">
        <v>4214</v>
      </c>
      <c r="B4215">
        <v>44</v>
      </c>
      <c r="C4215" t="s">
        <v>11</v>
      </c>
      <c r="D4215" t="s">
        <v>41</v>
      </c>
      <c r="E4215" t="s">
        <v>45</v>
      </c>
      <c r="F4215" s="1">
        <v>32</v>
      </c>
      <c r="G4215" t="s">
        <v>14</v>
      </c>
      <c r="H4215" t="s">
        <v>15</v>
      </c>
      <c r="I4215" s="2">
        <v>5</v>
      </c>
      <c r="J4215" s="4">
        <v>14</v>
      </c>
      <c r="K4215" s="3">
        <v>7</v>
      </c>
      <c r="L4215" s="1">
        <f t="shared" si="195"/>
        <v>27.52</v>
      </c>
      <c r="M4215" t="str" cm="1">
        <f t="array" ref="M4215">_xlfn.IFS(B4215&lt;18,"Under 18",B4215 &lt;=25,"18-25",B4215&lt;=35,"26-35",B4215&lt;=45,"36-45",B4215&lt;=60,"46-60",TRUE,"60+")</f>
        <v>36-45</v>
      </c>
      <c r="N4215" t="str">
        <f t="shared" si="196"/>
        <v>Discounted</v>
      </c>
      <c r="O4215" t="str">
        <f t="shared" si="197"/>
        <v>Returning</v>
      </c>
    </row>
    <row r="4216" spans="1:15" x14ac:dyDescent="0.25">
      <c r="A4216">
        <v>4215</v>
      </c>
      <c r="B4216">
        <v>36</v>
      </c>
      <c r="C4216" t="s">
        <v>16</v>
      </c>
      <c r="D4216" t="s">
        <v>20</v>
      </c>
      <c r="E4216" t="s">
        <v>36</v>
      </c>
      <c r="F4216" s="1">
        <v>46.99</v>
      </c>
      <c r="G4216" t="s">
        <v>19</v>
      </c>
      <c r="H4216" t="s">
        <v>37</v>
      </c>
      <c r="I4216" s="2">
        <v>3.7</v>
      </c>
      <c r="J4216" s="4">
        <v>8</v>
      </c>
      <c r="K4216" s="3">
        <v>4</v>
      </c>
      <c r="L4216" s="1">
        <f t="shared" si="195"/>
        <v>43.230800000000002</v>
      </c>
      <c r="M4216" t="str" cm="1">
        <f t="array" ref="M4216">_xlfn.IFS(B4216&lt;18,"Under 18",B4216 &lt;=25,"18-25",B4216&lt;=35,"26-35",B4216&lt;=45,"36-45",B4216&lt;=60,"46-60",TRUE,"60+")</f>
        <v>36-45</v>
      </c>
      <c r="N4216" t="str">
        <f t="shared" si="196"/>
        <v>Discounted</v>
      </c>
      <c r="O4216" t="str">
        <f t="shared" si="197"/>
        <v>Returning</v>
      </c>
    </row>
    <row r="4217" spans="1:15" x14ac:dyDescent="0.25">
      <c r="A4217">
        <v>4216</v>
      </c>
      <c r="B4217">
        <v>31</v>
      </c>
      <c r="C4217" t="s">
        <v>16</v>
      </c>
      <c r="D4217" t="s">
        <v>33</v>
      </c>
      <c r="E4217" t="s">
        <v>40</v>
      </c>
      <c r="F4217" s="1">
        <v>82.9</v>
      </c>
      <c r="G4217" t="s">
        <v>24</v>
      </c>
      <c r="H4217" t="s">
        <v>15</v>
      </c>
      <c r="I4217" s="2">
        <v>4.2</v>
      </c>
      <c r="J4217" s="4">
        <v>16</v>
      </c>
      <c r="K4217" s="3">
        <v>3</v>
      </c>
      <c r="L4217" s="1">
        <f t="shared" si="195"/>
        <v>69.635999999999996</v>
      </c>
      <c r="M4217" t="str" cm="1">
        <f t="array" ref="M4217">_xlfn.IFS(B4217&lt;18,"Under 18",B4217 &lt;=25,"18-25",B4217&lt;=35,"26-35",B4217&lt;=45,"36-45",B4217&lt;=60,"46-60",TRUE,"60+")</f>
        <v>26-35</v>
      </c>
      <c r="N4217" t="str">
        <f t="shared" si="196"/>
        <v>Discounted</v>
      </c>
      <c r="O4217" t="str">
        <f t="shared" si="197"/>
        <v>Returning</v>
      </c>
    </row>
    <row r="4218" spans="1:15" x14ac:dyDescent="0.25">
      <c r="A4218">
        <v>4217</v>
      </c>
      <c r="B4218">
        <v>69</v>
      </c>
      <c r="C4218" t="s">
        <v>16</v>
      </c>
      <c r="D4218" t="s">
        <v>33</v>
      </c>
      <c r="E4218" t="s">
        <v>40</v>
      </c>
      <c r="F4218" s="1">
        <v>245.86</v>
      </c>
      <c r="G4218" t="s">
        <v>24</v>
      </c>
      <c r="H4218" t="s">
        <v>15</v>
      </c>
      <c r="I4218" s="2">
        <v>4</v>
      </c>
      <c r="J4218" s="4">
        <v>15</v>
      </c>
      <c r="K4218" s="3">
        <v>5</v>
      </c>
      <c r="L4218" s="1">
        <f t="shared" si="195"/>
        <v>208.98099999999999</v>
      </c>
      <c r="M4218" t="str" cm="1">
        <f t="array" ref="M4218">_xlfn.IFS(B4218&lt;18,"Under 18",B4218 &lt;=25,"18-25",B4218&lt;=35,"26-35",B4218&lt;=45,"36-45",B4218&lt;=60,"46-60",TRUE,"60+")</f>
        <v>60+</v>
      </c>
      <c r="N4218" t="str">
        <f t="shared" si="196"/>
        <v>Discounted</v>
      </c>
      <c r="O4218" t="str">
        <f t="shared" si="197"/>
        <v>Returning</v>
      </c>
    </row>
    <row r="4219" spans="1:15" x14ac:dyDescent="0.25">
      <c r="A4219">
        <v>4218</v>
      </c>
      <c r="B4219">
        <v>48</v>
      </c>
      <c r="C4219" t="s">
        <v>11</v>
      </c>
      <c r="D4219" t="s">
        <v>12</v>
      </c>
      <c r="E4219" t="s">
        <v>13</v>
      </c>
      <c r="F4219" s="1">
        <v>94.05</v>
      </c>
      <c r="G4219" t="s">
        <v>19</v>
      </c>
      <c r="H4219" t="s">
        <v>37</v>
      </c>
      <c r="I4219" s="2">
        <v>4.3</v>
      </c>
      <c r="J4219" s="4">
        <v>10</v>
      </c>
      <c r="K4219" s="3">
        <v>5</v>
      </c>
      <c r="L4219" s="1">
        <f t="shared" si="195"/>
        <v>84.644999999999996</v>
      </c>
      <c r="M4219" t="str" cm="1">
        <f t="array" ref="M4219">_xlfn.IFS(B4219&lt;18,"Under 18",B4219 &lt;=25,"18-25",B4219&lt;=35,"26-35",B4219&lt;=45,"36-45",B4219&lt;=60,"46-60",TRUE,"60+")</f>
        <v>46-60</v>
      </c>
      <c r="N4219" t="str">
        <f t="shared" si="196"/>
        <v>Discounted</v>
      </c>
      <c r="O4219" t="str">
        <f t="shared" si="197"/>
        <v>Returning</v>
      </c>
    </row>
    <row r="4220" spans="1:15" x14ac:dyDescent="0.25">
      <c r="A4220">
        <v>4219</v>
      </c>
      <c r="B4220">
        <v>31</v>
      </c>
      <c r="C4220" t="s">
        <v>11</v>
      </c>
      <c r="D4220" t="s">
        <v>25</v>
      </c>
      <c r="E4220" t="s">
        <v>47</v>
      </c>
      <c r="F4220" s="1">
        <v>9.39</v>
      </c>
      <c r="G4220" t="s">
        <v>14</v>
      </c>
      <c r="H4220" t="s">
        <v>15</v>
      </c>
      <c r="I4220" s="2">
        <v>4.2</v>
      </c>
      <c r="J4220" s="4">
        <v>14</v>
      </c>
      <c r="K4220" s="3">
        <v>2</v>
      </c>
      <c r="L4220" s="1">
        <f t="shared" si="195"/>
        <v>8.0754000000000001</v>
      </c>
      <c r="M4220" t="str" cm="1">
        <f t="array" ref="M4220">_xlfn.IFS(B4220&lt;18,"Under 18",B4220 &lt;=25,"18-25",B4220&lt;=35,"26-35",B4220&lt;=45,"36-45",B4220&lt;=60,"46-60",TRUE,"60+")</f>
        <v>26-35</v>
      </c>
      <c r="N4220" t="str">
        <f t="shared" si="196"/>
        <v>Discounted</v>
      </c>
      <c r="O4220" t="str">
        <f t="shared" si="197"/>
        <v>Returning</v>
      </c>
    </row>
    <row r="4221" spans="1:15" x14ac:dyDescent="0.25">
      <c r="A4221">
        <v>4220</v>
      </c>
      <c r="B4221">
        <v>33</v>
      </c>
      <c r="C4221" t="s">
        <v>11</v>
      </c>
      <c r="D4221" t="s">
        <v>33</v>
      </c>
      <c r="E4221" t="s">
        <v>34</v>
      </c>
      <c r="F4221" s="1">
        <v>115.37</v>
      </c>
      <c r="G4221" t="s">
        <v>24</v>
      </c>
      <c r="H4221" t="s">
        <v>15</v>
      </c>
      <c r="I4221" s="2">
        <v>2.8</v>
      </c>
      <c r="J4221" s="4">
        <v>6</v>
      </c>
      <c r="K4221" s="3">
        <v>3</v>
      </c>
      <c r="L4221" s="1">
        <f t="shared" si="195"/>
        <v>108.4478</v>
      </c>
      <c r="M4221" t="str" cm="1">
        <f t="array" ref="M4221">_xlfn.IFS(B4221&lt;18,"Under 18",B4221 &lt;=25,"18-25",B4221&lt;=35,"26-35",B4221&lt;=45,"36-45",B4221&lt;=60,"46-60",TRUE,"60+")</f>
        <v>26-35</v>
      </c>
      <c r="N4221" t="str">
        <f t="shared" si="196"/>
        <v>Discounted</v>
      </c>
      <c r="O4221" t="str">
        <f t="shared" si="197"/>
        <v>Returning</v>
      </c>
    </row>
    <row r="4222" spans="1:15" x14ac:dyDescent="0.25">
      <c r="A4222">
        <v>4221</v>
      </c>
      <c r="B4222">
        <v>42</v>
      </c>
      <c r="C4222" t="s">
        <v>16</v>
      </c>
      <c r="D4222" t="s">
        <v>22</v>
      </c>
      <c r="E4222" t="s">
        <v>43</v>
      </c>
      <c r="F4222" s="1">
        <v>288.26</v>
      </c>
      <c r="G4222" t="s">
        <v>19</v>
      </c>
      <c r="H4222" t="s">
        <v>15</v>
      </c>
      <c r="I4222" s="2">
        <v>4.0999999999999996</v>
      </c>
      <c r="J4222" s="4">
        <v>10</v>
      </c>
      <c r="K4222" s="3">
        <v>5</v>
      </c>
      <c r="L4222" s="1">
        <f t="shared" si="195"/>
        <v>259.43400000000003</v>
      </c>
      <c r="M4222" t="str" cm="1">
        <f t="array" ref="M4222">_xlfn.IFS(B4222&lt;18,"Under 18",B4222 &lt;=25,"18-25",B4222&lt;=35,"26-35",B4222&lt;=45,"36-45",B4222&lt;=60,"46-60",TRUE,"60+")</f>
        <v>36-45</v>
      </c>
      <c r="N4222" t="str">
        <f t="shared" si="196"/>
        <v>Discounted</v>
      </c>
      <c r="O4222" t="str">
        <f t="shared" si="197"/>
        <v>Returning</v>
      </c>
    </row>
    <row r="4223" spans="1:15" x14ac:dyDescent="0.25">
      <c r="A4223">
        <v>4222</v>
      </c>
      <c r="B4223">
        <v>61</v>
      </c>
      <c r="C4223" t="s">
        <v>16</v>
      </c>
      <c r="D4223" t="s">
        <v>27</v>
      </c>
      <c r="E4223" t="s">
        <v>28</v>
      </c>
      <c r="F4223" s="1">
        <v>2235.09</v>
      </c>
      <c r="G4223" t="s">
        <v>24</v>
      </c>
      <c r="H4223" t="s">
        <v>15</v>
      </c>
      <c r="I4223" s="2">
        <v>4.4000000000000004</v>
      </c>
      <c r="J4223" s="4">
        <v>14</v>
      </c>
      <c r="K4223" s="3">
        <v>7</v>
      </c>
      <c r="L4223" s="1">
        <f t="shared" si="195"/>
        <v>1922.1774</v>
      </c>
      <c r="M4223" t="str" cm="1">
        <f t="array" ref="M4223">_xlfn.IFS(B4223&lt;18,"Under 18",B4223 &lt;=25,"18-25",B4223&lt;=35,"26-35",B4223&lt;=45,"36-45",B4223&lt;=60,"46-60",TRUE,"60+")</f>
        <v>60+</v>
      </c>
      <c r="N4223" t="str">
        <f t="shared" si="196"/>
        <v>Discounted</v>
      </c>
      <c r="O4223" t="str">
        <f t="shared" si="197"/>
        <v>Returning</v>
      </c>
    </row>
    <row r="4224" spans="1:15" x14ac:dyDescent="0.25">
      <c r="A4224">
        <v>4223</v>
      </c>
      <c r="B4224">
        <v>62</v>
      </c>
      <c r="C4224" t="s">
        <v>16</v>
      </c>
      <c r="D4224" t="s">
        <v>20</v>
      </c>
      <c r="E4224" t="s">
        <v>21</v>
      </c>
      <c r="F4224" s="1">
        <v>173.92</v>
      </c>
      <c r="G4224" t="s">
        <v>31</v>
      </c>
      <c r="H4224" t="s">
        <v>15</v>
      </c>
      <c r="I4224" s="2">
        <v>4.2</v>
      </c>
      <c r="J4224" s="4">
        <v>8</v>
      </c>
      <c r="K4224" s="3">
        <v>4</v>
      </c>
      <c r="L4224" s="1">
        <f t="shared" si="195"/>
        <v>160.00639999999999</v>
      </c>
      <c r="M4224" t="str" cm="1">
        <f t="array" ref="M4224">_xlfn.IFS(B4224&lt;18,"Under 18",B4224 &lt;=25,"18-25",B4224&lt;=35,"26-35",B4224&lt;=45,"36-45",B4224&lt;=60,"46-60",TRUE,"60+")</f>
        <v>60+</v>
      </c>
      <c r="N4224" t="str">
        <f t="shared" si="196"/>
        <v>Discounted</v>
      </c>
      <c r="O4224" t="str">
        <f t="shared" si="197"/>
        <v>Returning</v>
      </c>
    </row>
    <row r="4225" spans="1:15" x14ac:dyDescent="0.25">
      <c r="A4225">
        <v>4224</v>
      </c>
      <c r="B4225">
        <v>29</v>
      </c>
      <c r="C4225" t="s">
        <v>11</v>
      </c>
      <c r="D4225" t="s">
        <v>29</v>
      </c>
      <c r="E4225" t="s">
        <v>30</v>
      </c>
      <c r="F4225" s="1">
        <v>20.49</v>
      </c>
      <c r="G4225" t="s">
        <v>19</v>
      </c>
      <c r="H4225" t="s">
        <v>37</v>
      </c>
      <c r="I4225" s="2">
        <v>3.7</v>
      </c>
      <c r="J4225" s="4">
        <v>14</v>
      </c>
      <c r="K4225" s="3">
        <v>7</v>
      </c>
      <c r="L4225" s="1">
        <f t="shared" si="195"/>
        <v>17.621399999999998</v>
      </c>
      <c r="M4225" t="str" cm="1">
        <f t="array" ref="M4225">_xlfn.IFS(B4225&lt;18,"Under 18",B4225 &lt;=25,"18-25",B4225&lt;=35,"26-35",B4225&lt;=45,"36-45",B4225&lt;=60,"46-60",TRUE,"60+")</f>
        <v>26-35</v>
      </c>
      <c r="N4225" t="str">
        <f t="shared" si="196"/>
        <v>Discounted</v>
      </c>
      <c r="O4225" t="str">
        <f t="shared" si="197"/>
        <v>Returning</v>
      </c>
    </row>
    <row r="4226" spans="1:15" x14ac:dyDescent="0.25">
      <c r="A4226">
        <v>4225</v>
      </c>
      <c r="B4226">
        <v>23</v>
      </c>
      <c r="C4226" t="s">
        <v>11</v>
      </c>
      <c r="D4226" t="s">
        <v>29</v>
      </c>
      <c r="E4226" t="s">
        <v>55</v>
      </c>
      <c r="F4226" s="1">
        <v>46.62</v>
      </c>
      <c r="G4226" t="s">
        <v>24</v>
      </c>
      <c r="H4226" t="s">
        <v>37</v>
      </c>
      <c r="I4226" s="2">
        <v>5</v>
      </c>
      <c r="J4226" s="4">
        <v>22</v>
      </c>
      <c r="K4226" s="3">
        <v>6</v>
      </c>
      <c r="L4226" s="1">
        <f t="shared" si="195"/>
        <v>36.363599999999998</v>
      </c>
      <c r="M4226" t="str" cm="1">
        <f t="array" ref="M4226">_xlfn.IFS(B4226&lt;18,"Under 18",B4226 &lt;=25,"18-25",B4226&lt;=35,"26-35",B4226&lt;=45,"36-45",B4226&lt;=60,"46-60",TRUE,"60+")</f>
        <v>18-25</v>
      </c>
      <c r="N4226" t="str">
        <f t="shared" si="196"/>
        <v>Discounted</v>
      </c>
      <c r="O4226" t="str">
        <f t="shared" si="197"/>
        <v>Returning</v>
      </c>
    </row>
    <row r="4227" spans="1:15" x14ac:dyDescent="0.25">
      <c r="A4227">
        <v>4226</v>
      </c>
      <c r="B4227">
        <v>49</v>
      </c>
      <c r="C4227" t="s">
        <v>16</v>
      </c>
      <c r="D4227" t="s">
        <v>27</v>
      </c>
      <c r="E4227" t="s">
        <v>28</v>
      </c>
      <c r="F4227" s="1">
        <v>2552</v>
      </c>
      <c r="G4227" t="s">
        <v>14</v>
      </c>
      <c r="H4227" t="s">
        <v>15</v>
      </c>
      <c r="I4227" s="2">
        <v>4.5</v>
      </c>
      <c r="J4227" s="4">
        <v>18</v>
      </c>
      <c r="K4227" s="3">
        <v>4</v>
      </c>
      <c r="L4227" s="1">
        <f t="shared" ref="L4227:L4290" si="198">F4227 * (1 - J4227 / 100)</f>
        <v>2092.6400000000003</v>
      </c>
      <c r="M4227" t="str" cm="1">
        <f t="array" ref="M4227">_xlfn.IFS(B4227&lt;18,"Under 18",B4227 &lt;=25,"18-25",B4227&lt;=35,"26-35",B4227&lt;=45,"36-45",B4227&lt;=60,"46-60",TRUE,"60+")</f>
        <v>46-60</v>
      </c>
      <c r="N4227" t="str">
        <f t="shared" ref="N4227:N4290" si="199">IF(J4227&gt;0,"Discounted","No Discount")</f>
        <v>Discounted</v>
      </c>
      <c r="O4227" t="str">
        <f t="shared" ref="O4227:O4290" si="200">IF(K4227&gt;0,"Returning","New")</f>
        <v>Returning</v>
      </c>
    </row>
    <row r="4228" spans="1:15" x14ac:dyDescent="0.25">
      <c r="A4228">
        <v>4227</v>
      </c>
      <c r="B4228">
        <v>67</v>
      </c>
      <c r="C4228" t="s">
        <v>16</v>
      </c>
      <c r="D4228" t="s">
        <v>20</v>
      </c>
      <c r="E4228" t="s">
        <v>36</v>
      </c>
      <c r="F4228" s="1">
        <v>123.27</v>
      </c>
      <c r="G4228" t="s">
        <v>31</v>
      </c>
      <c r="H4228" t="s">
        <v>15</v>
      </c>
      <c r="I4228" s="2">
        <v>4.0999999999999996</v>
      </c>
      <c r="J4228" s="4">
        <v>12</v>
      </c>
      <c r="K4228" s="3">
        <v>6</v>
      </c>
      <c r="L4228" s="1">
        <f t="shared" si="198"/>
        <v>108.4776</v>
      </c>
      <c r="M4228" t="str" cm="1">
        <f t="array" ref="M4228">_xlfn.IFS(B4228&lt;18,"Under 18",B4228 &lt;=25,"18-25",B4228&lt;=35,"26-35",B4228&lt;=45,"36-45",B4228&lt;=60,"46-60",TRUE,"60+")</f>
        <v>60+</v>
      </c>
      <c r="N4228" t="str">
        <f t="shared" si="199"/>
        <v>Discounted</v>
      </c>
      <c r="O4228" t="str">
        <f t="shared" si="200"/>
        <v>Returning</v>
      </c>
    </row>
    <row r="4229" spans="1:15" x14ac:dyDescent="0.25">
      <c r="A4229">
        <v>4228</v>
      </c>
      <c r="B4229">
        <v>65</v>
      </c>
      <c r="C4229" t="s">
        <v>16</v>
      </c>
      <c r="D4229" t="s">
        <v>33</v>
      </c>
      <c r="E4229" t="s">
        <v>34</v>
      </c>
      <c r="F4229" s="1">
        <v>92.07</v>
      </c>
      <c r="G4229" t="s">
        <v>31</v>
      </c>
      <c r="H4229" t="s">
        <v>37</v>
      </c>
      <c r="I4229" s="2">
        <v>4.2</v>
      </c>
      <c r="J4229" s="4">
        <v>18</v>
      </c>
      <c r="K4229" s="3">
        <v>4</v>
      </c>
      <c r="L4229" s="1">
        <f t="shared" si="198"/>
        <v>75.497399999999999</v>
      </c>
      <c r="M4229" t="str" cm="1">
        <f t="array" ref="M4229">_xlfn.IFS(B4229&lt;18,"Under 18",B4229 &lt;=25,"18-25",B4229&lt;=35,"26-35",B4229&lt;=45,"36-45",B4229&lt;=60,"46-60",TRUE,"60+")</f>
        <v>60+</v>
      </c>
      <c r="N4229" t="str">
        <f t="shared" si="199"/>
        <v>Discounted</v>
      </c>
      <c r="O4229" t="str">
        <f t="shared" si="200"/>
        <v>Returning</v>
      </c>
    </row>
    <row r="4230" spans="1:15" x14ac:dyDescent="0.25">
      <c r="A4230">
        <v>4229</v>
      </c>
      <c r="B4230">
        <v>30</v>
      </c>
      <c r="C4230" t="s">
        <v>11</v>
      </c>
      <c r="D4230" t="s">
        <v>12</v>
      </c>
      <c r="E4230" t="s">
        <v>56</v>
      </c>
      <c r="F4230" s="1">
        <v>37.86</v>
      </c>
      <c r="G4230" t="s">
        <v>19</v>
      </c>
      <c r="H4230" t="s">
        <v>37</v>
      </c>
      <c r="I4230" s="2">
        <v>4.9000000000000004</v>
      </c>
      <c r="J4230" s="4">
        <v>16</v>
      </c>
      <c r="K4230" s="3">
        <v>3</v>
      </c>
      <c r="L4230" s="1">
        <f t="shared" si="198"/>
        <v>31.802399999999999</v>
      </c>
      <c r="M4230" t="str" cm="1">
        <f t="array" ref="M4230">_xlfn.IFS(B4230&lt;18,"Under 18",B4230 &lt;=25,"18-25",B4230&lt;=35,"26-35",B4230&lt;=45,"36-45",B4230&lt;=60,"46-60",TRUE,"60+")</f>
        <v>26-35</v>
      </c>
      <c r="N4230" t="str">
        <f t="shared" si="199"/>
        <v>Discounted</v>
      </c>
      <c r="O4230" t="str">
        <f t="shared" si="200"/>
        <v>Returning</v>
      </c>
    </row>
    <row r="4231" spans="1:15" x14ac:dyDescent="0.25">
      <c r="A4231">
        <v>4230</v>
      </c>
      <c r="B4231">
        <v>52</v>
      </c>
      <c r="C4231" t="s">
        <v>16</v>
      </c>
      <c r="D4231" t="s">
        <v>27</v>
      </c>
      <c r="E4231" t="s">
        <v>32</v>
      </c>
      <c r="F4231" s="1">
        <v>1075.98</v>
      </c>
      <c r="G4231" t="s">
        <v>14</v>
      </c>
      <c r="H4231" t="s">
        <v>15</v>
      </c>
      <c r="I4231" s="2">
        <v>4</v>
      </c>
      <c r="J4231" s="4">
        <v>4</v>
      </c>
      <c r="K4231" s="3">
        <v>2</v>
      </c>
      <c r="L4231" s="1">
        <f t="shared" si="198"/>
        <v>1032.9408000000001</v>
      </c>
      <c r="M4231" t="str" cm="1">
        <f t="array" ref="M4231">_xlfn.IFS(B4231&lt;18,"Under 18",B4231 &lt;=25,"18-25",B4231&lt;=35,"26-35",B4231&lt;=45,"36-45",B4231&lt;=60,"46-60",TRUE,"60+")</f>
        <v>46-60</v>
      </c>
      <c r="N4231" t="str">
        <f t="shared" si="199"/>
        <v>Discounted</v>
      </c>
      <c r="O4231" t="str">
        <f t="shared" si="200"/>
        <v>Returning</v>
      </c>
    </row>
    <row r="4232" spans="1:15" x14ac:dyDescent="0.25">
      <c r="A4232">
        <v>4231</v>
      </c>
      <c r="B4232">
        <v>70</v>
      </c>
      <c r="C4232" t="s">
        <v>16</v>
      </c>
      <c r="D4232" t="s">
        <v>33</v>
      </c>
      <c r="E4232" t="s">
        <v>34</v>
      </c>
      <c r="F4232" s="1">
        <v>71.55</v>
      </c>
      <c r="G4232" t="s">
        <v>31</v>
      </c>
      <c r="H4232" t="s">
        <v>37</v>
      </c>
      <c r="I4232" s="2">
        <v>4.5</v>
      </c>
      <c r="J4232" s="4">
        <v>10</v>
      </c>
      <c r="K4232" s="3">
        <v>5</v>
      </c>
      <c r="L4232" s="1">
        <f t="shared" si="198"/>
        <v>64.394999999999996</v>
      </c>
      <c r="M4232" t="str" cm="1">
        <f t="array" ref="M4232">_xlfn.IFS(B4232&lt;18,"Under 18",B4232 &lt;=25,"18-25",B4232&lt;=35,"26-35",B4232&lt;=45,"36-45",B4232&lt;=60,"46-60",TRUE,"60+")</f>
        <v>60+</v>
      </c>
      <c r="N4232" t="str">
        <f t="shared" si="199"/>
        <v>Discounted</v>
      </c>
      <c r="O4232" t="str">
        <f t="shared" si="200"/>
        <v>Returning</v>
      </c>
    </row>
    <row r="4233" spans="1:15" x14ac:dyDescent="0.25">
      <c r="A4233">
        <v>4232</v>
      </c>
      <c r="B4233">
        <v>27</v>
      </c>
      <c r="C4233" t="s">
        <v>16</v>
      </c>
      <c r="D4233" t="s">
        <v>27</v>
      </c>
      <c r="E4233" t="s">
        <v>53</v>
      </c>
      <c r="F4233" s="1">
        <v>2020.46</v>
      </c>
      <c r="G4233" t="s">
        <v>14</v>
      </c>
      <c r="H4233" t="s">
        <v>15</v>
      </c>
      <c r="I4233" s="2">
        <v>5</v>
      </c>
      <c r="J4233" s="4">
        <v>23</v>
      </c>
      <c r="K4233" s="3">
        <v>9</v>
      </c>
      <c r="L4233" s="1">
        <f t="shared" si="198"/>
        <v>1555.7542000000001</v>
      </c>
      <c r="M4233" t="str" cm="1">
        <f t="array" ref="M4233">_xlfn.IFS(B4233&lt;18,"Under 18",B4233 &lt;=25,"18-25",B4233&lt;=35,"26-35",B4233&lt;=45,"36-45",B4233&lt;=60,"46-60",TRUE,"60+")</f>
        <v>26-35</v>
      </c>
      <c r="N4233" t="str">
        <f t="shared" si="199"/>
        <v>Discounted</v>
      </c>
      <c r="O4233" t="str">
        <f t="shared" si="200"/>
        <v>Returning</v>
      </c>
    </row>
    <row r="4234" spans="1:15" x14ac:dyDescent="0.25">
      <c r="A4234">
        <v>4233</v>
      </c>
      <c r="B4234">
        <v>41</v>
      </c>
      <c r="C4234" t="s">
        <v>11</v>
      </c>
      <c r="D4234" t="s">
        <v>12</v>
      </c>
      <c r="E4234" t="s">
        <v>13</v>
      </c>
      <c r="F4234" s="1">
        <v>55.11</v>
      </c>
      <c r="G4234" t="s">
        <v>19</v>
      </c>
      <c r="H4234" t="s">
        <v>15</v>
      </c>
      <c r="I4234" s="2">
        <v>3.2</v>
      </c>
      <c r="J4234" s="4">
        <v>15</v>
      </c>
      <c r="K4234" s="3">
        <v>5</v>
      </c>
      <c r="L4234" s="1">
        <f t="shared" si="198"/>
        <v>46.843499999999999</v>
      </c>
      <c r="M4234" t="str" cm="1">
        <f t="array" ref="M4234">_xlfn.IFS(B4234&lt;18,"Under 18",B4234 &lt;=25,"18-25",B4234&lt;=35,"26-35",B4234&lt;=45,"36-45",B4234&lt;=60,"46-60",TRUE,"60+")</f>
        <v>36-45</v>
      </c>
      <c r="N4234" t="str">
        <f t="shared" si="199"/>
        <v>Discounted</v>
      </c>
      <c r="O4234" t="str">
        <f t="shared" si="200"/>
        <v>Returning</v>
      </c>
    </row>
    <row r="4235" spans="1:15" x14ac:dyDescent="0.25">
      <c r="A4235">
        <v>4234</v>
      </c>
      <c r="B4235">
        <v>22</v>
      </c>
      <c r="C4235" t="s">
        <v>11</v>
      </c>
      <c r="D4235" t="s">
        <v>29</v>
      </c>
      <c r="E4235" t="s">
        <v>51</v>
      </c>
      <c r="F4235" s="1">
        <v>120.3</v>
      </c>
      <c r="G4235" t="s">
        <v>19</v>
      </c>
      <c r="H4235" t="s">
        <v>15</v>
      </c>
      <c r="I4235" s="2">
        <v>3.3</v>
      </c>
      <c r="J4235" s="4">
        <v>11</v>
      </c>
      <c r="K4235" s="3">
        <v>3</v>
      </c>
      <c r="L4235" s="1">
        <f t="shared" si="198"/>
        <v>107.06699999999999</v>
      </c>
      <c r="M4235" t="str" cm="1">
        <f t="array" ref="M4235">_xlfn.IFS(B4235&lt;18,"Under 18",B4235 &lt;=25,"18-25",B4235&lt;=35,"26-35",B4235&lt;=45,"36-45",B4235&lt;=60,"46-60",TRUE,"60+")</f>
        <v>18-25</v>
      </c>
      <c r="N4235" t="str">
        <f t="shared" si="199"/>
        <v>Discounted</v>
      </c>
      <c r="O4235" t="str">
        <f t="shared" si="200"/>
        <v>Returning</v>
      </c>
    </row>
    <row r="4236" spans="1:15" x14ac:dyDescent="0.25">
      <c r="A4236">
        <v>4235</v>
      </c>
      <c r="B4236">
        <v>50</v>
      </c>
      <c r="C4236" t="s">
        <v>11</v>
      </c>
      <c r="D4236" t="s">
        <v>12</v>
      </c>
      <c r="E4236" t="s">
        <v>56</v>
      </c>
      <c r="F4236" s="1">
        <v>69.930000000000007</v>
      </c>
      <c r="G4236" t="s">
        <v>14</v>
      </c>
      <c r="H4236" t="s">
        <v>37</v>
      </c>
      <c r="I4236" s="2">
        <v>3.9</v>
      </c>
      <c r="J4236" s="4">
        <v>13</v>
      </c>
      <c r="K4236" s="3">
        <v>4</v>
      </c>
      <c r="L4236" s="1">
        <f t="shared" si="198"/>
        <v>60.839100000000009</v>
      </c>
      <c r="M4236" t="str" cm="1">
        <f t="array" ref="M4236">_xlfn.IFS(B4236&lt;18,"Under 18",B4236 &lt;=25,"18-25",B4236&lt;=35,"26-35",B4236&lt;=45,"36-45",B4236&lt;=60,"46-60",TRUE,"60+")</f>
        <v>46-60</v>
      </c>
      <c r="N4236" t="str">
        <f t="shared" si="199"/>
        <v>Discounted</v>
      </c>
      <c r="O4236" t="str">
        <f t="shared" si="200"/>
        <v>Returning</v>
      </c>
    </row>
    <row r="4237" spans="1:15" x14ac:dyDescent="0.25">
      <c r="A4237">
        <v>4236</v>
      </c>
      <c r="B4237">
        <v>27</v>
      </c>
      <c r="C4237" t="s">
        <v>11</v>
      </c>
      <c r="D4237" t="s">
        <v>41</v>
      </c>
      <c r="E4237" t="s">
        <v>45</v>
      </c>
      <c r="F4237" s="1">
        <v>185.32</v>
      </c>
      <c r="G4237" t="s">
        <v>31</v>
      </c>
      <c r="H4237" t="s">
        <v>15</v>
      </c>
      <c r="I4237" s="2">
        <v>4.5</v>
      </c>
      <c r="J4237" s="4">
        <v>19</v>
      </c>
      <c r="K4237" s="3">
        <v>7</v>
      </c>
      <c r="L4237" s="1">
        <f t="shared" si="198"/>
        <v>150.10920000000002</v>
      </c>
      <c r="M4237" t="str" cm="1">
        <f t="array" ref="M4237">_xlfn.IFS(B4237&lt;18,"Under 18",B4237 &lt;=25,"18-25",B4237&lt;=35,"26-35",B4237&lt;=45,"36-45",B4237&lt;=60,"46-60",TRUE,"60+")</f>
        <v>26-35</v>
      </c>
      <c r="N4237" t="str">
        <f t="shared" si="199"/>
        <v>Discounted</v>
      </c>
      <c r="O4237" t="str">
        <f t="shared" si="200"/>
        <v>Returning</v>
      </c>
    </row>
    <row r="4238" spans="1:15" x14ac:dyDescent="0.25">
      <c r="A4238">
        <v>4237</v>
      </c>
      <c r="B4238">
        <v>28</v>
      </c>
      <c r="C4238" t="s">
        <v>11</v>
      </c>
      <c r="D4238" t="s">
        <v>12</v>
      </c>
      <c r="E4238" t="s">
        <v>13</v>
      </c>
      <c r="F4238" s="1">
        <v>123.5</v>
      </c>
      <c r="G4238" t="s">
        <v>19</v>
      </c>
      <c r="H4238" t="s">
        <v>15</v>
      </c>
      <c r="I4238" s="2">
        <v>3</v>
      </c>
      <c r="J4238" s="4">
        <v>14</v>
      </c>
      <c r="K4238" s="3">
        <v>2</v>
      </c>
      <c r="L4238" s="1">
        <f t="shared" si="198"/>
        <v>106.21</v>
      </c>
      <c r="M4238" t="str" cm="1">
        <f t="array" ref="M4238">_xlfn.IFS(B4238&lt;18,"Under 18",B4238 &lt;=25,"18-25",B4238&lt;=35,"26-35",B4238&lt;=45,"36-45",B4238&lt;=60,"46-60",TRUE,"60+")</f>
        <v>26-35</v>
      </c>
      <c r="N4238" t="str">
        <f t="shared" si="199"/>
        <v>Discounted</v>
      </c>
      <c r="O4238" t="str">
        <f t="shared" si="200"/>
        <v>Returning</v>
      </c>
    </row>
    <row r="4239" spans="1:15" x14ac:dyDescent="0.25">
      <c r="A4239">
        <v>4238</v>
      </c>
      <c r="B4239">
        <v>52</v>
      </c>
      <c r="C4239" t="s">
        <v>16</v>
      </c>
      <c r="D4239" t="s">
        <v>33</v>
      </c>
      <c r="E4239" t="s">
        <v>34</v>
      </c>
      <c r="F4239" s="1">
        <v>56.61</v>
      </c>
      <c r="G4239" t="s">
        <v>31</v>
      </c>
      <c r="H4239" t="s">
        <v>37</v>
      </c>
      <c r="I4239" s="2">
        <v>2.9</v>
      </c>
      <c r="J4239" s="4">
        <v>15</v>
      </c>
      <c r="K4239" s="3">
        <v>5</v>
      </c>
      <c r="L4239" s="1">
        <f t="shared" si="198"/>
        <v>48.118499999999997</v>
      </c>
      <c r="M4239" t="str" cm="1">
        <f t="array" ref="M4239">_xlfn.IFS(B4239&lt;18,"Under 18",B4239 &lt;=25,"18-25",B4239&lt;=35,"26-35",B4239&lt;=45,"36-45",B4239&lt;=60,"46-60",TRUE,"60+")</f>
        <v>46-60</v>
      </c>
      <c r="N4239" t="str">
        <f t="shared" si="199"/>
        <v>Discounted</v>
      </c>
      <c r="O4239" t="str">
        <f t="shared" si="200"/>
        <v>Returning</v>
      </c>
    </row>
    <row r="4240" spans="1:15" x14ac:dyDescent="0.25">
      <c r="A4240">
        <v>4239</v>
      </c>
      <c r="B4240">
        <v>32</v>
      </c>
      <c r="C4240" t="s">
        <v>11</v>
      </c>
      <c r="D4240" t="s">
        <v>41</v>
      </c>
      <c r="E4240" t="s">
        <v>45</v>
      </c>
      <c r="F4240" s="1">
        <v>60.63</v>
      </c>
      <c r="G4240" t="s">
        <v>24</v>
      </c>
      <c r="H4240" t="s">
        <v>37</v>
      </c>
      <c r="I4240" s="2">
        <v>3.6</v>
      </c>
      <c r="J4240" s="4">
        <v>12</v>
      </c>
      <c r="K4240" s="3">
        <v>6</v>
      </c>
      <c r="L4240" s="1">
        <f t="shared" si="198"/>
        <v>53.354400000000005</v>
      </c>
      <c r="M4240" t="str" cm="1">
        <f t="array" ref="M4240">_xlfn.IFS(B4240&lt;18,"Under 18",B4240 &lt;=25,"18-25",B4240&lt;=35,"26-35",B4240&lt;=45,"36-45",B4240&lt;=60,"46-60",TRUE,"60+")</f>
        <v>26-35</v>
      </c>
      <c r="N4240" t="str">
        <f t="shared" si="199"/>
        <v>Discounted</v>
      </c>
      <c r="O4240" t="str">
        <f t="shared" si="200"/>
        <v>Returning</v>
      </c>
    </row>
    <row r="4241" spans="1:15" x14ac:dyDescent="0.25">
      <c r="A4241">
        <v>4240</v>
      </c>
      <c r="B4241">
        <v>68</v>
      </c>
      <c r="C4241" t="s">
        <v>11</v>
      </c>
      <c r="D4241" t="s">
        <v>12</v>
      </c>
      <c r="E4241" t="s">
        <v>56</v>
      </c>
      <c r="F4241" s="1">
        <v>80.92</v>
      </c>
      <c r="G4241" t="s">
        <v>19</v>
      </c>
      <c r="H4241" t="s">
        <v>15</v>
      </c>
      <c r="I4241" s="2">
        <v>4</v>
      </c>
      <c r="J4241" s="4">
        <v>16</v>
      </c>
      <c r="K4241" s="3">
        <v>3</v>
      </c>
      <c r="L4241" s="1">
        <f t="shared" si="198"/>
        <v>67.972799999999992</v>
      </c>
      <c r="M4241" t="str" cm="1">
        <f t="array" ref="M4241">_xlfn.IFS(B4241&lt;18,"Under 18",B4241 &lt;=25,"18-25",B4241&lt;=35,"26-35",B4241&lt;=45,"36-45",B4241&lt;=60,"46-60",TRUE,"60+")</f>
        <v>60+</v>
      </c>
      <c r="N4241" t="str">
        <f t="shared" si="199"/>
        <v>Discounted</v>
      </c>
      <c r="O4241" t="str">
        <f t="shared" si="200"/>
        <v>Returning</v>
      </c>
    </row>
    <row r="4242" spans="1:15" x14ac:dyDescent="0.25">
      <c r="A4242">
        <v>4241</v>
      </c>
      <c r="B4242">
        <v>52</v>
      </c>
      <c r="C4242" t="s">
        <v>11</v>
      </c>
      <c r="D4242" t="s">
        <v>12</v>
      </c>
      <c r="E4242" t="s">
        <v>13</v>
      </c>
      <c r="F4242" s="1">
        <v>152.85</v>
      </c>
      <c r="G4242" t="s">
        <v>14</v>
      </c>
      <c r="H4242" t="s">
        <v>15</v>
      </c>
      <c r="I4242" s="2">
        <v>4.5</v>
      </c>
      <c r="J4242" s="4">
        <v>15</v>
      </c>
      <c r="K4242" s="3">
        <v>5</v>
      </c>
      <c r="L4242" s="1">
        <f t="shared" si="198"/>
        <v>129.92249999999999</v>
      </c>
      <c r="M4242" t="str" cm="1">
        <f t="array" ref="M4242">_xlfn.IFS(B4242&lt;18,"Under 18",B4242 &lt;=25,"18-25",B4242&lt;=35,"26-35",B4242&lt;=45,"36-45",B4242&lt;=60,"46-60",TRUE,"60+")</f>
        <v>46-60</v>
      </c>
      <c r="N4242" t="str">
        <f t="shared" si="199"/>
        <v>Discounted</v>
      </c>
      <c r="O4242" t="str">
        <f t="shared" si="200"/>
        <v>Returning</v>
      </c>
    </row>
    <row r="4243" spans="1:15" x14ac:dyDescent="0.25">
      <c r="A4243">
        <v>4242</v>
      </c>
      <c r="B4243">
        <v>29</v>
      </c>
      <c r="C4243" t="s">
        <v>16</v>
      </c>
      <c r="D4243" t="s">
        <v>27</v>
      </c>
      <c r="E4243" t="s">
        <v>28</v>
      </c>
      <c r="F4243" s="1">
        <v>2125.29</v>
      </c>
      <c r="G4243" t="s">
        <v>24</v>
      </c>
      <c r="H4243" t="s">
        <v>15</v>
      </c>
      <c r="I4243" s="2">
        <v>3.2</v>
      </c>
      <c r="J4243" s="4">
        <v>15</v>
      </c>
      <c r="K4243" s="3">
        <v>5</v>
      </c>
      <c r="L4243" s="1">
        <f t="shared" si="198"/>
        <v>1806.4965</v>
      </c>
      <c r="M4243" t="str" cm="1">
        <f t="array" ref="M4243">_xlfn.IFS(B4243&lt;18,"Under 18",B4243 &lt;=25,"18-25",B4243&lt;=35,"26-35",B4243&lt;=45,"36-45",B4243&lt;=60,"46-60",TRUE,"60+")</f>
        <v>26-35</v>
      </c>
      <c r="N4243" t="str">
        <f t="shared" si="199"/>
        <v>Discounted</v>
      </c>
      <c r="O4243" t="str">
        <f t="shared" si="200"/>
        <v>Returning</v>
      </c>
    </row>
    <row r="4244" spans="1:15" x14ac:dyDescent="0.25">
      <c r="A4244">
        <v>4243</v>
      </c>
      <c r="B4244">
        <v>58</v>
      </c>
      <c r="C4244" t="s">
        <v>16</v>
      </c>
      <c r="D4244" t="s">
        <v>17</v>
      </c>
      <c r="E4244" t="s">
        <v>48</v>
      </c>
      <c r="F4244" s="1">
        <v>123.77</v>
      </c>
      <c r="G4244" t="s">
        <v>14</v>
      </c>
      <c r="H4244" t="s">
        <v>15</v>
      </c>
      <c r="I4244" s="2">
        <v>3</v>
      </c>
      <c r="J4244" s="4">
        <v>17</v>
      </c>
      <c r="K4244" s="3">
        <v>6</v>
      </c>
      <c r="L4244" s="1">
        <f t="shared" si="198"/>
        <v>102.72909999999999</v>
      </c>
      <c r="M4244" t="str" cm="1">
        <f t="array" ref="M4244">_xlfn.IFS(B4244&lt;18,"Under 18",B4244 &lt;=25,"18-25",B4244&lt;=35,"26-35",B4244&lt;=45,"36-45",B4244&lt;=60,"46-60",TRUE,"60+")</f>
        <v>46-60</v>
      </c>
      <c r="N4244" t="str">
        <f t="shared" si="199"/>
        <v>Discounted</v>
      </c>
      <c r="O4244" t="str">
        <f t="shared" si="200"/>
        <v>Returning</v>
      </c>
    </row>
    <row r="4245" spans="1:15" x14ac:dyDescent="0.25">
      <c r="A4245">
        <v>4244</v>
      </c>
      <c r="B4245">
        <v>54</v>
      </c>
      <c r="C4245" t="s">
        <v>11</v>
      </c>
      <c r="D4245" t="s">
        <v>33</v>
      </c>
      <c r="E4245" t="s">
        <v>38</v>
      </c>
      <c r="F4245" s="1">
        <v>90.38</v>
      </c>
      <c r="G4245" t="s">
        <v>19</v>
      </c>
      <c r="H4245" t="s">
        <v>15</v>
      </c>
      <c r="I4245" s="2">
        <v>2.2000000000000002</v>
      </c>
      <c r="J4245" s="4">
        <v>11</v>
      </c>
      <c r="K4245" s="3">
        <v>3</v>
      </c>
      <c r="L4245" s="1">
        <f t="shared" si="198"/>
        <v>80.438199999999995</v>
      </c>
      <c r="M4245" t="str" cm="1">
        <f t="array" ref="M4245">_xlfn.IFS(B4245&lt;18,"Under 18",B4245 &lt;=25,"18-25",B4245&lt;=35,"26-35",B4245&lt;=45,"36-45",B4245&lt;=60,"46-60",TRUE,"60+")</f>
        <v>46-60</v>
      </c>
      <c r="N4245" t="str">
        <f t="shared" si="199"/>
        <v>Discounted</v>
      </c>
      <c r="O4245" t="str">
        <f t="shared" si="200"/>
        <v>Returning</v>
      </c>
    </row>
    <row r="4246" spans="1:15" x14ac:dyDescent="0.25">
      <c r="A4246">
        <v>4245</v>
      </c>
      <c r="B4246">
        <v>32</v>
      </c>
      <c r="C4246" t="s">
        <v>16</v>
      </c>
      <c r="D4246" t="s">
        <v>20</v>
      </c>
      <c r="E4246" t="s">
        <v>21</v>
      </c>
      <c r="F4246" s="1">
        <v>76.58</v>
      </c>
      <c r="G4246" t="s">
        <v>31</v>
      </c>
      <c r="H4246" t="s">
        <v>15</v>
      </c>
      <c r="I4246" s="2">
        <v>3</v>
      </c>
      <c r="J4246" s="4">
        <v>18</v>
      </c>
      <c r="K4246" s="3">
        <v>4</v>
      </c>
      <c r="L4246" s="1">
        <f t="shared" si="198"/>
        <v>62.7956</v>
      </c>
      <c r="M4246" t="str" cm="1">
        <f t="array" ref="M4246">_xlfn.IFS(B4246&lt;18,"Under 18",B4246 &lt;=25,"18-25",B4246&lt;=35,"26-35",B4246&lt;=45,"36-45",B4246&lt;=60,"46-60",TRUE,"60+")</f>
        <v>26-35</v>
      </c>
      <c r="N4246" t="str">
        <f t="shared" si="199"/>
        <v>Discounted</v>
      </c>
      <c r="O4246" t="str">
        <f t="shared" si="200"/>
        <v>Returning</v>
      </c>
    </row>
    <row r="4247" spans="1:15" x14ac:dyDescent="0.25">
      <c r="A4247">
        <v>4246</v>
      </c>
      <c r="B4247">
        <v>68</v>
      </c>
      <c r="C4247" t="s">
        <v>11</v>
      </c>
      <c r="D4247" t="s">
        <v>33</v>
      </c>
      <c r="E4247" t="s">
        <v>40</v>
      </c>
      <c r="F4247" s="1">
        <v>167.65</v>
      </c>
      <c r="G4247" t="s">
        <v>31</v>
      </c>
      <c r="H4247" t="s">
        <v>15</v>
      </c>
      <c r="I4247" s="2">
        <v>4.4000000000000004</v>
      </c>
      <c r="J4247" s="4">
        <v>15</v>
      </c>
      <c r="K4247" s="3">
        <v>5</v>
      </c>
      <c r="L4247" s="1">
        <f t="shared" si="198"/>
        <v>142.5025</v>
      </c>
      <c r="M4247" t="str" cm="1">
        <f t="array" ref="M4247">_xlfn.IFS(B4247&lt;18,"Under 18",B4247 &lt;=25,"18-25",B4247&lt;=35,"26-35",B4247&lt;=45,"36-45",B4247&lt;=60,"46-60",TRUE,"60+")</f>
        <v>60+</v>
      </c>
      <c r="N4247" t="str">
        <f t="shared" si="199"/>
        <v>Discounted</v>
      </c>
      <c r="O4247" t="str">
        <f t="shared" si="200"/>
        <v>Returning</v>
      </c>
    </row>
    <row r="4248" spans="1:15" x14ac:dyDescent="0.25">
      <c r="A4248">
        <v>4247</v>
      </c>
      <c r="B4248">
        <v>29</v>
      </c>
      <c r="C4248" t="s">
        <v>16</v>
      </c>
      <c r="D4248" t="s">
        <v>20</v>
      </c>
      <c r="E4248" t="s">
        <v>36</v>
      </c>
      <c r="F4248" s="1">
        <v>140.16999999999999</v>
      </c>
      <c r="G4248" t="s">
        <v>19</v>
      </c>
      <c r="H4248" t="s">
        <v>15</v>
      </c>
      <c r="I4248" s="2">
        <v>3.1</v>
      </c>
      <c r="J4248" s="4">
        <v>14</v>
      </c>
      <c r="K4248" s="3">
        <v>2</v>
      </c>
      <c r="L4248" s="1">
        <f t="shared" si="198"/>
        <v>120.54619999999998</v>
      </c>
      <c r="M4248" t="str" cm="1">
        <f t="array" ref="M4248">_xlfn.IFS(B4248&lt;18,"Under 18",B4248 &lt;=25,"18-25",B4248&lt;=35,"26-35",B4248&lt;=45,"36-45",B4248&lt;=60,"46-60",TRUE,"60+")</f>
        <v>26-35</v>
      </c>
      <c r="N4248" t="str">
        <f t="shared" si="199"/>
        <v>Discounted</v>
      </c>
      <c r="O4248" t="str">
        <f t="shared" si="200"/>
        <v>Returning</v>
      </c>
    </row>
    <row r="4249" spans="1:15" x14ac:dyDescent="0.25">
      <c r="A4249">
        <v>4248</v>
      </c>
      <c r="B4249">
        <v>63</v>
      </c>
      <c r="C4249" t="s">
        <v>11</v>
      </c>
      <c r="D4249" t="s">
        <v>12</v>
      </c>
      <c r="E4249" t="s">
        <v>56</v>
      </c>
      <c r="F4249" s="1">
        <v>159.29</v>
      </c>
      <c r="G4249" t="s">
        <v>24</v>
      </c>
      <c r="H4249" t="s">
        <v>15</v>
      </c>
      <c r="I4249" s="2">
        <v>5</v>
      </c>
      <c r="J4249" s="4">
        <v>13</v>
      </c>
      <c r="K4249" s="3">
        <v>4</v>
      </c>
      <c r="L4249" s="1">
        <f t="shared" si="198"/>
        <v>138.5823</v>
      </c>
      <c r="M4249" t="str" cm="1">
        <f t="array" ref="M4249">_xlfn.IFS(B4249&lt;18,"Under 18",B4249 &lt;=25,"18-25",B4249&lt;=35,"26-35",B4249&lt;=45,"36-45",B4249&lt;=60,"46-60",TRUE,"60+")</f>
        <v>60+</v>
      </c>
      <c r="N4249" t="str">
        <f t="shared" si="199"/>
        <v>Discounted</v>
      </c>
      <c r="O4249" t="str">
        <f t="shared" si="200"/>
        <v>Returning</v>
      </c>
    </row>
    <row r="4250" spans="1:15" x14ac:dyDescent="0.25">
      <c r="A4250">
        <v>4249</v>
      </c>
      <c r="B4250">
        <v>51</v>
      </c>
      <c r="C4250" t="s">
        <v>11</v>
      </c>
      <c r="D4250" t="s">
        <v>41</v>
      </c>
      <c r="E4250" t="s">
        <v>45</v>
      </c>
      <c r="F4250" s="1">
        <v>182.14</v>
      </c>
      <c r="G4250" t="s">
        <v>14</v>
      </c>
      <c r="H4250" t="s">
        <v>15</v>
      </c>
      <c r="I4250" s="2">
        <v>3.3</v>
      </c>
      <c r="J4250" s="4">
        <v>18</v>
      </c>
      <c r="K4250" s="3">
        <v>4</v>
      </c>
      <c r="L4250" s="1">
        <f t="shared" si="198"/>
        <v>149.35480000000001</v>
      </c>
      <c r="M4250" t="str" cm="1">
        <f t="array" ref="M4250">_xlfn.IFS(B4250&lt;18,"Under 18",B4250 &lt;=25,"18-25",B4250&lt;=35,"26-35",B4250&lt;=45,"36-45",B4250&lt;=60,"46-60",TRUE,"60+")</f>
        <v>46-60</v>
      </c>
      <c r="N4250" t="str">
        <f t="shared" si="199"/>
        <v>Discounted</v>
      </c>
      <c r="O4250" t="str">
        <f t="shared" si="200"/>
        <v>Returning</v>
      </c>
    </row>
    <row r="4251" spans="1:15" x14ac:dyDescent="0.25">
      <c r="A4251">
        <v>4250</v>
      </c>
      <c r="B4251">
        <v>43</v>
      </c>
      <c r="C4251" t="s">
        <v>11</v>
      </c>
      <c r="D4251" t="s">
        <v>33</v>
      </c>
      <c r="E4251" t="s">
        <v>34</v>
      </c>
      <c r="F4251" s="1">
        <v>207.33</v>
      </c>
      <c r="G4251" t="s">
        <v>14</v>
      </c>
      <c r="H4251" t="s">
        <v>15</v>
      </c>
      <c r="I4251" s="2">
        <v>3.9</v>
      </c>
      <c r="J4251" s="4">
        <v>10</v>
      </c>
      <c r="K4251" s="3">
        <v>5</v>
      </c>
      <c r="L4251" s="1">
        <f t="shared" si="198"/>
        <v>186.59700000000001</v>
      </c>
      <c r="M4251" t="str" cm="1">
        <f t="array" ref="M4251">_xlfn.IFS(B4251&lt;18,"Under 18",B4251 &lt;=25,"18-25",B4251&lt;=35,"26-35",B4251&lt;=45,"36-45",B4251&lt;=60,"46-60",TRUE,"60+")</f>
        <v>36-45</v>
      </c>
      <c r="N4251" t="str">
        <f t="shared" si="199"/>
        <v>Discounted</v>
      </c>
      <c r="O4251" t="str">
        <f t="shared" si="200"/>
        <v>Returning</v>
      </c>
    </row>
    <row r="4252" spans="1:15" x14ac:dyDescent="0.25">
      <c r="A4252">
        <v>4251</v>
      </c>
      <c r="B4252">
        <v>20</v>
      </c>
      <c r="C4252" t="s">
        <v>11</v>
      </c>
      <c r="D4252" t="s">
        <v>29</v>
      </c>
      <c r="E4252" t="s">
        <v>51</v>
      </c>
      <c r="F4252" s="1">
        <v>142.55000000000001</v>
      </c>
      <c r="G4252" t="s">
        <v>14</v>
      </c>
      <c r="H4252" t="s">
        <v>15</v>
      </c>
      <c r="I4252" s="2">
        <v>3.7</v>
      </c>
      <c r="J4252" s="4">
        <v>14</v>
      </c>
      <c r="K4252" s="3">
        <v>2</v>
      </c>
      <c r="L4252" s="1">
        <f t="shared" si="198"/>
        <v>122.593</v>
      </c>
      <c r="M4252" t="str" cm="1">
        <f t="array" ref="M4252">_xlfn.IFS(B4252&lt;18,"Under 18",B4252 &lt;=25,"18-25",B4252&lt;=35,"26-35",B4252&lt;=45,"36-45",B4252&lt;=60,"46-60",TRUE,"60+")</f>
        <v>18-25</v>
      </c>
      <c r="N4252" t="str">
        <f t="shared" si="199"/>
        <v>Discounted</v>
      </c>
      <c r="O4252" t="str">
        <f t="shared" si="200"/>
        <v>Returning</v>
      </c>
    </row>
    <row r="4253" spans="1:15" x14ac:dyDescent="0.25">
      <c r="A4253">
        <v>4252</v>
      </c>
      <c r="B4253">
        <v>24</v>
      </c>
      <c r="C4253" t="s">
        <v>16</v>
      </c>
      <c r="D4253" t="s">
        <v>20</v>
      </c>
      <c r="E4253" t="s">
        <v>39</v>
      </c>
      <c r="F4253" s="1">
        <v>28.41</v>
      </c>
      <c r="G4253" t="s">
        <v>19</v>
      </c>
      <c r="H4253" t="s">
        <v>15</v>
      </c>
      <c r="I4253" s="2">
        <v>3.7</v>
      </c>
      <c r="J4253" s="4">
        <v>18</v>
      </c>
      <c r="K4253" s="3">
        <v>4</v>
      </c>
      <c r="L4253" s="1">
        <f t="shared" si="198"/>
        <v>23.296200000000002</v>
      </c>
      <c r="M4253" t="str" cm="1">
        <f t="array" ref="M4253">_xlfn.IFS(B4253&lt;18,"Under 18",B4253 &lt;=25,"18-25",B4253&lt;=35,"26-35",B4253&lt;=45,"36-45",B4253&lt;=60,"46-60",TRUE,"60+")</f>
        <v>18-25</v>
      </c>
      <c r="N4253" t="str">
        <f t="shared" si="199"/>
        <v>Discounted</v>
      </c>
      <c r="O4253" t="str">
        <f t="shared" si="200"/>
        <v>Returning</v>
      </c>
    </row>
    <row r="4254" spans="1:15" x14ac:dyDescent="0.25">
      <c r="A4254">
        <v>4253</v>
      </c>
      <c r="B4254">
        <v>22</v>
      </c>
      <c r="C4254" t="s">
        <v>11</v>
      </c>
      <c r="D4254" t="s">
        <v>22</v>
      </c>
      <c r="E4254" t="s">
        <v>52</v>
      </c>
      <c r="F4254" s="1">
        <v>53.87</v>
      </c>
      <c r="G4254" t="s">
        <v>31</v>
      </c>
      <c r="H4254" t="s">
        <v>15</v>
      </c>
      <c r="I4254" s="2">
        <v>3.7</v>
      </c>
      <c r="J4254" s="4">
        <v>9</v>
      </c>
      <c r="K4254" s="3">
        <v>2</v>
      </c>
      <c r="L4254" s="1">
        <f t="shared" si="198"/>
        <v>49.021700000000003</v>
      </c>
      <c r="M4254" t="str" cm="1">
        <f t="array" ref="M4254">_xlfn.IFS(B4254&lt;18,"Under 18",B4254 &lt;=25,"18-25",B4254&lt;=35,"26-35",B4254&lt;=45,"36-45",B4254&lt;=60,"46-60",TRUE,"60+")</f>
        <v>18-25</v>
      </c>
      <c r="N4254" t="str">
        <f t="shared" si="199"/>
        <v>Discounted</v>
      </c>
      <c r="O4254" t="str">
        <f t="shared" si="200"/>
        <v>Returning</v>
      </c>
    </row>
    <row r="4255" spans="1:15" x14ac:dyDescent="0.25">
      <c r="A4255">
        <v>4254</v>
      </c>
      <c r="B4255">
        <v>40</v>
      </c>
      <c r="C4255" t="s">
        <v>16</v>
      </c>
      <c r="D4255" t="s">
        <v>27</v>
      </c>
      <c r="E4255" t="s">
        <v>49</v>
      </c>
      <c r="F4255" s="1">
        <v>2648.55</v>
      </c>
      <c r="G4255" t="s">
        <v>14</v>
      </c>
      <c r="H4255" t="s">
        <v>15</v>
      </c>
      <c r="I4255" s="2">
        <v>5</v>
      </c>
      <c r="J4255" s="4">
        <v>16</v>
      </c>
      <c r="K4255" s="3">
        <v>8</v>
      </c>
      <c r="L4255" s="1">
        <f t="shared" si="198"/>
        <v>2224.7820000000002</v>
      </c>
      <c r="M4255" t="str" cm="1">
        <f t="array" ref="M4255">_xlfn.IFS(B4255&lt;18,"Under 18",B4255 &lt;=25,"18-25",B4255&lt;=35,"26-35",B4255&lt;=45,"36-45",B4255&lt;=60,"46-60",TRUE,"60+")</f>
        <v>36-45</v>
      </c>
      <c r="N4255" t="str">
        <f t="shared" si="199"/>
        <v>Discounted</v>
      </c>
      <c r="O4255" t="str">
        <f t="shared" si="200"/>
        <v>Returning</v>
      </c>
    </row>
    <row r="4256" spans="1:15" x14ac:dyDescent="0.25">
      <c r="A4256">
        <v>4255</v>
      </c>
      <c r="B4256">
        <v>56</v>
      </c>
      <c r="C4256" t="s">
        <v>16</v>
      </c>
      <c r="D4256" t="s">
        <v>27</v>
      </c>
      <c r="E4256" t="s">
        <v>53</v>
      </c>
      <c r="F4256" s="1">
        <v>2273.5300000000002</v>
      </c>
      <c r="G4256" t="s">
        <v>31</v>
      </c>
      <c r="H4256" t="s">
        <v>15</v>
      </c>
      <c r="I4256" s="2">
        <v>3.9</v>
      </c>
      <c r="J4256" s="4">
        <v>25</v>
      </c>
      <c r="K4256" s="3">
        <v>10</v>
      </c>
      <c r="L4256" s="1">
        <f t="shared" si="198"/>
        <v>1705.1475</v>
      </c>
      <c r="M4256" t="str" cm="1">
        <f t="array" ref="M4256">_xlfn.IFS(B4256&lt;18,"Under 18",B4256 &lt;=25,"18-25",B4256&lt;=35,"26-35",B4256&lt;=45,"36-45",B4256&lt;=60,"46-60",TRUE,"60+")</f>
        <v>46-60</v>
      </c>
      <c r="N4256" t="str">
        <f t="shared" si="199"/>
        <v>Discounted</v>
      </c>
      <c r="O4256" t="str">
        <f t="shared" si="200"/>
        <v>Returning</v>
      </c>
    </row>
    <row r="4257" spans="1:15" x14ac:dyDescent="0.25">
      <c r="A4257">
        <v>4256</v>
      </c>
      <c r="B4257">
        <v>68</v>
      </c>
      <c r="C4257" t="s">
        <v>11</v>
      </c>
      <c r="D4257" t="s">
        <v>20</v>
      </c>
      <c r="E4257" t="s">
        <v>21</v>
      </c>
      <c r="F4257" s="1">
        <v>118.12</v>
      </c>
      <c r="G4257" t="s">
        <v>24</v>
      </c>
      <c r="H4257" t="s">
        <v>15</v>
      </c>
      <c r="I4257" s="2">
        <v>3.3</v>
      </c>
      <c r="J4257" s="4">
        <v>22</v>
      </c>
      <c r="K4257" s="3">
        <v>6</v>
      </c>
      <c r="L4257" s="1">
        <f t="shared" si="198"/>
        <v>92.133600000000001</v>
      </c>
      <c r="M4257" t="str" cm="1">
        <f t="array" ref="M4257">_xlfn.IFS(B4257&lt;18,"Under 18",B4257 &lt;=25,"18-25",B4257&lt;=35,"26-35",B4257&lt;=45,"36-45",B4257&lt;=60,"46-60",TRUE,"60+")</f>
        <v>60+</v>
      </c>
      <c r="N4257" t="str">
        <f t="shared" si="199"/>
        <v>Discounted</v>
      </c>
      <c r="O4257" t="str">
        <f t="shared" si="200"/>
        <v>Returning</v>
      </c>
    </row>
    <row r="4258" spans="1:15" x14ac:dyDescent="0.25">
      <c r="A4258">
        <v>4257</v>
      </c>
      <c r="B4258">
        <v>39</v>
      </c>
      <c r="C4258" t="s">
        <v>11</v>
      </c>
      <c r="D4258" t="s">
        <v>33</v>
      </c>
      <c r="E4258" t="s">
        <v>38</v>
      </c>
      <c r="F4258" s="1">
        <v>226.03</v>
      </c>
      <c r="G4258" t="s">
        <v>24</v>
      </c>
      <c r="H4258" t="s">
        <v>15</v>
      </c>
      <c r="I4258" s="2">
        <v>3.8</v>
      </c>
      <c r="J4258" s="4">
        <v>20</v>
      </c>
      <c r="K4258" s="3">
        <v>5</v>
      </c>
      <c r="L4258" s="1">
        <f t="shared" si="198"/>
        <v>180.82400000000001</v>
      </c>
      <c r="M4258" t="str" cm="1">
        <f t="array" ref="M4258">_xlfn.IFS(B4258&lt;18,"Under 18",B4258 &lt;=25,"18-25",B4258&lt;=35,"26-35",B4258&lt;=45,"36-45",B4258&lt;=60,"46-60",TRUE,"60+")</f>
        <v>36-45</v>
      </c>
      <c r="N4258" t="str">
        <f t="shared" si="199"/>
        <v>Discounted</v>
      </c>
      <c r="O4258" t="str">
        <f t="shared" si="200"/>
        <v>Returning</v>
      </c>
    </row>
    <row r="4259" spans="1:15" x14ac:dyDescent="0.25">
      <c r="A4259">
        <v>4258</v>
      </c>
      <c r="B4259">
        <v>45</v>
      </c>
      <c r="C4259" t="s">
        <v>11</v>
      </c>
      <c r="D4259" t="s">
        <v>41</v>
      </c>
      <c r="E4259" t="s">
        <v>45</v>
      </c>
      <c r="F4259" s="1">
        <v>78.87</v>
      </c>
      <c r="G4259" t="s">
        <v>19</v>
      </c>
      <c r="H4259" t="s">
        <v>37</v>
      </c>
      <c r="I4259" s="2">
        <v>3.7</v>
      </c>
      <c r="J4259" s="4">
        <v>18</v>
      </c>
      <c r="K4259" s="3">
        <v>4</v>
      </c>
      <c r="L4259" s="1">
        <f t="shared" si="198"/>
        <v>64.673400000000015</v>
      </c>
      <c r="M4259" t="str" cm="1">
        <f t="array" ref="M4259">_xlfn.IFS(B4259&lt;18,"Under 18",B4259 &lt;=25,"18-25",B4259&lt;=35,"26-35",B4259&lt;=45,"36-45",B4259&lt;=60,"46-60",TRUE,"60+")</f>
        <v>36-45</v>
      </c>
      <c r="N4259" t="str">
        <f t="shared" si="199"/>
        <v>Discounted</v>
      </c>
      <c r="O4259" t="str">
        <f t="shared" si="200"/>
        <v>Returning</v>
      </c>
    </row>
    <row r="4260" spans="1:15" x14ac:dyDescent="0.25">
      <c r="A4260">
        <v>4259</v>
      </c>
      <c r="B4260">
        <v>63</v>
      </c>
      <c r="C4260" t="s">
        <v>16</v>
      </c>
      <c r="D4260" t="s">
        <v>20</v>
      </c>
      <c r="E4260" t="s">
        <v>21</v>
      </c>
      <c r="F4260" s="1">
        <v>119.9</v>
      </c>
      <c r="G4260" t="s">
        <v>14</v>
      </c>
      <c r="H4260" t="s">
        <v>15</v>
      </c>
      <c r="I4260" s="2">
        <v>4.5999999999999996</v>
      </c>
      <c r="J4260" s="4">
        <v>30</v>
      </c>
      <c r="K4260" s="3">
        <v>10</v>
      </c>
      <c r="L4260" s="1">
        <f t="shared" si="198"/>
        <v>83.929999999999993</v>
      </c>
      <c r="M4260" t="str" cm="1">
        <f t="array" ref="M4260">_xlfn.IFS(B4260&lt;18,"Under 18",B4260 &lt;=25,"18-25",B4260&lt;=35,"26-35",B4260&lt;=45,"36-45",B4260&lt;=60,"46-60",TRUE,"60+")</f>
        <v>60+</v>
      </c>
      <c r="N4260" t="str">
        <f t="shared" si="199"/>
        <v>Discounted</v>
      </c>
      <c r="O4260" t="str">
        <f t="shared" si="200"/>
        <v>Returning</v>
      </c>
    </row>
    <row r="4261" spans="1:15" x14ac:dyDescent="0.25">
      <c r="A4261">
        <v>4260</v>
      </c>
      <c r="B4261">
        <v>46</v>
      </c>
      <c r="C4261" t="s">
        <v>11</v>
      </c>
      <c r="D4261" t="s">
        <v>12</v>
      </c>
      <c r="E4261" t="s">
        <v>13</v>
      </c>
      <c r="F4261" s="1">
        <v>64.95</v>
      </c>
      <c r="G4261" t="s">
        <v>14</v>
      </c>
      <c r="H4261" t="s">
        <v>37</v>
      </c>
      <c r="I4261" s="2">
        <v>3.6</v>
      </c>
      <c r="J4261" s="4">
        <v>12</v>
      </c>
      <c r="K4261" s="3">
        <v>1</v>
      </c>
      <c r="L4261" s="1">
        <f t="shared" si="198"/>
        <v>57.156000000000006</v>
      </c>
      <c r="M4261" t="str" cm="1">
        <f t="array" ref="M4261">_xlfn.IFS(B4261&lt;18,"Under 18",B4261 &lt;=25,"18-25",B4261&lt;=35,"26-35",B4261&lt;=45,"36-45",B4261&lt;=60,"46-60",TRUE,"60+")</f>
        <v>46-60</v>
      </c>
      <c r="N4261" t="str">
        <f t="shared" si="199"/>
        <v>Discounted</v>
      </c>
      <c r="O4261" t="str">
        <f t="shared" si="200"/>
        <v>Returning</v>
      </c>
    </row>
    <row r="4262" spans="1:15" x14ac:dyDescent="0.25">
      <c r="A4262">
        <v>4261</v>
      </c>
      <c r="B4262">
        <v>34</v>
      </c>
      <c r="C4262" t="s">
        <v>16</v>
      </c>
      <c r="D4262" t="s">
        <v>33</v>
      </c>
      <c r="E4262" t="s">
        <v>38</v>
      </c>
      <c r="F4262" s="1">
        <v>103.26</v>
      </c>
      <c r="G4262" t="s">
        <v>24</v>
      </c>
      <c r="H4262" t="s">
        <v>15</v>
      </c>
      <c r="I4262" s="2">
        <v>5</v>
      </c>
      <c r="J4262" s="4">
        <v>15</v>
      </c>
      <c r="K4262" s="3">
        <v>5</v>
      </c>
      <c r="L4262" s="1">
        <f t="shared" si="198"/>
        <v>87.771000000000001</v>
      </c>
      <c r="M4262" t="str" cm="1">
        <f t="array" ref="M4262">_xlfn.IFS(B4262&lt;18,"Under 18",B4262 &lt;=25,"18-25",B4262&lt;=35,"26-35",B4262&lt;=45,"36-45",B4262&lt;=60,"46-60",TRUE,"60+")</f>
        <v>26-35</v>
      </c>
      <c r="N4262" t="str">
        <f t="shared" si="199"/>
        <v>Discounted</v>
      </c>
      <c r="O4262" t="str">
        <f t="shared" si="200"/>
        <v>Returning</v>
      </c>
    </row>
    <row r="4263" spans="1:15" x14ac:dyDescent="0.25">
      <c r="A4263">
        <v>4262</v>
      </c>
      <c r="B4263">
        <v>69</v>
      </c>
      <c r="C4263" t="s">
        <v>16</v>
      </c>
      <c r="D4263" t="s">
        <v>27</v>
      </c>
      <c r="E4263" t="s">
        <v>53</v>
      </c>
      <c r="F4263" s="1">
        <v>1019.98</v>
      </c>
      <c r="G4263" t="s">
        <v>19</v>
      </c>
      <c r="H4263" t="s">
        <v>15</v>
      </c>
      <c r="I4263" s="2">
        <v>4.5</v>
      </c>
      <c r="J4263" s="4">
        <v>18</v>
      </c>
      <c r="K4263" s="3">
        <v>4</v>
      </c>
      <c r="L4263" s="1">
        <f t="shared" si="198"/>
        <v>836.38360000000011</v>
      </c>
      <c r="M4263" t="str" cm="1">
        <f t="array" ref="M4263">_xlfn.IFS(B4263&lt;18,"Under 18",B4263 &lt;=25,"18-25",B4263&lt;=35,"26-35",B4263&lt;=45,"36-45",B4263&lt;=60,"46-60",TRUE,"60+")</f>
        <v>60+</v>
      </c>
      <c r="N4263" t="str">
        <f t="shared" si="199"/>
        <v>Discounted</v>
      </c>
      <c r="O4263" t="str">
        <f t="shared" si="200"/>
        <v>Returning</v>
      </c>
    </row>
    <row r="4264" spans="1:15" x14ac:dyDescent="0.25">
      <c r="A4264">
        <v>4263</v>
      </c>
      <c r="B4264">
        <v>48</v>
      </c>
      <c r="C4264" t="s">
        <v>11</v>
      </c>
      <c r="D4264" t="s">
        <v>12</v>
      </c>
      <c r="E4264" t="s">
        <v>50</v>
      </c>
      <c r="F4264" s="1">
        <v>177.11</v>
      </c>
      <c r="G4264" t="s">
        <v>14</v>
      </c>
      <c r="H4264" t="s">
        <v>15</v>
      </c>
      <c r="I4264" s="2">
        <v>4.7</v>
      </c>
      <c r="J4264" s="4">
        <v>6</v>
      </c>
      <c r="K4264" s="3">
        <v>3</v>
      </c>
      <c r="L4264" s="1">
        <f t="shared" si="198"/>
        <v>166.48340000000002</v>
      </c>
      <c r="M4264" t="str" cm="1">
        <f t="array" ref="M4264">_xlfn.IFS(B4264&lt;18,"Under 18",B4264 &lt;=25,"18-25",B4264&lt;=35,"26-35",B4264&lt;=45,"36-45",B4264&lt;=60,"46-60",TRUE,"60+")</f>
        <v>46-60</v>
      </c>
      <c r="N4264" t="str">
        <f t="shared" si="199"/>
        <v>Discounted</v>
      </c>
      <c r="O4264" t="str">
        <f t="shared" si="200"/>
        <v>Returning</v>
      </c>
    </row>
    <row r="4265" spans="1:15" x14ac:dyDescent="0.25">
      <c r="A4265">
        <v>4264</v>
      </c>
      <c r="B4265">
        <v>68</v>
      </c>
      <c r="C4265" t="s">
        <v>11</v>
      </c>
      <c r="D4265" t="s">
        <v>41</v>
      </c>
      <c r="E4265" t="s">
        <v>45</v>
      </c>
      <c r="F4265" s="1">
        <v>102.76</v>
      </c>
      <c r="G4265" t="s">
        <v>19</v>
      </c>
      <c r="H4265" t="s">
        <v>15</v>
      </c>
      <c r="I4265" s="2">
        <v>3.5</v>
      </c>
      <c r="J4265" s="4">
        <v>17</v>
      </c>
      <c r="K4265" s="3">
        <v>6</v>
      </c>
      <c r="L4265" s="1">
        <f t="shared" si="198"/>
        <v>85.290800000000004</v>
      </c>
      <c r="M4265" t="str" cm="1">
        <f t="array" ref="M4265">_xlfn.IFS(B4265&lt;18,"Under 18",B4265 &lt;=25,"18-25",B4265&lt;=35,"26-35",B4265&lt;=45,"36-45",B4265&lt;=60,"46-60",TRUE,"60+")</f>
        <v>60+</v>
      </c>
      <c r="N4265" t="str">
        <f t="shared" si="199"/>
        <v>Discounted</v>
      </c>
      <c r="O4265" t="str">
        <f t="shared" si="200"/>
        <v>Returning</v>
      </c>
    </row>
    <row r="4266" spans="1:15" x14ac:dyDescent="0.25">
      <c r="A4266">
        <v>4265</v>
      </c>
      <c r="B4266">
        <v>58</v>
      </c>
      <c r="C4266" t="s">
        <v>16</v>
      </c>
      <c r="D4266" t="s">
        <v>17</v>
      </c>
      <c r="E4266" t="s">
        <v>35</v>
      </c>
      <c r="F4266" s="1">
        <v>115.46</v>
      </c>
      <c r="G4266" t="s">
        <v>19</v>
      </c>
      <c r="H4266" t="s">
        <v>15</v>
      </c>
      <c r="I4266" s="2">
        <v>5</v>
      </c>
      <c r="J4266" s="4">
        <v>14</v>
      </c>
      <c r="K4266" s="3">
        <v>7</v>
      </c>
      <c r="L4266" s="1">
        <f t="shared" si="198"/>
        <v>99.295599999999993</v>
      </c>
      <c r="M4266" t="str" cm="1">
        <f t="array" ref="M4266">_xlfn.IFS(B4266&lt;18,"Under 18",B4266 &lt;=25,"18-25",B4266&lt;=35,"26-35",B4266&lt;=45,"36-45",B4266&lt;=60,"46-60",TRUE,"60+")</f>
        <v>46-60</v>
      </c>
      <c r="N4266" t="str">
        <f t="shared" si="199"/>
        <v>Discounted</v>
      </c>
      <c r="O4266" t="str">
        <f t="shared" si="200"/>
        <v>Returning</v>
      </c>
    </row>
    <row r="4267" spans="1:15" x14ac:dyDescent="0.25">
      <c r="A4267">
        <v>4266</v>
      </c>
      <c r="B4267">
        <v>23</v>
      </c>
      <c r="C4267" t="s">
        <v>16</v>
      </c>
      <c r="D4267" t="s">
        <v>17</v>
      </c>
      <c r="E4267" t="s">
        <v>48</v>
      </c>
      <c r="F4267" s="1">
        <v>180.94</v>
      </c>
      <c r="G4267" t="s">
        <v>31</v>
      </c>
      <c r="H4267" t="s">
        <v>15</v>
      </c>
      <c r="I4267" s="2">
        <v>3.9</v>
      </c>
      <c r="J4267" s="4">
        <v>14</v>
      </c>
      <c r="K4267" s="3">
        <v>7</v>
      </c>
      <c r="L4267" s="1">
        <f t="shared" si="198"/>
        <v>155.60839999999999</v>
      </c>
      <c r="M4267" t="str" cm="1">
        <f t="array" ref="M4267">_xlfn.IFS(B4267&lt;18,"Under 18",B4267 &lt;=25,"18-25",B4267&lt;=35,"26-35",B4267&lt;=45,"36-45",B4267&lt;=60,"46-60",TRUE,"60+")</f>
        <v>18-25</v>
      </c>
      <c r="N4267" t="str">
        <f t="shared" si="199"/>
        <v>Discounted</v>
      </c>
      <c r="O4267" t="str">
        <f t="shared" si="200"/>
        <v>Returning</v>
      </c>
    </row>
    <row r="4268" spans="1:15" x14ac:dyDescent="0.25">
      <c r="A4268">
        <v>4267</v>
      </c>
      <c r="B4268">
        <v>62</v>
      </c>
      <c r="C4268" t="s">
        <v>11</v>
      </c>
      <c r="D4268" t="s">
        <v>12</v>
      </c>
      <c r="E4268" t="s">
        <v>56</v>
      </c>
      <c r="F4268" s="1">
        <v>155.55000000000001</v>
      </c>
      <c r="G4268" t="s">
        <v>14</v>
      </c>
      <c r="H4268" t="s">
        <v>15</v>
      </c>
      <c r="I4268" s="2">
        <v>3.9</v>
      </c>
      <c r="J4268" s="4">
        <v>22</v>
      </c>
      <c r="K4268" s="3">
        <v>6</v>
      </c>
      <c r="L4268" s="1">
        <f t="shared" si="198"/>
        <v>121.32900000000001</v>
      </c>
      <c r="M4268" t="str" cm="1">
        <f t="array" ref="M4268">_xlfn.IFS(B4268&lt;18,"Under 18",B4268 &lt;=25,"18-25",B4268&lt;=35,"26-35",B4268&lt;=45,"36-45",B4268&lt;=60,"46-60",TRUE,"60+")</f>
        <v>60+</v>
      </c>
      <c r="N4268" t="str">
        <f t="shared" si="199"/>
        <v>Discounted</v>
      </c>
      <c r="O4268" t="str">
        <f t="shared" si="200"/>
        <v>Returning</v>
      </c>
    </row>
    <row r="4269" spans="1:15" x14ac:dyDescent="0.25">
      <c r="A4269">
        <v>4268</v>
      </c>
      <c r="B4269">
        <v>41</v>
      </c>
      <c r="C4269" t="s">
        <v>11</v>
      </c>
      <c r="D4269" t="s">
        <v>25</v>
      </c>
      <c r="E4269" t="s">
        <v>57</v>
      </c>
      <c r="F4269" s="1">
        <v>8.82</v>
      </c>
      <c r="G4269" t="s">
        <v>24</v>
      </c>
      <c r="H4269" t="s">
        <v>37</v>
      </c>
      <c r="I4269" s="2">
        <v>3.6</v>
      </c>
      <c r="J4269" s="4">
        <v>6</v>
      </c>
      <c r="K4269" s="3">
        <v>3</v>
      </c>
      <c r="L4269" s="1">
        <f t="shared" si="198"/>
        <v>8.2907999999999991</v>
      </c>
      <c r="M4269" t="str" cm="1">
        <f t="array" ref="M4269">_xlfn.IFS(B4269&lt;18,"Under 18",B4269 &lt;=25,"18-25",B4269&lt;=35,"26-35",B4269&lt;=45,"36-45",B4269&lt;=60,"46-60",TRUE,"60+")</f>
        <v>36-45</v>
      </c>
      <c r="N4269" t="str">
        <f t="shared" si="199"/>
        <v>Discounted</v>
      </c>
      <c r="O4269" t="str">
        <f t="shared" si="200"/>
        <v>Returning</v>
      </c>
    </row>
    <row r="4270" spans="1:15" x14ac:dyDescent="0.25">
      <c r="A4270">
        <v>4269</v>
      </c>
      <c r="B4270">
        <v>38</v>
      </c>
      <c r="C4270" t="s">
        <v>11</v>
      </c>
      <c r="D4270" t="s">
        <v>41</v>
      </c>
      <c r="E4270" t="s">
        <v>44</v>
      </c>
      <c r="F4270" s="1">
        <v>87.41</v>
      </c>
      <c r="G4270" t="s">
        <v>19</v>
      </c>
      <c r="H4270" t="s">
        <v>15</v>
      </c>
      <c r="I4270" s="2">
        <v>3.8</v>
      </c>
      <c r="J4270" s="4">
        <v>2</v>
      </c>
      <c r="K4270" s="3">
        <v>1</v>
      </c>
      <c r="L4270" s="1">
        <f t="shared" si="198"/>
        <v>85.661799999999999</v>
      </c>
      <c r="M4270" t="str" cm="1">
        <f t="array" ref="M4270">_xlfn.IFS(B4270&lt;18,"Under 18",B4270 &lt;=25,"18-25",B4270&lt;=35,"26-35",B4270&lt;=45,"36-45",B4270&lt;=60,"46-60",TRUE,"60+")</f>
        <v>36-45</v>
      </c>
      <c r="N4270" t="str">
        <f t="shared" si="199"/>
        <v>Discounted</v>
      </c>
      <c r="O4270" t="str">
        <f t="shared" si="200"/>
        <v>Returning</v>
      </c>
    </row>
    <row r="4271" spans="1:15" x14ac:dyDescent="0.25">
      <c r="A4271">
        <v>4270</v>
      </c>
      <c r="B4271">
        <v>48</v>
      </c>
      <c r="C4271" t="s">
        <v>16</v>
      </c>
      <c r="D4271" t="s">
        <v>20</v>
      </c>
      <c r="E4271" t="s">
        <v>21</v>
      </c>
      <c r="F4271" s="1">
        <v>134.24</v>
      </c>
      <c r="G4271" t="s">
        <v>14</v>
      </c>
      <c r="H4271" t="s">
        <v>15</v>
      </c>
      <c r="I4271" s="2">
        <v>2.7</v>
      </c>
      <c r="J4271" s="4">
        <v>14</v>
      </c>
      <c r="K4271" s="3">
        <v>7</v>
      </c>
      <c r="L4271" s="1">
        <f t="shared" si="198"/>
        <v>115.44640000000001</v>
      </c>
      <c r="M4271" t="str" cm="1">
        <f t="array" ref="M4271">_xlfn.IFS(B4271&lt;18,"Under 18",B4271 &lt;=25,"18-25",B4271&lt;=35,"26-35",B4271&lt;=45,"36-45",B4271&lt;=60,"46-60",TRUE,"60+")</f>
        <v>46-60</v>
      </c>
      <c r="N4271" t="str">
        <f t="shared" si="199"/>
        <v>Discounted</v>
      </c>
      <c r="O4271" t="str">
        <f t="shared" si="200"/>
        <v>Returning</v>
      </c>
    </row>
    <row r="4272" spans="1:15" x14ac:dyDescent="0.25">
      <c r="A4272">
        <v>4271</v>
      </c>
      <c r="B4272">
        <v>48</v>
      </c>
      <c r="C4272" t="s">
        <v>11</v>
      </c>
      <c r="D4272" t="s">
        <v>29</v>
      </c>
      <c r="E4272" t="s">
        <v>30</v>
      </c>
      <c r="F4272" s="1">
        <v>101.02</v>
      </c>
      <c r="G4272" t="s">
        <v>31</v>
      </c>
      <c r="H4272" t="s">
        <v>15</v>
      </c>
      <c r="I4272" s="2">
        <v>4</v>
      </c>
      <c r="J4272" s="4">
        <v>22</v>
      </c>
      <c r="K4272" s="3">
        <v>6</v>
      </c>
      <c r="L4272" s="1">
        <f t="shared" si="198"/>
        <v>78.795599999999993</v>
      </c>
      <c r="M4272" t="str" cm="1">
        <f t="array" ref="M4272">_xlfn.IFS(B4272&lt;18,"Under 18",B4272 &lt;=25,"18-25",B4272&lt;=35,"26-35",B4272&lt;=45,"36-45",B4272&lt;=60,"46-60",TRUE,"60+")</f>
        <v>46-60</v>
      </c>
      <c r="N4272" t="str">
        <f t="shared" si="199"/>
        <v>Discounted</v>
      </c>
      <c r="O4272" t="str">
        <f t="shared" si="200"/>
        <v>Returning</v>
      </c>
    </row>
    <row r="4273" spans="1:15" x14ac:dyDescent="0.25">
      <c r="A4273">
        <v>4272</v>
      </c>
      <c r="B4273">
        <v>27</v>
      </c>
      <c r="C4273" t="s">
        <v>11</v>
      </c>
      <c r="D4273" t="s">
        <v>20</v>
      </c>
      <c r="E4273" t="s">
        <v>39</v>
      </c>
      <c r="F4273" s="1">
        <v>83.72</v>
      </c>
      <c r="G4273" t="s">
        <v>19</v>
      </c>
      <c r="H4273" t="s">
        <v>15</v>
      </c>
      <c r="I4273" s="2">
        <v>3</v>
      </c>
      <c r="J4273" s="4">
        <v>22</v>
      </c>
      <c r="K4273" s="3">
        <v>6</v>
      </c>
      <c r="L4273" s="1">
        <f t="shared" si="198"/>
        <v>65.301600000000008</v>
      </c>
      <c r="M4273" t="str" cm="1">
        <f t="array" ref="M4273">_xlfn.IFS(B4273&lt;18,"Under 18",B4273 &lt;=25,"18-25",B4273&lt;=35,"26-35",B4273&lt;=45,"36-45",B4273&lt;=60,"46-60",TRUE,"60+")</f>
        <v>26-35</v>
      </c>
      <c r="N4273" t="str">
        <f t="shared" si="199"/>
        <v>Discounted</v>
      </c>
      <c r="O4273" t="str">
        <f t="shared" si="200"/>
        <v>Returning</v>
      </c>
    </row>
    <row r="4274" spans="1:15" x14ac:dyDescent="0.25">
      <c r="A4274">
        <v>4273</v>
      </c>
      <c r="B4274">
        <v>64</v>
      </c>
      <c r="C4274" t="s">
        <v>16</v>
      </c>
      <c r="D4274" t="s">
        <v>17</v>
      </c>
      <c r="E4274" t="s">
        <v>48</v>
      </c>
      <c r="F4274" s="1">
        <v>71.42</v>
      </c>
      <c r="G4274" t="s">
        <v>19</v>
      </c>
      <c r="H4274" t="s">
        <v>37</v>
      </c>
      <c r="I4274" s="2">
        <v>2.8</v>
      </c>
      <c r="J4274" s="4">
        <v>10</v>
      </c>
      <c r="K4274" s="3">
        <v>5</v>
      </c>
      <c r="L4274" s="1">
        <f t="shared" si="198"/>
        <v>64.278000000000006</v>
      </c>
      <c r="M4274" t="str" cm="1">
        <f t="array" ref="M4274">_xlfn.IFS(B4274&lt;18,"Under 18",B4274 &lt;=25,"18-25",B4274&lt;=35,"26-35",B4274&lt;=45,"36-45",B4274&lt;=60,"46-60",TRUE,"60+")</f>
        <v>60+</v>
      </c>
      <c r="N4274" t="str">
        <f t="shared" si="199"/>
        <v>Discounted</v>
      </c>
      <c r="O4274" t="str">
        <f t="shared" si="200"/>
        <v>Returning</v>
      </c>
    </row>
    <row r="4275" spans="1:15" x14ac:dyDescent="0.25">
      <c r="A4275">
        <v>4274</v>
      </c>
      <c r="B4275">
        <v>62</v>
      </c>
      <c r="C4275" t="s">
        <v>11</v>
      </c>
      <c r="D4275" t="s">
        <v>41</v>
      </c>
      <c r="E4275" t="s">
        <v>44</v>
      </c>
      <c r="F4275" s="1">
        <v>89.76</v>
      </c>
      <c r="G4275" t="s">
        <v>14</v>
      </c>
      <c r="H4275" t="s">
        <v>15</v>
      </c>
      <c r="I4275" s="2">
        <v>4.5999999999999996</v>
      </c>
      <c r="J4275" s="4">
        <v>28</v>
      </c>
      <c r="K4275" s="3">
        <v>9</v>
      </c>
      <c r="L4275" s="1">
        <f t="shared" si="198"/>
        <v>64.627200000000002</v>
      </c>
      <c r="M4275" t="str" cm="1">
        <f t="array" ref="M4275">_xlfn.IFS(B4275&lt;18,"Under 18",B4275 &lt;=25,"18-25",B4275&lt;=35,"26-35",B4275&lt;=45,"36-45",B4275&lt;=60,"46-60",TRUE,"60+")</f>
        <v>60+</v>
      </c>
      <c r="N4275" t="str">
        <f t="shared" si="199"/>
        <v>Discounted</v>
      </c>
      <c r="O4275" t="str">
        <f t="shared" si="200"/>
        <v>Returning</v>
      </c>
    </row>
    <row r="4276" spans="1:15" x14ac:dyDescent="0.25">
      <c r="A4276">
        <v>4275</v>
      </c>
      <c r="B4276">
        <v>46</v>
      </c>
      <c r="C4276" t="s">
        <v>16</v>
      </c>
      <c r="D4276" t="s">
        <v>27</v>
      </c>
      <c r="E4276" t="s">
        <v>28</v>
      </c>
      <c r="F4276" s="1">
        <v>683.7</v>
      </c>
      <c r="G4276" t="s">
        <v>19</v>
      </c>
      <c r="H4276" t="s">
        <v>15</v>
      </c>
      <c r="I4276" s="2">
        <v>3.8</v>
      </c>
      <c r="J4276" s="4">
        <v>26</v>
      </c>
      <c r="K4276" s="3">
        <v>8</v>
      </c>
      <c r="L4276" s="1">
        <f t="shared" si="198"/>
        <v>505.93800000000005</v>
      </c>
      <c r="M4276" t="str" cm="1">
        <f t="array" ref="M4276">_xlfn.IFS(B4276&lt;18,"Under 18",B4276 &lt;=25,"18-25",B4276&lt;=35,"26-35",B4276&lt;=45,"36-45",B4276&lt;=60,"46-60",TRUE,"60+")</f>
        <v>46-60</v>
      </c>
      <c r="N4276" t="str">
        <f t="shared" si="199"/>
        <v>Discounted</v>
      </c>
      <c r="O4276" t="str">
        <f t="shared" si="200"/>
        <v>Returning</v>
      </c>
    </row>
    <row r="4277" spans="1:15" x14ac:dyDescent="0.25">
      <c r="A4277">
        <v>4276</v>
      </c>
      <c r="B4277">
        <v>58</v>
      </c>
      <c r="C4277" t="s">
        <v>16</v>
      </c>
      <c r="D4277" t="s">
        <v>20</v>
      </c>
      <c r="E4277" t="s">
        <v>39</v>
      </c>
      <c r="F4277" s="1">
        <v>151.74</v>
      </c>
      <c r="G4277" t="s">
        <v>14</v>
      </c>
      <c r="H4277" t="s">
        <v>15</v>
      </c>
      <c r="I4277" s="2">
        <v>4.4000000000000004</v>
      </c>
      <c r="J4277" s="4">
        <v>16</v>
      </c>
      <c r="K4277" s="3">
        <v>8</v>
      </c>
      <c r="L4277" s="1">
        <f t="shared" si="198"/>
        <v>127.4616</v>
      </c>
      <c r="M4277" t="str" cm="1">
        <f t="array" ref="M4277">_xlfn.IFS(B4277&lt;18,"Under 18",B4277 &lt;=25,"18-25",B4277&lt;=35,"26-35",B4277&lt;=45,"36-45",B4277&lt;=60,"46-60",TRUE,"60+")</f>
        <v>46-60</v>
      </c>
      <c r="N4277" t="str">
        <f t="shared" si="199"/>
        <v>Discounted</v>
      </c>
      <c r="O4277" t="str">
        <f t="shared" si="200"/>
        <v>Returning</v>
      </c>
    </row>
    <row r="4278" spans="1:15" x14ac:dyDescent="0.25">
      <c r="A4278">
        <v>4277</v>
      </c>
      <c r="B4278">
        <v>58</v>
      </c>
      <c r="C4278" t="s">
        <v>16</v>
      </c>
      <c r="D4278" t="s">
        <v>33</v>
      </c>
      <c r="E4278" t="s">
        <v>40</v>
      </c>
      <c r="F4278" s="1">
        <v>72.22</v>
      </c>
      <c r="G4278" t="s">
        <v>24</v>
      </c>
      <c r="H4278" t="s">
        <v>15</v>
      </c>
      <c r="I4278" s="2">
        <v>2.6</v>
      </c>
      <c r="J4278" s="4">
        <v>16</v>
      </c>
      <c r="K4278" s="3">
        <v>8</v>
      </c>
      <c r="L4278" s="1">
        <f t="shared" si="198"/>
        <v>60.6648</v>
      </c>
      <c r="M4278" t="str" cm="1">
        <f t="array" ref="M4278">_xlfn.IFS(B4278&lt;18,"Under 18",B4278 &lt;=25,"18-25",B4278&lt;=35,"26-35",B4278&lt;=45,"36-45",B4278&lt;=60,"46-60",TRUE,"60+")</f>
        <v>46-60</v>
      </c>
      <c r="N4278" t="str">
        <f t="shared" si="199"/>
        <v>Discounted</v>
      </c>
      <c r="O4278" t="str">
        <f t="shared" si="200"/>
        <v>Returning</v>
      </c>
    </row>
    <row r="4279" spans="1:15" x14ac:dyDescent="0.25">
      <c r="A4279">
        <v>4278</v>
      </c>
      <c r="B4279">
        <v>25</v>
      </c>
      <c r="C4279" t="s">
        <v>16</v>
      </c>
      <c r="D4279" t="s">
        <v>25</v>
      </c>
      <c r="E4279" t="s">
        <v>26</v>
      </c>
      <c r="F4279" s="1">
        <v>53.37</v>
      </c>
      <c r="G4279" t="s">
        <v>14</v>
      </c>
      <c r="H4279" t="s">
        <v>37</v>
      </c>
      <c r="I4279" s="2">
        <v>3.5</v>
      </c>
      <c r="J4279" s="4">
        <v>26</v>
      </c>
      <c r="K4279" s="3">
        <v>8</v>
      </c>
      <c r="L4279" s="1">
        <f t="shared" si="198"/>
        <v>39.4938</v>
      </c>
      <c r="M4279" t="str" cm="1">
        <f t="array" ref="M4279">_xlfn.IFS(B4279&lt;18,"Under 18",B4279 &lt;=25,"18-25",B4279&lt;=35,"26-35",B4279&lt;=45,"36-45",B4279&lt;=60,"46-60",TRUE,"60+")</f>
        <v>18-25</v>
      </c>
      <c r="N4279" t="str">
        <f t="shared" si="199"/>
        <v>Discounted</v>
      </c>
      <c r="O4279" t="str">
        <f t="shared" si="200"/>
        <v>Returning</v>
      </c>
    </row>
    <row r="4280" spans="1:15" x14ac:dyDescent="0.25">
      <c r="A4280">
        <v>4279</v>
      </c>
      <c r="B4280">
        <v>49</v>
      </c>
      <c r="C4280" t="s">
        <v>16</v>
      </c>
      <c r="D4280" t="s">
        <v>20</v>
      </c>
      <c r="E4280" t="s">
        <v>36</v>
      </c>
      <c r="F4280" s="1">
        <v>33.07</v>
      </c>
      <c r="G4280" t="s">
        <v>24</v>
      </c>
      <c r="H4280" t="s">
        <v>15</v>
      </c>
      <c r="I4280" s="2">
        <v>2.9</v>
      </c>
      <c r="J4280" s="4">
        <v>22</v>
      </c>
      <c r="K4280" s="3">
        <v>6</v>
      </c>
      <c r="L4280" s="1">
        <f t="shared" si="198"/>
        <v>25.794600000000003</v>
      </c>
      <c r="M4280" t="str" cm="1">
        <f t="array" ref="M4280">_xlfn.IFS(B4280&lt;18,"Under 18",B4280 &lt;=25,"18-25",B4280&lt;=35,"26-35",B4280&lt;=45,"36-45",B4280&lt;=60,"46-60",TRUE,"60+")</f>
        <v>46-60</v>
      </c>
      <c r="N4280" t="str">
        <f t="shared" si="199"/>
        <v>Discounted</v>
      </c>
      <c r="O4280" t="str">
        <f t="shared" si="200"/>
        <v>Returning</v>
      </c>
    </row>
    <row r="4281" spans="1:15" x14ac:dyDescent="0.25">
      <c r="A4281">
        <v>4280</v>
      </c>
      <c r="B4281">
        <v>33</v>
      </c>
      <c r="C4281" t="s">
        <v>11</v>
      </c>
      <c r="D4281" t="s">
        <v>12</v>
      </c>
      <c r="E4281" t="s">
        <v>50</v>
      </c>
      <c r="F4281" s="1">
        <v>61.92</v>
      </c>
      <c r="G4281" t="s">
        <v>19</v>
      </c>
      <c r="H4281" t="s">
        <v>37</v>
      </c>
      <c r="I4281" s="2">
        <v>4.2</v>
      </c>
      <c r="J4281" s="4">
        <v>28</v>
      </c>
      <c r="K4281" s="3">
        <v>9</v>
      </c>
      <c r="L4281" s="1">
        <f t="shared" si="198"/>
        <v>44.5824</v>
      </c>
      <c r="M4281" t="str" cm="1">
        <f t="array" ref="M4281">_xlfn.IFS(B4281&lt;18,"Under 18",B4281 &lt;=25,"18-25",B4281&lt;=35,"26-35",B4281&lt;=45,"36-45",B4281&lt;=60,"46-60",TRUE,"60+")</f>
        <v>26-35</v>
      </c>
      <c r="N4281" t="str">
        <f t="shared" si="199"/>
        <v>Discounted</v>
      </c>
      <c r="O4281" t="str">
        <f t="shared" si="200"/>
        <v>Returning</v>
      </c>
    </row>
    <row r="4282" spans="1:15" x14ac:dyDescent="0.25">
      <c r="A4282">
        <v>4281</v>
      </c>
      <c r="B4282">
        <v>43</v>
      </c>
      <c r="C4282" t="s">
        <v>16</v>
      </c>
      <c r="D4282" t="s">
        <v>20</v>
      </c>
      <c r="E4282" t="s">
        <v>39</v>
      </c>
      <c r="F4282" s="1">
        <v>88.84</v>
      </c>
      <c r="G4282" t="s">
        <v>14</v>
      </c>
      <c r="H4282" t="s">
        <v>15</v>
      </c>
      <c r="I4282" s="2">
        <v>3.5</v>
      </c>
      <c r="J4282" s="4">
        <v>16</v>
      </c>
      <c r="K4282" s="3">
        <v>8</v>
      </c>
      <c r="L4282" s="1">
        <f t="shared" si="198"/>
        <v>74.625600000000006</v>
      </c>
      <c r="M4282" t="str" cm="1">
        <f t="array" ref="M4282">_xlfn.IFS(B4282&lt;18,"Under 18",B4282 &lt;=25,"18-25",B4282&lt;=35,"26-35",B4282&lt;=45,"36-45",B4282&lt;=60,"46-60",TRUE,"60+")</f>
        <v>36-45</v>
      </c>
      <c r="N4282" t="str">
        <f t="shared" si="199"/>
        <v>Discounted</v>
      </c>
      <c r="O4282" t="str">
        <f t="shared" si="200"/>
        <v>Returning</v>
      </c>
    </row>
    <row r="4283" spans="1:15" x14ac:dyDescent="0.25">
      <c r="A4283">
        <v>4282</v>
      </c>
      <c r="B4283">
        <v>46</v>
      </c>
      <c r="C4283" t="s">
        <v>11</v>
      </c>
      <c r="D4283" t="s">
        <v>33</v>
      </c>
      <c r="E4283" t="s">
        <v>40</v>
      </c>
      <c r="F4283" s="1">
        <v>213.67</v>
      </c>
      <c r="G4283" t="s">
        <v>31</v>
      </c>
      <c r="H4283" t="s">
        <v>15</v>
      </c>
      <c r="I4283" s="2">
        <v>3.8</v>
      </c>
      <c r="J4283" s="4">
        <v>13</v>
      </c>
      <c r="K4283" s="3">
        <v>4</v>
      </c>
      <c r="L4283" s="1">
        <f t="shared" si="198"/>
        <v>185.8929</v>
      </c>
      <c r="M4283" t="str" cm="1">
        <f t="array" ref="M4283">_xlfn.IFS(B4283&lt;18,"Under 18",B4283 &lt;=25,"18-25",B4283&lt;=35,"26-35",B4283&lt;=45,"36-45",B4283&lt;=60,"46-60",TRUE,"60+")</f>
        <v>46-60</v>
      </c>
      <c r="N4283" t="str">
        <f t="shared" si="199"/>
        <v>Discounted</v>
      </c>
      <c r="O4283" t="str">
        <f t="shared" si="200"/>
        <v>Returning</v>
      </c>
    </row>
    <row r="4284" spans="1:15" x14ac:dyDescent="0.25">
      <c r="A4284">
        <v>4283</v>
      </c>
      <c r="B4284">
        <v>32</v>
      </c>
      <c r="C4284" t="s">
        <v>16</v>
      </c>
      <c r="D4284" t="s">
        <v>27</v>
      </c>
      <c r="E4284" t="s">
        <v>32</v>
      </c>
      <c r="F4284" s="1">
        <v>744.74</v>
      </c>
      <c r="G4284" t="s">
        <v>24</v>
      </c>
      <c r="H4284" t="s">
        <v>15</v>
      </c>
      <c r="I4284" s="2">
        <v>2.9</v>
      </c>
      <c r="J4284" s="4">
        <v>4</v>
      </c>
      <c r="K4284" s="3">
        <v>2</v>
      </c>
      <c r="L4284" s="1">
        <f t="shared" si="198"/>
        <v>714.95039999999995</v>
      </c>
      <c r="M4284" t="str" cm="1">
        <f t="array" ref="M4284">_xlfn.IFS(B4284&lt;18,"Under 18",B4284 &lt;=25,"18-25",B4284&lt;=35,"26-35",B4284&lt;=45,"36-45",B4284&lt;=60,"46-60",TRUE,"60+")</f>
        <v>26-35</v>
      </c>
      <c r="N4284" t="str">
        <f t="shared" si="199"/>
        <v>Discounted</v>
      </c>
      <c r="O4284" t="str">
        <f t="shared" si="200"/>
        <v>Returning</v>
      </c>
    </row>
    <row r="4285" spans="1:15" x14ac:dyDescent="0.25">
      <c r="A4285">
        <v>4284</v>
      </c>
      <c r="B4285">
        <v>64</v>
      </c>
      <c r="C4285" t="s">
        <v>11</v>
      </c>
      <c r="D4285" t="s">
        <v>41</v>
      </c>
      <c r="E4285" t="s">
        <v>42</v>
      </c>
      <c r="F4285" s="1">
        <v>199.4</v>
      </c>
      <c r="G4285" t="s">
        <v>19</v>
      </c>
      <c r="H4285" t="s">
        <v>15</v>
      </c>
      <c r="I4285" s="2">
        <v>3.2</v>
      </c>
      <c r="J4285" s="4">
        <v>11</v>
      </c>
      <c r="K4285" s="3">
        <v>3</v>
      </c>
      <c r="L4285" s="1">
        <f t="shared" si="198"/>
        <v>177.46600000000001</v>
      </c>
      <c r="M4285" t="str" cm="1">
        <f t="array" ref="M4285">_xlfn.IFS(B4285&lt;18,"Under 18",B4285 &lt;=25,"18-25",B4285&lt;=35,"26-35",B4285&lt;=45,"36-45",B4285&lt;=60,"46-60",TRUE,"60+")</f>
        <v>60+</v>
      </c>
      <c r="N4285" t="str">
        <f t="shared" si="199"/>
        <v>Discounted</v>
      </c>
      <c r="O4285" t="str">
        <f t="shared" si="200"/>
        <v>Returning</v>
      </c>
    </row>
    <row r="4286" spans="1:15" x14ac:dyDescent="0.25">
      <c r="A4286">
        <v>4285</v>
      </c>
      <c r="B4286">
        <v>67</v>
      </c>
      <c r="C4286" t="s">
        <v>11</v>
      </c>
      <c r="D4286" t="s">
        <v>41</v>
      </c>
      <c r="E4286" t="s">
        <v>46</v>
      </c>
      <c r="F4286" s="1">
        <v>122.67</v>
      </c>
      <c r="G4286" t="s">
        <v>14</v>
      </c>
      <c r="H4286" t="s">
        <v>15</v>
      </c>
      <c r="I4286" s="2">
        <v>3.6</v>
      </c>
      <c r="J4286" s="4">
        <v>24</v>
      </c>
      <c r="K4286" s="3">
        <v>7</v>
      </c>
      <c r="L4286" s="1">
        <f t="shared" si="198"/>
        <v>93.229200000000006</v>
      </c>
      <c r="M4286" t="str" cm="1">
        <f t="array" ref="M4286">_xlfn.IFS(B4286&lt;18,"Under 18",B4286 &lt;=25,"18-25",B4286&lt;=35,"26-35",B4286&lt;=45,"36-45",B4286&lt;=60,"46-60",TRUE,"60+")</f>
        <v>60+</v>
      </c>
      <c r="N4286" t="str">
        <f t="shared" si="199"/>
        <v>Discounted</v>
      </c>
      <c r="O4286" t="str">
        <f t="shared" si="200"/>
        <v>Returning</v>
      </c>
    </row>
    <row r="4287" spans="1:15" x14ac:dyDescent="0.25">
      <c r="A4287">
        <v>4286</v>
      </c>
      <c r="B4287">
        <v>56</v>
      </c>
      <c r="C4287" t="s">
        <v>11</v>
      </c>
      <c r="D4287" t="s">
        <v>41</v>
      </c>
      <c r="E4287" t="s">
        <v>42</v>
      </c>
      <c r="F4287" s="1">
        <v>81.62</v>
      </c>
      <c r="G4287" t="s">
        <v>19</v>
      </c>
      <c r="H4287" t="s">
        <v>15</v>
      </c>
      <c r="I4287" s="2">
        <v>4.0999999999999996</v>
      </c>
      <c r="J4287" s="4">
        <v>22</v>
      </c>
      <c r="K4287" s="3">
        <v>6</v>
      </c>
      <c r="L4287" s="1">
        <f t="shared" si="198"/>
        <v>63.663600000000002</v>
      </c>
      <c r="M4287" t="str" cm="1">
        <f t="array" ref="M4287">_xlfn.IFS(B4287&lt;18,"Under 18",B4287 &lt;=25,"18-25",B4287&lt;=35,"26-35",B4287&lt;=45,"36-45",B4287&lt;=60,"46-60",TRUE,"60+")</f>
        <v>46-60</v>
      </c>
      <c r="N4287" t="str">
        <f t="shared" si="199"/>
        <v>Discounted</v>
      </c>
      <c r="O4287" t="str">
        <f t="shared" si="200"/>
        <v>Returning</v>
      </c>
    </row>
    <row r="4288" spans="1:15" x14ac:dyDescent="0.25">
      <c r="A4288">
        <v>4287</v>
      </c>
      <c r="B4288">
        <v>51</v>
      </c>
      <c r="C4288" t="s">
        <v>11</v>
      </c>
      <c r="D4288" t="s">
        <v>25</v>
      </c>
      <c r="E4288" t="s">
        <v>26</v>
      </c>
      <c r="F4288" s="1">
        <v>50.86</v>
      </c>
      <c r="G4288" t="s">
        <v>31</v>
      </c>
      <c r="H4288" t="s">
        <v>37</v>
      </c>
      <c r="I4288" s="2">
        <v>3.4</v>
      </c>
      <c r="J4288" s="4">
        <v>20</v>
      </c>
      <c r="K4288" s="3">
        <v>5</v>
      </c>
      <c r="L4288" s="1">
        <f t="shared" si="198"/>
        <v>40.688000000000002</v>
      </c>
      <c r="M4288" t="str" cm="1">
        <f t="array" ref="M4288">_xlfn.IFS(B4288&lt;18,"Under 18",B4288 &lt;=25,"18-25",B4288&lt;=35,"26-35",B4288&lt;=45,"36-45",B4288&lt;=60,"46-60",TRUE,"60+")</f>
        <v>46-60</v>
      </c>
      <c r="N4288" t="str">
        <f t="shared" si="199"/>
        <v>Discounted</v>
      </c>
      <c r="O4288" t="str">
        <f t="shared" si="200"/>
        <v>Returning</v>
      </c>
    </row>
    <row r="4289" spans="1:15" x14ac:dyDescent="0.25">
      <c r="A4289">
        <v>4288</v>
      </c>
      <c r="B4289">
        <v>42</v>
      </c>
      <c r="C4289" t="s">
        <v>11</v>
      </c>
      <c r="D4289" t="s">
        <v>33</v>
      </c>
      <c r="E4289" t="s">
        <v>34</v>
      </c>
      <c r="F4289" s="1">
        <v>50.03</v>
      </c>
      <c r="G4289" t="s">
        <v>19</v>
      </c>
      <c r="H4289" t="s">
        <v>37</v>
      </c>
      <c r="I4289" s="2">
        <v>4.0999999999999996</v>
      </c>
      <c r="J4289" s="4">
        <v>12</v>
      </c>
      <c r="K4289" s="3">
        <v>6</v>
      </c>
      <c r="L4289" s="1">
        <f t="shared" si="198"/>
        <v>44.026400000000002</v>
      </c>
      <c r="M4289" t="str" cm="1">
        <f t="array" ref="M4289">_xlfn.IFS(B4289&lt;18,"Under 18",B4289 &lt;=25,"18-25",B4289&lt;=35,"26-35",B4289&lt;=45,"36-45",B4289&lt;=60,"46-60",TRUE,"60+")</f>
        <v>36-45</v>
      </c>
      <c r="N4289" t="str">
        <f t="shared" si="199"/>
        <v>Discounted</v>
      </c>
      <c r="O4289" t="str">
        <f t="shared" si="200"/>
        <v>Returning</v>
      </c>
    </row>
    <row r="4290" spans="1:15" x14ac:dyDescent="0.25">
      <c r="A4290">
        <v>4289</v>
      </c>
      <c r="B4290">
        <v>46</v>
      </c>
      <c r="C4290" t="s">
        <v>16</v>
      </c>
      <c r="D4290" t="s">
        <v>33</v>
      </c>
      <c r="E4290" t="s">
        <v>34</v>
      </c>
      <c r="F4290" s="1">
        <v>140.4</v>
      </c>
      <c r="G4290" t="s">
        <v>24</v>
      </c>
      <c r="H4290" t="s">
        <v>15</v>
      </c>
      <c r="I4290" s="2">
        <v>3.5</v>
      </c>
      <c r="J4290" s="4">
        <v>18</v>
      </c>
      <c r="K4290" s="3">
        <v>9</v>
      </c>
      <c r="L4290" s="1">
        <f t="shared" si="198"/>
        <v>115.12800000000001</v>
      </c>
      <c r="M4290" t="str" cm="1">
        <f t="array" ref="M4290">_xlfn.IFS(B4290&lt;18,"Under 18",B4290 &lt;=25,"18-25",B4290&lt;=35,"26-35",B4290&lt;=45,"36-45",B4290&lt;=60,"46-60",TRUE,"60+")</f>
        <v>46-60</v>
      </c>
      <c r="N4290" t="str">
        <f t="shared" si="199"/>
        <v>Discounted</v>
      </c>
      <c r="O4290" t="str">
        <f t="shared" si="200"/>
        <v>Returning</v>
      </c>
    </row>
    <row r="4291" spans="1:15" x14ac:dyDescent="0.25">
      <c r="A4291">
        <v>4290</v>
      </c>
      <c r="B4291">
        <v>29</v>
      </c>
      <c r="C4291" t="s">
        <v>11</v>
      </c>
      <c r="D4291" t="s">
        <v>29</v>
      </c>
      <c r="E4291" t="s">
        <v>30</v>
      </c>
      <c r="F4291" s="1">
        <v>52.2</v>
      </c>
      <c r="G4291" t="s">
        <v>24</v>
      </c>
      <c r="H4291" t="s">
        <v>15</v>
      </c>
      <c r="I4291" s="2">
        <v>4.3</v>
      </c>
      <c r="J4291" s="4">
        <v>6</v>
      </c>
      <c r="K4291" s="3">
        <v>3</v>
      </c>
      <c r="L4291" s="1">
        <f t="shared" ref="L4291:L4354" si="201">F4291 * (1 - J4291 / 100)</f>
        <v>49.067999999999998</v>
      </c>
      <c r="M4291" t="str" cm="1">
        <f t="array" ref="M4291">_xlfn.IFS(B4291&lt;18,"Under 18",B4291 &lt;=25,"18-25",B4291&lt;=35,"26-35",B4291&lt;=45,"36-45",B4291&lt;=60,"46-60",TRUE,"60+")</f>
        <v>26-35</v>
      </c>
      <c r="N4291" t="str">
        <f t="shared" ref="N4291:N4354" si="202">IF(J4291&gt;0,"Discounted","No Discount")</f>
        <v>Discounted</v>
      </c>
      <c r="O4291" t="str">
        <f t="shared" ref="O4291:O4354" si="203">IF(K4291&gt;0,"Returning","New")</f>
        <v>Returning</v>
      </c>
    </row>
    <row r="4292" spans="1:15" x14ac:dyDescent="0.25">
      <c r="A4292">
        <v>4291</v>
      </c>
      <c r="B4292">
        <v>67</v>
      </c>
      <c r="C4292" t="s">
        <v>16</v>
      </c>
      <c r="D4292" t="s">
        <v>20</v>
      </c>
      <c r="E4292" t="s">
        <v>39</v>
      </c>
      <c r="F4292" s="1">
        <v>161.66999999999999</v>
      </c>
      <c r="G4292" t="s">
        <v>19</v>
      </c>
      <c r="H4292" t="s">
        <v>15</v>
      </c>
      <c r="I4292" s="2">
        <v>2.8</v>
      </c>
      <c r="J4292" s="4">
        <v>10</v>
      </c>
      <c r="K4292" s="3">
        <v>5</v>
      </c>
      <c r="L4292" s="1">
        <f t="shared" si="201"/>
        <v>145.50299999999999</v>
      </c>
      <c r="M4292" t="str" cm="1">
        <f t="array" ref="M4292">_xlfn.IFS(B4292&lt;18,"Under 18",B4292 &lt;=25,"18-25",B4292&lt;=35,"26-35",B4292&lt;=45,"36-45",B4292&lt;=60,"46-60",TRUE,"60+")</f>
        <v>60+</v>
      </c>
      <c r="N4292" t="str">
        <f t="shared" si="202"/>
        <v>Discounted</v>
      </c>
      <c r="O4292" t="str">
        <f t="shared" si="203"/>
        <v>Returning</v>
      </c>
    </row>
    <row r="4293" spans="1:15" x14ac:dyDescent="0.25">
      <c r="A4293">
        <v>4292</v>
      </c>
      <c r="B4293">
        <v>61</v>
      </c>
      <c r="C4293" t="s">
        <v>16</v>
      </c>
      <c r="D4293" t="s">
        <v>20</v>
      </c>
      <c r="E4293" t="s">
        <v>39</v>
      </c>
      <c r="F4293" s="1">
        <v>116.32</v>
      </c>
      <c r="G4293" t="s">
        <v>14</v>
      </c>
      <c r="H4293" t="s">
        <v>15</v>
      </c>
      <c r="I4293" s="2">
        <v>3.6</v>
      </c>
      <c r="J4293" s="4">
        <v>16</v>
      </c>
      <c r="K4293" s="3">
        <v>3</v>
      </c>
      <c r="L4293" s="1">
        <f t="shared" si="201"/>
        <v>97.708799999999997</v>
      </c>
      <c r="M4293" t="str" cm="1">
        <f t="array" ref="M4293">_xlfn.IFS(B4293&lt;18,"Under 18",B4293 &lt;=25,"18-25",B4293&lt;=35,"26-35",B4293&lt;=45,"36-45",B4293&lt;=60,"46-60",TRUE,"60+")</f>
        <v>60+</v>
      </c>
      <c r="N4293" t="str">
        <f t="shared" si="202"/>
        <v>Discounted</v>
      </c>
      <c r="O4293" t="str">
        <f t="shared" si="203"/>
        <v>Returning</v>
      </c>
    </row>
    <row r="4294" spans="1:15" x14ac:dyDescent="0.25">
      <c r="A4294">
        <v>4293</v>
      </c>
      <c r="B4294">
        <v>63</v>
      </c>
      <c r="C4294" t="s">
        <v>11</v>
      </c>
      <c r="D4294" t="s">
        <v>29</v>
      </c>
      <c r="E4294" t="s">
        <v>55</v>
      </c>
      <c r="F4294" s="1">
        <v>88.46</v>
      </c>
      <c r="G4294" t="s">
        <v>24</v>
      </c>
      <c r="H4294" t="s">
        <v>37</v>
      </c>
      <c r="I4294" s="2">
        <v>4.2</v>
      </c>
      <c r="J4294" s="4">
        <v>18</v>
      </c>
      <c r="K4294" s="3">
        <v>4</v>
      </c>
      <c r="L4294" s="1">
        <f t="shared" si="201"/>
        <v>72.537199999999999</v>
      </c>
      <c r="M4294" t="str" cm="1">
        <f t="array" ref="M4294">_xlfn.IFS(B4294&lt;18,"Under 18",B4294 &lt;=25,"18-25",B4294&lt;=35,"26-35",B4294&lt;=45,"36-45",B4294&lt;=60,"46-60",TRUE,"60+")</f>
        <v>60+</v>
      </c>
      <c r="N4294" t="str">
        <f t="shared" si="202"/>
        <v>Discounted</v>
      </c>
      <c r="O4294" t="str">
        <f t="shared" si="203"/>
        <v>Returning</v>
      </c>
    </row>
    <row r="4295" spans="1:15" x14ac:dyDescent="0.25">
      <c r="A4295">
        <v>4294</v>
      </c>
      <c r="B4295">
        <v>20</v>
      </c>
      <c r="C4295" t="s">
        <v>16</v>
      </c>
      <c r="D4295" t="s">
        <v>17</v>
      </c>
      <c r="E4295" t="s">
        <v>35</v>
      </c>
      <c r="F4295" s="1">
        <v>175.64</v>
      </c>
      <c r="G4295" t="s">
        <v>31</v>
      </c>
      <c r="H4295" t="s">
        <v>15</v>
      </c>
      <c r="I4295" s="2">
        <v>4</v>
      </c>
      <c r="J4295" s="4">
        <v>21</v>
      </c>
      <c r="K4295" s="3">
        <v>8</v>
      </c>
      <c r="L4295" s="1">
        <f t="shared" si="201"/>
        <v>138.75559999999999</v>
      </c>
      <c r="M4295" t="str" cm="1">
        <f t="array" ref="M4295">_xlfn.IFS(B4295&lt;18,"Under 18",B4295 &lt;=25,"18-25",B4295&lt;=35,"26-35",B4295&lt;=45,"36-45",B4295&lt;=60,"46-60",TRUE,"60+")</f>
        <v>18-25</v>
      </c>
      <c r="N4295" t="str">
        <f t="shared" si="202"/>
        <v>Discounted</v>
      </c>
      <c r="O4295" t="str">
        <f t="shared" si="203"/>
        <v>Returning</v>
      </c>
    </row>
    <row r="4296" spans="1:15" x14ac:dyDescent="0.25">
      <c r="A4296">
        <v>4295</v>
      </c>
      <c r="B4296">
        <v>68</v>
      </c>
      <c r="C4296" t="s">
        <v>11</v>
      </c>
      <c r="D4296" t="s">
        <v>33</v>
      </c>
      <c r="E4296" t="s">
        <v>38</v>
      </c>
      <c r="F4296" s="1">
        <v>109.35</v>
      </c>
      <c r="G4296" t="s">
        <v>31</v>
      </c>
      <c r="H4296" t="s">
        <v>15</v>
      </c>
      <c r="I4296" s="2">
        <v>4.2</v>
      </c>
      <c r="J4296" s="4">
        <v>15</v>
      </c>
      <c r="K4296" s="3">
        <v>5</v>
      </c>
      <c r="L4296" s="1">
        <f t="shared" si="201"/>
        <v>92.947499999999991</v>
      </c>
      <c r="M4296" t="str" cm="1">
        <f t="array" ref="M4296">_xlfn.IFS(B4296&lt;18,"Under 18",B4296 &lt;=25,"18-25",B4296&lt;=35,"26-35",B4296&lt;=45,"36-45",B4296&lt;=60,"46-60",TRUE,"60+")</f>
        <v>60+</v>
      </c>
      <c r="N4296" t="str">
        <f t="shared" si="202"/>
        <v>Discounted</v>
      </c>
      <c r="O4296" t="str">
        <f t="shared" si="203"/>
        <v>Returning</v>
      </c>
    </row>
    <row r="4297" spans="1:15" x14ac:dyDescent="0.25">
      <c r="A4297">
        <v>4296</v>
      </c>
      <c r="B4297">
        <v>41</v>
      </c>
      <c r="C4297" t="s">
        <v>11</v>
      </c>
      <c r="D4297" t="s">
        <v>22</v>
      </c>
      <c r="E4297" t="s">
        <v>43</v>
      </c>
      <c r="F4297" s="1">
        <v>63.09</v>
      </c>
      <c r="G4297" t="s">
        <v>14</v>
      </c>
      <c r="H4297" t="s">
        <v>15</v>
      </c>
      <c r="I4297" s="2">
        <v>4.0999999999999996</v>
      </c>
      <c r="J4297" s="4">
        <v>20</v>
      </c>
      <c r="K4297" s="3">
        <v>5</v>
      </c>
      <c r="L4297" s="1">
        <f t="shared" si="201"/>
        <v>50.472000000000008</v>
      </c>
      <c r="M4297" t="str" cm="1">
        <f t="array" ref="M4297">_xlfn.IFS(B4297&lt;18,"Under 18",B4297 &lt;=25,"18-25",B4297&lt;=35,"26-35",B4297&lt;=45,"36-45",B4297&lt;=60,"46-60",TRUE,"60+")</f>
        <v>36-45</v>
      </c>
      <c r="N4297" t="str">
        <f t="shared" si="202"/>
        <v>Discounted</v>
      </c>
      <c r="O4297" t="str">
        <f t="shared" si="203"/>
        <v>Returning</v>
      </c>
    </row>
    <row r="4298" spans="1:15" x14ac:dyDescent="0.25">
      <c r="A4298">
        <v>4297</v>
      </c>
      <c r="B4298">
        <v>66</v>
      </c>
      <c r="C4298" t="s">
        <v>16</v>
      </c>
      <c r="D4298" t="s">
        <v>17</v>
      </c>
      <c r="E4298" t="s">
        <v>35</v>
      </c>
      <c r="F4298" s="1">
        <v>177.68</v>
      </c>
      <c r="G4298" t="s">
        <v>24</v>
      </c>
      <c r="H4298" t="s">
        <v>15</v>
      </c>
      <c r="I4298" s="2">
        <v>4.5999999999999996</v>
      </c>
      <c r="J4298" s="4">
        <v>22</v>
      </c>
      <c r="K4298" s="3">
        <v>6</v>
      </c>
      <c r="L4298" s="1">
        <f t="shared" si="201"/>
        <v>138.59040000000002</v>
      </c>
      <c r="M4298" t="str" cm="1">
        <f t="array" ref="M4298">_xlfn.IFS(B4298&lt;18,"Under 18",B4298 &lt;=25,"18-25",B4298&lt;=35,"26-35",B4298&lt;=45,"36-45",B4298&lt;=60,"46-60",TRUE,"60+")</f>
        <v>60+</v>
      </c>
      <c r="N4298" t="str">
        <f t="shared" si="202"/>
        <v>Discounted</v>
      </c>
      <c r="O4298" t="str">
        <f t="shared" si="203"/>
        <v>Returning</v>
      </c>
    </row>
    <row r="4299" spans="1:15" x14ac:dyDescent="0.25">
      <c r="A4299">
        <v>4298</v>
      </c>
      <c r="B4299">
        <v>53</v>
      </c>
      <c r="C4299" t="s">
        <v>16</v>
      </c>
      <c r="D4299" t="s">
        <v>20</v>
      </c>
      <c r="E4299" t="s">
        <v>21</v>
      </c>
      <c r="F4299" s="1">
        <v>203.97</v>
      </c>
      <c r="G4299" t="s">
        <v>19</v>
      </c>
      <c r="H4299" t="s">
        <v>15</v>
      </c>
      <c r="I4299" s="2">
        <v>3.8</v>
      </c>
      <c r="J4299" s="4">
        <v>6</v>
      </c>
      <c r="K4299" s="3">
        <v>3</v>
      </c>
      <c r="L4299" s="1">
        <f t="shared" si="201"/>
        <v>191.73179999999999</v>
      </c>
      <c r="M4299" t="str" cm="1">
        <f t="array" ref="M4299">_xlfn.IFS(B4299&lt;18,"Under 18",B4299 &lt;=25,"18-25",B4299&lt;=35,"26-35",B4299&lt;=45,"36-45",B4299&lt;=60,"46-60",TRUE,"60+")</f>
        <v>46-60</v>
      </c>
      <c r="N4299" t="str">
        <f t="shared" si="202"/>
        <v>Discounted</v>
      </c>
      <c r="O4299" t="str">
        <f t="shared" si="203"/>
        <v>Returning</v>
      </c>
    </row>
    <row r="4300" spans="1:15" x14ac:dyDescent="0.25">
      <c r="A4300">
        <v>4299</v>
      </c>
      <c r="B4300">
        <v>66</v>
      </c>
      <c r="C4300" t="s">
        <v>16</v>
      </c>
      <c r="D4300" t="s">
        <v>33</v>
      </c>
      <c r="E4300" t="s">
        <v>38</v>
      </c>
      <c r="F4300" s="1">
        <v>55.18</v>
      </c>
      <c r="G4300" t="s">
        <v>19</v>
      </c>
      <c r="H4300" t="s">
        <v>37</v>
      </c>
      <c r="I4300" s="2">
        <v>5</v>
      </c>
      <c r="J4300" s="4">
        <v>16</v>
      </c>
      <c r="K4300" s="3">
        <v>8</v>
      </c>
      <c r="L4300" s="1">
        <f t="shared" si="201"/>
        <v>46.351199999999999</v>
      </c>
      <c r="M4300" t="str" cm="1">
        <f t="array" ref="M4300">_xlfn.IFS(B4300&lt;18,"Under 18",B4300 &lt;=25,"18-25",B4300&lt;=35,"26-35",B4300&lt;=45,"36-45",B4300&lt;=60,"46-60",TRUE,"60+")</f>
        <v>60+</v>
      </c>
      <c r="N4300" t="str">
        <f t="shared" si="202"/>
        <v>Discounted</v>
      </c>
      <c r="O4300" t="str">
        <f t="shared" si="203"/>
        <v>Returning</v>
      </c>
    </row>
    <row r="4301" spans="1:15" x14ac:dyDescent="0.25">
      <c r="A4301">
        <v>4300</v>
      </c>
      <c r="B4301">
        <v>58</v>
      </c>
      <c r="C4301" t="s">
        <v>11</v>
      </c>
      <c r="D4301" t="s">
        <v>29</v>
      </c>
      <c r="E4301" t="s">
        <v>30</v>
      </c>
      <c r="F4301" s="1">
        <v>120.91</v>
      </c>
      <c r="G4301" t="s">
        <v>24</v>
      </c>
      <c r="H4301" t="s">
        <v>15</v>
      </c>
      <c r="I4301" s="2">
        <v>4.2</v>
      </c>
      <c r="J4301" s="4">
        <v>18</v>
      </c>
      <c r="K4301" s="3">
        <v>4</v>
      </c>
      <c r="L4301" s="1">
        <f t="shared" si="201"/>
        <v>99.146200000000007</v>
      </c>
      <c r="M4301" t="str" cm="1">
        <f t="array" ref="M4301">_xlfn.IFS(B4301&lt;18,"Under 18",B4301 &lt;=25,"18-25",B4301&lt;=35,"26-35",B4301&lt;=45,"36-45",B4301&lt;=60,"46-60",TRUE,"60+")</f>
        <v>46-60</v>
      </c>
      <c r="N4301" t="str">
        <f t="shared" si="202"/>
        <v>Discounted</v>
      </c>
      <c r="O4301" t="str">
        <f t="shared" si="203"/>
        <v>Returning</v>
      </c>
    </row>
    <row r="4302" spans="1:15" x14ac:dyDescent="0.25">
      <c r="A4302">
        <v>4301</v>
      </c>
      <c r="B4302">
        <v>65</v>
      </c>
      <c r="C4302" t="s">
        <v>11</v>
      </c>
      <c r="D4302" t="s">
        <v>33</v>
      </c>
      <c r="E4302" t="s">
        <v>40</v>
      </c>
      <c r="F4302" s="1">
        <v>107.79</v>
      </c>
      <c r="G4302" t="s">
        <v>31</v>
      </c>
      <c r="H4302" t="s">
        <v>15</v>
      </c>
      <c r="I4302" s="2">
        <v>3.9</v>
      </c>
      <c r="J4302" s="4">
        <v>12</v>
      </c>
      <c r="K4302" s="3">
        <v>6</v>
      </c>
      <c r="L4302" s="1">
        <f t="shared" si="201"/>
        <v>94.855200000000011</v>
      </c>
      <c r="M4302" t="str" cm="1">
        <f t="array" ref="M4302">_xlfn.IFS(B4302&lt;18,"Under 18",B4302 &lt;=25,"18-25",B4302&lt;=35,"26-35",B4302&lt;=45,"36-45",B4302&lt;=60,"46-60",TRUE,"60+")</f>
        <v>60+</v>
      </c>
      <c r="N4302" t="str">
        <f t="shared" si="202"/>
        <v>Discounted</v>
      </c>
      <c r="O4302" t="str">
        <f t="shared" si="203"/>
        <v>Returning</v>
      </c>
    </row>
    <row r="4303" spans="1:15" x14ac:dyDescent="0.25">
      <c r="A4303">
        <v>4302</v>
      </c>
      <c r="B4303">
        <v>22</v>
      </c>
      <c r="C4303" t="s">
        <v>11</v>
      </c>
      <c r="D4303" t="s">
        <v>29</v>
      </c>
      <c r="E4303" t="s">
        <v>55</v>
      </c>
      <c r="F4303" s="1">
        <v>88.76</v>
      </c>
      <c r="G4303" t="s">
        <v>19</v>
      </c>
      <c r="H4303" t="s">
        <v>15</v>
      </c>
      <c r="I4303" s="2">
        <v>4</v>
      </c>
      <c r="J4303" s="4">
        <v>21</v>
      </c>
      <c r="K4303" s="3">
        <v>8</v>
      </c>
      <c r="L4303" s="1">
        <f t="shared" si="201"/>
        <v>70.120400000000004</v>
      </c>
      <c r="M4303" t="str" cm="1">
        <f t="array" ref="M4303">_xlfn.IFS(B4303&lt;18,"Under 18",B4303 &lt;=25,"18-25",B4303&lt;=35,"26-35",B4303&lt;=45,"36-45",B4303&lt;=60,"46-60",TRUE,"60+")</f>
        <v>18-25</v>
      </c>
      <c r="N4303" t="str">
        <f t="shared" si="202"/>
        <v>Discounted</v>
      </c>
      <c r="O4303" t="str">
        <f t="shared" si="203"/>
        <v>Returning</v>
      </c>
    </row>
    <row r="4304" spans="1:15" x14ac:dyDescent="0.25">
      <c r="A4304">
        <v>4303</v>
      </c>
      <c r="B4304">
        <v>41</v>
      </c>
      <c r="C4304" t="s">
        <v>16</v>
      </c>
      <c r="D4304" t="s">
        <v>20</v>
      </c>
      <c r="E4304" t="s">
        <v>39</v>
      </c>
      <c r="F4304" s="1">
        <v>131.51</v>
      </c>
      <c r="G4304" t="s">
        <v>24</v>
      </c>
      <c r="H4304" t="s">
        <v>15</v>
      </c>
      <c r="I4304" s="2">
        <v>3.4</v>
      </c>
      <c r="J4304" s="4">
        <v>14</v>
      </c>
      <c r="K4304" s="3">
        <v>7</v>
      </c>
      <c r="L4304" s="1">
        <f t="shared" si="201"/>
        <v>113.09859999999999</v>
      </c>
      <c r="M4304" t="str" cm="1">
        <f t="array" ref="M4304">_xlfn.IFS(B4304&lt;18,"Under 18",B4304 &lt;=25,"18-25",B4304&lt;=35,"26-35",B4304&lt;=45,"36-45",B4304&lt;=60,"46-60",TRUE,"60+")</f>
        <v>36-45</v>
      </c>
      <c r="N4304" t="str">
        <f t="shared" si="202"/>
        <v>Discounted</v>
      </c>
      <c r="O4304" t="str">
        <f t="shared" si="203"/>
        <v>Returning</v>
      </c>
    </row>
    <row r="4305" spans="1:15" x14ac:dyDescent="0.25">
      <c r="A4305">
        <v>4304</v>
      </c>
      <c r="B4305">
        <v>54</v>
      </c>
      <c r="C4305" t="s">
        <v>16</v>
      </c>
      <c r="D4305" t="s">
        <v>22</v>
      </c>
      <c r="E4305" t="s">
        <v>52</v>
      </c>
      <c r="F4305" s="1">
        <v>58.82</v>
      </c>
      <c r="G4305" t="s">
        <v>31</v>
      </c>
      <c r="H4305" t="s">
        <v>37</v>
      </c>
      <c r="I4305" s="2">
        <v>3.8</v>
      </c>
      <c r="J4305" s="4">
        <v>23</v>
      </c>
      <c r="K4305" s="3">
        <v>9</v>
      </c>
      <c r="L4305" s="1">
        <f t="shared" si="201"/>
        <v>45.291400000000003</v>
      </c>
      <c r="M4305" t="str" cm="1">
        <f t="array" ref="M4305">_xlfn.IFS(B4305&lt;18,"Under 18",B4305 &lt;=25,"18-25",B4305&lt;=35,"26-35",B4305&lt;=45,"36-45",B4305&lt;=60,"46-60",TRUE,"60+")</f>
        <v>46-60</v>
      </c>
      <c r="N4305" t="str">
        <f t="shared" si="202"/>
        <v>Discounted</v>
      </c>
      <c r="O4305" t="str">
        <f t="shared" si="203"/>
        <v>Returning</v>
      </c>
    </row>
    <row r="4306" spans="1:15" x14ac:dyDescent="0.25">
      <c r="A4306">
        <v>4305</v>
      </c>
      <c r="B4306">
        <v>62</v>
      </c>
      <c r="C4306" t="s">
        <v>16</v>
      </c>
      <c r="D4306" t="s">
        <v>17</v>
      </c>
      <c r="E4306" t="s">
        <v>35</v>
      </c>
      <c r="F4306" s="1">
        <v>184.53</v>
      </c>
      <c r="G4306" t="s">
        <v>24</v>
      </c>
      <c r="H4306" t="s">
        <v>15</v>
      </c>
      <c r="I4306" s="2">
        <v>4.2</v>
      </c>
      <c r="J4306" s="4">
        <v>28</v>
      </c>
      <c r="K4306" s="3">
        <v>9</v>
      </c>
      <c r="L4306" s="1">
        <f t="shared" si="201"/>
        <v>132.86160000000001</v>
      </c>
      <c r="M4306" t="str" cm="1">
        <f t="array" ref="M4306">_xlfn.IFS(B4306&lt;18,"Under 18",B4306 &lt;=25,"18-25",B4306&lt;=35,"26-35",B4306&lt;=45,"36-45",B4306&lt;=60,"46-60",TRUE,"60+")</f>
        <v>60+</v>
      </c>
      <c r="N4306" t="str">
        <f t="shared" si="202"/>
        <v>Discounted</v>
      </c>
      <c r="O4306" t="str">
        <f t="shared" si="203"/>
        <v>Returning</v>
      </c>
    </row>
    <row r="4307" spans="1:15" x14ac:dyDescent="0.25">
      <c r="A4307">
        <v>4306</v>
      </c>
      <c r="B4307">
        <v>65</v>
      </c>
      <c r="C4307" t="s">
        <v>16</v>
      </c>
      <c r="D4307" t="s">
        <v>27</v>
      </c>
      <c r="E4307" t="s">
        <v>32</v>
      </c>
      <c r="F4307" s="1">
        <v>2803.45</v>
      </c>
      <c r="G4307" t="s">
        <v>19</v>
      </c>
      <c r="H4307" t="s">
        <v>15</v>
      </c>
      <c r="I4307" s="2">
        <v>3.1</v>
      </c>
      <c r="J4307" s="4">
        <v>12</v>
      </c>
      <c r="K4307" s="3">
        <v>1</v>
      </c>
      <c r="L4307" s="1">
        <f t="shared" si="201"/>
        <v>2467.0360000000001</v>
      </c>
      <c r="M4307" t="str" cm="1">
        <f t="array" ref="M4307">_xlfn.IFS(B4307&lt;18,"Under 18",B4307 &lt;=25,"18-25",B4307&lt;=35,"26-35",B4307&lt;=45,"36-45",B4307&lt;=60,"46-60",TRUE,"60+")</f>
        <v>60+</v>
      </c>
      <c r="N4307" t="str">
        <f t="shared" si="202"/>
        <v>Discounted</v>
      </c>
      <c r="O4307" t="str">
        <f t="shared" si="203"/>
        <v>Returning</v>
      </c>
    </row>
    <row r="4308" spans="1:15" x14ac:dyDescent="0.25">
      <c r="A4308">
        <v>4307</v>
      </c>
      <c r="B4308">
        <v>54</v>
      </c>
      <c r="C4308" t="s">
        <v>11</v>
      </c>
      <c r="D4308" t="s">
        <v>12</v>
      </c>
      <c r="E4308" t="s">
        <v>56</v>
      </c>
      <c r="F4308" s="1">
        <v>91.94</v>
      </c>
      <c r="G4308" t="s">
        <v>14</v>
      </c>
      <c r="H4308" t="s">
        <v>15</v>
      </c>
      <c r="I4308" s="2">
        <v>3.6</v>
      </c>
      <c r="J4308" s="4">
        <v>16</v>
      </c>
      <c r="K4308" s="3">
        <v>3</v>
      </c>
      <c r="L4308" s="1">
        <f t="shared" si="201"/>
        <v>77.229599999999991</v>
      </c>
      <c r="M4308" t="str" cm="1">
        <f t="array" ref="M4308">_xlfn.IFS(B4308&lt;18,"Under 18",B4308 &lt;=25,"18-25",B4308&lt;=35,"26-35",B4308&lt;=45,"36-45",B4308&lt;=60,"46-60",TRUE,"60+")</f>
        <v>46-60</v>
      </c>
      <c r="N4308" t="str">
        <f t="shared" si="202"/>
        <v>Discounted</v>
      </c>
      <c r="O4308" t="str">
        <f t="shared" si="203"/>
        <v>Returning</v>
      </c>
    </row>
    <row r="4309" spans="1:15" x14ac:dyDescent="0.25">
      <c r="A4309">
        <v>4308</v>
      </c>
      <c r="B4309">
        <v>45</v>
      </c>
      <c r="C4309" t="s">
        <v>16</v>
      </c>
      <c r="D4309" t="s">
        <v>22</v>
      </c>
      <c r="E4309" t="s">
        <v>23</v>
      </c>
      <c r="F4309" s="1">
        <v>130.44999999999999</v>
      </c>
      <c r="G4309" t="s">
        <v>24</v>
      </c>
      <c r="H4309" t="s">
        <v>15</v>
      </c>
      <c r="I4309" s="2">
        <v>4.5</v>
      </c>
      <c r="J4309" s="4">
        <v>14</v>
      </c>
      <c r="K4309" s="3">
        <v>7</v>
      </c>
      <c r="L4309" s="1">
        <f t="shared" si="201"/>
        <v>112.18699999999998</v>
      </c>
      <c r="M4309" t="str" cm="1">
        <f t="array" ref="M4309">_xlfn.IFS(B4309&lt;18,"Under 18",B4309 &lt;=25,"18-25",B4309&lt;=35,"26-35",B4309&lt;=45,"36-45",B4309&lt;=60,"46-60",TRUE,"60+")</f>
        <v>36-45</v>
      </c>
      <c r="N4309" t="str">
        <f t="shared" si="202"/>
        <v>Discounted</v>
      </c>
      <c r="O4309" t="str">
        <f t="shared" si="203"/>
        <v>Returning</v>
      </c>
    </row>
    <row r="4310" spans="1:15" x14ac:dyDescent="0.25">
      <c r="A4310">
        <v>4309</v>
      </c>
      <c r="B4310">
        <v>34</v>
      </c>
      <c r="C4310" t="s">
        <v>16</v>
      </c>
      <c r="D4310" t="s">
        <v>22</v>
      </c>
      <c r="E4310" t="s">
        <v>43</v>
      </c>
      <c r="F4310" s="1">
        <v>225</v>
      </c>
      <c r="G4310" t="s">
        <v>31</v>
      </c>
      <c r="H4310" t="s">
        <v>15</v>
      </c>
      <c r="I4310" s="2">
        <v>3.2</v>
      </c>
      <c r="J4310" s="4">
        <v>14</v>
      </c>
      <c r="K4310" s="3">
        <v>2</v>
      </c>
      <c r="L4310" s="1">
        <f t="shared" si="201"/>
        <v>193.5</v>
      </c>
      <c r="M4310" t="str" cm="1">
        <f t="array" ref="M4310">_xlfn.IFS(B4310&lt;18,"Under 18",B4310 &lt;=25,"18-25",B4310&lt;=35,"26-35",B4310&lt;=45,"36-45",B4310&lt;=60,"46-60",TRUE,"60+")</f>
        <v>26-35</v>
      </c>
      <c r="N4310" t="str">
        <f t="shared" si="202"/>
        <v>Discounted</v>
      </c>
      <c r="O4310" t="str">
        <f t="shared" si="203"/>
        <v>Returning</v>
      </c>
    </row>
    <row r="4311" spans="1:15" x14ac:dyDescent="0.25">
      <c r="A4311">
        <v>4310</v>
      </c>
      <c r="B4311">
        <v>32</v>
      </c>
      <c r="C4311" t="s">
        <v>16</v>
      </c>
      <c r="D4311" t="s">
        <v>33</v>
      </c>
      <c r="E4311" t="s">
        <v>38</v>
      </c>
      <c r="F4311" s="1">
        <v>237.39</v>
      </c>
      <c r="G4311" t="s">
        <v>14</v>
      </c>
      <c r="H4311" t="s">
        <v>15</v>
      </c>
      <c r="I4311" s="2">
        <v>5</v>
      </c>
      <c r="J4311" s="4">
        <v>24</v>
      </c>
      <c r="K4311" s="3">
        <v>7</v>
      </c>
      <c r="L4311" s="1">
        <f t="shared" si="201"/>
        <v>180.41639999999998</v>
      </c>
      <c r="M4311" t="str" cm="1">
        <f t="array" ref="M4311">_xlfn.IFS(B4311&lt;18,"Under 18",B4311 &lt;=25,"18-25",B4311&lt;=35,"26-35",B4311&lt;=45,"36-45",B4311&lt;=60,"46-60",TRUE,"60+")</f>
        <v>26-35</v>
      </c>
      <c r="N4311" t="str">
        <f t="shared" si="202"/>
        <v>Discounted</v>
      </c>
      <c r="O4311" t="str">
        <f t="shared" si="203"/>
        <v>Returning</v>
      </c>
    </row>
    <row r="4312" spans="1:15" x14ac:dyDescent="0.25">
      <c r="A4312">
        <v>4311</v>
      </c>
      <c r="B4312">
        <v>52</v>
      </c>
      <c r="C4312" t="s">
        <v>11</v>
      </c>
      <c r="D4312" t="s">
        <v>12</v>
      </c>
      <c r="E4312" t="s">
        <v>50</v>
      </c>
      <c r="F4312" s="1">
        <v>36.25</v>
      </c>
      <c r="G4312" t="s">
        <v>24</v>
      </c>
      <c r="H4312" t="s">
        <v>37</v>
      </c>
      <c r="I4312" s="2">
        <v>4</v>
      </c>
      <c r="J4312" s="4">
        <v>17</v>
      </c>
      <c r="K4312" s="3">
        <v>6</v>
      </c>
      <c r="L4312" s="1">
        <f t="shared" si="201"/>
        <v>30.087499999999999</v>
      </c>
      <c r="M4312" t="str" cm="1">
        <f t="array" ref="M4312">_xlfn.IFS(B4312&lt;18,"Under 18",B4312 &lt;=25,"18-25",B4312&lt;=35,"26-35",B4312&lt;=45,"36-45",B4312&lt;=60,"46-60",TRUE,"60+")</f>
        <v>46-60</v>
      </c>
      <c r="N4312" t="str">
        <f t="shared" si="202"/>
        <v>Discounted</v>
      </c>
      <c r="O4312" t="str">
        <f t="shared" si="203"/>
        <v>Returning</v>
      </c>
    </row>
    <row r="4313" spans="1:15" x14ac:dyDescent="0.25">
      <c r="A4313">
        <v>4312</v>
      </c>
      <c r="B4313">
        <v>53</v>
      </c>
      <c r="C4313" t="s">
        <v>16</v>
      </c>
      <c r="D4313" t="s">
        <v>33</v>
      </c>
      <c r="E4313" t="s">
        <v>34</v>
      </c>
      <c r="F4313" s="1">
        <v>70.209999999999994</v>
      </c>
      <c r="G4313" t="s">
        <v>19</v>
      </c>
      <c r="H4313" t="s">
        <v>15</v>
      </c>
      <c r="I4313" s="2">
        <v>3</v>
      </c>
      <c r="J4313" s="4">
        <v>8</v>
      </c>
      <c r="K4313" s="3">
        <v>4</v>
      </c>
      <c r="L4313" s="1">
        <f t="shared" si="201"/>
        <v>64.593199999999996</v>
      </c>
      <c r="M4313" t="str" cm="1">
        <f t="array" ref="M4313">_xlfn.IFS(B4313&lt;18,"Under 18",B4313 &lt;=25,"18-25",B4313&lt;=35,"26-35",B4313&lt;=45,"36-45",B4313&lt;=60,"46-60",TRUE,"60+")</f>
        <v>46-60</v>
      </c>
      <c r="N4313" t="str">
        <f t="shared" si="202"/>
        <v>Discounted</v>
      </c>
      <c r="O4313" t="str">
        <f t="shared" si="203"/>
        <v>Returning</v>
      </c>
    </row>
    <row r="4314" spans="1:15" x14ac:dyDescent="0.25">
      <c r="A4314">
        <v>4313</v>
      </c>
      <c r="B4314">
        <v>38</v>
      </c>
      <c r="C4314" t="s">
        <v>11</v>
      </c>
      <c r="D4314" t="s">
        <v>41</v>
      </c>
      <c r="E4314" t="s">
        <v>46</v>
      </c>
      <c r="F4314" s="1">
        <v>136.24</v>
      </c>
      <c r="G4314" t="s">
        <v>24</v>
      </c>
      <c r="H4314" t="s">
        <v>15</v>
      </c>
      <c r="I4314" s="2">
        <v>3.9</v>
      </c>
      <c r="J4314" s="4">
        <v>8</v>
      </c>
      <c r="K4314" s="3">
        <v>4</v>
      </c>
      <c r="L4314" s="1">
        <f t="shared" si="201"/>
        <v>125.34080000000002</v>
      </c>
      <c r="M4314" t="str" cm="1">
        <f t="array" ref="M4314">_xlfn.IFS(B4314&lt;18,"Under 18",B4314 &lt;=25,"18-25",B4314&lt;=35,"26-35",B4314&lt;=45,"36-45",B4314&lt;=60,"46-60",TRUE,"60+")</f>
        <v>36-45</v>
      </c>
      <c r="N4314" t="str">
        <f t="shared" si="202"/>
        <v>Discounted</v>
      </c>
      <c r="O4314" t="str">
        <f t="shared" si="203"/>
        <v>Returning</v>
      </c>
    </row>
    <row r="4315" spans="1:15" x14ac:dyDescent="0.25">
      <c r="A4315">
        <v>4314</v>
      </c>
      <c r="B4315">
        <v>44</v>
      </c>
      <c r="C4315" t="s">
        <v>11</v>
      </c>
      <c r="D4315" t="s">
        <v>41</v>
      </c>
      <c r="E4315" t="s">
        <v>44</v>
      </c>
      <c r="F4315" s="1">
        <v>159.32</v>
      </c>
      <c r="G4315" t="s">
        <v>14</v>
      </c>
      <c r="H4315" t="s">
        <v>15</v>
      </c>
      <c r="I4315" s="2">
        <v>4.3</v>
      </c>
      <c r="J4315" s="4">
        <v>10</v>
      </c>
      <c r="K4315" s="3">
        <v>5</v>
      </c>
      <c r="L4315" s="1">
        <f t="shared" si="201"/>
        <v>143.38800000000001</v>
      </c>
      <c r="M4315" t="str" cm="1">
        <f t="array" ref="M4315">_xlfn.IFS(B4315&lt;18,"Under 18",B4315 &lt;=25,"18-25",B4315&lt;=35,"26-35",B4315&lt;=45,"36-45",B4315&lt;=60,"46-60",TRUE,"60+")</f>
        <v>36-45</v>
      </c>
      <c r="N4315" t="str">
        <f t="shared" si="202"/>
        <v>Discounted</v>
      </c>
      <c r="O4315" t="str">
        <f t="shared" si="203"/>
        <v>Returning</v>
      </c>
    </row>
    <row r="4316" spans="1:15" x14ac:dyDescent="0.25">
      <c r="A4316">
        <v>4315</v>
      </c>
      <c r="B4316">
        <v>27</v>
      </c>
      <c r="C4316" t="s">
        <v>16</v>
      </c>
      <c r="D4316" t="s">
        <v>22</v>
      </c>
      <c r="E4316" t="s">
        <v>23</v>
      </c>
      <c r="F4316" s="1">
        <v>105.26</v>
      </c>
      <c r="G4316" t="s">
        <v>24</v>
      </c>
      <c r="H4316" t="s">
        <v>15</v>
      </c>
      <c r="I4316" s="2">
        <v>3.7</v>
      </c>
      <c r="J4316" s="4">
        <v>15</v>
      </c>
      <c r="K4316" s="3">
        <v>5</v>
      </c>
      <c r="L4316" s="1">
        <f t="shared" si="201"/>
        <v>89.471000000000004</v>
      </c>
      <c r="M4316" t="str" cm="1">
        <f t="array" ref="M4316">_xlfn.IFS(B4316&lt;18,"Under 18",B4316 &lt;=25,"18-25",B4316&lt;=35,"26-35",B4316&lt;=45,"36-45",B4316&lt;=60,"46-60",TRUE,"60+")</f>
        <v>26-35</v>
      </c>
      <c r="N4316" t="str">
        <f t="shared" si="202"/>
        <v>Discounted</v>
      </c>
      <c r="O4316" t="str">
        <f t="shared" si="203"/>
        <v>Returning</v>
      </c>
    </row>
    <row r="4317" spans="1:15" x14ac:dyDescent="0.25">
      <c r="A4317">
        <v>4316</v>
      </c>
      <c r="B4317">
        <v>55</v>
      </c>
      <c r="C4317" t="s">
        <v>11</v>
      </c>
      <c r="D4317" t="s">
        <v>22</v>
      </c>
      <c r="E4317" t="s">
        <v>43</v>
      </c>
      <c r="F4317" s="1">
        <v>214.41</v>
      </c>
      <c r="G4317" t="s">
        <v>24</v>
      </c>
      <c r="H4317" t="s">
        <v>15</v>
      </c>
      <c r="I4317" s="2">
        <v>3.7</v>
      </c>
      <c r="J4317" s="4">
        <v>11</v>
      </c>
      <c r="K4317" s="3">
        <v>3</v>
      </c>
      <c r="L4317" s="1">
        <f t="shared" si="201"/>
        <v>190.82490000000001</v>
      </c>
      <c r="M4317" t="str" cm="1">
        <f t="array" ref="M4317">_xlfn.IFS(B4317&lt;18,"Under 18",B4317 &lt;=25,"18-25",B4317&lt;=35,"26-35",B4317&lt;=45,"36-45",B4317&lt;=60,"46-60",TRUE,"60+")</f>
        <v>46-60</v>
      </c>
      <c r="N4317" t="str">
        <f t="shared" si="202"/>
        <v>Discounted</v>
      </c>
      <c r="O4317" t="str">
        <f t="shared" si="203"/>
        <v>Returning</v>
      </c>
    </row>
    <row r="4318" spans="1:15" x14ac:dyDescent="0.25">
      <c r="A4318">
        <v>4317</v>
      </c>
      <c r="B4318">
        <v>42</v>
      </c>
      <c r="C4318" t="s">
        <v>11</v>
      </c>
      <c r="D4318" t="s">
        <v>41</v>
      </c>
      <c r="E4318" t="s">
        <v>44</v>
      </c>
      <c r="F4318" s="1">
        <v>101.15</v>
      </c>
      <c r="G4318" t="s">
        <v>14</v>
      </c>
      <c r="H4318" t="s">
        <v>15</v>
      </c>
      <c r="I4318" s="2">
        <v>2.6</v>
      </c>
      <c r="J4318" s="4">
        <v>12</v>
      </c>
      <c r="K4318" s="3">
        <v>6</v>
      </c>
      <c r="L4318" s="1">
        <f t="shared" si="201"/>
        <v>89.012</v>
      </c>
      <c r="M4318" t="str" cm="1">
        <f t="array" ref="M4318">_xlfn.IFS(B4318&lt;18,"Under 18",B4318 &lt;=25,"18-25",B4318&lt;=35,"26-35",B4318&lt;=45,"36-45",B4318&lt;=60,"46-60",TRUE,"60+")</f>
        <v>36-45</v>
      </c>
      <c r="N4318" t="str">
        <f t="shared" si="202"/>
        <v>Discounted</v>
      </c>
      <c r="O4318" t="str">
        <f t="shared" si="203"/>
        <v>Returning</v>
      </c>
    </row>
    <row r="4319" spans="1:15" x14ac:dyDescent="0.25">
      <c r="A4319">
        <v>4318</v>
      </c>
      <c r="B4319">
        <v>39</v>
      </c>
      <c r="C4319" t="s">
        <v>11</v>
      </c>
      <c r="D4319" t="s">
        <v>25</v>
      </c>
      <c r="E4319" t="s">
        <v>47</v>
      </c>
      <c r="F4319" s="1">
        <v>23.86</v>
      </c>
      <c r="G4319" t="s">
        <v>31</v>
      </c>
      <c r="H4319" t="s">
        <v>37</v>
      </c>
      <c r="I4319" s="2">
        <v>3.7</v>
      </c>
      <c r="J4319" s="4">
        <v>14</v>
      </c>
      <c r="K4319" s="3">
        <v>7</v>
      </c>
      <c r="L4319" s="1">
        <f t="shared" si="201"/>
        <v>20.519600000000001</v>
      </c>
      <c r="M4319" t="str" cm="1">
        <f t="array" ref="M4319">_xlfn.IFS(B4319&lt;18,"Under 18",B4319 &lt;=25,"18-25",B4319&lt;=35,"26-35",B4319&lt;=45,"36-45",B4319&lt;=60,"46-60",TRUE,"60+")</f>
        <v>36-45</v>
      </c>
      <c r="N4319" t="str">
        <f t="shared" si="202"/>
        <v>Discounted</v>
      </c>
      <c r="O4319" t="str">
        <f t="shared" si="203"/>
        <v>Returning</v>
      </c>
    </row>
    <row r="4320" spans="1:15" x14ac:dyDescent="0.25">
      <c r="A4320">
        <v>4319</v>
      </c>
      <c r="B4320">
        <v>38</v>
      </c>
      <c r="C4320" t="s">
        <v>16</v>
      </c>
      <c r="D4320" t="s">
        <v>33</v>
      </c>
      <c r="E4320" t="s">
        <v>40</v>
      </c>
      <c r="F4320" s="1">
        <v>206.88</v>
      </c>
      <c r="G4320" t="s">
        <v>24</v>
      </c>
      <c r="H4320" t="s">
        <v>15</v>
      </c>
      <c r="I4320" s="2">
        <v>4.5</v>
      </c>
      <c r="J4320" s="4">
        <v>23</v>
      </c>
      <c r="K4320" s="3">
        <v>9</v>
      </c>
      <c r="L4320" s="1">
        <f t="shared" si="201"/>
        <v>159.29759999999999</v>
      </c>
      <c r="M4320" t="str" cm="1">
        <f t="array" ref="M4320">_xlfn.IFS(B4320&lt;18,"Under 18",B4320 &lt;=25,"18-25",B4320&lt;=35,"26-35",B4320&lt;=45,"36-45",B4320&lt;=60,"46-60",TRUE,"60+")</f>
        <v>36-45</v>
      </c>
      <c r="N4320" t="str">
        <f t="shared" si="202"/>
        <v>Discounted</v>
      </c>
      <c r="O4320" t="str">
        <f t="shared" si="203"/>
        <v>Returning</v>
      </c>
    </row>
    <row r="4321" spans="1:15" x14ac:dyDescent="0.25">
      <c r="A4321">
        <v>4320</v>
      </c>
      <c r="B4321">
        <v>33</v>
      </c>
      <c r="C4321" t="s">
        <v>11</v>
      </c>
      <c r="D4321" t="s">
        <v>41</v>
      </c>
      <c r="E4321" t="s">
        <v>42</v>
      </c>
      <c r="F4321" s="1">
        <v>152.85</v>
      </c>
      <c r="G4321" t="s">
        <v>24</v>
      </c>
      <c r="H4321" t="s">
        <v>15</v>
      </c>
      <c r="I4321" s="2">
        <v>2.9</v>
      </c>
      <c r="J4321" s="4">
        <v>17</v>
      </c>
      <c r="K4321" s="3">
        <v>6</v>
      </c>
      <c r="L4321" s="1">
        <f t="shared" si="201"/>
        <v>126.86549999999998</v>
      </c>
      <c r="M4321" t="str" cm="1">
        <f t="array" ref="M4321">_xlfn.IFS(B4321&lt;18,"Under 18",B4321 &lt;=25,"18-25",B4321&lt;=35,"26-35",B4321&lt;=45,"36-45",B4321&lt;=60,"46-60",TRUE,"60+")</f>
        <v>26-35</v>
      </c>
      <c r="N4321" t="str">
        <f t="shared" si="202"/>
        <v>Discounted</v>
      </c>
      <c r="O4321" t="str">
        <f t="shared" si="203"/>
        <v>Returning</v>
      </c>
    </row>
    <row r="4322" spans="1:15" x14ac:dyDescent="0.25">
      <c r="A4322">
        <v>4321</v>
      </c>
      <c r="B4322">
        <v>41</v>
      </c>
      <c r="C4322" t="s">
        <v>11</v>
      </c>
      <c r="D4322" t="s">
        <v>41</v>
      </c>
      <c r="E4322" t="s">
        <v>45</v>
      </c>
      <c r="F4322" s="1">
        <v>131.57</v>
      </c>
      <c r="G4322" t="s">
        <v>31</v>
      </c>
      <c r="H4322" t="s">
        <v>15</v>
      </c>
      <c r="I4322" s="2">
        <v>5</v>
      </c>
      <c r="J4322" s="4">
        <v>9</v>
      </c>
      <c r="K4322" s="3">
        <v>2</v>
      </c>
      <c r="L4322" s="1">
        <f t="shared" si="201"/>
        <v>119.7287</v>
      </c>
      <c r="M4322" t="str" cm="1">
        <f t="array" ref="M4322">_xlfn.IFS(B4322&lt;18,"Under 18",B4322 &lt;=25,"18-25",B4322&lt;=35,"26-35",B4322&lt;=45,"36-45",B4322&lt;=60,"46-60",TRUE,"60+")</f>
        <v>36-45</v>
      </c>
      <c r="N4322" t="str">
        <f t="shared" si="202"/>
        <v>Discounted</v>
      </c>
      <c r="O4322" t="str">
        <f t="shared" si="203"/>
        <v>Returning</v>
      </c>
    </row>
    <row r="4323" spans="1:15" x14ac:dyDescent="0.25">
      <c r="A4323">
        <v>4322</v>
      </c>
      <c r="B4323">
        <v>46</v>
      </c>
      <c r="C4323" t="s">
        <v>16</v>
      </c>
      <c r="D4323" t="s">
        <v>20</v>
      </c>
      <c r="E4323" t="s">
        <v>21</v>
      </c>
      <c r="F4323" s="1">
        <v>61.71</v>
      </c>
      <c r="G4323" t="s">
        <v>14</v>
      </c>
      <c r="H4323" t="s">
        <v>15</v>
      </c>
      <c r="I4323" s="2">
        <v>4.8</v>
      </c>
      <c r="J4323" s="4">
        <v>18</v>
      </c>
      <c r="K4323" s="3">
        <v>4</v>
      </c>
      <c r="L4323" s="1">
        <f t="shared" si="201"/>
        <v>50.602200000000003</v>
      </c>
      <c r="M4323" t="str" cm="1">
        <f t="array" ref="M4323">_xlfn.IFS(B4323&lt;18,"Under 18",B4323 &lt;=25,"18-25",B4323&lt;=35,"26-35",B4323&lt;=45,"36-45",B4323&lt;=60,"46-60",TRUE,"60+")</f>
        <v>46-60</v>
      </c>
      <c r="N4323" t="str">
        <f t="shared" si="202"/>
        <v>Discounted</v>
      </c>
      <c r="O4323" t="str">
        <f t="shared" si="203"/>
        <v>Returning</v>
      </c>
    </row>
    <row r="4324" spans="1:15" x14ac:dyDescent="0.25">
      <c r="A4324">
        <v>4323</v>
      </c>
      <c r="B4324">
        <v>33</v>
      </c>
      <c r="C4324" t="s">
        <v>11</v>
      </c>
      <c r="D4324" t="s">
        <v>20</v>
      </c>
      <c r="E4324" t="s">
        <v>36</v>
      </c>
      <c r="F4324" s="1">
        <v>146.32</v>
      </c>
      <c r="G4324" t="s">
        <v>14</v>
      </c>
      <c r="H4324" t="s">
        <v>15</v>
      </c>
      <c r="I4324" s="2">
        <v>3.9</v>
      </c>
      <c r="J4324" s="4">
        <v>14</v>
      </c>
      <c r="K4324" s="3">
        <v>2</v>
      </c>
      <c r="L4324" s="1">
        <f t="shared" si="201"/>
        <v>125.83519999999999</v>
      </c>
      <c r="M4324" t="str" cm="1">
        <f t="array" ref="M4324">_xlfn.IFS(B4324&lt;18,"Under 18",B4324 &lt;=25,"18-25",B4324&lt;=35,"26-35",B4324&lt;=45,"36-45",B4324&lt;=60,"46-60",TRUE,"60+")</f>
        <v>26-35</v>
      </c>
      <c r="N4324" t="str">
        <f t="shared" si="202"/>
        <v>Discounted</v>
      </c>
      <c r="O4324" t="str">
        <f t="shared" si="203"/>
        <v>Returning</v>
      </c>
    </row>
    <row r="4325" spans="1:15" x14ac:dyDescent="0.25">
      <c r="A4325">
        <v>4324</v>
      </c>
      <c r="B4325">
        <v>30</v>
      </c>
      <c r="C4325" t="s">
        <v>16</v>
      </c>
      <c r="D4325" t="s">
        <v>20</v>
      </c>
      <c r="E4325" t="s">
        <v>21</v>
      </c>
      <c r="F4325" s="1">
        <v>176.43</v>
      </c>
      <c r="G4325" t="s">
        <v>14</v>
      </c>
      <c r="H4325" t="s">
        <v>15</v>
      </c>
      <c r="I4325" s="2">
        <v>3.9</v>
      </c>
      <c r="J4325" s="4">
        <v>10</v>
      </c>
      <c r="K4325" s="3">
        <v>5</v>
      </c>
      <c r="L4325" s="1">
        <f t="shared" si="201"/>
        <v>158.78700000000001</v>
      </c>
      <c r="M4325" t="str" cm="1">
        <f t="array" ref="M4325">_xlfn.IFS(B4325&lt;18,"Under 18",B4325 &lt;=25,"18-25",B4325&lt;=35,"26-35",B4325&lt;=45,"36-45",B4325&lt;=60,"46-60",TRUE,"60+")</f>
        <v>26-35</v>
      </c>
      <c r="N4325" t="str">
        <f t="shared" si="202"/>
        <v>Discounted</v>
      </c>
      <c r="O4325" t="str">
        <f t="shared" si="203"/>
        <v>Returning</v>
      </c>
    </row>
    <row r="4326" spans="1:15" x14ac:dyDescent="0.25">
      <c r="A4326">
        <v>4325</v>
      </c>
      <c r="B4326">
        <v>40</v>
      </c>
      <c r="C4326" t="s">
        <v>16</v>
      </c>
      <c r="D4326" t="s">
        <v>33</v>
      </c>
      <c r="E4326" t="s">
        <v>40</v>
      </c>
      <c r="F4326" s="1">
        <v>180.35</v>
      </c>
      <c r="G4326" t="s">
        <v>14</v>
      </c>
      <c r="H4326" t="s">
        <v>15</v>
      </c>
      <c r="I4326" s="2">
        <v>3.5</v>
      </c>
      <c r="J4326" s="4">
        <v>10</v>
      </c>
      <c r="K4326" s="3">
        <v>5</v>
      </c>
      <c r="L4326" s="1">
        <f t="shared" si="201"/>
        <v>162.315</v>
      </c>
      <c r="M4326" t="str" cm="1">
        <f t="array" ref="M4326">_xlfn.IFS(B4326&lt;18,"Under 18",B4326 &lt;=25,"18-25",B4326&lt;=35,"26-35",B4326&lt;=45,"36-45",B4326&lt;=60,"46-60",TRUE,"60+")</f>
        <v>36-45</v>
      </c>
      <c r="N4326" t="str">
        <f t="shared" si="202"/>
        <v>Discounted</v>
      </c>
      <c r="O4326" t="str">
        <f t="shared" si="203"/>
        <v>Returning</v>
      </c>
    </row>
    <row r="4327" spans="1:15" x14ac:dyDescent="0.25">
      <c r="A4327">
        <v>4326</v>
      </c>
      <c r="B4327">
        <v>31</v>
      </c>
      <c r="C4327" t="s">
        <v>11</v>
      </c>
      <c r="D4327" t="s">
        <v>22</v>
      </c>
      <c r="E4327" t="s">
        <v>43</v>
      </c>
      <c r="F4327" s="1">
        <v>46.08</v>
      </c>
      <c r="G4327" t="s">
        <v>14</v>
      </c>
      <c r="H4327" t="s">
        <v>15</v>
      </c>
      <c r="I4327" s="2">
        <v>3</v>
      </c>
      <c r="J4327" s="4">
        <v>17</v>
      </c>
      <c r="K4327" s="3">
        <v>6</v>
      </c>
      <c r="L4327" s="1">
        <f t="shared" si="201"/>
        <v>38.246399999999994</v>
      </c>
      <c r="M4327" t="str" cm="1">
        <f t="array" ref="M4327">_xlfn.IFS(B4327&lt;18,"Under 18",B4327 &lt;=25,"18-25",B4327&lt;=35,"26-35",B4327&lt;=45,"36-45",B4327&lt;=60,"46-60",TRUE,"60+")</f>
        <v>26-35</v>
      </c>
      <c r="N4327" t="str">
        <f t="shared" si="202"/>
        <v>Discounted</v>
      </c>
      <c r="O4327" t="str">
        <f t="shared" si="203"/>
        <v>Returning</v>
      </c>
    </row>
    <row r="4328" spans="1:15" x14ac:dyDescent="0.25">
      <c r="A4328">
        <v>4327</v>
      </c>
      <c r="B4328">
        <v>52</v>
      </c>
      <c r="C4328" t="s">
        <v>11</v>
      </c>
      <c r="D4328" t="s">
        <v>29</v>
      </c>
      <c r="E4328" t="s">
        <v>51</v>
      </c>
      <c r="F4328" s="1">
        <v>89.09</v>
      </c>
      <c r="G4328" t="s">
        <v>14</v>
      </c>
      <c r="H4328" t="s">
        <v>37</v>
      </c>
      <c r="I4328" s="2">
        <v>4.4000000000000004</v>
      </c>
      <c r="J4328" s="4">
        <v>12</v>
      </c>
      <c r="K4328" s="3">
        <v>6</v>
      </c>
      <c r="L4328" s="1">
        <f t="shared" si="201"/>
        <v>78.399200000000008</v>
      </c>
      <c r="M4328" t="str" cm="1">
        <f t="array" ref="M4328">_xlfn.IFS(B4328&lt;18,"Under 18",B4328 &lt;=25,"18-25",B4328&lt;=35,"26-35",B4328&lt;=45,"36-45",B4328&lt;=60,"46-60",TRUE,"60+")</f>
        <v>46-60</v>
      </c>
      <c r="N4328" t="str">
        <f t="shared" si="202"/>
        <v>Discounted</v>
      </c>
      <c r="O4328" t="str">
        <f t="shared" si="203"/>
        <v>Returning</v>
      </c>
    </row>
    <row r="4329" spans="1:15" x14ac:dyDescent="0.25">
      <c r="A4329">
        <v>4328</v>
      </c>
      <c r="B4329">
        <v>65</v>
      </c>
      <c r="C4329" t="s">
        <v>11</v>
      </c>
      <c r="D4329" t="s">
        <v>20</v>
      </c>
      <c r="E4329" t="s">
        <v>36</v>
      </c>
      <c r="F4329" s="1">
        <v>100.42</v>
      </c>
      <c r="G4329" t="s">
        <v>14</v>
      </c>
      <c r="H4329" t="s">
        <v>15</v>
      </c>
      <c r="I4329" s="2">
        <v>3.8</v>
      </c>
      <c r="J4329" s="4">
        <v>22</v>
      </c>
      <c r="K4329" s="3">
        <v>6</v>
      </c>
      <c r="L4329" s="1">
        <f t="shared" si="201"/>
        <v>78.327600000000004</v>
      </c>
      <c r="M4329" t="str" cm="1">
        <f t="array" ref="M4329">_xlfn.IFS(B4329&lt;18,"Under 18",B4329 &lt;=25,"18-25",B4329&lt;=35,"26-35",B4329&lt;=45,"36-45",B4329&lt;=60,"46-60",TRUE,"60+")</f>
        <v>60+</v>
      </c>
      <c r="N4329" t="str">
        <f t="shared" si="202"/>
        <v>Discounted</v>
      </c>
      <c r="O4329" t="str">
        <f t="shared" si="203"/>
        <v>Returning</v>
      </c>
    </row>
    <row r="4330" spans="1:15" x14ac:dyDescent="0.25">
      <c r="A4330">
        <v>4329</v>
      </c>
      <c r="B4330">
        <v>48</v>
      </c>
      <c r="C4330" t="s">
        <v>16</v>
      </c>
      <c r="D4330" t="s">
        <v>17</v>
      </c>
      <c r="E4330" t="s">
        <v>35</v>
      </c>
      <c r="F4330" s="1">
        <v>89.83</v>
      </c>
      <c r="G4330" t="s">
        <v>31</v>
      </c>
      <c r="H4330" t="s">
        <v>15</v>
      </c>
      <c r="I4330" s="2">
        <v>4.0999999999999996</v>
      </c>
      <c r="J4330" s="4">
        <v>20</v>
      </c>
      <c r="K4330" s="3">
        <v>5</v>
      </c>
      <c r="L4330" s="1">
        <f t="shared" si="201"/>
        <v>71.864000000000004</v>
      </c>
      <c r="M4330" t="str" cm="1">
        <f t="array" ref="M4330">_xlfn.IFS(B4330&lt;18,"Under 18",B4330 &lt;=25,"18-25",B4330&lt;=35,"26-35",B4330&lt;=45,"36-45",B4330&lt;=60,"46-60",TRUE,"60+")</f>
        <v>46-60</v>
      </c>
      <c r="N4330" t="str">
        <f t="shared" si="202"/>
        <v>Discounted</v>
      </c>
      <c r="O4330" t="str">
        <f t="shared" si="203"/>
        <v>Returning</v>
      </c>
    </row>
    <row r="4331" spans="1:15" x14ac:dyDescent="0.25">
      <c r="A4331">
        <v>4330</v>
      </c>
      <c r="B4331">
        <v>54</v>
      </c>
      <c r="C4331" t="s">
        <v>16</v>
      </c>
      <c r="D4331" t="s">
        <v>27</v>
      </c>
      <c r="E4331" t="s">
        <v>28</v>
      </c>
      <c r="F4331" s="1">
        <v>970.58</v>
      </c>
      <c r="G4331" t="s">
        <v>31</v>
      </c>
      <c r="H4331" t="s">
        <v>15</v>
      </c>
      <c r="I4331" s="2">
        <v>4.7</v>
      </c>
      <c r="J4331" s="4">
        <v>18</v>
      </c>
      <c r="K4331" s="3">
        <v>9</v>
      </c>
      <c r="L4331" s="1">
        <f t="shared" si="201"/>
        <v>795.87560000000008</v>
      </c>
      <c r="M4331" t="str" cm="1">
        <f t="array" ref="M4331">_xlfn.IFS(B4331&lt;18,"Under 18",B4331 &lt;=25,"18-25",B4331&lt;=35,"26-35",B4331&lt;=45,"36-45",B4331&lt;=60,"46-60",TRUE,"60+")</f>
        <v>46-60</v>
      </c>
      <c r="N4331" t="str">
        <f t="shared" si="202"/>
        <v>Discounted</v>
      </c>
      <c r="O4331" t="str">
        <f t="shared" si="203"/>
        <v>Returning</v>
      </c>
    </row>
    <row r="4332" spans="1:15" x14ac:dyDescent="0.25">
      <c r="A4332">
        <v>4331</v>
      </c>
      <c r="B4332">
        <v>33</v>
      </c>
      <c r="C4332" t="s">
        <v>16</v>
      </c>
      <c r="D4332" t="s">
        <v>27</v>
      </c>
      <c r="E4332" t="s">
        <v>49</v>
      </c>
      <c r="F4332" s="1">
        <v>1987.37</v>
      </c>
      <c r="G4332" t="s">
        <v>31</v>
      </c>
      <c r="H4332" t="s">
        <v>15</v>
      </c>
      <c r="I4332" s="2">
        <v>3.9</v>
      </c>
      <c r="J4332" s="4">
        <v>14</v>
      </c>
      <c r="K4332" s="3">
        <v>2</v>
      </c>
      <c r="L4332" s="1">
        <f t="shared" si="201"/>
        <v>1709.1381999999999</v>
      </c>
      <c r="M4332" t="str" cm="1">
        <f t="array" ref="M4332">_xlfn.IFS(B4332&lt;18,"Under 18",B4332 &lt;=25,"18-25",B4332&lt;=35,"26-35",B4332&lt;=45,"36-45",B4332&lt;=60,"46-60",TRUE,"60+")</f>
        <v>26-35</v>
      </c>
      <c r="N4332" t="str">
        <f t="shared" si="202"/>
        <v>Discounted</v>
      </c>
      <c r="O4332" t="str">
        <f t="shared" si="203"/>
        <v>Returning</v>
      </c>
    </row>
    <row r="4333" spans="1:15" x14ac:dyDescent="0.25">
      <c r="A4333">
        <v>4332</v>
      </c>
      <c r="B4333">
        <v>56</v>
      </c>
      <c r="C4333" t="s">
        <v>16</v>
      </c>
      <c r="D4333" t="s">
        <v>27</v>
      </c>
      <c r="E4333" t="s">
        <v>32</v>
      </c>
      <c r="F4333" s="1">
        <v>2918.5</v>
      </c>
      <c r="G4333" t="s">
        <v>24</v>
      </c>
      <c r="H4333" t="s">
        <v>15</v>
      </c>
      <c r="I4333" s="2">
        <v>2.8</v>
      </c>
      <c r="J4333" s="4">
        <v>15</v>
      </c>
      <c r="K4333" s="3">
        <v>5</v>
      </c>
      <c r="L4333" s="1">
        <f t="shared" si="201"/>
        <v>2480.7249999999999</v>
      </c>
      <c r="M4333" t="str" cm="1">
        <f t="array" ref="M4333">_xlfn.IFS(B4333&lt;18,"Under 18",B4333 &lt;=25,"18-25",B4333&lt;=35,"26-35",B4333&lt;=45,"36-45",B4333&lt;=60,"46-60",TRUE,"60+")</f>
        <v>46-60</v>
      </c>
      <c r="N4333" t="str">
        <f t="shared" si="202"/>
        <v>Discounted</v>
      </c>
      <c r="O4333" t="str">
        <f t="shared" si="203"/>
        <v>Returning</v>
      </c>
    </row>
    <row r="4334" spans="1:15" x14ac:dyDescent="0.25">
      <c r="A4334">
        <v>4333</v>
      </c>
      <c r="B4334">
        <v>41</v>
      </c>
      <c r="C4334" t="s">
        <v>11</v>
      </c>
      <c r="D4334" t="s">
        <v>20</v>
      </c>
      <c r="E4334" t="s">
        <v>36</v>
      </c>
      <c r="F4334" s="1">
        <v>25.82</v>
      </c>
      <c r="G4334" t="s">
        <v>31</v>
      </c>
      <c r="H4334" t="s">
        <v>15</v>
      </c>
      <c r="I4334" s="2">
        <v>4.4000000000000004</v>
      </c>
      <c r="J4334" s="4">
        <v>16</v>
      </c>
      <c r="K4334" s="3">
        <v>3</v>
      </c>
      <c r="L4334" s="1">
        <f t="shared" si="201"/>
        <v>21.688800000000001</v>
      </c>
      <c r="M4334" t="str" cm="1">
        <f t="array" ref="M4334">_xlfn.IFS(B4334&lt;18,"Under 18",B4334 &lt;=25,"18-25",B4334&lt;=35,"26-35",B4334&lt;=45,"36-45",B4334&lt;=60,"46-60",TRUE,"60+")</f>
        <v>36-45</v>
      </c>
      <c r="N4334" t="str">
        <f t="shared" si="202"/>
        <v>Discounted</v>
      </c>
      <c r="O4334" t="str">
        <f t="shared" si="203"/>
        <v>Returning</v>
      </c>
    </row>
    <row r="4335" spans="1:15" x14ac:dyDescent="0.25">
      <c r="A4335">
        <v>4334</v>
      </c>
      <c r="B4335">
        <v>65</v>
      </c>
      <c r="C4335" t="s">
        <v>16</v>
      </c>
      <c r="D4335" t="s">
        <v>33</v>
      </c>
      <c r="E4335" t="s">
        <v>34</v>
      </c>
      <c r="F4335" s="1">
        <v>72.739999999999995</v>
      </c>
      <c r="G4335" t="s">
        <v>24</v>
      </c>
      <c r="H4335" t="s">
        <v>15</v>
      </c>
      <c r="I4335" s="2">
        <v>3</v>
      </c>
      <c r="J4335" s="4">
        <v>12</v>
      </c>
      <c r="K4335" s="3">
        <v>6</v>
      </c>
      <c r="L4335" s="1">
        <f t="shared" si="201"/>
        <v>64.011200000000002</v>
      </c>
      <c r="M4335" t="str" cm="1">
        <f t="array" ref="M4335">_xlfn.IFS(B4335&lt;18,"Under 18",B4335 &lt;=25,"18-25",B4335&lt;=35,"26-35",B4335&lt;=45,"36-45",B4335&lt;=60,"46-60",TRUE,"60+")</f>
        <v>60+</v>
      </c>
      <c r="N4335" t="str">
        <f t="shared" si="202"/>
        <v>Discounted</v>
      </c>
      <c r="O4335" t="str">
        <f t="shared" si="203"/>
        <v>Returning</v>
      </c>
    </row>
    <row r="4336" spans="1:15" x14ac:dyDescent="0.25">
      <c r="A4336">
        <v>4335</v>
      </c>
      <c r="B4336">
        <v>32</v>
      </c>
      <c r="C4336" t="s">
        <v>11</v>
      </c>
      <c r="D4336" t="s">
        <v>29</v>
      </c>
      <c r="E4336" t="s">
        <v>55</v>
      </c>
      <c r="F4336" s="1">
        <v>139.69999999999999</v>
      </c>
      <c r="G4336" t="s">
        <v>31</v>
      </c>
      <c r="H4336" t="s">
        <v>15</v>
      </c>
      <c r="I4336" s="2">
        <v>3.1</v>
      </c>
      <c r="J4336" s="4">
        <v>20</v>
      </c>
      <c r="K4336" s="3">
        <v>5</v>
      </c>
      <c r="L4336" s="1">
        <f t="shared" si="201"/>
        <v>111.75999999999999</v>
      </c>
      <c r="M4336" t="str" cm="1">
        <f t="array" ref="M4336">_xlfn.IFS(B4336&lt;18,"Under 18",B4336 &lt;=25,"18-25",B4336&lt;=35,"26-35",B4336&lt;=45,"36-45",B4336&lt;=60,"46-60",TRUE,"60+")</f>
        <v>26-35</v>
      </c>
      <c r="N4336" t="str">
        <f t="shared" si="202"/>
        <v>Discounted</v>
      </c>
      <c r="O4336" t="str">
        <f t="shared" si="203"/>
        <v>Returning</v>
      </c>
    </row>
    <row r="4337" spans="1:15" x14ac:dyDescent="0.25">
      <c r="A4337">
        <v>4336</v>
      </c>
      <c r="B4337">
        <v>49</v>
      </c>
      <c r="C4337" t="s">
        <v>11</v>
      </c>
      <c r="D4337" t="s">
        <v>33</v>
      </c>
      <c r="E4337" t="s">
        <v>34</v>
      </c>
      <c r="F4337" s="1">
        <v>59.06</v>
      </c>
      <c r="G4337" t="s">
        <v>19</v>
      </c>
      <c r="H4337" t="s">
        <v>37</v>
      </c>
      <c r="I4337" s="2">
        <v>2.9</v>
      </c>
      <c r="J4337" s="4">
        <v>14</v>
      </c>
      <c r="K4337" s="3">
        <v>7</v>
      </c>
      <c r="L4337" s="1">
        <f t="shared" si="201"/>
        <v>50.791600000000003</v>
      </c>
      <c r="M4337" t="str" cm="1">
        <f t="array" ref="M4337">_xlfn.IFS(B4337&lt;18,"Under 18",B4337 &lt;=25,"18-25",B4337&lt;=35,"26-35",B4337&lt;=45,"36-45",B4337&lt;=60,"46-60",TRUE,"60+")</f>
        <v>46-60</v>
      </c>
      <c r="N4337" t="str">
        <f t="shared" si="202"/>
        <v>Discounted</v>
      </c>
      <c r="O4337" t="str">
        <f t="shared" si="203"/>
        <v>Returning</v>
      </c>
    </row>
    <row r="4338" spans="1:15" x14ac:dyDescent="0.25">
      <c r="A4338">
        <v>4337</v>
      </c>
      <c r="B4338">
        <v>61</v>
      </c>
      <c r="C4338" t="s">
        <v>16</v>
      </c>
      <c r="D4338" t="s">
        <v>20</v>
      </c>
      <c r="E4338" t="s">
        <v>21</v>
      </c>
      <c r="F4338" s="1">
        <v>101.88</v>
      </c>
      <c r="G4338" t="s">
        <v>19</v>
      </c>
      <c r="H4338" t="s">
        <v>15</v>
      </c>
      <c r="I4338" s="2">
        <v>3.9</v>
      </c>
      <c r="J4338" s="4">
        <v>11</v>
      </c>
      <c r="K4338" s="3">
        <v>3</v>
      </c>
      <c r="L4338" s="1">
        <f t="shared" si="201"/>
        <v>90.673199999999994</v>
      </c>
      <c r="M4338" t="str" cm="1">
        <f t="array" ref="M4338">_xlfn.IFS(B4338&lt;18,"Under 18",B4338 &lt;=25,"18-25",B4338&lt;=35,"26-35",B4338&lt;=45,"36-45",B4338&lt;=60,"46-60",TRUE,"60+")</f>
        <v>60+</v>
      </c>
      <c r="N4338" t="str">
        <f t="shared" si="202"/>
        <v>Discounted</v>
      </c>
      <c r="O4338" t="str">
        <f t="shared" si="203"/>
        <v>Returning</v>
      </c>
    </row>
    <row r="4339" spans="1:15" x14ac:dyDescent="0.25">
      <c r="A4339">
        <v>4338</v>
      </c>
      <c r="B4339">
        <v>54</v>
      </c>
      <c r="C4339" t="s">
        <v>16</v>
      </c>
      <c r="D4339" t="s">
        <v>20</v>
      </c>
      <c r="E4339" t="s">
        <v>21</v>
      </c>
      <c r="F4339" s="1">
        <v>92.18</v>
      </c>
      <c r="G4339" t="s">
        <v>19</v>
      </c>
      <c r="H4339" t="s">
        <v>15</v>
      </c>
      <c r="I4339" s="2">
        <v>3.3</v>
      </c>
      <c r="J4339" s="4">
        <v>11</v>
      </c>
      <c r="K4339" s="3">
        <v>3</v>
      </c>
      <c r="L4339" s="1">
        <f t="shared" si="201"/>
        <v>82.040200000000013</v>
      </c>
      <c r="M4339" t="str" cm="1">
        <f t="array" ref="M4339">_xlfn.IFS(B4339&lt;18,"Under 18",B4339 &lt;=25,"18-25",B4339&lt;=35,"26-35",B4339&lt;=45,"36-45",B4339&lt;=60,"46-60",TRUE,"60+")</f>
        <v>46-60</v>
      </c>
      <c r="N4339" t="str">
        <f t="shared" si="202"/>
        <v>Discounted</v>
      </c>
      <c r="O4339" t="str">
        <f t="shared" si="203"/>
        <v>Returning</v>
      </c>
    </row>
    <row r="4340" spans="1:15" x14ac:dyDescent="0.25">
      <c r="A4340">
        <v>4339</v>
      </c>
      <c r="B4340">
        <v>50</v>
      </c>
      <c r="C4340" t="s">
        <v>11</v>
      </c>
      <c r="D4340" t="s">
        <v>20</v>
      </c>
      <c r="E4340" t="s">
        <v>21</v>
      </c>
      <c r="F4340" s="1">
        <v>118.5</v>
      </c>
      <c r="G4340" t="s">
        <v>31</v>
      </c>
      <c r="H4340" t="s">
        <v>15</v>
      </c>
      <c r="I4340" s="2">
        <v>4.5999999999999996</v>
      </c>
      <c r="J4340" s="4">
        <v>20</v>
      </c>
      <c r="K4340" s="3">
        <v>10</v>
      </c>
      <c r="L4340" s="1">
        <f t="shared" si="201"/>
        <v>94.800000000000011</v>
      </c>
      <c r="M4340" t="str" cm="1">
        <f t="array" ref="M4340">_xlfn.IFS(B4340&lt;18,"Under 18",B4340 &lt;=25,"18-25",B4340&lt;=35,"26-35",B4340&lt;=45,"36-45",B4340&lt;=60,"46-60",TRUE,"60+")</f>
        <v>46-60</v>
      </c>
      <c r="N4340" t="str">
        <f t="shared" si="202"/>
        <v>Discounted</v>
      </c>
      <c r="O4340" t="str">
        <f t="shared" si="203"/>
        <v>Returning</v>
      </c>
    </row>
    <row r="4341" spans="1:15" x14ac:dyDescent="0.25">
      <c r="A4341">
        <v>4340</v>
      </c>
      <c r="B4341">
        <v>61</v>
      </c>
      <c r="C4341" t="s">
        <v>16</v>
      </c>
      <c r="D4341" t="s">
        <v>27</v>
      </c>
      <c r="E4341" t="s">
        <v>28</v>
      </c>
      <c r="F4341" s="1">
        <v>1079.3399999999999</v>
      </c>
      <c r="G4341" t="s">
        <v>14</v>
      </c>
      <c r="H4341" t="s">
        <v>15</v>
      </c>
      <c r="I4341" s="2">
        <v>3.6</v>
      </c>
      <c r="J4341" s="4">
        <v>26</v>
      </c>
      <c r="K4341" s="3">
        <v>8</v>
      </c>
      <c r="L4341" s="1">
        <f t="shared" si="201"/>
        <v>798.71159999999998</v>
      </c>
      <c r="M4341" t="str" cm="1">
        <f t="array" ref="M4341">_xlfn.IFS(B4341&lt;18,"Under 18",B4341 &lt;=25,"18-25",B4341&lt;=35,"26-35",B4341&lt;=45,"36-45",B4341&lt;=60,"46-60",TRUE,"60+")</f>
        <v>60+</v>
      </c>
      <c r="N4341" t="str">
        <f t="shared" si="202"/>
        <v>Discounted</v>
      </c>
      <c r="O4341" t="str">
        <f t="shared" si="203"/>
        <v>Returning</v>
      </c>
    </row>
    <row r="4342" spans="1:15" x14ac:dyDescent="0.25">
      <c r="A4342">
        <v>4341</v>
      </c>
      <c r="B4342">
        <v>60</v>
      </c>
      <c r="C4342" t="s">
        <v>11</v>
      </c>
      <c r="D4342" t="s">
        <v>29</v>
      </c>
      <c r="E4342" t="s">
        <v>30</v>
      </c>
      <c r="F4342" s="1">
        <v>65.44</v>
      </c>
      <c r="G4342" t="s">
        <v>14</v>
      </c>
      <c r="H4342" t="s">
        <v>37</v>
      </c>
      <c r="I4342" s="2">
        <v>5</v>
      </c>
      <c r="J4342" s="4">
        <v>16</v>
      </c>
      <c r="K4342" s="3">
        <v>3</v>
      </c>
      <c r="L4342" s="1">
        <f t="shared" si="201"/>
        <v>54.969599999999993</v>
      </c>
      <c r="M4342" t="str" cm="1">
        <f t="array" ref="M4342">_xlfn.IFS(B4342&lt;18,"Under 18",B4342 &lt;=25,"18-25",B4342&lt;=35,"26-35",B4342&lt;=45,"36-45",B4342&lt;=60,"46-60",TRUE,"60+")</f>
        <v>46-60</v>
      </c>
      <c r="N4342" t="str">
        <f t="shared" si="202"/>
        <v>Discounted</v>
      </c>
      <c r="O4342" t="str">
        <f t="shared" si="203"/>
        <v>Returning</v>
      </c>
    </row>
    <row r="4343" spans="1:15" x14ac:dyDescent="0.25">
      <c r="A4343">
        <v>4342</v>
      </c>
      <c r="B4343">
        <v>42</v>
      </c>
      <c r="C4343" t="s">
        <v>11</v>
      </c>
      <c r="D4343" t="s">
        <v>29</v>
      </c>
      <c r="E4343" t="s">
        <v>55</v>
      </c>
      <c r="F4343" s="1">
        <v>25.79</v>
      </c>
      <c r="G4343" t="s">
        <v>24</v>
      </c>
      <c r="H4343" t="s">
        <v>37</v>
      </c>
      <c r="I4343" s="2">
        <v>4</v>
      </c>
      <c r="J4343" s="4">
        <v>8</v>
      </c>
      <c r="K4343" s="3">
        <v>4</v>
      </c>
      <c r="L4343" s="1">
        <f t="shared" si="201"/>
        <v>23.726800000000001</v>
      </c>
      <c r="M4343" t="str" cm="1">
        <f t="array" ref="M4343">_xlfn.IFS(B4343&lt;18,"Under 18",B4343 &lt;=25,"18-25",B4343&lt;=35,"26-35",B4343&lt;=45,"36-45",B4343&lt;=60,"46-60",TRUE,"60+")</f>
        <v>36-45</v>
      </c>
      <c r="N4343" t="str">
        <f t="shared" si="202"/>
        <v>Discounted</v>
      </c>
      <c r="O4343" t="str">
        <f t="shared" si="203"/>
        <v>Returning</v>
      </c>
    </row>
    <row r="4344" spans="1:15" x14ac:dyDescent="0.25">
      <c r="A4344">
        <v>4343</v>
      </c>
      <c r="B4344">
        <v>45</v>
      </c>
      <c r="C4344" t="s">
        <v>11</v>
      </c>
      <c r="D4344" t="s">
        <v>33</v>
      </c>
      <c r="E4344" t="s">
        <v>38</v>
      </c>
      <c r="F4344" s="1">
        <v>50.12</v>
      </c>
      <c r="G4344" t="s">
        <v>24</v>
      </c>
      <c r="H4344" t="s">
        <v>37</v>
      </c>
      <c r="I4344" s="2">
        <v>3.3</v>
      </c>
      <c r="J4344" s="4">
        <v>9</v>
      </c>
      <c r="K4344" s="3">
        <v>2</v>
      </c>
      <c r="L4344" s="1">
        <f t="shared" si="201"/>
        <v>45.609200000000001</v>
      </c>
      <c r="M4344" t="str" cm="1">
        <f t="array" ref="M4344">_xlfn.IFS(B4344&lt;18,"Under 18",B4344 &lt;=25,"18-25",B4344&lt;=35,"26-35",B4344&lt;=45,"36-45",B4344&lt;=60,"46-60",TRUE,"60+")</f>
        <v>36-45</v>
      </c>
      <c r="N4344" t="str">
        <f t="shared" si="202"/>
        <v>Discounted</v>
      </c>
      <c r="O4344" t="str">
        <f t="shared" si="203"/>
        <v>Returning</v>
      </c>
    </row>
    <row r="4345" spans="1:15" x14ac:dyDescent="0.25">
      <c r="A4345">
        <v>4344</v>
      </c>
      <c r="B4345">
        <v>28</v>
      </c>
      <c r="C4345" t="s">
        <v>16</v>
      </c>
      <c r="D4345" t="s">
        <v>20</v>
      </c>
      <c r="E4345" t="s">
        <v>36</v>
      </c>
      <c r="F4345" s="1">
        <v>131.99</v>
      </c>
      <c r="G4345" t="s">
        <v>24</v>
      </c>
      <c r="H4345" t="s">
        <v>15</v>
      </c>
      <c r="I4345" s="2">
        <v>4</v>
      </c>
      <c r="J4345" s="4">
        <v>23</v>
      </c>
      <c r="K4345" s="3">
        <v>9</v>
      </c>
      <c r="L4345" s="1">
        <f t="shared" si="201"/>
        <v>101.63230000000001</v>
      </c>
      <c r="M4345" t="str" cm="1">
        <f t="array" ref="M4345">_xlfn.IFS(B4345&lt;18,"Under 18",B4345 &lt;=25,"18-25",B4345&lt;=35,"26-35",B4345&lt;=45,"36-45",B4345&lt;=60,"46-60",TRUE,"60+")</f>
        <v>26-35</v>
      </c>
      <c r="N4345" t="str">
        <f t="shared" si="202"/>
        <v>Discounted</v>
      </c>
      <c r="O4345" t="str">
        <f t="shared" si="203"/>
        <v>Returning</v>
      </c>
    </row>
    <row r="4346" spans="1:15" x14ac:dyDescent="0.25">
      <c r="A4346">
        <v>4345</v>
      </c>
      <c r="B4346">
        <v>53</v>
      </c>
      <c r="C4346" t="s">
        <v>11</v>
      </c>
      <c r="D4346" t="s">
        <v>33</v>
      </c>
      <c r="E4346" t="s">
        <v>38</v>
      </c>
      <c r="F4346" s="1">
        <v>56.27</v>
      </c>
      <c r="G4346" t="s">
        <v>19</v>
      </c>
      <c r="H4346" t="s">
        <v>37</v>
      </c>
      <c r="I4346" s="2">
        <v>3.3</v>
      </c>
      <c r="J4346" s="4">
        <v>16</v>
      </c>
      <c r="K4346" s="3">
        <v>8</v>
      </c>
      <c r="L4346" s="1">
        <f t="shared" si="201"/>
        <v>47.266800000000003</v>
      </c>
      <c r="M4346" t="str" cm="1">
        <f t="array" ref="M4346">_xlfn.IFS(B4346&lt;18,"Under 18",B4346 &lt;=25,"18-25",B4346&lt;=35,"26-35",B4346&lt;=45,"36-45",B4346&lt;=60,"46-60",TRUE,"60+")</f>
        <v>46-60</v>
      </c>
      <c r="N4346" t="str">
        <f t="shared" si="202"/>
        <v>Discounted</v>
      </c>
      <c r="O4346" t="str">
        <f t="shared" si="203"/>
        <v>Returning</v>
      </c>
    </row>
    <row r="4347" spans="1:15" x14ac:dyDescent="0.25">
      <c r="A4347">
        <v>4346</v>
      </c>
      <c r="B4347">
        <v>59</v>
      </c>
      <c r="C4347" t="s">
        <v>16</v>
      </c>
      <c r="D4347" t="s">
        <v>27</v>
      </c>
      <c r="E4347" t="s">
        <v>49</v>
      </c>
      <c r="F4347" s="1">
        <v>639.16999999999996</v>
      </c>
      <c r="G4347" t="s">
        <v>24</v>
      </c>
      <c r="H4347" t="s">
        <v>15</v>
      </c>
      <c r="I4347" s="2">
        <v>3.9</v>
      </c>
      <c r="J4347" s="4">
        <v>16</v>
      </c>
      <c r="K4347" s="3">
        <v>8</v>
      </c>
      <c r="L4347" s="1">
        <f t="shared" si="201"/>
        <v>536.90279999999996</v>
      </c>
      <c r="M4347" t="str" cm="1">
        <f t="array" ref="M4347">_xlfn.IFS(B4347&lt;18,"Under 18",B4347 &lt;=25,"18-25",B4347&lt;=35,"26-35",B4347&lt;=45,"36-45",B4347&lt;=60,"46-60",TRUE,"60+")</f>
        <v>46-60</v>
      </c>
      <c r="N4347" t="str">
        <f t="shared" si="202"/>
        <v>Discounted</v>
      </c>
      <c r="O4347" t="str">
        <f t="shared" si="203"/>
        <v>Returning</v>
      </c>
    </row>
    <row r="4348" spans="1:15" x14ac:dyDescent="0.25">
      <c r="A4348">
        <v>4347</v>
      </c>
      <c r="B4348">
        <v>42</v>
      </c>
      <c r="C4348" t="s">
        <v>11</v>
      </c>
      <c r="D4348" t="s">
        <v>33</v>
      </c>
      <c r="E4348" t="s">
        <v>34</v>
      </c>
      <c r="F4348" s="1">
        <v>56.5</v>
      </c>
      <c r="G4348" t="s">
        <v>19</v>
      </c>
      <c r="H4348" t="s">
        <v>15</v>
      </c>
      <c r="I4348" s="2">
        <v>4.0999999999999996</v>
      </c>
      <c r="J4348" s="4">
        <v>8</v>
      </c>
      <c r="K4348" s="3">
        <v>4</v>
      </c>
      <c r="L4348" s="1">
        <f t="shared" si="201"/>
        <v>51.980000000000004</v>
      </c>
      <c r="M4348" t="str" cm="1">
        <f t="array" ref="M4348">_xlfn.IFS(B4348&lt;18,"Under 18",B4348 &lt;=25,"18-25",B4348&lt;=35,"26-35",B4348&lt;=45,"36-45",B4348&lt;=60,"46-60",TRUE,"60+")</f>
        <v>36-45</v>
      </c>
      <c r="N4348" t="str">
        <f t="shared" si="202"/>
        <v>Discounted</v>
      </c>
      <c r="O4348" t="str">
        <f t="shared" si="203"/>
        <v>Returning</v>
      </c>
    </row>
    <row r="4349" spans="1:15" x14ac:dyDescent="0.25">
      <c r="A4349">
        <v>4348</v>
      </c>
      <c r="B4349">
        <v>69</v>
      </c>
      <c r="C4349" t="s">
        <v>11</v>
      </c>
      <c r="D4349" t="s">
        <v>20</v>
      </c>
      <c r="E4349" t="s">
        <v>21</v>
      </c>
      <c r="F4349" s="1">
        <v>49.1</v>
      </c>
      <c r="G4349" t="s">
        <v>31</v>
      </c>
      <c r="H4349" t="s">
        <v>37</v>
      </c>
      <c r="I4349" s="2">
        <v>3</v>
      </c>
      <c r="J4349" s="4">
        <v>22</v>
      </c>
      <c r="K4349" s="3">
        <v>6</v>
      </c>
      <c r="L4349" s="1">
        <f t="shared" si="201"/>
        <v>38.298000000000002</v>
      </c>
      <c r="M4349" t="str" cm="1">
        <f t="array" ref="M4349">_xlfn.IFS(B4349&lt;18,"Under 18",B4349 &lt;=25,"18-25",B4349&lt;=35,"26-35",B4349&lt;=45,"36-45",B4349&lt;=60,"46-60",TRUE,"60+")</f>
        <v>60+</v>
      </c>
      <c r="N4349" t="str">
        <f t="shared" si="202"/>
        <v>Discounted</v>
      </c>
      <c r="O4349" t="str">
        <f t="shared" si="203"/>
        <v>Returning</v>
      </c>
    </row>
    <row r="4350" spans="1:15" x14ac:dyDescent="0.25">
      <c r="A4350">
        <v>4349</v>
      </c>
      <c r="B4350">
        <v>70</v>
      </c>
      <c r="C4350" t="s">
        <v>11</v>
      </c>
      <c r="D4350" t="s">
        <v>12</v>
      </c>
      <c r="E4350" t="s">
        <v>56</v>
      </c>
      <c r="F4350" s="1">
        <v>27.04</v>
      </c>
      <c r="G4350" t="s">
        <v>24</v>
      </c>
      <c r="H4350" t="s">
        <v>15</v>
      </c>
      <c r="I4350" s="2">
        <v>3.9</v>
      </c>
      <c r="J4350" s="4">
        <v>16</v>
      </c>
      <c r="K4350" s="3">
        <v>3</v>
      </c>
      <c r="L4350" s="1">
        <f t="shared" si="201"/>
        <v>22.7136</v>
      </c>
      <c r="M4350" t="str" cm="1">
        <f t="array" ref="M4350">_xlfn.IFS(B4350&lt;18,"Under 18",B4350 &lt;=25,"18-25",B4350&lt;=35,"26-35",B4350&lt;=45,"36-45",B4350&lt;=60,"46-60",TRUE,"60+")</f>
        <v>60+</v>
      </c>
      <c r="N4350" t="str">
        <f t="shared" si="202"/>
        <v>Discounted</v>
      </c>
      <c r="O4350" t="str">
        <f t="shared" si="203"/>
        <v>Returning</v>
      </c>
    </row>
    <row r="4351" spans="1:15" x14ac:dyDescent="0.25">
      <c r="A4351">
        <v>4350</v>
      </c>
      <c r="B4351">
        <v>69</v>
      </c>
      <c r="C4351" t="s">
        <v>16</v>
      </c>
      <c r="D4351" t="s">
        <v>33</v>
      </c>
      <c r="E4351" t="s">
        <v>40</v>
      </c>
      <c r="F4351" s="1">
        <v>116.04</v>
      </c>
      <c r="G4351" t="s">
        <v>24</v>
      </c>
      <c r="H4351" t="s">
        <v>15</v>
      </c>
      <c r="I4351" s="2">
        <v>3.3</v>
      </c>
      <c r="J4351" s="4">
        <v>17</v>
      </c>
      <c r="K4351" s="3">
        <v>6</v>
      </c>
      <c r="L4351" s="1">
        <f t="shared" si="201"/>
        <v>96.313199999999995</v>
      </c>
      <c r="M4351" t="str" cm="1">
        <f t="array" ref="M4351">_xlfn.IFS(B4351&lt;18,"Under 18",B4351 &lt;=25,"18-25",B4351&lt;=35,"26-35",B4351&lt;=45,"36-45",B4351&lt;=60,"46-60",TRUE,"60+")</f>
        <v>60+</v>
      </c>
      <c r="N4351" t="str">
        <f t="shared" si="202"/>
        <v>Discounted</v>
      </c>
      <c r="O4351" t="str">
        <f t="shared" si="203"/>
        <v>Returning</v>
      </c>
    </row>
    <row r="4352" spans="1:15" x14ac:dyDescent="0.25">
      <c r="A4352">
        <v>4351</v>
      </c>
      <c r="B4352">
        <v>21</v>
      </c>
      <c r="C4352" t="s">
        <v>11</v>
      </c>
      <c r="D4352" t="s">
        <v>20</v>
      </c>
      <c r="E4352" t="s">
        <v>36</v>
      </c>
      <c r="F4352" s="1">
        <v>130.69999999999999</v>
      </c>
      <c r="G4352" t="s">
        <v>14</v>
      </c>
      <c r="H4352" t="s">
        <v>15</v>
      </c>
      <c r="I4352" s="2">
        <v>3.5</v>
      </c>
      <c r="J4352" s="4">
        <v>10</v>
      </c>
      <c r="K4352" s="3">
        <v>5</v>
      </c>
      <c r="L4352" s="1">
        <f t="shared" si="201"/>
        <v>117.63</v>
      </c>
      <c r="M4352" t="str" cm="1">
        <f t="array" ref="M4352">_xlfn.IFS(B4352&lt;18,"Under 18",B4352 &lt;=25,"18-25",B4352&lt;=35,"26-35",B4352&lt;=45,"36-45",B4352&lt;=60,"46-60",TRUE,"60+")</f>
        <v>18-25</v>
      </c>
      <c r="N4352" t="str">
        <f t="shared" si="202"/>
        <v>Discounted</v>
      </c>
      <c r="O4352" t="str">
        <f t="shared" si="203"/>
        <v>Returning</v>
      </c>
    </row>
    <row r="4353" spans="1:15" x14ac:dyDescent="0.25">
      <c r="A4353">
        <v>4352</v>
      </c>
      <c r="B4353">
        <v>23</v>
      </c>
      <c r="C4353" t="s">
        <v>16</v>
      </c>
      <c r="D4353" t="s">
        <v>27</v>
      </c>
      <c r="E4353" t="s">
        <v>28</v>
      </c>
      <c r="F4353" s="1">
        <v>1990.13</v>
      </c>
      <c r="G4353" t="s">
        <v>19</v>
      </c>
      <c r="H4353" t="s">
        <v>15</v>
      </c>
      <c r="I4353" s="2">
        <v>4.0999999999999996</v>
      </c>
      <c r="J4353" s="4">
        <v>10</v>
      </c>
      <c r="K4353" s="3">
        <v>0</v>
      </c>
      <c r="L4353" s="1">
        <f t="shared" si="201"/>
        <v>1791.1170000000002</v>
      </c>
      <c r="M4353" t="str" cm="1">
        <f t="array" ref="M4353">_xlfn.IFS(B4353&lt;18,"Under 18",B4353 &lt;=25,"18-25",B4353&lt;=35,"26-35",B4353&lt;=45,"36-45",B4353&lt;=60,"46-60",TRUE,"60+")</f>
        <v>18-25</v>
      </c>
      <c r="N4353" t="str">
        <f t="shared" si="202"/>
        <v>Discounted</v>
      </c>
      <c r="O4353" t="str">
        <f t="shared" si="203"/>
        <v>New</v>
      </c>
    </row>
    <row r="4354" spans="1:15" x14ac:dyDescent="0.25">
      <c r="A4354">
        <v>4353</v>
      </c>
      <c r="B4354">
        <v>59</v>
      </c>
      <c r="C4354" t="s">
        <v>11</v>
      </c>
      <c r="D4354" t="s">
        <v>33</v>
      </c>
      <c r="E4354" t="s">
        <v>40</v>
      </c>
      <c r="F4354" s="1">
        <v>198.56</v>
      </c>
      <c r="G4354" t="s">
        <v>31</v>
      </c>
      <c r="H4354" t="s">
        <v>15</v>
      </c>
      <c r="I4354" s="2">
        <v>3.4</v>
      </c>
      <c r="J4354" s="4">
        <v>10</v>
      </c>
      <c r="K4354" s="3">
        <v>5</v>
      </c>
      <c r="L4354" s="1">
        <f t="shared" si="201"/>
        <v>178.70400000000001</v>
      </c>
      <c r="M4354" t="str" cm="1">
        <f t="array" ref="M4354">_xlfn.IFS(B4354&lt;18,"Under 18",B4354 &lt;=25,"18-25",B4354&lt;=35,"26-35",B4354&lt;=45,"36-45",B4354&lt;=60,"46-60",TRUE,"60+")</f>
        <v>46-60</v>
      </c>
      <c r="N4354" t="str">
        <f t="shared" si="202"/>
        <v>Discounted</v>
      </c>
      <c r="O4354" t="str">
        <f t="shared" si="203"/>
        <v>Returning</v>
      </c>
    </row>
    <row r="4355" spans="1:15" x14ac:dyDescent="0.25">
      <c r="A4355">
        <v>4354</v>
      </c>
      <c r="B4355">
        <v>68</v>
      </c>
      <c r="C4355" t="s">
        <v>11</v>
      </c>
      <c r="D4355" t="s">
        <v>12</v>
      </c>
      <c r="E4355" t="s">
        <v>50</v>
      </c>
      <c r="F4355" s="1">
        <v>116.6</v>
      </c>
      <c r="G4355" t="s">
        <v>24</v>
      </c>
      <c r="H4355" t="s">
        <v>15</v>
      </c>
      <c r="I4355" s="2">
        <v>3.4</v>
      </c>
      <c r="J4355" s="4">
        <v>16</v>
      </c>
      <c r="K4355" s="3">
        <v>3</v>
      </c>
      <c r="L4355" s="1">
        <f t="shared" ref="L4355:L4418" si="204">F4355 * (1 - J4355 / 100)</f>
        <v>97.943999999999988</v>
      </c>
      <c r="M4355" t="str" cm="1">
        <f t="array" ref="M4355">_xlfn.IFS(B4355&lt;18,"Under 18",B4355 &lt;=25,"18-25",B4355&lt;=35,"26-35",B4355&lt;=45,"36-45",B4355&lt;=60,"46-60",TRUE,"60+")</f>
        <v>60+</v>
      </c>
      <c r="N4355" t="str">
        <f t="shared" ref="N4355:N4418" si="205">IF(J4355&gt;0,"Discounted","No Discount")</f>
        <v>Discounted</v>
      </c>
      <c r="O4355" t="str">
        <f t="shared" ref="O4355:O4418" si="206">IF(K4355&gt;0,"Returning","New")</f>
        <v>Returning</v>
      </c>
    </row>
    <row r="4356" spans="1:15" x14ac:dyDescent="0.25">
      <c r="A4356">
        <v>4355</v>
      </c>
      <c r="B4356">
        <v>41</v>
      </c>
      <c r="C4356" t="s">
        <v>16</v>
      </c>
      <c r="D4356" t="s">
        <v>17</v>
      </c>
      <c r="E4356" t="s">
        <v>18</v>
      </c>
      <c r="F4356" s="1">
        <v>143.78</v>
      </c>
      <c r="G4356" t="s">
        <v>24</v>
      </c>
      <c r="H4356" t="s">
        <v>15</v>
      </c>
      <c r="I4356" s="2">
        <v>3.6</v>
      </c>
      <c r="J4356" s="4">
        <v>24</v>
      </c>
      <c r="K4356" s="3">
        <v>12</v>
      </c>
      <c r="L4356" s="1">
        <f t="shared" si="204"/>
        <v>109.2728</v>
      </c>
      <c r="M4356" t="str" cm="1">
        <f t="array" ref="M4356">_xlfn.IFS(B4356&lt;18,"Under 18",B4356 &lt;=25,"18-25",B4356&lt;=35,"26-35",B4356&lt;=45,"36-45",B4356&lt;=60,"46-60",TRUE,"60+")</f>
        <v>36-45</v>
      </c>
      <c r="N4356" t="str">
        <f t="shared" si="205"/>
        <v>Discounted</v>
      </c>
      <c r="O4356" t="str">
        <f t="shared" si="206"/>
        <v>Returning</v>
      </c>
    </row>
    <row r="4357" spans="1:15" x14ac:dyDescent="0.25">
      <c r="A4357">
        <v>4356</v>
      </c>
      <c r="B4357">
        <v>22</v>
      </c>
      <c r="C4357" t="s">
        <v>16</v>
      </c>
      <c r="D4357" t="s">
        <v>33</v>
      </c>
      <c r="E4357" t="s">
        <v>34</v>
      </c>
      <c r="F4357" s="1">
        <v>72.510000000000005</v>
      </c>
      <c r="G4357" t="s">
        <v>19</v>
      </c>
      <c r="H4357" t="s">
        <v>37</v>
      </c>
      <c r="I4357" s="2">
        <v>3.7</v>
      </c>
      <c r="J4357" s="4">
        <v>11</v>
      </c>
      <c r="K4357" s="3">
        <v>3</v>
      </c>
      <c r="L4357" s="1">
        <f t="shared" si="204"/>
        <v>64.533900000000003</v>
      </c>
      <c r="M4357" t="str" cm="1">
        <f t="array" ref="M4357">_xlfn.IFS(B4357&lt;18,"Under 18",B4357 &lt;=25,"18-25",B4357&lt;=35,"26-35",B4357&lt;=45,"36-45",B4357&lt;=60,"46-60",TRUE,"60+")</f>
        <v>18-25</v>
      </c>
      <c r="N4357" t="str">
        <f t="shared" si="205"/>
        <v>Discounted</v>
      </c>
      <c r="O4357" t="str">
        <f t="shared" si="206"/>
        <v>Returning</v>
      </c>
    </row>
    <row r="4358" spans="1:15" x14ac:dyDescent="0.25">
      <c r="A4358">
        <v>4357</v>
      </c>
      <c r="B4358">
        <v>20</v>
      </c>
      <c r="C4358" t="s">
        <v>16</v>
      </c>
      <c r="D4358" t="s">
        <v>33</v>
      </c>
      <c r="E4358" t="s">
        <v>34</v>
      </c>
      <c r="F4358" s="1">
        <v>238.67</v>
      </c>
      <c r="G4358" t="s">
        <v>19</v>
      </c>
      <c r="H4358" t="s">
        <v>15</v>
      </c>
      <c r="I4358" s="2">
        <v>4.0999999999999996</v>
      </c>
      <c r="J4358" s="4">
        <v>12</v>
      </c>
      <c r="K4358" s="3">
        <v>6</v>
      </c>
      <c r="L4358" s="1">
        <f t="shared" si="204"/>
        <v>210.02959999999999</v>
      </c>
      <c r="M4358" t="str" cm="1">
        <f t="array" ref="M4358">_xlfn.IFS(B4358&lt;18,"Under 18",B4358 &lt;=25,"18-25",B4358&lt;=35,"26-35",B4358&lt;=45,"36-45",B4358&lt;=60,"46-60",TRUE,"60+")</f>
        <v>18-25</v>
      </c>
      <c r="N4358" t="str">
        <f t="shared" si="205"/>
        <v>Discounted</v>
      </c>
      <c r="O4358" t="str">
        <f t="shared" si="206"/>
        <v>Returning</v>
      </c>
    </row>
    <row r="4359" spans="1:15" x14ac:dyDescent="0.25">
      <c r="A4359">
        <v>4358</v>
      </c>
      <c r="B4359">
        <v>52</v>
      </c>
      <c r="C4359" t="s">
        <v>16</v>
      </c>
      <c r="D4359" t="s">
        <v>17</v>
      </c>
      <c r="E4359" t="s">
        <v>18</v>
      </c>
      <c r="F4359" s="1">
        <v>164.35</v>
      </c>
      <c r="G4359" t="s">
        <v>24</v>
      </c>
      <c r="H4359" t="s">
        <v>15</v>
      </c>
      <c r="I4359" s="2">
        <v>4.0999999999999996</v>
      </c>
      <c r="J4359" s="4">
        <v>4</v>
      </c>
      <c r="K4359" s="3">
        <v>2</v>
      </c>
      <c r="L4359" s="1">
        <f t="shared" si="204"/>
        <v>157.77599999999998</v>
      </c>
      <c r="M4359" t="str" cm="1">
        <f t="array" ref="M4359">_xlfn.IFS(B4359&lt;18,"Under 18",B4359 &lt;=25,"18-25",B4359&lt;=35,"26-35",B4359&lt;=45,"36-45",B4359&lt;=60,"46-60",TRUE,"60+")</f>
        <v>46-60</v>
      </c>
      <c r="N4359" t="str">
        <f t="shared" si="205"/>
        <v>Discounted</v>
      </c>
      <c r="O4359" t="str">
        <f t="shared" si="206"/>
        <v>Returning</v>
      </c>
    </row>
    <row r="4360" spans="1:15" x14ac:dyDescent="0.25">
      <c r="A4360">
        <v>4359</v>
      </c>
      <c r="B4360">
        <v>69</v>
      </c>
      <c r="C4360" t="s">
        <v>16</v>
      </c>
      <c r="D4360" t="s">
        <v>27</v>
      </c>
      <c r="E4360" t="s">
        <v>53</v>
      </c>
      <c r="F4360" s="1">
        <v>1339.11</v>
      </c>
      <c r="G4360" t="s">
        <v>14</v>
      </c>
      <c r="H4360" t="s">
        <v>15</v>
      </c>
      <c r="I4360" s="2">
        <v>3.5</v>
      </c>
      <c r="J4360" s="4">
        <v>9</v>
      </c>
      <c r="K4360" s="3">
        <v>2</v>
      </c>
      <c r="L4360" s="1">
        <f t="shared" si="204"/>
        <v>1218.5900999999999</v>
      </c>
      <c r="M4360" t="str" cm="1">
        <f t="array" ref="M4360">_xlfn.IFS(B4360&lt;18,"Under 18",B4360 &lt;=25,"18-25",B4360&lt;=35,"26-35",B4360&lt;=45,"36-45",B4360&lt;=60,"46-60",TRUE,"60+")</f>
        <v>60+</v>
      </c>
      <c r="N4360" t="str">
        <f t="shared" si="205"/>
        <v>Discounted</v>
      </c>
      <c r="O4360" t="str">
        <f t="shared" si="206"/>
        <v>Returning</v>
      </c>
    </row>
    <row r="4361" spans="1:15" x14ac:dyDescent="0.25">
      <c r="A4361">
        <v>4360</v>
      </c>
      <c r="B4361">
        <v>42</v>
      </c>
      <c r="C4361" t="s">
        <v>16</v>
      </c>
      <c r="D4361" t="s">
        <v>20</v>
      </c>
      <c r="E4361" t="s">
        <v>39</v>
      </c>
      <c r="F4361" s="1">
        <v>198.2</v>
      </c>
      <c r="G4361" t="s">
        <v>14</v>
      </c>
      <c r="H4361" t="s">
        <v>15</v>
      </c>
      <c r="I4361" s="2">
        <v>3.3</v>
      </c>
      <c r="J4361" s="4">
        <v>8</v>
      </c>
      <c r="K4361" s="3">
        <v>4</v>
      </c>
      <c r="L4361" s="1">
        <f t="shared" si="204"/>
        <v>182.34399999999999</v>
      </c>
      <c r="M4361" t="str" cm="1">
        <f t="array" ref="M4361">_xlfn.IFS(B4361&lt;18,"Under 18",B4361 &lt;=25,"18-25",B4361&lt;=35,"26-35",B4361&lt;=45,"36-45",B4361&lt;=60,"46-60",TRUE,"60+")</f>
        <v>36-45</v>
      </c>
      <c r="N4361" t="str">
        <f t="shared" si="205"/>
        <v>Discounted</v>
      </c>
      <c r="O4361" t="str">
        <f t="shared" si="206"/>
        <v>Returning</v>
      </c>
    </row>
    <row r="4362" spans="1:15" x14ac:dyDescent="0.25">
      <c r="A4362">
        <v>4361</v>
      </c>
      <c r="B4362">
        <v>37</v>
      </c>
      <c r="C4362" t="s">
        <v>16</v>
      </c>
      <c r="D4362" t="s">
        <v>25</v>
      </c>
      <c r="E4362" t="s">
        <v>54</v>
      </c>
      <c r="F4362" s="1">
        <v>62.87</v>
      </c>
      <c r="G4362" t="s">
        <v>31</v>
      </c>
      <c r="H4362" t="s">
        <v>37</v>
      </c>
      <c r="I4362" s="2">
        <v>3.5</v>
      </c>
      <c r="J4362" s="4">
        <v>14</v>
      </c>
      <c r="K4362" s="3">
        <v>7</v>
      </c>
      <c r="L4362" s="1">
        <f t="shared" si="204"/>
        <v>54.068199999999997</v>
      </c>
      <c r="M4362" t="str" cm="1">
        <f t="array" ref="M4362">_xlfn.IFS(B4362&lt;18,"Under 18",B4362 &lt;=25,"18-25",B4362&lt;=35,"26-35",B4362&lt;=45,"36-45",B4362&lt;=60,"46-60",TRUE,"60+")</f>
        <v>36-45</v>
      </c>
      <c r="N4362" t="str">
        <f t="shared" si="205"/>
        <v>Discounted</v>
      </c>
      <c r="O4362" t="str">
        <f t="shared" si="206"/>
        <v>Returning</v>
      </c>
    </row>
    <row r="4363" spans="1:15" x14ac:dyDescent="0.25">
      <c r="A4363">
        <v>4362</v>
      </c>
      <c r="B4363">
        <v>29</v>
      </c>
      <c r="C4363" t="s">
        <v>11</v>
      </c>
      <c r="D4363" t="s">
        <v>41</v>
      </c>
      <c r="E4363" t="s">
        <v>46</v>
      </c>
      <c r="F4363" s="1">
        <v>150.07</v>
      </c>
      <c r="G4363" t="s">
        <v>19</v>
      </c>
      <c r="H4363" t="s">
        <v>15</v>
      </c>
      <c r="I4363" s="2">
        <v>3.9</v>
      </c>
      <c r="J4363" s="4">
        <v>19</v>
      </c>
      <c r="K4363" s="3">
        <v>7</v>
      </c>
      <c r="L4363" s="1">
        <f t="shared" si="204"/>
        <v>121.55670000000001</v>
      </c>
      <c r="M4363" t="str" cm="1">
        <f t="array" ref="M4363">_xlfn.IFS(B4363&lt;18,"Under 18",B4363 &lt;=25,"18-25",B4363&lt;=35,"26-35",B4363&lt;=45,"36-45",B4363&lt;=60,"46-60",TRUE,"60+")</f>
        <v>26-35</v>
      </c>
      <c r="N4363" t="str">
        <f t="shared" si="205"/>
        <v>Discounted</v>
      </c>
      <c r="O4363" t="str">
        <f t="shared" si="206"/>
        <v>Returning</v>
      </c>
    </row>
    <row r="4364" spans="1:15" x14ac:dyDescent="0.25">
      <c r="A4364">
        <v>4363</v>
      </c>
      <c r="B4364">
        <v>51</v>
      </c>
      <c r="C4364" t="s">
        <v>16</v>
      </c>
      <c r="D4364" t="s">
        <v>25</v>
      </c>
      <c r="E4364" t="s">
        <v>54</v>
      </c>
      <c r="F4364" s="1">
        <v>71.540000000000006</v>
      </c>
      <c r="G4364" t="s">
        <v>24</v>
      </c>
      <c r="H4364" t="s">
        <v>37</v>
      </c>
      <c r="I4364" s="2">
        <v>3.5</v>
      </c>
      <c r="J4364" s="4">
        <v>16</v>
      </c>
      <c r="K4364" s="3">
        <v>3</v>
      </c>
      <c r="L4364" s="1">
        <f t="shared" si="204"/>
        <v>60.093600000000002</v>
      </c>
      <c r="M4364" t="str" cm="1">
        <f t="array" ref="M4364">_xlfn.IFS(B4364&lt;18,"Under 18",B4364 &lt;=25,"18-25",B4364&lt;=35,"26-35",B4364&lt;=45,"36-45",B4364&lt;=60,"46-60",TRUE,"60+")</f>
        <v>46-60</v>
      </c>
      <c r="N4364" t="str">
        <f t="shared" si="205"/>
        <v>Discounted</v>
      </c>
      <c r="O4364" t="str">
        <f t="shared" si="206"/>
        <v>Returning</v>
      </c>
    </row>
    <row r="4365" spans="1:15" x14ac:dyDescent="0.25">
      <c r="A4365">
        <v>4364</v>
      </c>
      <c r="B4365">
        <v>26</v>
      </c>
      <c r="C4365" t="s">
        <v>11</v>
      </c>
      <c r="D4365" t="s">
        <v>41</v>
      </c>
      <c r="E4365" t="s">
        <v>44</v>
      </c>
      <c r="F4365" s="1">
        <v>43.22</v>
      </c>
      <c r="G4365" t="s">
        <v>19</v>
      </c>
      <c r="H4365" t="s">
        <v>37</v>
      </c>
      <c r="I4365" s="2">
        <v>2.9</v>
      </c>
      <c r="J4365" s="4">
        <v>2</v>
      </c>
      <c r="K4365" s="3">
        <v>1</v>
      </c>
      <c r="L4365" s="1">
        <f t="shared" si="204"/>
        <v>42.355599999999995</v>
      </c>
      <c r="M4365" t="str" cm="1">
        <f t="array" ref="M4365">_xlfn.IFS(B4365&lt;18,"Under 18",B4365 &lt;=25,"18-25",B4365&lt;=35,"26-35",B4365&lt;=45,"36-45",B4365&lt;=60,"46-60",TRUE,"60+")</f>
        <v>26-35</v>
      </c>
      <c r="N4365" t="str">
        <f t="shared" si="205"/>
        <v>Discounted</v>
      </c>
      <c r="O4365" t="str">
        <f t="shared" si="206"/>
        <v>Returning</v>
      </c>
    </row>
    <row r="4366" spans="1:15" x14ac:dyDescent="0.25">
      <c r="A4366">
        <v>4365</v>
      </c>
      <c r="B4366">
        <v>49</v>
      </c>
      <c r="C4366" t="s">
        <v>16</v>
      </c>
      <c r="D4366" t="s">
        <v>33</v>
      </c>
      <c r="E4366" t="s">
        <v>38</v>
      </c>
      <c r="F4366" s="1">
        <v>173.46</v>
      </c>
      <c r="G4366" t="s">
        <v>14</v>
      </c>
      <c r="H4366" t="s">
        <v>15</v>
      </c>
      <c r="I4366" s="2">
        <v>3.8</v>
      </c>
      <c r="J4366" s="4">
        <v>22</v>
      </c>
      <c r="K4366" s="3">
        <v>6</v>
      </c>
      <c r="L4366" s="1">
        <f t="shared" si="204"/>
        <v>135.2988</v>
      </c>
      <c r="M4366" t="str" cm="1">
        <f t="array" ref="M4366">_xlfn.IFS(B4366&lt;18,"Under 18",B4366 &lt;=25,"18-25",B4366&lt;=35,"26-35",B4366&lt;=45,"36-45",B4366&lt;=60,"46-60",TRUE,"60+")</f>
        <v>46-60</v>
      </c>
      <c r="N4366" t="str">
        <f t="shared" si="205"/>
        <v>Discounted</v>
      </c>
      <c r="O4366" t="str">
        <f t="shared" si="206"/>
        <v>Returning</v>
      </c>
    </row>
    <row r="4367" spans="1:15" x14ac:dyDescent="0.25">
      <c r="A4367">
        <v>4366</v>
      </c>
      <c r="B4367">
        <v>47</v>
      </c>
      <c r="C4367" t="s">
        <v>16</v>
      </c>
      <c r="D4367" t="s">
        <v>22</v>
      </c>
      <c r="E4367" t="s">
        <v>43</v>
      </c>
      <c r="F4367" s="1">
        <v>286.8</v>
      </c>
      <c r="G4367" t="s">
        <v>19</v>
      </c>
      <c r="H4367" t="s">
        <v>15</v>
      </c>
      <c r="I4367" s="2">
        <v>5</v>
      </c>
      <c r="J4367" s="4">
        <v>19</v>
      </c>
      <c r="K4367" s="3">
        <v>7</v>
      </c>
      <c r="L4367" s="1">
        <f t="shared" si="204"/>
        <v>232.30800000000002</v>
      </c>
      <c r="M4367" t="str" cm="1">
        <f t="array" ref="M4367">_xlfn.IFS(B4367&lt;18,"Under 18",B4367 &lt;=25,"18-25",B4367&lt;=35,"26-35",B4367&lt;=45,"36-45",B4367&lt;=60,"46-60",TRUE,"60+")</f>
        <v>46-60</v>
      </c>
      <c r="N4367" t="str">
        <f t="shared" si="205"/>
        <v>Discounted</v>
      </c>
      <c r="O4367" t="str">
        <f t="shared" si="206"/>
        <v>Returning</v>
      </c>
    </row>
    <row r="4368" spans="1:15" x14ac:dyDescent="0.25">
      <c r="A4368">
        <v>4367</v>
      </c>
      <c r="B4368">
        <v>30</v>
      </c>
      <c r="C4368" t="s">
        <v>16</v>
      </c>
      <c r="D4368" t="s">
        <v>17</v>
      </c>
      <c r="E4368" t="s">
        <v>48</v>
      </c>
      <c r="F4368" s="1">
        <v>83.11</v>
      </c>
      <c r="G4368" t="s">
        <v>14</v>
      </c>
      <c r="H4368" t="s">
        <v>15</v>
      </c>
      <c r="I4368" s="2">
        <v>3.6</v>
      </c>
      <c r="J4368" s="4">
        <v>14</v>
      </c>
      <c r="K4368" s="3">
        <v>2</v>
      </c>
      <c r="L4368" s="1">
        <f t="shared" si="204"/>
        <v>71.474599999999995</v>
      </c>
      <c r="M4368" t="str" cm="1">
        <f t="array" ref="M4368">_xlfn.IFS(B4368&lt;18,"Under 18",B4368 &lt;=25,"18-25",B4368&lt;=35,"26-35",B4368&lt;=45,"36-45",B4368&lt;=60,"46-60",TRUE,"60+")</f>
        <v>26-35</v>
      </c>
      <c r="N4368" t="str">
        <f t="shared" si="205"/>
        <v>Discounted</v>
      </c>
      <c r="O4368" t="str">
        <f t="shared" si="206"/>
        <v>Returning</v>
      </c>
    </row>
    <row r="4369" spans="1:15" x14ac:dyDescent="0.25">
      <c r="A4369">
        <v>4368</v>
      </c>
      <c r="B4369">
        <v>22</v>
      </c>
      <c r="C4369" t="s">
        <v>11</v>
      </c>
      <c r="D4369" t="s">
        <v>29</v>
      </c>
      <c r="E4369" t="s">
        <v>30</v>
      </c>
      <c r="F4369" s="1">
        <v>27.57</v>
      </c>
      <c r="G4369" t="s">
        <v>19</v>
      </c>
      <c r="H4369" t="s">
        <v>37</v>
      </c>
      <c r="I4369" s="2">
        <v>4.0999999999999996</v>
      </c>
      <c r="J4369" s="4">
        <v>14</v>
      </c>
      <c r="K4369" s="3">
        <v>7</v>
      </c>
      <c r="L4369" s="1">
        <f t="shared" si="204"/>
        <v>23.7102</v>
      </c>
      <c r="M4369" t="str" cm="1">
        <f t="array" ref="M4369">_xlfn.IFS(B4369&lt;18,"Under 18",B4369 &lt;=25,"18-25",B4369&lt;=35,"26-35",B4369&lt;=45,"36-45",B4369&lt;=60,"46-60",TRUE,"60+")</f>
        <v>18-25</v>
      </c>
      <c r="N4369" t="str">
        <f t="shared" si="205"/>
        <v>Discounted</v>
      </c>
      <c r="O4369" t="str">
        <f t="shared" si="206"/>
        <v>Returning</v>
      </c>
    </row>
    <row r="4370" spans="1:15" x14ac:dyDescent="0.25">
      <c r="A4370">
        <v>4369</v>
      </c>
      <c r="B4370">
        <v>46</v>
      </c>
      <c r="C4370" t="s">
        <v>11</v>
      </c>
      <c r="D4370" t="s">
        <v>33</v>
      </c>
      <c r="E4370" t="s">
        <v>40</v>
      </c>
      <c r="F4370" s="1">
        <v>208.33</v>
      </c>
      <c r="G4370" t="s">
        <v>24</v>
      </c>
      <c r="H4370" t="s">
        <v>15</v>
      </c>
      <c r="I4370" s="2">
        <v>3.9</v>
      </c>
      <c r="J4370" s="4">
        <v>8</v>
      </c>
      <c r="K4370" s="3">
        <v>4</v>
      </c>
      <c r="L4370" s="1">
        <f t="shared" si="204"/>
        <v>191.66360000000003</v>
      </c>
      <c r="M4370" t="str" cm="1">
        <f t="array" ref="M4370">_xlfn.IFS(B4370&lt;18,"Under 18",B4370 &lt;=25,"18-25",B4370&lt;=35,"26-35",B4370&lt;=45,"36-45",B4370&lt;=60,"46-60",TRUE,"60+")</f>
        <v>46-60</v>
      </c>
      <c r="N4370" t="str">
        <f t="shared" si="205"/>
        <v>Discounted</v>
      </c>
      <c r="O4370" t="str">
        <f t="shared" si="206"/>
        <v>Returning</v>
      </c>
    </row>
    <row r="4371" spans="1:15" x14ac:dyDescent="0.25">
      <c r="A4371">
        <v>4370</v>
      </c>
      <c r="B4371">
        <v>57</v>
      </c>
      <c r="C4371" t="s">
        <v>11</v>
      </c>
      <c r="D4371" t="s">
        <v>41</v>
      </c>
      <c r="E4371" t="s">
        <v>46</v>
      </c>
      <c r="F4371" s="1">
        <v>43.06</v>
      </c>
      <c r="G4371" t="s">
        <v>24</v>
      </c>
      <c r="H4371" t="s">
        <v>15</v>
      </c>
      <c r="I4371" s="2">
        <v>5</v>
      </c>
      <c r="J4371" s="4">
        <v>20</v>
      </c>
      <c r="K4371" s="3">
        <v>5</v>
      </c>
      <c r="L4371" s="1">
        <f t="shared" si="204"/>
        <v>34.448</v>
      </c>
      <c r="M4371" t="str" cm="1">
        <f t="array" ref="M4371">_xlfn.IFS(B4371&lt;18,"Under 18",B4371 &lt;=25,"18-25",B4371&lt;=35,"26-35",B4371&lt;=45,"36-45",B4371&lt;=60,"46-60",TRUE,"60+")</f>
        <v>46-60</v>
      </c>
      <c r="N4371" t="str">
        <f t="shared" si="205"/>
        <v>Discounted</v>
      </c>
      <c r="O4371" t="str">
        <f t="shared" si="206"/>
        <v>Returning</v>
      </c>
    </row>
    <row r="4372" spans="1:15" x14ac:dyDescent="0.25">
      <c r="A4372">
        <v>4371</v>
      </c>
      <c r="B4372">
        <v>63</v>
      </c>
      <c r="C4372" t="s">
        <v>11</v>
      </c>
      <c r="D4372" t="s">
        <v>25</v>
      </c>
      <c r="E4372" t="s">
        <v>57</v>
      </c>
      <c r="F4372" s="1">
        <v>42.76</v>
      </c>
      <c r="G4372" t="s">
        <v>14</v>
      </c>
      <c r="H4372" t="s">
        <v>37</v>
      </c>
      <c r="I4372" s="2">
        <v>4.3</v>
      </c>
      <c r="J4372" s="4">
        <v>24</v>
      </c>
      <c r="K4372" s="3">
        <v>7</v>
      </c>
      <c r="L4372" s="1">
        <f t="shared" si="204"/>
        <v>32.497599999999998</v>
      </c>
      <c r="M4372" t="str" cm="1">
        <f t="array" ref="M4372">_xlfn.IFS(B4372&lt;18,"Under 18",B4372 &lt;=25,"18-25",B4372&lt;=35,"26-35",B4372&lt;=45,"36-45",B4372&lt;=60,"46-60",TRUE,"60+")</f>
        <v>60+</v>
      </c>
      <c r="N4372" t="str">
        <f t="shared" si="205"/>
        <v>Discounted</v>
      </c>
      <c r="O4372" t="str">
        <f t="shared" si="206"/>
        <v>Returning</v>
      </c>
    </row>
    <row r="4373" spans="1:15" x14ac:dyDescent="0.25">
      <c r="A4373">
        <v>4372</v>
      </c>
      <c r="B4373">
        <v>54</v>
      </c>
      <c r="C4373" t="s">
        <v>16</v>
      </c>
      <c r="D4373" t="s">
        <v>17</v>
      </c>
      <c r="E4373" t="s">
        <v>48</v>
      </c>
      <c r="F4373" s="1">
        <v>80.56</v>
      </c>
      <c r="G4373" t="s">
        <v>31</v>
      </c>
      <c r="H4373" t="s">
        <v>15</v>
      </c>
      <c r="I4373" s="2">
        <v>4</v>
      </c>
      <c r="J4373" s="4">
        <v>26</v>
      </c>
      <c r="K4373" s="3">
        <v>8</v>
      </c>
      <c r="L4373" s="1">
        <f t="shared" si="204"/>
        <v>59.614400000000003</v>
      </c>
      <c r="M4373" t="str" cm="1">
        <f t="array" ref="M4373">_xlfn.IFS(B4373&lt;18,"Under 18",B4373 &lt;=25,"18-25",B4373&lt;=35,"26-35",B4373&lt;=45,"36-45",B4373&lt;=60,"46-60",TRUE,"60+")</f>
        <v>46-60</v>
      </c>
      <c r="N4373" t="str">
        <f t="shared" si="205"/>
        <v>Discounted</v>
      </c>
      <c r="O4373" t="str">
        <f t="shared" si="206"/>
        <v>Returning</v>
      </c>
    </row>
    <row r="4374" spans="1:15" x14ac:dyDescent="0.25">
      <c r="A4374">
        <v>4373</v>
      </c>
      <c r="B4374">
        <v>32</v>
      </c>
      <c r="C4374" t="s">
        <v>11</v>
      </c>
      <c r="D4374" t="s">
        <v>41</v>
      </c>
      <c r="E4374" t="s">
        <v>44</v>
      </c>
      <c r="F4374" s="1">
        <v>59.17</v>
      </c>
      <c r="G4374" t="s">
        <v>24</v>
      </c>
      <c r="H4374" t="s">
        <v>15</v>
      </c>
      <c r="I4374" s="2">
        <v>3</v>
      </c>
      <c r="J4374" s="4">
        <v>12</v>
      </c>
      <c r="K4374" s="3">
        <v>6</v>
      </c>
      <c r="L4374" s="1">
        <f t="shared" si="204"/>
        <v>52.069600000000001</v>
      </c>
      <c r="M4374" t="str" cm="1">
        <f t="array" ref="M4374">_xlfn.IFS(B4374&lt;18,"Under 18",B4374 &lt;=25,"18-25",B4374&lt;=35,"26-35",B4374&lt;=45,"36-45",B4374&lt;=60,"46-60",TRUE,"60+")</f>
        <v>26-35</v>
      </c>
      <c r="N4374" t="str">
        <f t="shared" si="205"/>
        <v>Discounted</v>
      </c>
      <c r="O4374" t="str">
        <f t="shared" si="206"/>
        <v>Returning</v>
      </c>
    </row>
    <row r="4375" spans="1:15" x14ac:dyDescent="0.25">
      <c r="A4375">
        <v>4374</v>
      </c>
      <c r="B4375">
        <v>69</v>
      </c>
      <c r="C4375" t="s">
        <v>16</v>
      </c>
      <c r="D4375" t="s">
        <v>25</v>
      </c>
      <c r="E4375" t="s">
        <v>47</v>
      </c>
      <c r="F4375" s="1">
        <v>58.67</v>
      </c>
      <c r="G4375" t="s">
        <v>24</v>
      </c>
      <c r="H4375" t="s">
        <v>37</v>
      </c>
      <c r="I4375" s="2">
        <v>4.7</v>
      </c>
      <c r="J4375" s="4">
        <v>28</v>
      </c>
      <c r="K4375" s="3">
        <v>9</v>
      </c>
      <c r="L4375" s="1">
        <f t="shared" si="204"/>
        <v>42.242399999999996</v>
      </c>
      <c r="M4375" t="str" cm="1">
        <f t="array" ref="M4375">_xlfn.IFS(B4375&lt;18,"Under 18",B4375 &lt;=25,"18-25",B4375&lt;=35,"26-35",B4375&lt;=45,"36-45",B4375&lt;=60,"46-60",TRUE,"60+")</f>
        <v>60+</v>
      </c>
      <c r="N4375" t="str">
        <f t="shared" si="205"/>
        <v>Discounted</v>
      </c>
      <c r="O4375" t="str">
        <f t="shared" si="206"/>
        <v>Returning</v>
      </c>
    </row>
    <row r="4376" spans="1:15" x14ac:dyDescent="0.25">
      <c r="A4376">
        <v>4375</v>
      </c>
      <c r="B4376">
        <v>65</v>
      </c>
      <c r="C4376" t="s">
        <v>16</v>
      </c>
      <c r="D4376" t="s">
        <v>27</v>
      </c>
      <c r="E4376" t="s">
        <v>49</v>
      </c>
      <c r="F4376" s="1">
        <v>2600.4699999999998</v>
      </c>
      <c r="G4376" t="s">
        <v>14</v>
      </c>
      <c r="H4376" t="s">
        <v>15</v>
      </c>
      <c r="I4376" s="2">
        <v>2.1</v>
      </c>
      <c r="J4376" s="4">
        <v>13</v>
      </c>
      <c r="K4376" s="3">
        <v>4</v>
      </c>
      <c r="L4376" s="1">
        <f t="shared" si="204"/>
        <v>2262.4088999999999</v>
      </c>
      <c r="M4376" t="str" cm="1">
        <f t="array" ref="M4376">_xlfn.IFS(B4376&lt;18,"Under 18",B4376 &lt;=25,"18-25",B4376&lt;=35,"26-35",B4376&lt;=45,"36-45",B4376&lt;=60,"46-60",TRUE,"60+")</f>
        <v>60+</v>
      </c>
      <c r="N4376" t="str">
        <f t="shared" si="205"/>
        <v>Discounted</v>
      </c>
      <c r="O4376" t="str">
        <f t="shared" si="206"/>
        <v>Returning</v>
      </c>
    </row>
    <row r="4377" spans="1:15" x14ac:dyDescent="0.25">
      <c r="A4377">
        <v>4376</v>
      </c>
      <c r="B4377">
        <v>57</v>
      </c>
      <c r="C4377" t="s">
        <v>11</v>
      </c>
      <c r="D4377" t="s">
        <v>41</v>
      </c>
      <c r="E4377" t="s">
        <v>44</v>
      </c>
      <c r="F4377" s="1">
        <v>54.73</v>
      </c>
      <c r="G4377" t="s">
        <v>14</v>
      </c>
      <c r="H4377" t="s">
        <v>37</v>
      </c>
      <c r="I4377" s="2">
        <v>3.7</v>
      </c>
      <c r="J4377" s="4">
        <v>22</v>
      </c>
      <c r="K4377" s="3">
        <v>11</v>
      </c>
      <c r="L4377" s="1">
        <f t="shared" si="204"/>
        <v>42.689399999999999</v>
      </c>
      <c r="M4377" t="str" cm="1">
        <f t="array" ref="M4377">_xlfn.IFS(B4377&lt;18,"Under 18",B4377 &lt;=25,"18-25",B4377&lt;=35,"26-35",B4377&lt;=45,"36-45",B4377&lt;=60,"46-60",TRUE,"60+")</f>
        <v>46-60</v>
      </c>
      <c r="N4377" t="str">
        <f t="shared" si="205"/>
        <v>Discounted</v>
      </c>
      <c r="O4377" t="str">
        <f t="shared" si="206"/>
        <v>Returning</v>
      </c>
    </row>
    <row r="4378" spans="1:15" x14ac:dyDescent="0.25">
      <c r="A4378">
        <v>4377</v>
      </c>
      <c r="B4378">
        <v>27</v>
      </c>
      <c r="C4378" t="s">
        <v>16</v>
      </c>
      <c r="D4378" t="s">
        <v>33</v>
      </c>
      <c r="E4378" t="s">
        <v>38</v>
      </c>
      <c r="F4378" s="1">
        <v>66.290000000000006</v>
      </c>
      <c r="G4378" t="s">
        <v>14</v>
      </c>
      <c r="H4378" t="s">
        <v>37</v>
      </c>
      <c r="I4378" s="2">
        <v>3</v>
      </c>
      <c r="J4378" s="4">
        <v>11</v>
      </c>
      <c r="K4378" s="3">
        <v>3</v>
      </c>
      <c r="L4378" s="1">
        <f t="shared" si="204"/>
        <v>58.998100000000008</v>
      </c>
      <c r="M4378" t="str" cm="1">
        <f t="array" ref="M4378">_xlfn.IFS(B4378&lt;18,"Under 18",B4378 &lt;=25,"18-25",B4378&lt;=35,"26-35",B4378&lt;=45,"36-45",B4378&lt;=60,"46-60",TRUE,"60+")</f>
        <v>26-35</v>
      </c>
      <c r="N4378" t="str">
        <f t="shared" si="205"/>
        <v>Discounted</v>
      </c>
      <c r="O4378" t="str">
        <f t="shared" si="206"/>
        <v>Returning</v>
      </c>
    </row>
    <row r="4379" spans="1:15" x14ac:dyDescent="0.25">
      <c r="A4379">
        <v>4378</v>
      </c>
      <c r="B4379">
        <v>40</v>
      </c>
      <c r="C4379" t="s">
        <v>11</v>
      </c>
      <c r="D4379" t="s">
        <v>41</v>
      </c>
      <c r="E4379" t="s">
        <v>42</v>
      </c>
      <c r="F4379" s="1">
        <v>65.430000000000007</v>
      </c>
      <c r="G4379" t="s">
        <v>19</v>
      </c>
      <c r="H4379" t="s">
        <v>15</v>
      </c>
      <c r="I4379" s="2">
        <v>3.6</v>
      </c>
      <c r="J4379" s="4">
        <v>14</v>
      </c>
      <c r="K4379" s="3">
        <v>2</v>
      </c>
      <c r="L4379" s="1">
        <f t="shared" si="204"/>
        <v>56.269800000000004</v>
      </c>
      <c r="M4379" t="str" cm="1">
        <f t="array" ref="M4379">_xlfn.IFS(B4379&lt;18,"Under 18",B4379 &lt;=25,"18-25",B4379&lt;=35,"26-35",B4379&lt;=45,"36-45",B4379&lt;=60,"46-60",TRUE,"60+")</f>
        <v>36-45</v>
      </c>
      <c r="N4379" t="str">
        <f t="shared" si="205"/>
        <v>Discounted</v>
      </c>
      <c r="O4379" t="str">
        <f t="shared" si="206"/>
        <v>Returning</v>
      </c>
    </row>
    <row r="4380" spans="1:15" x14ac:dyDescent="0.25">
      <c r="A4380">
        <v>4379</v>
      </c>
      <c r="B4380">
        <v>62</v>
      </c>
      <c r="C4380" t="s">
        <v>16</v>
      </c>
      <c r="D4380" t="s">
        <v>20</v>
      </c>
      <c r="E4380" t="s">
        <v>36</v>
      </c>
      <c r="F4380" s="1">
        <v>50.26</v>
      </c>
      <c r="G4380" t="s">
        <v>24</v>
      </c>
      <c r="H4380" t="s">
        <v>37</v>
      </c>
      <c r="I4380" s="2">
        <v>2.8</v>
      </c>
      <c r="J4380" s="4">
        <v>19</v>
      </c>
      <c r="K4380" s="3">
        <v>7</v>
      </c>
      <c r="L4380" s="1">
        <f t="shared" si="204"/>
        <v>40.710599999999999</v>
      </c>
      <c r="M4380" t="str" cm="1">
        <f t="array" ref="M4380">_xlfn.IFS(B4380&lt;18,"Under 18",B4380 &lt;=25,"18-25",B4380&lt;=35,"26-35",B4380&lt;=45,"36-45",B4380&lt;=60,"46-60",TRUE,"60+")</f>
        <v>60+</v>
      </c>
      <c r="N4380" t="str">
        <f t="shared" si="205"/>
        <v>Discounted</v>
      </c>
      <c r="O4380" t="str">
        <f t="shared" si="206"/>
        <v>Returning</v>
      </c>
    </row>
    <row r="4381" spans="1:15" x14ac:dyDescent="0.25">
      <c r="A4381">
        <v>4380</v>
      </c>
      <c r="B4381">
        <v>27</v>
      </c>
      <c r="C4381" t="s">
        <v>11</v>
      </c>
      <c r="D4381" t="s">
        <v>29</v>
      </c>
      <c r="E4381" t="s">
        <v>51</v>
      </c>
      <c r="F4381" s="1">
        <v>125.15</v>
      </c>
      <c r="G4381" t="s">
        <v>31</v>
      </c>
      <c r="H4381" t="s">
        <v>15</v>
      </c>
      <c r="I4381" s="2">
        <v>3.9</v>
      </c>
      <c r="J4381" s="4">
        <v>18</v>
      </c>
      <c r="K4381" s="3">
        <v>4</v>
      </c>
      <c r="L4381" s="1">
        <f t="shared" si="204"/>
        <v>102.62300000000002</v>
      </c>
      <c r="M4381" t="str" cm="1">
        <f t="array" ref="M4381">_xlfn.IFS(B4381&lt;18,"Under 18",B4381 &lt;=25,"18-25",B4381&lt;=35,"26-35",B4381&lt;=45,"36-45",B4381&lt;=60,"46-60",TRUE,"60+")</f>
        <v>26-35</v>
      </c>
      <c r="N4381" t="str">
        <f t="shared" si="205"/>
        <v>Discounted</v>
      </c>
      <c r="O4381" t="str">
        <f t="shared" si="206"/>
        <v>Returning</v>
      </c>
    </row>
    <row r="4382" spans="1:15" x14ac:dyDescent="0.25">
      <c r="A4382">
        <v>4381</v>
      </c>
      <c r="B4382">
        <v>62</v>
      </c>
      <c r="C4382" t="s">
        <v>16</v>
      </c>
      <c r="D4382" t="s">
        <v>33</v>
      </c>
      <c r="E4382" t="s">
        <v>40</v>
      </c>
      <c r="F4382" s="1">
        <v>166.81</v>
      </c>
      <c r="G4382" t="s">
        <v>24</v>
      </c>
      <c r="H4382" t="s">
        <v>15</v>
      </c>
      <c r="I4382" s="2">
        <v>4.5999999999999996</v>
      </c>
      <c r="J4382" s="4">
        <v>28</v>
      </c>
      <c r="K4382" s="3">
        <v>9</v>
      </c>
      <c r="L4382" s="1">
        <f t="shared" si="204"/>
        <v>120.1032</v>
      </c>
      <c r="M4382" t="str" cm="1">
        <f t="array" ref="M4382">_xlfn.IFS(B4382&lt;18,"Under 18",B4382 &lt;=25,"18-25",B4382&lt;=35,"26-35",B4382&lt;=45,"36-45",B4382&lt;=60,"46-60",TRUE,"60+")</f>
        <v>60+</v>
      </c>
      <c r="N4382" t="str">
        <f t="shared" si="205"/>
        <v>Discounted</v>
      </c>
      <c r="O4382" t="str">
        <f t="shared" si="206"/>
        <v>Returning</v>
      </c>
    </row>
    <row r="4383" spans="1:15" x14ac:dyDescent="0.25">
      <c r="A4383">
        <v>4382</v>
      </c>
      <c r="B4383">
        <v>46</v>
      </c>
      <c r="C4383" t="s">
        <v>11</v>
      </c>
      <c r="D4383" t="s">
        <v>41</v>
      </c>
      <c r="E4383" t="s">
        <v>44</v>
      </c>
      <c r="F4383" s="1">
        <v>141.44999999999999</v>
      </c>
      <c r="G4383" t="s">
        <v>31</v>
      </c>
      <c r="H4383" t="s">
        <v>15</v>
      </c>
      <c r="I4383" s="2">
        <v>5</v>
      </c>
      <c r="J4383" s="4">
        <v>14</v>
      </c>
      <c r="K4383" s="3">
        <v>7</v>
      </c>
      <c r="L4383" s="1">
        <f t="shared" si="204"/>
        <v>121.64699999999999</v>
      </c>
      <c r="M4383" t="str" cm="1">
        <f t="array" ref="M4383">_xlfn.IFS(B4383&lt;18,"Under 18",B4383 &lt;=25,"18-25",B4383&lt;=35,"26-35",B4383&lt;=45,"36-45",B4383&lt;=60,"46-60",TRUE,"60+")</f>
        <v>46-60</v>
      </c>
      <c r="N4383" t="str">
        <f t="shared" si="205"/>
        <v>Discounted</v>
      </c>
      <c r="O4383" t="str">
        <f t="shared" si="206"/>
        <v>Returning</v>
      </c>
    </row>
    <row r="4384" spans="1:15" x14ac:dyDescent="0.25">
      <c r="A4384">
        <v>4383</v>
      </c>
      <c r="B4384">
        <v>60</v>
      </c>
      <c r="C4384" t="s">
        <v>16</v>
      </c>
      <c r="D4384" t="s">
        <v>33</v>
      </c>
      <c r="E4384" t="s">
        <v>40</v>
      </c>
      <c r="F4384" s="1">
        <v>167.45</v>
      </c>
      <c r="G4384" t="s">
        <v>19</v>
      </c>
      <c r="H4384" t="s">
        <v>15</v>
      </c>
      <c r="I4384" s="2">
        <v>4.4000000000000004</v>
      </c>
      <c r="J4384" s="4">
        <v>5</v>
      </c>
      <c r="K4384" s="3">
        <v>0</v>
      </c>
      <c r="L4384" s="1">
        <f t="shared" si="204"/>
        <v>159.07749999999999</v>
      </c>
      <c r="M4384" t="str" cm="1">
        <f t="array" ref="M4384">_xlfn.IFS(B4384&lt;18,"Under 18",B4384 &lt;=25,"18-25",B4384&lt;=35,"26-35",B4384&lt;=45,"36-45",B4384&lt;=60,"46-60",TRUE,"60+")</f>
        <v>46-60</v>
      </c>
      <c r="N4384" t="str">
        <f t="shared" si="205"/>
        <v>Discounted</v>
      </c>
      <c r="O4384" t="str">
        <f t="shared" si="206"/>
        <v>New</v>
      </c>
    </row>
    <row r="4385" spans="1:15" x14ac:dyDescent="0.25">
      <c r="A4385">
        <v>4384</v>
      </c>
      <c r="B4385">
        <v>62</v>
      </c>
      <c r="C4385" t="s">
        <v>16</v>
      </c>
      <c r="D4385" t="s">
        <v>33</v>
      </c>
      <c r="E4385" t="s">
        <v>34</v>
      </c>
      <c r="F4385" s="1">
        <v>151.56</v>
      </c>
      <c r="G4385" t="s">
        <v>19</v>
      </c>
      <c r="H4385" t="s">
        <v>15</v>
      </c>
      <c r="I4385" s="2">
        <v>4.0999999999999996</v>
      </c>
      <c r="J4385" s="4">
        <v>13</v>
      </c>
      <c r="K4385" s="3">
        <v>4</v>
      </c>
      <c r="L4385" s="1">
        <f t="shared" si="204"/>
        <v>131.85720000000001</v>
      </c>
      <c r="M4385" t="str" cm="1">
        <f t="array" ref="M4385">_xlfn.IFS(B4385&lt;18,"Under 18",B4385 &lt;=25,"18-25",B4385&lt;=35,"26-35",B4385&lt;=45,"36-45",B4385&lt;=60,"46-60",TRUE,"60+")</f>
        <v>60+</v>
      </c>
      <c r="N4385" t="str">
        <f t="shared" si="205"/>
        <v>Discounted</v>
      </c>
      <c r="O4385" t="str">
        <f t="shared" si="206"/>
        <v>Returning</v>
      </c>
    </row>
    <row r="4386" spans="1:15" x14ac:dyDescent="0.25">
      <c r="A4386">
        <v>4385</v>
      </c>
      <c r="B4386">
        <v>49</v>
      </c>
      <c r="C4386" t="s">
        <v>16</v>
      </c>
      <c r="D4386" t="s">
        <v>17</v>
      </c>
      <c r="E4386" t="s">
        <v>35</v>
      </c>
      <c r="F4386" s="1">
        <v>49.58</v>
      </c>
      <c r="G4386" t="s">
        <v>14</v>
      </c>
      <c r="H4386" t="s">
        <v>37</v>
      </c>
      <c r="I4386" s="2">
        <v>4.5999999999999996</v>
      </c>
      <c r="J4386" s="4">
        <v>21</v>
      </c>
      <c r="K4386" s="3">
        <v>8</v>
      </c>
      <c r="L4386" s="1">
        <f t="shared" si="204"/>
        <v>39.168199999999999</v>
      </c>
      <c r="M4386" t="str" cm="1">
        <f t="array" ref="M4386">_xlfn.IFS(B4386&lt;18,"Under 18",B4386 &lt;=25,"18-25",B4386&lt;=35,"26-35",B4386&lt;=45,"36-45",B4386&lt;=60,"46-60",TRUE,"60+")</f>
        <v>46-60</v>
      </c>
      <c r="N4386" t="str">
        <f t="shared" si="205"/>
        <v>Discounted</v>
      </c>
      <c r="O4386" t="str">
        <f t="shared" si="206"/>
        <v>Returning</v>
      </c>
    </row>
    <row r="4387" spans="1:15" x14ac:dyDescent="0.25">
      <c r="A4387">
        <v>4386</v>
      </c>
      <c r="B4387">
        <v>21</v>
      </c>
      <c r="C4387" t="s">
        <v>11</v>
      </c>
      <c r="D4387" t="s">
        <v>33</v>
      </c>
      <c r="E4387" t="s">
        <v>34</v>
      </c>
      <c r="F4387" s="1">
        <v>170.32</v>
      </c>
      <c r="G4387" t="s">
        <v>19</v>
      </c>
      <c r="H4387" t="s">
        <v>15</v>
      </c>
      <c r="I4387" s="2">
        <v>4.8</v>
      </c>
      <c r="J4387" s="4">
        <v>21</v>
      </c>
      <c r="K4387" s="3">
        <v>8</v>
      </c>
      <c r="L4387" s="1">
        <f t="shared" si="204"/>
        <v>134.55279999999999</v>
      </c>
      <c r="M4387" t="str" cm="1">
        <f t="array" ref="M4387">_xlfn.IFS(B4387&lt;18,"Under 18",B4387 &lt;=25,"18-25",B4387&lt;=35,"26-35",B4387&lt;=45,"36-45",B4387&lt;=60,"46-60",TRUE,"60+")</f>
        <v>18-25</v>
      </c>
      <c r="N4387" t="str">
        <f t="shared" si="205"/>
        <v>Discounted</v>
      </c>
      <c r="O4387" t="str">
        <f t="shared" si="206"/>
        <v>Returning</v>
      </c>
    </row>
    <row r="4388" spans="1:15" x14ac:dyDescent="0.25">
      <c r="A4388">
        <v>4387</v>
      </c>
      <c r="B4388">
        <v>25</v>
      </c>
      <c r="C4388" t="s">
        <v>11</v>
      </c>
      <c r="D4388" t="s">
        <v>12</v>
      </c>
      <c r="E4388" t="s">
        <v>50</v>
      </c>
      <c r="F4388" s="1">
        <v>30.47</v>
      </c>
      <c r="G4388" t="s">
        <v>24</v>
      </c>
      <c r="H4388" t="s">
        <v>15</v>
      </c>
      <c r="I4388" s="2">
        <v>4.5</v>
      </c>
      <c r="J4388" s="4">
        <v>20</v>
      </c>
      <c r="K4388" s="3">
        <v>5</v>
      </c>
      <c r="L4388" s="1">
        <f t="shared" si="204"/>
        <v>24.376000000000001</v>
      </c>
      <c r="M4388" t="str" cm="1">
        <f t="array" ref="M4388">_xlfn.IFS(B4388&lt;18,"Under 18",B4388 &lt;=25,"18-25",B4388&lt;=35,"26-35",B4388&lt;=45,"36-45",B4388&lt;=60,"46-60",TRUE,"60+")</f>
        <v>18-25</v>
      </c>
      <c r="N4388" t="str">
        <f t="shared" si="205"/>
        <v>Discounted</v>
      </c>
      <c r="O4388" t="str">
        <f t="shared" si="206"/>
        <v>Returning</v>
      </c>
    </row>
    <row r="4389" spans="1:15" x14ac:dyDescent="0.25">
      <c r="A4389">
        <v>4388</v>
      </c>
      <c r="B4389">
        <v>50</v>
      </c>
      <c r="C4389" t="s">
        <v>16</v>
      </c>
      <c r="D4389" t="s">
        <v>25</v>
      </c>
      <c r="E4389" t="s">
        <v>47</v>
      </c>
      <c r="F4389" s="1">
        <v>10.5</v>
      </c>
      <c r="G4389" t="s">
        <v>24</v>
      </c>
      <c r="H4389" t="s">
        <v>37</v>
      </c>
      <c r="I4389" s="2">
        <v>4.5</v>
      </c>
      <c r="J4389" s="4">
        <v>26</v>
      </c>
      <c r="K4389" s="3">
        <v>8</v>
      </c>
      <c r="L4389" s="1">
        <f t="shared" si="204"/>
        <v>7.77</v>
      </c>
      <c r="M4389" t="str" cm="1">
        <f t="array" ref="M4389">_xlfn.IFS(B4389&lt;18,"Under 18",B4389 &lt;=25,"18-25",B4389&lt;=35,"26-35",B4389&lt;=45,"36-45",B4389&lt;=60,"46-60",TRUE,"60+")</f>
        <v>46-60</v>
      </c>
      <c r="N4389" t="str">
        <f t="shared" si="205"/>
        <v>Discounted</v>
      </c>
      <c r="O4389" t="str">
        <f t="shared" si="206"/>
        <v>Returning</v>
      </c>
    </row>
    <row r="4390" spans="1:15" x14ac:dyDescent="0.25">
      <c r="A4390">
        <v>4389</v>
      </c>
      <c r="B4390">
        <v>63</v>
      </c>
      <c r="C4390" t="s">
        <v>16</v>
      </c>
      <c r="D4390" t="s">
        <v>27</v>
      </c>
      <c r="E4390" t="s">
        <v>53</v>
      </c>
      <c r="F4390" s="1">
        <v>2558.44</v>
      </c>
      <c r="G4390" t="s">
        <v>19</v>
      </c>
      <c r="H4390" t="s">
        <v>15</v>
      </c>
      <c r="I4390" s="2">
        <v>4.2</v>
      </c>
      <c r="J4390" s="4">
        <v>6</v>
      </c>
      <c r="K4390" s="3">
        <v>3</v>
      </c>
      <c r="L4390" s="1">
        <f t="shared" si="204"/>
        <v>2404.9335999999998</v>
      </c>
      <c r="M4390" t="str" cm="1">
        <f t="array" ref="M4390">_xlfn.IFS(B4390&lt;18,"Under 18",B4390 &lt;=25,"18-25",B4390&lt;=35,"26-35",B4390&lt;=45,"36-45",B4390&lt;=60,"46-60",TRUE,"60+")</f>
        <v>60+</v>
      </c>
      <c r="N4390" t="str">
        <f t="shared" si="205"/>
        <v>Discounted</v>
      </c>
      <c r="O4390" t="str">
        <f t="shared" si="206"/>
        <v>Returning</v>
      </c>
    </row>
    <row r="4391" spans="1:15" x14ac:dyDescent="0.25">
      <c r="A4391">
        <v>4390</v>
      </c>
      <c r="B4391">
        <v>58</v>
      </c>
      <c r="C4391" t="s">
        <v>11</v>
      </c>
      <c r="D4391" t="s">
        <v>41</v>
      </c>
      <c r="E4391" t="s">
        <v>42</v>
      </c>
      <c r="F4391" s="1">
        <v>32.71</v>
      </c>
      <c r="G4391" t="s">
        <v>19</v>
      </c>
      <c r="H4391" t="s">
        <v>37</v>
      </c>
      <c r="I4391" s="2">
        <v>3.4</v>
      </c>
      <c r="J4391" s="4">
        <v>17</v>
      </c>
      <c r="K4391" s="3">
        <v>6</v>
      </c>
      <c r="L4391" s="1">
        <f t="shared" si="204"/>
        <v>27.1493</v>
      </c>
      <c r="M4391" t="str" cm="1">
        <f t="array" ref="M4391">_xlfn.IFS(B4391&lt;18,"Under 18",B4391 &lt;=25,"18-25",B4391&lt;=35,"26-35",B4391&lt;=45,"36-45",B4391&lt;=60,"46-60",TRUE,"60+")</f>
        <v>46-60</v>
      </c>
      <c r="N4391" t="str">
        <f t="shared" si="205"/>
        <v>Discounted</v>
      </c>
      <c r="O4391" t="str">
        <f t="shared" si="206"/>
        <v>Returning</v>
      </c>
    </row>
    <row r="4392" spans="1:15" x14ac:dyDescent="0.25">
      <c r="A4392">
        <v>4391</v>
      </c>
      <c r="B4392">
        <v>25</v>
      </c>
      <c r="C4392" t="s">
        <v>16</v>
      </c>
      <c r="D4392" t="s">
        <v>20</v>
      </c>
      <c r="E4392" t="s">
        <v>21</v>
      </c>
      <c r="F4392" s="1">
        <v>203.65</v>
      </c>
      <c r="G4392" t="s">
        <v>31</v>
      </c>
      <c r="H4392" t="s">
        <v>15</v>
      </c>
      <c r="I4392" s="2">
        <v>4.7</v>
      </c>
      <c r="J4392" s="4">
        <v>26</v>
      </c>
      <c r="K4392" s="3">
        <v>13</v>
      </c>
      <c r="L4392" s="1">
        <f t="shared" si="204"/>
        <v>150.70099999999999</v>
      </c>
      <c r="M4392" t="str" cm="1">
        <f t="array" ref="M4392">_xlfn.IFS(B4392&lt;18,"Under 18",B4392 &lt;=25,"18-25",B4392&lt;=35,"26-35",B4392&lt;=45,"36-45",B4392&lt;=60,"46-60",TRUE,"60+")</f>
        <v>18-25</v>
      </c>
      <c r="N4392" t="str">
        <f t="shared" si="205"/>
        <v>Discounted</v>
      </c>
      <c r="O4392" t="str">
        <f t="shared" si="206"/>
        <v>Returning</v>
      </c>
    </row>
    <row r="4393" spans="1:15" x14ac:dyDescent="0.25">
      <c r="A4393">
        <v>4392</v>
      </c>
      <c r="B4393">
        <v>66</v>
      </c>
      <c r="C4393" t="s">
        <v>11</v>
      </c>
      <c r="D4393" t="s">
        <v>22</v>
      </c>
      <c r="E4393" t="s">
        <v>52</v>
      </c>
      <c r="F4393" s="1">
        <v>186.33</v>
      </c>
      <c r="G4393" t="s">
        <v>31</v>
      </c>
      <c r="H4393" t="s">
        <v>15</v>
      </c>
      <c r="I4393" s="2">
        <v>3.9</v>
      </c>
      <c r="J4393" s="4">
        <v>12</v>
      </c>
      <c r="K4393" s="3">
        <v>6</v>
      </c>
      <c r="L4393" s="1">
        <f t="shared" si="204"/>
        <v>163.97040000000001</v>
      </c>
      <c r="M4393" t="str" cm="1">
        <f t="array" ref="M4393">_xlfn.IFS(B4393&lt;18,"Under 18",B4393 &lt;=25,"18-25",B4393&lt;=35,"26-35",B4393&lt;=45,"36-45",B4393&lt;=60,"46-60",TRUE,"60+")</f>
        <v>60+</v>
      </c>
      <c r="N4393" t="str">
        <f t="shared" si="205"/>
        <v>Discounted</v>
      </c>
      <c r="O4393" t="str">
        <f t="shared" si="206"/>
        <v>Returning</v>
      </c>
    </row>
    <row r="4394" spans="1:15" x14ac:dyDescent="0.25">
      <c r="A4394">
        <v>4393</v>
      </c>
      <c r="B4394">
        <v>63</v>
      </c>
      <c r="C4394" t="s">
        <v>11</v>
      </c>
      <c r="D4394" t="s">
        <v>20</v>
      </c>
      <c r="E4394" t="s">
        <v>36</v>
      </c>
      <c r="F4394" s="1">
        <v>154.41</v>
      </c>
      <c r="G4394" t="s">
        <v>14</v>
      </c>
      <c r="H4394" t="s">
        <v>15</v>
      </c>
      <c r="I4394" s="2">
        <v>3.5</v>
      </c>
      <c r="J4394" s="4">
        <v>16</v>
      </c>
      <c r="K4394" s="3">
        <v>3</v>
      </c>
      <c r="L4394" s="1">
        <f t="shared" si="204"/>
        <v>129.70439999999999</v>
      </c>
      <c r="M4394" t="str" cm="1">
        <f t="array" ref="M4394">_xlfn.IFS(B4394&lt;18,"Under 18",B4394 &lt;=25,"18-25",B4394&lt;=35,"26-35",B4394&lt;=45,"36-45",B4394&lt;=60,"46-60",TRUE,"60+")</f>
        <v>60+</v>
      </c>
      <c r="N4394" t="str">
        <f t="shared" si="205"/>
        <v>Discounted</v>
      </c>
      <c r="O4394" t="str">
        <f t="shared" si="206"/>
        <v>Returning</v>
      </c>
    </row>
    <row r="4395" spans="1:15" x14ac:dyDescent="0.25">
      <c r="A4395">
        <v>4394</v>
      </c>
      <c r="B4395">
        <v>70</v>
      </c>
      <c r="C4395" t="s">
        <v>11</v>
      </c>
      <c r="D4395" t="s">
        <v>29</v>
      </c>
      <c r="E4395" t="s">
        <v>30</v>
      </c>
      <c r="F4395" s="1">
        <v>105.45</v>
      </c>
      <c r="G4395" t="s">
        <v>14</v>
      </c>
      <c r="H4395" t="s">
        <v>15</v>
      </c>
      <c r="I4395" s="2">
        <v>3.2</v>
      </c>
      <c r="J4395" s="4">
        <v>16</v>
      </c>
      <c r="K4395" s="3">
        <v>3</v>
      </c>
      <c r="L4395" s="1">
        <f t="shared" si="204"/>
        <v>88.578000000000003</v>
      </c>
      <c r="M4395" t="str" cm="1">
        <f t="array" ref="M4395">_xlfn.IFS(B4395&lt;18,"Under 18",B4395 &lt;=25,"18-25",B4395&lt;=35,"26-35",B4395&lt;=45,"36-45",B4395&lt;=60,"46-60",TRUE,"60+")</f>
        <v>60+</v>
      </c>
      <c r="N4395" t="str">
        <f t="shared" si="205"/>
        <v>Discounted</v>
      </c>
      <c r="O4395" t="str">
        <f t="shared" si="206"/>
        <v>Returning</v>
      </c>
    </row>
    <row r="4396" spans="1:15" x14ac:dyDescent="0.25">
      <c r="A4396">
        <v>4395</v>
      </c>
      <c r="B4396">
        <v>28</v>
      </c>
      <c r="C4396" t="s">
        <v>11</v>
      </c>
      <c r="D4396" t="s">
        <v>25</v>
      </c>
      <c r="E4396" t="s">
        <v>26</v>
      </c>
      <c r="F4396" s="1">
        <v>71.260000000000005</v>
      </c>
      <c r="G4396" t="s">
        <v>14</v>
      </c>
      <c r="H4396" t="s">
        <v>15</v>
      </c>
      <c r="I4396" s="2">
        <v>3.6</v>
      </c>
      <c r="J4396" s="4">
        <v>11</v>
      </c>
      <c r="K4396" s="3">
        <v>3</v>
      </c>
      <c r="L4396" s="1">
        <f t="shared" si="204"/>
        <v>63.421400000000006</v>
      </c>
      <c r="M4396" t="str" cm="1">
        <f t="array" ref="M4396">_xlfn.IFS(B4396&lt;18,"Under 18",B4396 &lt;=25,"18-25",B4396&lt;=35,"26-35",B4396&lt;=45,"36-45",B4396&lt;=60,"46-60",TRUE,"60+")</f>
        <v>26-35</v>
      </c>
      <c r="N4396" t="str">
        <f t="shared" si="205"/>
        <v>Discounted</v>
      </c>
      <c r="O4396" t="str">
        <f t="shared" si="206"/>
        <v>Returning</v>
      </c>
    </row>
    <row r="4397" spans="1:15" x14ac:dyDescent="0.25">
      <c r="A4397">
        <v>4396</v>
      </c>
      <c r="B4397">
        <v>28</v>
      </c>
      <c r="C4397" t="s">
        <v>11</v>
      </c>
      <c r="D4397" t="s">
        <v>33</v>
      </c>
      <c r="E4397" t="s">
        <v>40</v>
      </c>
      <c r="F4397" s="1">
        <v>210.09</v>
      </c>
      <c r="G4397" t="s">
        <v>31</v>
      </c>
      <c r="H4397" t="s">
        <v>15</v>
      </c>
      <c r="I4397" s="2">
        <v>4.4000000000000004</v>
      </c>
      <c r="J4397" s="4">
        <v>24</v>
      </c>
      <c r="K4397" s="3">
        <v>7</v>
      </c>
      <c r="L4397" s="1">
        <f t="shared" si="204"/>
        <v>159.66839999999999</v>
      </c>
      <c r="M4397" t="str" cm="1">
        <f t="array" ref="M4397">_xlfn.IFS(B4397&lt;18,"Under 18",B4397 &lt;=25,"18-25",B4397&lt;=35,"26-35",B4397&lt;=45,"36-45",B4397&lt;=60,"46-60",TRUE,"60+")</f>
        <v>26-35</v>
      </c>
      <c r="N4397" t="str">
        <f t="shared" si="205"/>
        <v>Discounted</v>
      </c>
      <c r="O4397" t="str">
        <f t="shared" si="206"/>
        <v>Returning</v>
      </c>
    </row>
    <row r="4398" spans="1:15" x14ac:dyDescent="0.25">
      <c r="A4398">
        <v>4397</v>
      </c>
      <c r="B4398">
        <v>36</v>
      </c>
      <c r="C4398" t="s">
        <v>11</v>
      </c>
      <c r="D4398" t="s">
        <v>29</v>
      </c>
      <c r="E4398" t="s">
        <v>30</v>
      </c>
      <c r="F4398" s="1">
        <v>28.51</v>
      </c>
      <c r="G4398" t="s">
        <v>19</v>
      </c>
      <c r="H4398" t="s">
        <v>15</v>
      </c>
      <c r="I4398" s="2">
        <v>2.9</v>
      </c>
      <c r="J4398" s="4">
        <v>16</v>
      </c>
      <c r="K4398" s="3">
        <v>3</v>
      </c>
      <c r="L4398" s="1">
        <f t="shared" si="204"/>
        <v>23.948399999999999</v>
      </c>
      <c r="M4398" t="str" cm="1">
        <f t="array" ref="M4398">_xlfn.IFS(B4398&lt;18,"Under 18",B4398 &lt;=25,"18-25",B4398&lt;=35,"26-35",B4398&lt;=45,"36-45",B4398&lt;=60,"46-60",TRUE,"60+")</f>
        <v>36-45</v>
      </c>
      <c r="N4398" t="str">
        <f t="shared" si="205"/>
        <v>Discounted</v>
      </c>
      <c r="O4398" t="str">
        <f t="shared" si="206"/>
        <v>Returning</v>
      </c>
    </row>
    <row r="4399" spans="1:15" x14ac:dyDescent="0.25">
      <c r="A4399">
        <v>4398</v>
      </c>
      <c r="B4399">
        <v>47</v>
      </c>
      <c r="C4399" t="s">
        <v>11</v>
      </c>
      <c r="D4399" t="s">
        <v>29</v>
      </c>
      <c r="E4399" t="s">
        <v>55</v>
      </c>
      <c r="F4399" s="1">
        <v>108.76</v>
      </c>
      <c r="G4399" t="s">
        <v>19</v>
      </c>
      <c r="H4399" t="s">
        <v>15</v>
      </c>
      <c r="I4399" s="2">
        <v>3.7</v>
      </c>
      <c r="J4399" s="4">
        <v>6</v>
      </c>
      <c r="K4399" s="3">
        <v>3</v>
      </c>
      <c r="L4399" s="1">
        <f t="shared" si="204"/>
        <v>102.23439999999999</v>
      </c>
      <c r="M4399" t="str" cm="1">
        <f t="array" ref="M4399">_xlfn.IFS(B4399&lt;18,"Under 18",B4399 &lt;=25,"18-25",B4399&lt;=35,"26-35",B4399&lt;=45,"36-45",B4399&lt;=60,"46-60",TRUE,"60+")</f>
        <v>46-60</v>
      </c>
      <c r="N4399" t="str">
        <f t="shared" si="205"/>
        <v>Discounted</v>
      </c>
      <c r="O4399" t="str">
        <f t="shared" si="206"/>
        <v>Returning</v>
      </c>
    </row>
    <row r="4400" spans="1:15" x14ac:dyDescent="0.25">
      <c r="A4400">
        <v>4399</v>
      </c>
      <c r="B4400">
        <v>25</v>
      </c>
      <c r="C4400" t="s">
        <v>11</v>
      </c>
      <c r="D4400" t="s">
        <v>33</v>
      </c>
      <c r="E4400" t="s">
        <v>40</v>
      </c>
      <c r="F4400" s="1">
        <v>248.94</v>
      </c>
      <c r="G4400" t="s">
        <v>14</v>
      </c>
      <c r="H4400" t="s">
        <v>15</v>
      </c>
      <c r="I4400" s="2">
        <v>2.5</v>
      </c>
      <c r="J4400" s="4">
        <v>18</v>
      </c>
      <c r="K4400" s="3">
        <v>4</v>
      </c>
      <c r="L4400" s="1">
        <f t="shared" si="204"/>
        <v>204.13080000000002</v>
      </c>
      <c r="M4400" t="str" cm="1">
        <f t="array" ref="M4400">_xlfn.IFS(B4400&lt;18,"Under 18",B4400 &lt;=25,"18-25",B4400&lt;=35,"26-35",B4400&lt;=45,"36-45",B4400&lt;=60,"46-60",TRUE,"60+")</f>
        <v>18-25</v>
      </c>
      <c r="N4400" t="str">
        <f t="shared" si="205"/>
        <v>Discounted</v>
      </c>
      <c r="O4400" t="str">
        <f t="shared" si="206"/>
        <v>Returning</v>
      </c>
    </row>
    <row r="4401" spans="1:15" x14ac:dyDescent="0.25">
      <c r="A4401">
        <v>4400</v>
      </c>
      <c r="B4401">
        <v>55</v>
      </c>
      <c r="C4401" t="s">
        <v>16</v>
      </c>
      <c r="D4401" t="s">
        <v>17</v>
      </c>
      <c r="E4401" t="s">
        <v>18</v>
      </c>
      <c r="F4401" s="1">
        <v>178.99</v>
      </c>
      <c r="G4401" t="s">
        <v>19</v>
      </c>
      <c r="H4401" t="s">
        <v>15</v>
      </c>
      <c r="I4401" s="2">
        <v>5</v>
      </c>
      <c r="J4401" s="4">
        <v>8</v>
      </c>
      <c r="K4401" s="3">
        <v>4</v>
      </c>
      <c r="L4401" s="1">
        <f t="shared" si="204"/>
        <v>164.67080000000001</v>
      </c>
      <c r="M4401" t="str" cm="1">
        <f t="array" ref="M4401">_xlfn.IFS(B4401&lt;18,"Under 18",B4401 &lt;=25,"18-25",B4401&lt;=35,"26-35",B4401&lt;=45,"36-45",B4401&lt;=60,"46-60",TRUE,"60+")</f>
        <v>46-60</v>
      </c>
      <c r="N4401" t="str">
        <f t="shared" si="205"/>
        <v>Discounted</v>
      </c>
      <c r="O4401" t="str">
        <f t="shared" si="206"/>
        <v>Returning</v>
      </c>
    </row>
    <row r="4402" spans="1:15" x14ac:dyDescent="0.25">
      <c r="A4402">
        <v>4401</v>
      </c>
      <c r="B4402">
        <v>22</v>
      </c>
      <c r="C4402" t="s">
        <v>11</v>
      </c>
      <c r="D4402" t="s">
        <v>25</v>
      </c>
      <c r="E4402" t="s">
        <v>26</v>
      </c>
      <c r="F4402" s="1">
        <v>64.91</v>
      </c>
      <c r="G4402" t="s">
        <v>19</v>
      </c>
      <c r="H4402" t="s">
        <v>37</v>
      </c>
      <c r="I4402" s="2">
        <v>2.9</v>
      </c>
      <c r="J4402" s="4">
        <v>15</v>
      </c>
      <c r="K4402" s="3">
        <v>5</v>
      </c>
      <c r="L4402" s="1">
        <f t="shared" si="204"/>
        <v>55.173499999999997</v>
      </c>
      <c r="M4402" t="str" cm="1">
        <f t="array" ref="M4402">_xlfn.IFS(B4402&lt;18,"Under 18",B4402 &lt;=25,"18-25",B4402&lt;=35,"26-35",B4402&lt;=45,"36-45",B4402&lt;=60,"46-60",TRUE,"60+")</f>
        <v>18-25</v>
      </c>
      <c r="N4402" t="str">
        <f t="shared" si="205"/>
        <v>Discounted</v>
      </c>
      <c r="O4402" t="str">
        <f t="shared" si="206"/>
        <v>Returning</v>
      </c>
    </row>
    <row r="4403" spans="1:15" x14ac:dyDescent="0.25">
      <c r="A4403">
        <v>4402</v>
      </c>
      <c r="B4403">
        <v>55</v>
      </c>
      <c r="C4403" t="s">
        <v>16</v>
      </c>
      <c r="D4403" t="s">
        <v>27</v>
      </c>
      <c r="E4403" t="s">
        <v>32</v>
      </c>
      <c r="F4403" s="1">
        <v>1774.32</v>
      </c>
      <c r="G4403" t="s">
        <v>31</v>
      </c>
      <c r="H4403" t="s">
        <v>15</v>
      </c>
      <c r="I4403" s="2">
        <v>4</v>
      </c>
      <c r="J4403" s="4">
        <v>26</v>
      </c>
      <c r="K4403" s="3">
        <v>8</v>
      </c>
      <c r="L4403" s="1">
        <f t="shared" si="204"/>
        <v>1312.9967999999999</v>
      </c>
      <c r="M4403" t="str" cm="1">
        <f t="array" ref="M4403">_xlfn.IFS(B4403&lt;18,"Under 18",B4403 &lt;=25,"18-25",B4403&lt;=35,"26-35",B4403&lt;=45,"36-45",B4403&lt;=60,"46-60",TRUE,"60+")</f>
        <v>46-60</v>
      </c>
      <c r="N4403" t="str">
        <f t="shared" si="205"/>
        <v>Discounted</v>
      </c>
      <c r="O4403" t="str">
        <f t="shared" si="206"/>
        <v>Returning</v>
      </c>
    </row>
    <row r="4404" spans="1:15" x14ac:dyDescent="0.25">
      <c r="A4404">
        <v>4403</v>
      </c>
      <c r="B4404">
        <v>25</v>
      </c>
      <c r="C4404" t="s">
        <v>16</v>
      </c>
      <c r="D4404" t="s">
        <v>17</v>
      </c>
      <c r="E4404" t="s">
        <v>18</v>
      </c>
      <c r="F4404" s="1">
        <v>173.88</v>
      </c>
      <c r="G4404" t="s">
        <v>19</v>
      </c>
      <c r="H4404" t="s">
        <v>15</v>
      </c>
      <c r="I4404" s="2">
        <v>4.4000000000000004</v>
      </c>
      <c r="J4404" s="4">
        <v>21</v>
      </c>
      <c r="K4404" s="3">
        <v>8</v>
      </c>
      <c r="L4404" s="1">
        <f t="shared" si="204"/>
        <v>137.36520000000002</v>
      </c>
      <c r="M4404" t="str" cm="1">
        <f t="array" ref="M4404">_xlfn.IFS(B4404&lt;18,"Under 18",B4404 &lt;=25,"18-25",B4404&lt;=35,"26-35",B4404&lt;=45,"36-45",B4404&lt;=60,"46-60",TRUE,"60+")</f>
        <v>18-25</v>
      </c>
      <c r="N4404" t="str">
        <f t="shared" si="205"/>
        <v>Discounted</v>
      </c>
      <c r="O4404" t="str">
        <f t="shared" si="206"/>
        <v>Returning</v>
      </c>
    </row>
    <row r="4405" spans="1:15" x14ac:dyDescent="0.25">
      <c r="A4405">
        <v>4404</v>
      </c>
      <c r="B4405">
        <v>34</v>
      </c>
      <c r="C4405" t="s">
        <v>16</v>
      </c>
      <c r="D4405" t="s">
        <v>20</v>
      </c>
      <c r="E4405" t="s">
        <v>39</v>
      </c>
      <c r="F4405" s="1">
        <v>130.83000000000001</v>
      </c>
      <c r="G4405" t="s">
        <v>19</v>
      </c>
      <c r="H4405" t="s">
        <v>15</v>
      </c>
      <c r="I4405" s="2">
        <v>3.6</v>
      </c>
      <c r="J4405" s="4">
        <v>20</v>
      </c>
      <c r="K4405" s="3">
        <v>5</v>
      </c>
      <c r="L4405" s="1">
        <f t="shared" si="204"/>
        <v>104.66400000000002</v>
      </c>
      <c r="M4405" t="str" cm="1">
        <f t="array" ref="M4405">_xlfn.IFS(B4405&lt;18,"Under 18",B4405 &lt;=25,"18-25",B4405&lt;=35,"26-35",B4405&lt;=45,"36-45",B4405&lt;=60,"46-60",TRUE,"60+")</f>
        <v>26-35</v>
      </c>
      <c r="N4405" t="str">
        <f t="shared" si="205"/>
        <v>Discounted</v>
      </c>
      <c r="O4405" t="str">
        <f t="shared" si="206"/>
        <v>Returning</v>
      </c>
    </row>
    <row r="4406" spans="1:15" x14ac:dyDescent="0.25">
      <c r="A4406">
        <v>4405</v>
      </c>
      <c r="B4406">
        <v>39</v>
      </c>
      <c r="C4406" t="s">
        <v>11</v>
      </c>
      <c r="D4406" t="s">
        <v>12</v>
      </c>
      <c r="E4406" t="s">
        <v>56</v>
      </c>
      <c r="F4406" s="1">
        <v>47.44</v>
      </c>
      <c r="G4406" t="s">
        <v>31</v>
      </c>
      <c r="H4406" t="s">
        <v>15</v>
      </c>
      <c r="I4406" s="2">
        <v>3.8</v>
      </c>
      <c r="J4406" s="4">
        <v>15</v>
      </c>
      <c r="K4406" s="3">
        <v>5</v>
      </c>
      <c r="L4406" s="1">
        <f t="shared" si="204"/>
        <v>40.323999999999998</v>
      </c>
      <c r="M4406" t="str" cm="1">
        <f t="array" ref="M4406">_xlfn.IFS(B4406&lt;18,"Under 18",B4406 &lt;=25,"18-25",B4406&lt;=35,"26-35",B4406&lt;=45,"36-45",B4406&lt;=60,"46-60",TRUE,"60+")</f>
        <v>36-45</v>
      </c>
      <c r="N4406" t="str">
        <f t="shared" si="205"/>
        <v>Discounted</v>
      </c>
      <c r="O4406" t="str">
        <f t="shared" si="206"/>
        <v>Returning</v>
      </c>
    </row>
    <row r="4407" spans="1:15" x14ac:dyDescent="0.25">
      <c r="A4407">
        <v>4406</v>
      </c>
      <c r="B4407">
        <v>65</v>
      </c>
      <c r="C4407" t="s">
        <v>16</v>
      </c>
      <c r="D4407" t="s">
        <v>17</v>
      </c>
      <c r="E4407" t="s">
        <v>42</v>
      </c>
      <c r="F4407" s="1">
        <v>76.94</v>
      </c>
      <c r="G4407" t="s">
        <v>19</v>
      </c>
      <c r="H4407" t="s">
        <v>15</v>
      </c>
      <c r="I4407" s="2">
        <v>3.9</v>
      </c>
      <c r="J4407" s="4">
        <v>16</v>
      </c>
      <c r="K4407" s="3">
        <v>8</v>
      </c>
      <c r="L4407" s="1">
        <f t="shared" si="204"/>
        <v>64.629599999999996</v>
      </c>
      <c r="M4407" t="str" cm="1">
        <f t="array" ref="M4407">_xlfn.IFS(B4407&lt;18,"Under 18",B4407 &lt;=25,"18-25",B4407&lt;=35,"26-35",B4407&lt;=45,"36-45",B4407&lt;=60,"46-60",TRUE,"60+")</f>
        <v>60+</v>
      </c>
      <c r="N4407" t="str">
        <f t="shared" si="205"/>
        <v>Discounted</v>
      </c>
      <c r="O4407" t="str">
        <f t="shared" si="206"/>
        <v>Returning</v>
      </c>
    </row>
    <row r="4408" spans="1:15" x14ac:dyDescent="0.25">
      <c r="A4408">
        <v>4407</v>
      </c>
      <c r="B4408">
        <v>51</v>
      </c>
      <c r="C4408" t="s">
        <v>11</v>
      </c>
      <c r="D4408" t="s">
        <v>33</v>
      </c>
      <c r="E4408" t="s">
        <v>40</v>
      </c>
      <c r="F4408" s="1">
        <v>79.66</v>
      </c>
      <c r="G4408" t="s">
        <v>14</v>
      </c>
      <c r="H4408" t="s">
        <v>15</v>
      </c>
      <c r="I4408" s="2">
        <v>3.8</v>
      </c>
      <c r="J4408" s="4">
        <v>2</v>
      </c>
      <c r="K4408" s="3">
        <v>1</v>
      </c>
      <c r="L4408" s="1">
        <f t="shared" si="204"/>
        <v>78.066800000000001</v>
      </c>
      <c r="M4408" t="str" cm="1">
        <f t="array" ref="M4408">_xlfn.IFS(B4408&lt;18,"Under 18",B4408 &lt;=25,"18-25",B4408&lt;=35,"26-35",B4408&lt;=45,"36-45",B4408&lt;=60,"46-60",TRUE,"60+")</f>
        <v>46-60</v>
      </c>
      <c r="N4408" t="str">
        <f t="shared" si="205"/>
        <v>Discounted</v>
      </c>
      <c r="O4408" t="str">
        <f t="shared" si="206"/>
        <v>Returning</v>
      </c>
    </row>
    <row r="4409" spans="1:15" x14ac:dyDescent="0.25">
      <c r="A4409">
        <v>4408</v>
      </c>
      <c r="B4409">
        <v>52</v>
      </c>
      <c r="C4409" t="s">
        <v>16</v>
      </c>
      <c r="D4409" t="s">
        <v>33</v>
      </c>
      <c r="E4409" t="s">
        <v>40</v>
      </c>
      <c r="F4409" s="1">
        <v>91.9</v>
      </c>
      <c r="G4409" t="s">
        <v>24</v>
      </c>
      <c r="H4409" t="s">
        <v>37</v>
      </c>
      <c r="I4409" s="2">
        <v>2.5</v>
      </c>
      <c r="J4409" s="4">
        <v>8</v>
      </c>
      <c r="K4409" s="3">
        <v>4</v>
      </c>
      <c r="L4409" s="1">
        <f t="shared" si="204"/>
        <v>84.548000000000002</v>
      </c>
      <c r="M4409" t="str" cm="1">
        <f t="array" ref="M4409">_xlfn.IFS(B4409&lt;18,"Under 18",B4409 &lt;=25,"18-25",B4409&lt;=35,"26-35",B4409&lt;=45,"36-45",B4409&lt;=60,"46-60",TRUE,"60+")</f>
        <v>46-60</v>
      </c>
      <c r="N4409" t="str">
        <f t="shared" si="205"/>
        <v>Discounted</v>
      </c>
      <c r="O4409" t="str">
        <f t="shared" si="206"/>
        <v>Returning</v>
      </c>
    </row>
    <row r="4410" spans="1:15" x14ac:dyDescent="0.25">
      <c r="A4410">
        <v>4409</v>
      </c>
      <c r="B4410">
        <v>48</v>
      </c>
      <c r="C4410" t="s">
        <v>11</v>
      </c>
      <c r="D4410" t="s">
        <v>33</v>
      </c>
      <c r="E4410" t="s">
        <v>38</v>
      </c>
      <c r="F4410" s="1">
        <v>146.85</v>
      </c>
      <c r="G4410" t="s">
        <v>19</v>
      </c>
      <c r="H4410" t="s">
        <v>15</v>
      </c>
      <c r="I4410" s="2">
        <v>3.5</v>
      </c>
      <c r="J4410" s="4">
        <v>11</v>
      </c>
      <c r="K4410" s="3">
        <v>3</v>
      </c>
      <c r="L4410" s="1">
        <f t="shared" si="204"/>
        <v>130.69649999999999</v>
      </c>
      <c r="M4410" t="str" cm="1">
        <f t="array" ref="M4410">_xlfn.IFS(B4410&lt;18,"Under 18",B4410 &lt;=25,"18-25",B4410&lt;=35,"26-35",B4410&lt;=45,"36-45",B4410&lt;=60,"46-60",TRUE,"60+")</f>
        <v>46-60</v>
      </c>
      <c r="N4410" t="str">
        <f t="shared" si="205"/>
        <v>Discounted</v>
      </c>
      <c r="O4410" t="str">
        <f t="shared" si="206"/>
        <v>Returning</v>
      </c>
    </row>
    <row r="4411" spans="1:15" x14ac:dyDescent="0.25">
      <c r="A4411">
        <v>4410</v>
      </c>
      <c r="B4411">
        <v>25</v>
      </c>
      <c r="C4411" t="s">
        <v>11</v>
      </c>
      <c r="D4411" t="s">
        <v>12</v>
      </c>
      <c r="E4411" t="s">
        <v>13</v>
      </c>
      <c r="F4411" s="1">
        <v>100.99</v>
      </c>
      <c r="G4411" t="s">
        <v>14</v>
      </c>
      <c r="H4411" t="s">
        <v>15</v>
      </c>
      <c r="I4411" s="2">
        <v>3.5</v>
      </c>
      <c r="J4411" s="4">
        <v>19</v>
      </c>
      <c r="K4411" s="3">
        <v>7</v>
      </c>
      <c r="L4411" s="1">
        <f t="shared" si="204"/>
        <v>81.801900000000003</v>
      </c>
      <c r="M4411" t="str" cm="1">
        <f t="array" ref="M4411">_xlfn.IFS(B4411&lt;18,"Under 18",B4411 &lt;=25,"18-25",B4411&lt;=35,"26-35",B4411&lt;=45,"36-45",B4411&lt;=60,"46-60",TRUE,"60+")</f>
        <v>18-25</v>
      </c>
      <c r="N4411" t="str">
        <f t="shared" si="205"/>
        <v>Discounted</v>
      </c>
      <c r="O4411" t="str">
        <f t="shared" si="206"/>
        <v>Returning</v>
      </c>
    </row>
    <row r="4412" spans="1:15" x14ac:dyDescent="0.25">
      <c r="A4412">
        <v>4411</v>
      </c>
      <c r="B4412">
        <v>35</v>
      </c>
      <c r="C4412" t="s">
        <v>16</v>
      </c>
      <c r="D4412" t="s">
        <v>27</v>
      </c>
      <c r="E4412" t="s">
        <v>49</v>
      </c>
      <c r="F4412" s="1">
        <v>2272.6999999999998</v>
      </c>
      <c r="G4412" t="s">
        <v>24</v>
      </c>
      <c r="H4412" t="s">
        <v>15</v>
      </c>
      <c r="I4412" s="2">
        <v>2.2999999999999998</v>
      </c>
      <c r="J4412" s="4">
        <v>14</v>
      </c>
      <c r="K4412" s="3">
        <v>7</v>
      </c>
      <c r="L4412" s="1">
        <f t="shared" si="204"/>
        <v>1954.5219999999997</v>
      </c>
      <c r="M4412" t="str" cm="1">
        <f t="array" ref="M4412">_xlfn.IFS(B4412&lt;18,"Under 18",B4412 &lt;=25,"18-25",B4412&lt;=35,"26-35",B4412&lt;=45,"36-45",B4412&lt;=60,"46-60",TRUE,"60+")</f>
        <v>26-35</v>
      </c>
      <c r="N4412" t="str">
        <f t="shared" si="205"/>
        <v>Discounted</v>
      </c>
      <c r="O4412" t="str">
        <f t="shared" si="206"/>
        <v>Returning</v>
      </c>
    </row>
    <row r="4413" spans="1:15" x14ac:dyDescent="0.25">
      <c r="A4413">
        <v>4412</v>
      </c>
      <c r="B4413">
        <v>42</v>
      </c>
      <c r="C4413" t="s">
        <v>16</v>
      </c>
      <c r="D4413" t="s">
        <v>27</v>
      </c>
      <c r="E4413" t="s">
        <v>28</v>
      </c>
      <c r="F4413" s="1">
        <v>783.29</v>
      </c>
      <c r="G4413" t="s">
        <v>24</v>
      </c>
      <c r="H4413" t="s">
        <v>15</v>
      </c>
      <c r="I4413" s="2">
        <v>3.6</v>
      </c>
      <c r="J4413" s="4">
        <v>20</v>
      </c>
      <c r="K4413" s="3">
        <v>5</v>
      </c>
      <c r="L4413" s="1">
        <f t="shared" si="204"/>
        <v>626.63200000000006</v>
      </c>
      <c r="M4413" t="str" cm="1">
        <f t="array" ref="M4413">_xlfn.IFS(B4413&lt;18,"Under 18",B4413 &lt;=25,"18-25",B4413&lt;=35,"26-35",B4413&lt;=45,"36-45",B4413&lt;=60,"46-60",TRUE,"60+")</f>
        <v>36-45</v>
      </c>
      <c r="N4413" t="str">
        <f t="shared" si="205"/>
        <v>Discounted</v>
      </c>
      <c r="O4413" t="str">
        <f t="shared" si="206"/>
        <v>Returning</v>
      </c>
    </row>
    <row r="4414" spans="1:15" x14ac:dyDescent="0.25">
      <c r="A4414">
        <v>4413</v>
      </c>
      <c r="B4414">
        <v>46</v>
      </c>
      <c r="C4414" t="s">
        <v>16</v>
      </c>
      <c r="D4414" t="s">
        <v>20</v>
      </c>
      <c r="E4414" t="s">
        <v>36</v>
      </c>
      <c r="F4414" s="1">
        <v>125.6</v>
      </c>
      <c r="G4414" t="s">
        <v>19</v>
      </c>
      <c r="H4414" t="s">
        <v>15</v>
      </c>
      <c r="I4414" s="2">
        <v>1.8</v>
      </c>
      <c r="J4414" s="4">
        <v>10</v>
      </c>
      <c r="K4414" s="3">
        <v>5</v>
      </c>
      <c r="L4414" s="1">
        <f t="shared" si="204"/>
        <v>113.03999999999999</v>
      </c>
      <c r="M4414" t="str" cm="1">
        <f t="array" ref="M4414">_xlfn.IFS(B4414&lt;18,"Under 18",B4414 &lt;=25,"18-25",B4414&lt;=35,"26-35",B4414&lt;=45,"36-45",B4414&lt;=60,"46-60",TRUE,"60+")</f>
        <v>46-60</v>
      </c>
      <c r="N4414" t="str">
        <f t="shared" si="205"/>
        <v>Discounted</v>
      </c>
      <c r="O4414" t="str">
        <f t="shared" si="206"/>
        <v>Returning</v>
      </c>
    </row>
    <row r="4415" spans="1:15" x14ac:dyDescent="0.25">
      <c r="A4415">
        <v>4414</v>
      </c>
      <c r="B4415">
        <v>21</v>
      </c>
      <c r="C4415" t="s">
        <v>16</v>
      </c>
      <c r="D4415" t="s">
        <v>33</v>
      </c>
      <c r="E4415" t="s">
        <v>34</v>
      </c>
      <c r="F4415" s="1">
        <v>151.15</v>
      </c>
      <c r="G4415" t="s">
        <v>31</v>
      </c>
      <c r="H4415" t="s">
        <v>15</v>
      </c>
      <c r="I4415" s="2">
        <v>4.2</v>
      </c>
      <c r="J4415" s="4">
        <v>9</v>
      </c>
      <c r="K4415" s="3">
        <v>2</v>
      </c>
      <c r="L4415" s="1">
        <f t="shared" si="204"/>
        <v>137.54650000000001</v>
      </c>
      <c r="M4415" t="str" cm="1">
        <f t="array" ref="M4415">_xlfn.IFS(B4415&lt;18,"Under 18",B4415 &lt;=25,"18-25",B4415&lt;=35,"26-35",B4415&lt;=45,"36-45",B4415&lt;=60,"46-60",TRUE,"60+")</f>
        <v>18-25</v>
      </c>
      <c r="N4415" t="str">
        <f t="shared" si="205"/>
        <v>Discounted</v>
      </c>
      <c r="O4415" t="str">
        <f t="shared" si="206"/>
        <v>Returning</v>
      </c>
    </row>
    <row r="4416" spans="1:15" x14ac:dyDescent="0.25">
      <c r="A4416">
        <v>4415</v>
      </c>
      <c r="B4416">
        <v>22</v>
      </c>
      <c r="C4416" t="s">
        <v>11</v>
      </c>
      <c r="D4416" t="s">
        <v>29</v>
      </c>
      <c r="E4416" t="s">
        <v>51</v>
      </c>
      <c r="F4416" s="1">
        <v>116.28</v>
      </c>
      <c r="G4416" t="s">
        <v>31</v>
      </c>
      <c r="H4416" t="s">
        <v>15</v>
      </c>
      <c r="I4416" s="2">
        <v>4.2</v>
      </c>
      <c r="J4416" s="4">
        <v>12</v>
      </c>
      <c r="K4416" s="3">
        <v>6</v>
      </c>
      <c r="L4416" s="1">
        <f t="shared" si="204"/>
        <v>102.32640000000001</v>
      </c>
      <c r="M4416" t="str" cm="1">
        <f t="array" ref="M4416">_xlfn.IFS(B4416&lt;18,"Under 18",B4416 &lt;=25,"18-25",B4416&lt;=35,"26-35",B4416&lt;=45,"36-45",B4416&lt;=60,"46-60",TRUE,"60+")</f>
        <v>18-25</v>
      </c>
      <c r="N4416" t="str">
        <f t="shared" si="205"/>
        <v>Discounted</v>
      </c>
      <c r="O4416" t="str">
        <f t="shared" si="206"/>
        <v>Returning</v>
      </c>
    </row>
    <row r="4417" spans="1:15" x14ac:dyDescent="0.25">
      <c r="A4417">
        <v>4416</v>
      </c>
      <c r="B4417">
        <v>53</v>
      </c>
      <c r="C4417" t="s">
        <v>11</v>
      </c>
      <c r="D4417" t="s">
        <v>25</v>
      </c>
      <c r="E4417" t="s">
        <v>26</v>
      </c>
      <c r="F4417" s="1">
        <v>46.85</v>
      </c>
      <c r="G4417" t="s">
        <v>24</v>
      </c>
      <c r="H4417" t="s">
        <v>37</v>
      </c>
      <c r="I4417" s="2">
        <v>3</v>
      </c>
      <c r="J4417" s="4">
        <v>18</v>
      </c>
      <c r="K4417" s="3">
        <v>4</v>
      </c>
      <c r="L4417" s="1">
        <f t="shared" si="204"/>
        <v>38.417000000000002</v>
      </c>
      <c r="M4417" t="str" cm="1">
        <f t="array" ref="M4417">_xlfn.IFS(B4417&lt;18,"Under 18",B4417 &lt;=25,"18-25",B4417&lt;=35,"26-35",B4417&lt;=45,"36-45",B4417&lt;=60,"46-60",TRUE,"60+")</f>
        <v>46-60</v>
      </c>
      <c r="N4417" t="str">
        <f t="shared" si="205"/>
        <v>Discounted</v>
      </c>
      <c r="O4417" t="str">
        <f t="shared" si="206"/>
        <v>Returning</v>
      </c>
    </row>
    <row r="4418" spans="1:15" x14ac:dyDescent="0.25">
      <c r="A4418">
        <v>4417</v>
      </c>
      <c r="B4418">
        <v>26</v>
      </c>
      <c r="C4418" t="s">
        <v>16</v>
      </c>
      <c r="D4418" t="s">
        <v>27</v>
      </c>
      <c r="E4418" t="s">
        <v>32</v>
      </c>
      <c r="F4418" s="1">
        <v>2162.23</v>
      </c>
      <c r="G4418" t="s">
        <v>19</v>
      </c>
      <c r="H4418" t="s">
        <v>15</v>
      </c>
      <c r="I4418" s="2">
        <v>4.0999999999999996</v>
      </c>
      <c r="J4418" s="4">
        <v>4</v>
      </c>
      <c r="K4418" s="3">
        <v>2</v>
      </c>
      <c r="L4418" s="1">
        <f t="shared" si="204"/>
        <v>2075.7408</v>
      </c>
      <c r="M4418" t="str" cm="1">
        <f t="array" ref="M4418">_xlfn.IFS(B4418&lt;18,"Under 18",B4418 &lt;=25,"18-25",B4418&lt;=35,"26-35",B4418&lt;=45,"36-45",B4418&lt;=60,"46-60",TRUE,"60+")</f>
        <v>26-35</v>
      </c>
      <c r="N4418" t="str">
        <f t="shared" si="205"/>
        <v>Discounted</v>
      </c>
      <c r="O4418" t="str">
        <f t="shared" si="206"/>
        <v>Returning</v>
      </c>
    </row>
    <row r="4419" spans="1:15" x14ac:dyDescent="0.25">
      <c r="A4419">
        <v>4418</v>
      </c>
      <c r="B4419">
        <v>29</v>
      </c>
      <c r="C4419" t="s">
        <v>16</v>
      </c>
      <c r="D4419" t="s">
        <v>17</v>
      </c>
      <c r="E4419" t="s">
        <v>48</v>
      </c>
      <c r="F4419" s="1">
        <v>99.56</v>
      </c>
      <c r="G4419" t="s">
        <v>19</v>
      </c>
      <c r="H4419" t="s">
        <v>15</v>
      </c>
      <c r="I4419" s="2">
        <v>3</v>
      </c>
      <c r="J4419" s="4">
        <v>20</v>
      </c>
      <c r="K4419" s="3">
        <v>5</v>
      </c>
      <c r="L4419" s="1">
        <f t="shared" ref="L4419:L4482" si="207">F4419 * (1 - J4419 / 100)</f>
        <v>79.64800000000001</v>
      </c>
      <c r="M4419" t="str" cm="1">
        <f t="array" ref="M4419">_xlfn.IFS(B4419&lt;18,"Under 18",B4419 &lt;=25,"18-25",B4419&lt;=35,"26-35",B4419&lt;=45,"36-45",B4419&lt;=60,"46-60",TRUE,"60+")</f>
        <v>26-35</v>
      </c>
      <c r="N4419" t="str">
        <f t="shared" ref="N4419:N4482" si="208">IF(J4419&gt;0,"Discounted","No Discount")</f>
        <v>Discounted</v>
      </c>
      <c r="O4419" t="str">
        <f t="shared" ref="O4419:O4482" si="209">IF(K4419&gt;0,"Returning","New")</f>
        <v>Returning</v>
      </c>
    </row>
    <row r="4420" spans="1:15" x14ac:dyDescent="0.25">
      <c r="A4420">
        <v>4419</v>
      </c>
      <c r="B4420">
        <v>22</v>
      </c>
      <c r="C4420" t="s">
        <v>16</v>
      </c>
      <c r="D4420" t="s">
        <v>27</v>
      </c>
      <c r="E4420" t="s">
        <v>49</v>
      </c>
      <c r="F4420" s="1">
        <v>2633.36</v>
      </c>
      <c r="G4420" t="s">
        <v>19</v>
      </c>
      <c r="H4420" t="s">
        <v>15</v>
      </c>
      <c r="I4420" s="2">
        <v>4.2</v>
      </c>
      <c r="J4420" s="4">
        <v>18</v>
      </c>
      <c r="K4420" s="3">
        <v>4</v>
      </c>
      <c r="L4420" s="1">
        <f t="shared" si="207"/>
        <v>2159.3552000000004</v>
      </c>
      <c r="M4420" t="str" cm="1">
        <f t="array" ref="M4420">_xlfn.IFS(B4420&lt;18,"Under 18",B4420 &lt;=25,"18-25",B4420&lt;=35,"26-35",B4420&lt;=45,"36-45",B4420&lt;=60,"46-60",TRUE,"60+")</f>
        <v>18-25</v>
      </c>
      <c r="N4420" t="str">
        <f t="shared" si="208"/>
        <v>Discounted</v>
      </c>
      <c r="O4420" t="str">
        <f t="shared" si="209"/>
        <v>Returning</v>
      </c>
    </row>
    <row r="4421" spans="1:15" x14ac:dyDescent="0.25">
      <c r="A4421">
        <v>4420</v>
      </c>
      <c r="B4421">
        <v>63</v>
      </c>
      <c r="C4421" t="s">
        <v>11</v>
      </c>
      <c r="D4421" t="s">
        <v>12</v>
      </c>
      <c r="E4421" t="s">
        <v>50</v>
      </c>
      <c r="F4421" s="1">
        <v>132.84</v>
      </c>
      <c r="G4421" t="s">
        <v>14</v>
      </c>
      <c r="H4421" t="s">
        <v>15</v>
      </c>
      <c r="I4421" s="2">
        <v>4.0999999999999996</v>
      </c>
      <c r="J4421" s="4">
        <v>20</v>
      </c>
      <c r="K4421" s="3">
        <v>5</v>
      </c>
      <c r="L4421" s="1">
        <f t="shared" si="207"/>
        <v>106.27200000000001</v>
      </c>
      <c r="M4421" t="str" cm="1">
        <f t="array" ref="M4421">_xlfn.IFS(B4421&lt;18,"Under 18",B4421 &lt;=25,"18-25",B4421&lt;=35,"26-35",B4421&lt;=45,"36-45",B4421&lt;=60,"46-60",TRUE,"60+")</f>
        <v>60+</v>
      </c>
      <c r="N4421" t="str">
        <f t="shared" si="208"/>
        <v>Discounted</v>
      </c>
      <c r="O4421" t="str">
        <f t="shared" si="209"/>
        <v>Returning</v>
      </c>
    </row>
    <row r="4422" spans="1:15" x14ac:dyDescent="0.25">
      <c r="A4422">
        <v>4421</v>
      </c>
      <c r="B4422">
        <v>20</v>
      </c>
      <c r="C4422" t="s">
        <v>11</v>
      </c>
      <c r="D4422" t="s">
        <v>33</v>
      </c>
      <c r="E4422" t="s">
        <v>38</v>
      </c>
      <c r="F4422" s="1">
        <v>161.07</v>
      </c>
      <c r="G4422" t="s">
        <v>19</v>
      </c>
      <c r="H4422" t="s">
        <v>15</v>
      </c>
      <c r="I4422" s="2">
        <v>3.7</v>
      </c>
      <c r="J4422" s="4">
        <v>8</v>
      </c>
      <c r="K4422" s="3">
        <v>4</v>
      </c>
      <c r="L4422" s="1">
        <f t="shared" si="207"/>
        <v>148.18440000000001</v>
      </c>
      <c r="M4422" t="str" cm="1">
        <f t="array" ref="M4422">_xlfn.IFS(B4422&lt;18,"Under 18",B4422 &lt;=25,"18-25",B4422&lt;=35,"26-35",B4422&lt;=45,"36-45",B4422&lt;=60,"46-60",TRUE,"60+")</f>
        <v>18-25</v>
      </c>
      <c r="N4422" t="str">
        <f t="shared" si="208"/>
        <v>Discounted</v>
      </c>
      <c r="O4422" t="str">
        <f t="shared" si="209"/>
        <v>Returning</v>
      </c>
    </row>
    <row r="4423" spans="1:15" x14ac:dyDescent="0.25">
      <c r="A4423">
        <v>4422</v>
      </c>
      <c r="B4423">
        <v>50</v>
      </c>
      <c r="C4423" t="s">
        <v>11</v>
      </c>
      <c r="D4423" t="s">
        <v>29</v>
      </c>
      <c r="E4423" t="s">
        <v>30</v>
      </c>
      <c r="F4423" s="1">
        <v>35.9</v>
      </c>
      <c r="G4423" t="s">
        <v>14</v>
      </c>
      <c r="H4423" t="s">
        <v>15</v>
      </c>
      <c r="I4423" s="2">
        <v>4.4000000000000004</v>
      </c>
      <c r="J4423" s="4">
        <v>18</v>
      </c>
      <c r="K4423" s="3">
        <v>9</v>
      </c>
      <c r="L4423" s="1">
        <f t="shared" si="207"/>
        <v>29.438000000000002</v>
      </c>
      <c r="M4423" t="str" cm="1">
        <f t="array" ref="M4423">_xlfn.IFS(B4423&lt;18,"Under 18",B4423 &lt;=25,"18-25",B4423&lt;=35,"26-35",B4423&lt;=45,"36-45",B4423&lt;=60,"46-60",TRUE,"60+")</f>
        <v>46-60</v>
      </c>
      <c r="N4423" t="str">
        <f t="shared" si="208"/>
        <v>Discounted</v>
      </c>
      <c r="O4423" t="str">
        <f t="shared" si="209"/>
        <v>Returning</v>
      </c>
    </row>
    <row r="4424" spans="1:15" x14ac:dyDescent="0.25">
      <c r="A4424">
        <v>4423</v>
      </c>
      <c r="B4424">
        <v>54</v>
      </c>
      <c r="C4424" t="s">
        <v>11</v>
      </c>
      <c r="D4424" t="s">
        <v>41</v>
      </c>
      <c r="E4424" t="s">
        <v>46</v>
      </c>
      <c r="F4424" s="1">
        <v>41.24</v>
      </c>
      <c r="G4424" t="s">
        <v>14</v>
      </c>
      <c r="H4424" t="s">
        <v>37</v>
      </c>
      <c r="I4424" s="2">
        <v>3.4</v>
      </c>
      <c r="J4424" s="4">
        <v>19</v>
      </c>
      <c r="K4424" s="3">
        <v>7</v>
      </c>
      <c r="L4424" s="1">
        <f t="shared" si="207"/>
        <v>33.404400000000003</v>
      </c>
      <c r="M4424" t="str" cm="1">
        <f t="array" ref="M4424">_xlfn.IFS(B4424&lt;18,"Under 18",B4424 &lt;=25,"18-25",B4424&lt;=35,"26-35",B4424&lt;=45,"36-45",B4424&lt;=60,"46-60",TRUE,"60+")</f>
        <v>46-60</v>
      </c>
      <c r="N4424" t="str">
        <f t="shared" si="208"/>
        <v>Discounted</v>
      </c>
      <c r="O4424" t="str">
        <f t="shared" si="209"/>
        <v>Returning</v>
      </c>
    </row>
    <row r="4425" spans="1:15" x14ac:dyDescent="0.25">
      <c r="A4425">
        <v>4424</v>
      </c>
      <c r="B4425">
        <v>45</v>
      </c>
      <c r="C4425" t="s">
        <v>16</v>
      </c>
      <c r="D4425" t="s">
        <v>20</v>
      </c>
      <c r="E4425" t="s">
        <v>39</v>
      </c>
      <c r="F4425" s="1">
        <v>160.08000000000001</v>
      </c>
      <c r="G4425" t="s">
        <v>31</v>
      </c>
      <c r="H4425" t="s">
        <v>15</v>
      </c>
      <c r="I4425" s="2">
        <v>3.9</v>
      </c>
      <c r="J4425" s="4">
        <v>17</v>
      </c>
      <c r="K4425" s="3">
        <v>6</v>
      </c>
      <c r="L4425" s="1">
        <f t="shared" si="207"/>
        <v>132.8664</v>
      </c>
      <c r="M4425" t="str" cm="1">
        <f t="array" ref="M4425">_xlfn.IFS(B4425&lt;18,"Under 18",B4425 &lt;=25,"18-25",B4425&lt;=35,"26-35",B4425&lt;=45,"36-45",B4425&lt;=60,"46-60",TRUE,"60+")</f>
        <v>36-45</v>
      </c>
      <c r="N4425" t="str">
        <f t="shared" si="208"/>
        <v>Discounted</v>
      </c>
      <c r="O4425" t="str">
        <f t="shared" si="209"/>
        <v>Returning</v>
      </c>
    </row>
    <row r="4426" spans="1:15" x14ac:dyDescent="0.25">
      <c r="A4426">
        <v>4425</v>
      </c>
      <c r="B4426">
        <v>59</v>
      </c>
      <c r="C4426" t="s">
        <v>11</v>
      </c>
      <c r="D4426" t="s">
        <v>12</v>
      </c>
      <c r="E4426" t="s">
        <v>56</v>
      </c>
      <c r="F4426" s="1">
        <v>152.97</v>
      </c>
      <c r="G4426" t="s">
        <v>24</v>
      </c>
      <c r="H4426" t="s">
        <v>15</v>
      </c>
      <c r="I4426" s="2">
        <v>3.5</v>
      </c>
      <c r="J4426" s="4">
        <v>17</v>
      </c>
      <c r="K4426" s="3">
        <v>6</v>
      </c>
      <c r="L4426" s="1">
        <f t="shared" si="207"/>
        <v>126.96509999999999</v>
      </c>
      <c r="M4426" t="str" cm="1">
        <f t="array" ref="M4426">_xlfn.IFS(B4426&lt;18,"Under 18",B4426 &lt;=25,"18-25",B4426&lt;=35,"26-35",B4426&lt;=45,"36-45",B4426&lt;=60,"46-60",TRUE,"60+")</f>
        <v>46-60</v>
      </c>
      <c r="N4426" t="str">
        <f t="shared" si="208"/>
        <v>Discounted</v>
      </c>
      <c r="O4426" t="str">
        <f t="shared" si="209"/>
        <v>Returning</v>
      </c>
    </row>
    <row r="4427" spans="1:15" x14ac:dyDescent="0.25">
      <c r="A4427">
        <v>4426</v>
      </c>
      <c r="B4427">
        <v>43</v>
      </c>
      <c r="C4427" t="s">
        <v>11</v>
      </c>
      <c r="D4427" t="s">
        <v>41</v>
      </c>
      <c r="E4427" t="s">
        <v>44</v>
      </c>
      <c r="F4427" s="1">
        <v>71.83</v>
      </c>
      <c r="G4427" t="s">
        <v>31</v>
      </c>
      <c r="H4427" t="s">
        <v>37</v>
      </c>
      <c r="I4427" s="2">
        <v>4.0999999999999996</v>
      </c>
      <c r="J4427" s="4">
        <v>12</v>
      </c>
      <c r="K4427" s="3">
        <v>6</v>
      </c>
      <c r="L4427" s="1">
        <f t="shared" si="207"/>
        <v>63.2104</v>
      </c>
      <c r="M4427" t="str" cm="1">
        <f t="array" ref="M4427">_xlfn.IFS(B4427&lt;18,"Under 18",B4427 &lt;=25,"18-25",B4427&lt;=35,"26-35",B4427&lt;=45,"36-45",B4427&lt;=60,"46-60",TRUE,"60+")</f>
        <v>36-45</v>
      </c>
      <c r="N4427" t="str">
        <f t="shared" si="208"/>
        <v>Discounted</v>
      </c>
      <c r="O4427" t="str">
        <f t="shared" si="209"/>
        <v>Returning</v>
      </c>
    </row>
    <row r="4428" spans="1:15" x14ac:dyDescent="0.25">
      <c r="A4428">
        <v>4427</v>
      </c>
      <c r="B4428">
        <v>21</v>
      </c>
      <c r="C4428" t="s">
        <v>11</v>
      </c>
      <c r="D4428" t="s">
        <v>12</v>
      </c>
      <c r="E4428" t="s">
        <v>13</v>
      </c>
      <c r="F4428" s="1">
        <v>95.84</v>
      </c>
      <c r="G4428" t="s">
        <v>14</v>
      </c>
      <c r="H4428" t="s">
        <v>37</v>
      </c>
      <c r="I4428" s="2">
        <v>4.3</v>
      </c>
      <c r="J4428" s="4">
        <v>22</v>
      </c>
      <c r="K4428" s="3">
        <v>6</v>
      </c>
      <c r="L4428" s="1">
        <f t="shared" si="207"/>
        <v>74.755200000000002</v>
      </c>
      <c r="M4428" t="str" cm="1">
        <f t="array" ref="M4428">_xlfn.IFS(B4428&lt;18,"Under 18",B4428 &lt;=25,"18-25",B4428&lt;=35,"26-35",B4428&lt;=45,"36-45",B4428&lt;=60,"46-60",TRUE,"60+")</f>
        <v>18-25</v>
      </c>
      <c r="N4428" t="str">
        <f t="shared" si="208"/>
        <v>Discounted</v>
      </c>
      <c r="O4428" t="str">
        <f t="shared" si="209"/>
        <v>Returning</v>
      </c>
    </row>
    <row r="4429" spans="1:15" x14ac:dyDescent="0.25">
      <c r="A4429">
        <v>4428</v>
      </c>
      <c r="B4429">
        <v>62</v>
      </c>
      <c r="C4429" t="s">
        <v>16</v>
      </c>
      <c r="D4429" t="s">
        <v>22</v>
      </c>
      <c r="E4429" t="s">
        <v>23</v>
      </c>
      <c r="F4429" s="1">
        <v>38.659999999999997</v>
      </c>
      <c r="G4429" t="s">
        <v>24</v>
      </c>
      <c r="H4429" t="s">
        <v>37</v>
      </c>
      <c r="I4429" s="2">
        <v>3.6</v>
      </c>
      <c r="J4429" s="4">
        <v>8</v>
      </c>
      <c r="K4429" s="3">
        <v>4</v>
      </c>
      <c r="L4429" s="1">
        <f t="shared" si="207"/>
        <v>35.5672</v>
      </c>
      <c r="M4429" t="str" cm="1">
        <f t="array" ref="M4429">_xlfn.IFS(B4429&lt;18,"Under 18",B4429 &lt;=25,"18-25",B4429&lt;=35,"26-35",B4429&lt;=45,"36-45",B4429&lt;=60,"46-60",TRUE,"60+")</f>
        <v>60+</v>
      </c>
      <c r="N4429" t="str">
        <f t="shared" si="208"/>
        <v>Discounted</v>
      </c>
      <c r="O4429" t="str">
        <f t="shared" si="209"/>
        <v>Returning</v>
      </c>
    </row>
    <row r="4430" spans="1:15" x14ac:dyDescent="0.25">
      <c r="A4430">
        <v>4429</v>
      </c>
      <c r="B4430">
        <v>44</v>
      </c>
      <c r="C4430" t="s">
        <v>16</v>
      </c>
      <c r="D4430" t="s">
        <v>27</v>
      </c>
      <c r="E4430" t="s">
        <v>32</v>
      </c>
      <c r="F4430" s="1">
        <v>1769.68</v>
      </c>
      <c r="G4430" t="s">
        <v>19</v>
      </c>
      <c r="H4430" t="s">
        <v>15</v>
      </c>
      <c r="I4430" s="2">
        <v>4.8</v>
      </c>
      <c r="J4430" s="4">
        <v>20</v>
      </c>
      <c r="K4430" s="3">
        <v>5</v>
      </c>
      <c r="L4430" s="1">
        <f t="shared" si="207"/>
        <v>1415.7440000000001</v>
      </c>
      <c r="M4430" t="str" cm="1">
        <f t="array" ref="M4430">_xlfn.IFS(B4430&lt;18,"Under 18",B4430 &lt;=25,"18-25",B4430&lt;=35,"26-35",B4430&lt;=45,"36-45",B4430&lt;=60,"46-60",TRUE,"60+")</f>
        <v>36-45</v>
      </c>
      <c r="N4430" t="str">
        <f t="shared" si="208"/>
        <v>Discounted</v>
      </c>
      <c r="O4430" t="str">
        <f t="shared" si="209"/>
        <v>Returning</v>
      </c>
    </row>
    <row r="4431" spans="1:15" x14ac:dyDescent="0.25">
      <c r="A4431">
        <v>4430</v>
      </c>
      <c r="B4431">
        <v>44</v>
      </c>
      <c r="C4431" t="s">
        <v>11</v>
      </c>
      <c r="D4431" t="s">
        <v>33</v>
      </c>
      <c r="E4431" t="s">
        <v>34</v>
      </c>
      <c r="F4431" s="1">
        <v>103.11</v>
      </c>
      <c r="G4431" t="s">
        <v>24</v>
      </c>
      <c r="H4431" t="s">
        <v>15</v>
      </c>
      <c r="I4431" s="2">
        <v>3.1</v>
      </c>
      <c r="J4431" s="4">
        <v>15</v>
      </c>
      <c r="K4431" s="3">
        <v>5</v>
      </c>
      <c r="L4431" s="1">
        <f t="shared" si="207"/>
        <v>87.643500000000003</v>
      </c>
      <c r="M4431" t="str" cm="1">
        <f t="array" ref="M4431">_xlfn.IFS(B4431&lt;18,"Under 18",B4431 &lt;=25,"18-25",B4431&lt;=35,"26-35",B4431&lt;=45,"36-45",B4431&lt;=60,"46-60",TRUE,"60+")</f>
        <v>36-45</v>
      </c>
      <c r="N4431" t="str">
        <f t="shared" si="208"/>
        <v>Discounted</v>
      </c>
      <c r="O4431" t="str">
        <f t="shared" si="209"/>
        <v>Returning</v>
      </c>
    </row>
    <row r="4432" spans="1:15" x14ac:dyDescent="0.25">
      <c r="A4432">
        <v>4431</v>
      </c>
      <c r="B4432">
        <v>45</v>
      </c>
      <c r="C4432" t="s">
        <v>11</v>
      </c>
      <c r="D4432" t="s">
        <v>33</v>
      </c>
      <c r="E4432" t="s">
        <v>34</v>
      </c>
      <c r="F4432" s="1">
        <v>118.28</v>
      </c>
      <c r="G4432" t="s">
        <v>24</v>
      </c>
      <c r="H4432" t="s">
        <v>15</v>
      </c>
      <c r="I4432" s="2">
        <v>4</v>
      </c>
      <c r="J4432" s="4">
        <v>10</v>
      </c>
      <c r="K4432" s="3">
        <v>5</v>
      </c>
      <c r="L4432" s="1">
        <f t="shared" si="207"/>
        <v>106.452</v>
      </c>
      <c r="M4432" t="str" cm="1">
        <f t="array" ref="M4432">_xlfn.IFS(B4432&lt;18,"Under 18",B4432 &lt;=25,"18-25",B4432&lt;=35,"26-35",B4432&lt;=45,"36-45",B4432&lt;=60,"46-60",TRUE,"60+")</f>
        <v>36-45</v>
      </c>
      <c r="N4432" t="str">
        <f t="shared" si="208"/>
        <v>Discounted</v>
      </c>
      <c r="O4432" t="str">
        <f t="shared" si="209"/>
        <v>Returning</v>
      </c>
    </row>
    <row r="4433" spans="1:15" x14ac:dyDescent="0.25">
      <c r="A4433">
        <v>4432</v>
      </c>
      <c r="B4433">
        <v>37</v>
      </c>
      <c r="C4433" t="s">
        <v>11</v>
      </c>
      <c r="D4433" t="s">
        <v>12</v>
      </c>
      <c r="E4433" t="s">
        <v>56</v>
      </c>
      <c r="F4433" s="1">
        <v>162.69999999999999</v>
      </c>
      <c r="G4433" t="s">
        <v>24</v>
      </c>
      <c r="H4433" t="s">
        <v>15</v>
      </c>
      <c r="I4433" s="2">
        <v>3.5</v>
      </c>
      <c r="J4433" s="4">
        <v>19</v>
      </c>
      <c r="K4433" s="3">
        <v>7</v>
      </c>
      <c r="L4433" s="1">
        <f t="shared" si="207"/>
        <v>131.78700000000001</v>
      </c>
      <c r="M4433" t="str" cm="1">
        <f t="array" ref="M4433">_xlfn.IFS(B4433&lt;18,"Under 18",B4433 &lt;=25,"18-25",B4433&lt;=35,"26-35",B4433&lt;=45,"36-45",B4433&lt;=60,"46-60",TRUE,"60+")</f>
        <v>36-45</v>
      </c>
      <c r="N4433" t="str">
        <f t="shared" si="208"/>
        <v>Discounted</v>
      </c>
      <c r="O4433" t="str">
        <f t="shared" si="209"/>
        <v>Returning</v>
      </c>
    </row>
    <row r="4434" spans="1:15" x14ac:dyDescent="0.25">
      <c r="A4434">
        <v>4433</v>
      </c>
      <c r="B4434">
        <v>49</v>
      </c>
      <c r="C4434" t="s">
        <v>16</v>
      </c>
      <c r="D4434" t="s">
        <v>20</v>
      </c>
      <c r="E4434" t="s">
        <v>36</v>
      </c>
      <c r="F4434" s="1">
        <v>75.760000000000005</v>
      </c>
      <c r="G4434" t="s">
        <v>31</v>
      </c>
      <c r="H4434" t="s">
        <v>37</v>
      </c>
      <c r="I4434" s="2">
        <v>4.5</v>
      </c>
      <c r="J4434" s="4">
        <v>15</v>
      </c>
      <c r="K4434" s="3">
        <v>5</v>
      </c>
      <c r="L4434" s="1">
        <f t="shared" si="207"/>
        <v>64.396000000000001</v>
      </c>
      <c r="M4434" t="str" cm="1">
        <f t="array" ref="M4434">_xlfn.IFS(B4434&lt;18,"Under 18",B4434 &lt;=25,"18-25",B4434&lt;=35,"26-35",B4434&lt;=45,"36-45",B4434&lt;=60,"46-60",TRUE,"60+")</f>
        <v>46-60</v>
      </c>
      <c r="N4434" t="str">
        <f t="shared" si="208"/>
        <v>Discounted</v>
      </c>
      <c r="O4434" t="str">
        <f t="shared" si="209"/>
        <v>Returning</v>
      </c>
    </row>
    <row r="4435" spans="1:15" x14ac:dyDescent="0.25">
      <c r="A4435">
        <v>4434</v>
      </c>
      <c r="B4435">
        <v>63</v>
      </c>
      <c r="C4435" t="s">
        <v>16</v>
      </c>
      <c r="D4435" t="s">
        <v>20</v>
      </c>
      <c r="E4435" t="s">
        <v>39</v>
      </c>
      <c r="F4435" s="1">
        <v>234.8</v>
      </c>
      <c r="G4435" t="s">
        <v>19</v>
      </c>
      <c r="H4435" t="s">
        <v>15</v>
      </c>
      <c r="I4435" s="2">
        <v>3.1</v>
      </c>
      <c r="J4435" s="4">
        <v>16</v>
      </c>
      <c r="K4435" s="3">
        <v>3</v>
      </c>
      <c r="L4435" s="1">
        <f t="shared" si="207"/>
        <v>197.232</v>
      </c>
      <c r="M4435" t="str" cm="1">
        <f t="array" ref="M4435">_xlfn.IFS(B4435&lt;18,"Under 18",B4435 &lt;=25,"18-25",B4435&lt;=35,"26-35",B4435&lt;=45,"36-45",B4435&lt;=60,"46-60",TRUE,"60+")</f>
        <v>60+</v>
      </c>
      <c r="N4435" t="str">
        <f t="shared" si="208"/>
        <v>Discounted</v>
      </c>
      <c r="O4435" t="str">
        <f t="shared" si="209"/>
        <v>Returning</v>
      </c>
    </row>
    <row r="4436" spans="1:15" x14ac:dyDescent="0.25">
      <c r="A4436">
        <v>4435</v>
      </c>
      <c r="B4436">
        <v>25</v>
      </c>
      <c r="C4436" t="s">
        <v>11</v>
      </c>
      <c r="D4436" t="s">
        <v>33</v>
      </c>
      <c r="E4436" t="s">
        <v>38</v>
      </c>
      <c r="F4436" s="1">
        <v>107.61</v>
      </c>
      <c r="G4436" t="s">
        <v>31</v>
      </c>
      <c r="H4436" t="s">
        <v>15</v>
      </c>
      <c r="I4436" s="2">
        <v>4.8</v>
      </c>
      <c r="J4436" s="4">
        <v>17</v>
      </c>
      <c r="K4436" s="3">
        <v>6</v>
      </c>
      <c r="L4436" s="1">
        <f t="shared" si="207"/>
        <v>89.316299999999998</v>
      </c>
      <c r="M4436" t="str" cm="1">
        <f t="array" ref="M4436">_xlfn.IFS(B4436&lt;18,"Under 18",B4436 &lt;=25,"18-25",B4436&lt;=35,"26-35",B4436&lt;=45,"36-45",B4436&lt;=60,"46-60",TRUE,"60+")</f>
        <v>18-25</v>
      </c>
      <c r="N4436" t="str">
        <f t="shared" si="208"/>
        <v>Discounted</v>
      </c>
      <c r="O4436" t="str">
        <f t="shared" si="209"/>
        <v>Returning</v>
      </c>
    </row>
    <row r="4437" spans="1:15" x14ac:dyDescent="0.25">
      <c r="A4437">
        <v>4436</v>
      </c>
      <c r="B4437">
        <v>44</v>
      </c>
      <c r="C4437" t="s">
        <v>16</v>
      </c>
      <c r="D4437" t="s">
        <v>20</v>
      </c>
      <c r="E4437" t="s">
        <v>21</v>
      </c>
      <c r="F4437" s="1">
        <v>150.15</v>
      </c>
      <c r="G4437" t="s">
        <v>19</v>
      </c>
      <c r="H4437" t="s">
        <v>15</v>
      </c>
      <c r="I4437" s="2">
        <v>3.5</v>
      </c>
      <c r="J4437" s="4">
        <v>20</v>
      </c>
      <c r="K4437" s="3">
        <v>5</v>
      </c>
      <c r="L4437" s="1">
        <f t="shared" si="207"/>
        <v>120.12</v>
      </c>
      <c r="M4437" t="str" cm="1">
        <f t="array" ref="M4437">_xlfn.IFS(B4437&lt;18,"Under 18",B4437 &lt;=25,"18-25",B4437&lt;=35,"26-35",B4437&lt;=45,"36-45",B4437&lt;=60,"46-60",TRUE,"60+")</f>
        <v>36-45</v>
      </c>
      <c r="N4437" t="str">
        <f t="shared" si="208"/>
        <v>Discounted</v>
      </c>
      <c r="O4437" t="str">
        <f t="shared" si="209"/>
        <v>Returning</v>
      </c>
    </row>
    <row r="4438" spans="1:15" x14ac:dyDescent="0.25">
      <c r="A4438">
        <v>4437</v>
      </c>
      <c r="B4438">
        <v>36</v>
      </c>
      <c r="C4438" t="s">
        <v>16</v>
      </c>
      <c r="D4438" t="s">
        <v>20</v>
      </c>
      <c r="E4438" t="s">
        <v>39</v>
      </c>
      <c r="F4438" s="1">
        <v>97.03</v>
      </c>
      <c r="G4438" t="s">
        <v>31</v>
      </c>
      <c r="H4438" t="s">
        <v>15</v>
      </c>
      <c r="I4438" s="2">
        <v>3.4</v>
      </c>
      <c r="J4438" s="4">
        <v>6</v>
      </c>
      <c r="K4438" s="3">
        <v>3</v>
      </c>
      <c r="L4438" s="1">
        <f t="shared" si="207"/>
        <v>91.208199999999991</v>
      </c>
      <c r="M4438" t="str" cm="1">
        <f t="array" ref="M4438">_xlfn.IFS(B4438&lt;18,"Under 18",B4438 &lt;=25,"18-25",B4438&lt;=35,"26-35",B4438&lt;=45,"36-45",B4438&lt;=60,"46-60",TRUE,"60+")</f>
        <v>36-45</v>
      </c>
      <c r="N4438" t="str">
        <f t="shared" si="208"/>
        <v>Discounted</v>
      </c>
      <c r="O4438" t="str">
        <f t="shared" si="209"/>
        <v>Returning</v>
      </c>
    </row>
    <row r="4439" spans="1:15" x14ac:dyDescent="0.25">
      <c r="A4439">
        <v>4438</v>
      </c>
      <c r="B4439">
        <v>44</v>
      </c>
      <c r="C4439" t="s">
        <v>11</v>
      </c>
      <c r="D4439" t="s">
        <v>20</v>
      </c>
      <c r="E4439" t="s">
        <v>36</v>
      </c>
      <c r="F4439" s="1">
        <v>129.12</v>
      </c>
      <c r="G4439" t="s">
        <v>31</v>
      </c>
      <c r="H4439" t="s">
        <v>15</v>
      </c>
      <c r="I4439" s="2">
        <v>5</v>
      </c>
      <c r="J4439" s="4">
        <v>20</v>
      </c>
      <c r="K4439" s="3">
        <v>5</v>
      </c>
      <c r="L4439" s="1">
        <f t="shared" si="207"/>
        <v>103.29600000000001</v>
      </c>
      <c r="M4439" t="str" cm="1">
        <f t="array" ref="M4439">_xlfn.IFS(B4439&lt;18,"Under 18",B4439 &lt;=25,"18-25",B4439&lt;=35,"26-35",B4439&lt;=45,"36-45",B4439&lt;=60,"46-60",TRUE,"60+")</f>
        <v>36-45</v>
      </c>
      <c r="N4439" t="str">
        <f t="shared" si="208"/>
        <v>Discounted</v>
      </c>
      <c r="O4439" t="str">
        <f t="shared" si="209"/>
        <v>Returning</v>
      </c>
    </row>
    <row r="4440" spans="1:15" x14ac:dyDescent="0.25">
      <c r="A4440">
        <v>4439</v>
      </c>
      <c r="B4440">
        <v>31</v>
      </c>
      <c r="C4440" t="s">
        <v>11</v>
      </c>
      <c r="D4440" t="s">
        <v>33</v>
      </c>
      <c r="E4440" t="s">
        <v>38</v>
      </c>
      <c r="F4440" s="1">
        <v>75.930000000000007</v>
      </c>
      <c r="G4440" t="s">
        <v>14</v>
      </c>
      <c r="H4440" t="s">
        <v>15</v>
      </c>
      <c r="I4440" s="2">
        <v>3.5</v>
      </c>
      <c r="J4440" s="4">
        <v>18</v>
      </c>
      <c r="K4440" s="3">
        <v>4</v>
      </c>
      <c r="L4440" s="1">
        <f t="shared" si="207"/>
        <v>62.262600000000013</v>
      </c>
      <c r="M4440" t="str" cm="1">
        <f t="array" ref="M4440">_xlfn.IFS(B4440&lt;18,"Under 18",B4440 &lt;=25,"18-25",B4440&lt;=35,"26-35",B4440&lt;=45,"36-45",B4440&lt;=60,"46-60",TRUE,"60+")</f>
        <v>26-35</v>
      </c>
      <c r="N4440" t="str">
        <f t="shared" si="208"/>
        <v>Discounted</v>
      </c>
      <c r="O4440" t="str">
        <f t="shared" si="209"/>
        <v>Returning</v>
      </c>
    </row>
    <row r="4441" spans="1:15" x14ac:dyDescent="0.25">
      <c r="A4441">
        <v>4440</v>
      </c>
      <c r="B4441">
        <v>46</v>
      </c>
      <c r="C4441" t="s">
        <v>11</v>
      </c>
      <c r="D4441" t="s">
        <v>41</v>
      </c>
      <c r="E4441" t="s">
        <v>45</v>
      </c>
      <c r="F4441" s="1">
        <v>181.75</v>
      </c>
      <c r="G4441" t="s">
        <v>24</v>
      </c>
      <c r="H4441" t="s">
        <v>15</v>
      </c>
      <c r="I4441" s="2">
        <v>4.3</v>
      </c>
      <c r="J4441" s="4">
        <v>8</v>
      </c>
      <c r="K4441" s="3">
        <v>4</v>
      </c>
      <c r="L4441" s="1">
        <f t="shared" si="207"/>
        <v>167.21</v>
      </c>
      <c r="M4441" t="str" cm="1">
        <f t="array" ref="M4441">_xlfn.IFS(B4441&lt;18,"Under 18",B4441 &lt;=25,"18-25",B4441&lt;=35,"26-35",B4441&lt;=45,"36-45",B4441&lt;=60,"46-60",TRUE,"60+")</f>
        <v>46-60</v>
      </c>
      <c r="N4441" t="str">
        <f t="shared" si="208"/>
        <v>Discounted</v>
      </c>
      <c r="O4441" t="str">
        <f t="shared" si="209"/>
        <v>Returning</v>
      </c>
    </row>
    <row r="4442" spans="1:15" x14ac:dyDescent="0.25">
      <c r="A4442">
        <v>4441</v>
      </c>
      <c r="B4442">
        <v>43</v>
      </c>
      <c r="C4442" t="s">
        <v>16</v>
      </c>
      <c r="D4442" t="s">
        <v>27</v>
      </c>
      <c r="E4442" t="s">
        <v>28</v>
      </c>
      <c r="F4442" s="1">
        <v>1217.08</v>
      </c>
      <c r="G4442" t="s">
        <v>19</v>
      </c>
      <c r="H4442" t="s">
        <v>15</v>
      </c>
      <c r="I4442" s="2">
        <v>4.5999999999999996</v>
      </c>
      <c r="J4442" s="4">
        <v>20</v>
      </c>
      <c r="K4442" s="3">
        <v>5</v>
      </c>
      <c r="L4442" s="1">
        <f t="shared" si="207"/>
        <v>973.66399999999999</v>
      </c>
      <c r="M4442" t="str" cm="1">
        <f t="array" ref="M4442">_xlfn.IFS(B4442&lt;18,"Under 18",B4442 &lt;=25,"18-25",B4442&lt;=35,"26-35",B4442&lt;=45,"36-45",B4442&lt;=60,"46-60",TRUE,"60+")</f>
        <v>36-45</v>
      </c>
      <c r="N4442" t="str">
        <f t="shared" si="208"/>
        <v>Discounted</v>
      </c>
      <c r="O4442" t="str">
        <f t="shared" si="209"/>
        <v>Returning</v>
      </c>
    </row>
    <row r="4443" spans="1:15" x14ac:dyDescent="0.25">
      <c r="A4443">
        <v>4442</v>
      </c>
      <c r="B4443">
        <v>23</v>
      </c>
      <c r="C4443" t="s">
        <v>11</v>
      </c>
      <c r="D4443" t="s">
        <v>33</v>
      </c>
      <c r="E4443" t="s">
        <v>40</v>
      </c>
      <c r="F4443" s="1">
        <v>241.42</v>
      </c>
      <c r="G4443" t="s">
        <v>19</v>
      </c>
      <c r="H4443" t="s">
        <v>15</v>
      </c>
      <c r="I4443" s="2">
        <v>5</v>
      </c>
      <c r="J4443" s="4">
        <v>8</v>
      </c>
      <c r="K4443" s="3">
        <v>4</v>
      </c>
      <c r="L4443" s="1">
        <f t="shared" si="207"/>
        <v>222.10640000000001</v>
      </c>
      <c r="M4443" t="str" cm="1">
        <f t="array" ref="M4443">_xlfn.IFS(B4443&lt;18,"Under 18",B4443 &lt;=25,"18-25",B4443&lt;=35,"26-35",B4443&lt;=45,"36-45",B4443&lt;=60,"46-60",TRUE,"60+")</f>
        <v>18-25</v>
      </c>
      <c r="N4443" t="str">
        <f t="shared" si="208"/>
        <v>Discounted</v>
      </c>
      <c r="O4443" t="str">
        <f t="shared" si="209"/>
        <v>Returning</v>
      </c>
    </row>
    <row r="4444" spans="1:15" x14ac:dyDescent="0.25">
      <c r="A4444">
        <v>4443</v>
      </c>
      <c r="B4444">
        <v>58</v>
      </c>
      <c r="C4444" t="s">
        <v>16</v>
      </c>
      <c r="D4444" t="s">
        <v>27</v>
      </c>
      <c r="E4444" t="s">
        <v>49</v>
      </c>
      <c r="F4444" s="1">
        <v>1944.24</v>
      </c>
      <c r="G4444" t="s">
        <v>19</v>
      </c>
      <c r="H4444" t="s">
        <v>15</v>
      </c>
      <c r="I4444" s="2">
        <v>2.7</v>
      </c>
      <c r="J4444" s="4">
        <v>22</v>
      </c>
      <c r="K4444" s="3">
        <v>6</v>
      </c>
      <c r="L4444" s="1">
        <f t="shared" si="207"/>
        <v>1516.5072</v>
      </c>
      <c r="M4444" t="str" cm="1">
        <f t="array" ref="M4444">_xlfn.IFS(B4444&lt;18,"Under 18",B4444 &lt;=25,"18-25",B4444&lt;=35,"26-35",B4444&lt;=45,"36-45",B4444&lt;=60,"46-60",TRUE,"60+")</f>
        <v>46-60</v>
      </c>
      <c r="N4444" t="str">
        <f t="shared" si="208"/>
        <v>Discounted</v>
      </c>
      <c r="O4444" t="str">
        <f t="shared" si="209"/>
        <v>Returning</v>
      </c>
    </row>
    <row r="4445" spans="1:15" x14ac:dyDescent="0.25">
      <c r="A4445">
        <v>4444</v>
      </c>
      <c r="B4445">
        <v>22</v>
      </c>
      <c r="C4445" t="s">
        <v>16</v>
      </c>
      <c r="D4445" t="s">
        <v>20</v>
      </c>
      <c r="E4445" t="s">
        <v>36</v>
      </c>
      <c r="F4445" s="1">
        <v>48.39</v>
      </c>
      <c r="G4445" t="s">
        <v>31</v>
      </c>
      <c r="H4445" t="s">
        <v>37</v>
      </c>
      <c r="I4445" s="2">
        <v>4</v>
      </c>
      <c r="J4445" s="4">
        <v>4</v>
      </c>
      <c r="K4445" s="3">
        <v>2</v>
      </c>
      <c r="L4445" s="1">
        <f t="shared" si="207"/>
        <v>46.4544</v>
      </c>
      <c r="M4445" t="str" cm="1">
        <f t="array" ref="M4445">_xlfn.IFS(B4445&lt;18,"Under 18",B4445 &lt;=25,"18-25",B4445&lt;=35,"26-35",B4445&lt;=45,"36-45",B4445&lt;=60,"46-60",TRUE,"60+")</f>
        <v>18-25</v>
      </c>
      <c r="N4445" t="str">
        <f t="shared" si="208"/>
        <v>Discounted</v>
      </c>
      <c r="O4445" t="str">
        <f t="shared" si="209"/>
        <v>Returning</v>
      </c>
    </row>
    <row r="4446" spans="1:15" x14ac:dyDescent="0.25">
      <c r="A4446">
        <v>4445</v>
      </c>
      <c r="B4446">
        <v>63</v>
      </c>
      <c r="C4446" t="s">
        <v>11</v>
      </c>
      <c r="D4446" t="s">
        <v>12</v>
      </c>
      <c r="E4446" t="s">
        <v>50</v>
      </c>
      <c r="F4446" s="1">
        <v>107.47</v>
      </c>
      <c r="G4446" t="s">
        <v>14</v>
      </c>
      <c r="H4446" t="s">
        <v>15</v>
      </c>
      <c r="I4446" s="2">
        <v>2.2000000000000002</v>
      </c>
      <c r="J4446" s="4">
        <v>12</v>
      </c>
      <c r="K4446" s="3">
        <v>1</v>
      </c>
      <c r="L4446" s="1">
        <f t="shared" si="207"/>
        <v>94.573599999999999</v>
      </c>
      <c r="M4446" t="str" cm="1">
        <f t="array" ref="M4446">_xlfn.IFS(B4446&lt;18,"Under 18",B4446 &lt;=25,"18-25",B4446&lt;=35,"26-35",B4446&lt;=45,"36-45",B4446&lt;=60,"46-60",TRUE,"60+")</f>
        <v>60+</v>
      </c>
      <c r="N4446" t="str">
        <f t="shared" si="208"/>
        <v>Discounted</v>
      </c>
      <c r="O4446" t="str">
        <f t="shared" si="209"/>
        <v>Returning</v>
      </c>
    </row>
    <row r="4447" spans="1:15" x14ac:dyDescent="0.25">
      <c r="A4447">
        <v>4446</v>
      </c>
      <c r="B4447">
        <v>62</v>
      </c>
      <c r="C4447" t="s">
        <v>16</v>
      </c>
      <c r="D4447" t="s">
        <v>27</v>
      </c>
      <c r="E4447" t="s">
        <v>53</v>
      </c>
      <c r="F4447" s="1">
        <v>1763.47</v>
      </c>
      <c r="G4447" t="s">
        <v>14</v>
      </c>
      <c r="H4447" t="s">
        <v>15</v>
      </c>
      <c r="I4447" s="2">
        <v>4</v>
      </c>
      <c r="J4447" s="4">
        <v>20</v>
      </c>
      <c r="K4447" s="3">
        <v>5</v>
      </c>
      <c r="L4447" s="1">
        <f t="shared" si="207"/>
        <v>1410.7760000000001</v>
      </c>
      <c r="M4447" t="str" cm="1">
        <f t="array" ref="M4447">_xlfn.IFS(B4447&lt;18,"Under 18",B4447 &lt;=25,"18-25",B4447&lt;=35,"26-35",B4447&lt;=45,"36-45",B4447&lt;=60,"46-60",TRUE,"60+")</f>
        <v>60+</v>
      </c>
      <c r="N4447" t="str">
        <f t="shared" si="208"/>
        <v>Discounted</v>
      </c>
      <c r="O4447" t="str">
        <f t="shared" si="209"/>
        <v>Returning</v>
      </c>
    </row>
    <row r="4448" spans="1:15" x14ac:dyDescent="0.25">
      <c r="A4448">
        <v>4447</v>
      </c>
      <c r="B4448">
        <v>69</v>
      </c>
      <c r="C4448" t="s">
        <v>11</v>
      </c>
      <c r="D4448" t="s">
        <v>41</v>
      </c>
      <c r="E4448" t="s">
        <v>46</v>
      </c>
      <c r="F4448" s="1">
        <v>159.97999999999999</v>
      </c>
      <c r="G4448" t="s">
        <v>24</v>
      </c>
      <c r="H4448" t="s">
        <v>15</v>
      </c>
      <c r="I4448" s="2">
        <v>2.9</v>
      </c>
      <c r="J4448" s="4">
        <v>24</v>
      </c>
      <c r="K4448" s="3">
        <v>7</v>
      </c>
      <c r="L4448" s="1">
        <f t="shared" si="207"/>
        <v>121.58479999999999</v>
      </c>
      <c r="M4448" t="str" cm="1">
        <f t="array" ref="M4448">_xlfn.IFS(B4448&lt;18,"Under 18",B4448 &lt;=25,"18-25",B4448&lt;=35,"26-35",B4448&lt;=45,"36-45",B4448&lt;=60,"46-60",TRUE,"60+")</f>
        <v>60+</v>
      </c>
      <c r="N4448" t="str">
        <f t="shared" si="208"/>
        <v>Discounted</v>
      </c>
      <c r="O4448" t="str">
        <f t="shared" si="209"/>
        <v>Returning</v>
      </c>
    </row>
    <row r="4449" spans="1:15" x14ac:dyDescent="0.25">
      <c r="A4449">
        <v>4448</v>
      </c>
      <c r="B4449">
        <v>36</v>
      </c>
      <c r="C4449" t="s">
        <v>16</v>
      </c>
      <c r="D4449" t="s">
        <v>25</v>
      </c>
      <c r="E4449" t="s">
        <v>54</v>
      </c>
      <c r="F4449" s="1">
        <v>60.71</v>
      </c>
      <c r="G4449" t="s">
        <v>24</v>
      </c>
      <c r="H4449" t="s">
        <v>37</v>
      </c>
      <c r="I4449" s="2">
        <v>4.5</v>
      </c>
      <c r="J4449" s="4">
        <v>16</v>
      </c>
      <c r="K4449" s="3">
        <v>3</v>
      </c>
      <c r="L4449" s="1">
        <f t="shared" si="207"/>
        <v>50.996400000000001</v>
      </c>
      <c r="M4449" t="str" cm="1">
        <f t="array" ref="M4449">_xlfn.IFS(B4449&lt;18,"Under 18",B4449 &lt;=25,"18-25",B4449&lt;=35,"26-35",B4449&lt;=45,"36-45",B4449&lt;=60,"46-60",TRUE,"60+")</f>
        <v>36-45</v>
      </c>
      <c r="N4449" t="str">
        <f t="shared" si="208"/>
        <v>Discounted</v>
      </c>
      <c r="O4449" t="str">
        <f t="shared" si="209"/>
        <v>Returning</v>
      </c>
    </row>
    <row r="4450" spans="1:15" x14ac:dyDescent="0.25">
      <c r="A4450">
        <v>4449</v>
      </c>
      <c r="B4450">
        <v>46</v>
      </c>
      <c r="C4450" t="s">
        <v>11</v>
      </c>
      <c r="D4450" t="s">
        <v>22</v>
      </c>
      <c r="E4450" t="s">
        <v>43</v>
      </c>
      <c r="F4450" s="1">
        <v>118.81</v>
      </c>
      <c r="G4450" t="s">
        <v>14</v>
      </c>
      <c r="H4450" t="s">
        <v>15</v>
      </c>
      <c r="I4450" s="2">
        <v>4.0999999999999996</v>
      </c>
      <c r="J4450" s="4">
        <v>16</v>
      </c>
      <c r="K4450" s="3">
        <v>3</v>
      </c>
      <c r="L4450" s="1">
        <f t="shared" si="207"/>
        <v>99.800399999999996</v>
      </c>
      <c r="M4450" t="str" cm="1">
        <f t="array" ref="M4450">_xlfn.IFS(B4450&lt;18,"Under 18",B4450 &lt;=25,"18-25",B4450&lt;=35,"26-35",B4450&lt;=45,"36-45",B4450&lt;=60,"46-60",TRUE,"60+")</f>
        <v>46-60</v>
      </c>
      <c r="N4450" t="str">
        <f t="shared" si="208"/>
        <v>Discounted</v>
      </c>
      <c r="O4450" t="str">
        <f t="shared" si="209"/>
        <v>Returning</v>
      </c>
    </row>
    <row r="4451" spans="1:15" x14ac:dyDescent="0.25">
      <c r="A4451">
        <v>4450</v>
      </c>
      <c r="B4451">
        <v>53</v>
      </c>
      <c r="C4451" t="s">
        <v>16</v>
      </c>
      <c r="D4451" t="s">
        <v>20</v>
      </c>
      <c r="E4451" t="s">
        <v>21</v>
      </c>
      <c r="F4451" s="1">
        <v>115.93</v>
      </c>
      <c r="G4451" t="s">
        <v>31</v>
      </c>
      <c r="H4451" t="s">
        <v>15</v>
      </c>
      <c r="I4451" s="2">
        <v>3</v>
      </c>
      <c r="J4451" s="4">
        <v>6</v>
      </c>
      <c r="K4451" s="3">
        <v>3</v>
      </c>
      <c r="L4451" s="1">
        <f t="shared" si="207"/>
        <v>108.9742</v>
      </c>
      <c r="M4451" t="str" cm="1">
        <f t="array" ref="M4451">_xlfn.IFS(B4451&lt;18,"Under 18",B4451 &lt;=25,"18-25",B4451&lt;=35,"26-35",B4451&lt;=45,"36-45",B4451&lt;=60,"46-60",TRUE,"60+")</f>
        <v>46-60</v>
      </c>
      <c r="N4451" t="str">
        <f t="shared" si="208"/>
        <v>Discounted</v>
      </c>
      <c r="O4451" t="str">
        <f t="shared" si="209"/>
        <v>Returning</v>
      </c>
    </row>
    <row r="4452" spans="1:15" x14ac:dyDescent="0.25">
      <c r="A4452">
        <v>4451</v>
      </c>
      <c r="B4452">
        <v>20</v>
      </c>
      <c r="C4452" t="s">
        <v>11</v>
      </c>
      <c r="D4452" t="s">
        <v>29</v>
      </c>
      <c r="E4452" t="s">
        <v>30</v>
      </c>
      <c r="F4452" s="1">
        <v>109.6</v>
      </c>
      <c r="G4452" t="s">
        <v>24</v>
      </c>
      <c r="H4452" t="s">
        <v>15</v>
      </c>
      <c r="I4452" s="2">
        <v>4.4000000000000004</v>
      </c>
      <c r="J4452" s="4">
        <v>16</v>
      </c>
      <c r="K4452" s="3">
        <v>8</v>
      </c>
      <c r="L4452" s="1">
        <f t="shared" si="207"/>
        <v>92.063999999999993</v>
      </c>
      <c r="M4452" t="str" cm="1">
        <f t="array" ref="M4452">_xlfn.IFS(B4452&lt;18,"Under 18",B4452 &lt;=25,"18-25",B4452&lt;=35,"26-35",B4452&lt;=45,"36-45",B4452&lt;=60,"46-60",TRUE,"60+")</f>
        <v>18-25</v>
      </c>
      <c r="N4452" t="str">
        <f t="shared" si="208"/>
        <v>Discounted</v>
      </c>
      <c r="O4452" t="str">
        <f t="shared" si="209"/>
        <v>Returning</v>
      </c>
    </row>
    <row r="4453" spans="1:15" x14ac:dyDescent="0.25">
      <c r="A4453">
        <v>4452</v>
      </c>
      <c r="B4453">
        <v>48</v>
      </c>
      <c r="C4453" t="s">
        <v>16</v>
      </c>
      <c r="D4453" t="s">
        <v>33</v>
      </c>
      <c r="E4453" t="s">
        <v>34</v>
      </c>
      <c r="F4453" s="1">
        <v>197.83</v>
      </c>
      <c r="G4453" t="s">
        <v>14</v>
      </c>
      <c r="H4453" t="s">
        <v>15</v>
      </c>
      <c r="I4453" s="2">
        <v>3.4</v>
      </c>
      <c r="J4453" s="4">
        <v>17</v>
      </c>
      <c r="K4453" s="3">
        <v>6</v>
      </c>
      <c r="L4453" s="1">
        <f t="shared" si="207"/>
        <v>164.19890000000001</v>
      </c>
      <c r="M4453" t="str" cm="1">
        <f t="array" ref="M4453">_xlfn.IFS(B4453&lt;18,"Under 18",B4453 &lt;=25,"18-25",B4453&lt;=35,"26-35",B4453&lt;=45,"36-45",B4453&lt;=60,"46-60",TRUE,"60+")</f>
        <v>46-60</v>
      </c>
      <c r="N4453" t="str">
        <f t="shared" si="208"/>
        <v>Discounted</v>
      </c>
      <c r="O4453" t="str">
        <f t="shared" si="209"/>
        <v>Returning</v>
      </c>
    </row>
    <row r="4454" spans="1:15" x14ac:dyDescent="0.25">
      <c r="A4454">
        <v>4453</v>
      </c>
      <c r="B4454">
        <v>29</v>
      </c>
      <c r="C4454" t="s">
        <v>11</v>
      </c>
      <c r="D4454" t="s">
        <v>33</v>
      </c>
      <c r="E4454" t="s">
        <v>40</v>
      </c>
      <c r="F4454" s="1">
        <v>68.819999999999993</v>
      </c>
      <c r="G4454" t="s">
        <v>31</v>
      </c>
      <c r="H4454" t="s">
        <v>15</v>
      </c>
      <c r="I4454" s="2">
        <v>3.6</v>
      </c>
      <c r="J4454" s="4">
        <v>0</v>
      </c>
      <c r="K4454" s="3">
        <v>0</v>
      </c>
      <c r="L4454" s="1">
        <f t="shared" si="207"/>
        <v>68.819999999999993</v>
      </c>
      <c r="M4454" t="str" cm="1">
        <f t="array" ref="M4454">_xlfn.IFS(B4454&lt;18,"Under 18",B4454 &lt;=25,"18-25",B4454&lt;=35,"26-35",B4454&lt;=45,"36-45",B4454&lt;=60,"46-60",TRUE,"60+")</f>
        <v>26-35</v>
      </c>
      <c r="N4454" t="str">
        <f t="shared" si="208"/>
        <v>No Discount</v>
      </c>
      <c r="O4454" t="str">
        <f t="shared" si="209"/>
        <v>New</v>
      </c>
    </row>
    <row r="4455" spans="1:15" x14ac:dyDescent="0.25">
      <c r="A4455">
        <v>4454</v>
      </c>
      <c r="B4455">
        <v>43</v>
      </c>
      <c r="C4455" t="s">
        <v>16</v>
      </c>
      <c r="D4455" t="s">
        <v>17</v>
      </c>
      <c r="E4455" t="s">
        <v>35</v>
      </c>
      <c r="F4455" s="1">
        <v>112.21</v>
      </c>
      <c r="G4455" t="s">
        <v>31</v>
      </c>
      <c r="H4455" t="s">
        <v>15</v>
      </c>
      <c r="I4455" s="2">
        <v>4.0999999999999996</v>
      </c>
      <c r="J4455" s="4">
        <v>12</v>
      </c>
      <c r="K4455" s="3">
        <v>6</v>
      </c>
      <c r="L4455" s="1">
        <f t="shared" si="207"/>
        <v>98.744799999999998</v>
      </c>
      <c r="M4455" t="str" cm="1">
        <f t="array" ref="M4455">_xlfn.IFS(B4455&lt;18,"Under 18",B4455 &lt;=25,"18-25",B4455&lt;=35,"26-35",B4455&lt;=45,"36-45",B4455&lt;=60,"46-60",TRUE,"60+")</f>
        <v>36-45</v>
      </c>
      <c r="N4455" t="str">
        <f t="shared" si="208"/>
        <v>Discounted</v>
      </c>
      <c r="O4455" t="str">
        <f t="shared" si="209"/>
        <v>Returning</v>
      </c>
    </row>
    <row r="4456" spans="1:15" x14ac:dyDescent="0.25">
      <c r="A4456">
        <v>4455</v>
      </c>
      <c r="B4456">
        <v>37</v>
      </c>
      <c r="C4456" t="s">
        <v>16</v>
      </c>
      <c r="D4456" t="s">
        <v>33</v>
      </c>
      <c r="E4456" t="s">
        <v>38</v>
      </c>
      <c r="F4456" s="1">
        <v>75.17</v>
      </c>
      <c r="G4456" t="s">
        <v>14</v>
      </c>
      <c r="H4456" t="s">
        <v>15</v>
      </c>
      <c r="I4456" s="2">
        <v>2.9</v>
      </c>
      <c r="J4456" s="4">
        <v>11</v>
      </c>
      <c r="K4456" s="3">
        <v>3</v>
      </c>
      <c r="L4456" s="1">
        <f t="shared" si="207"/>
        <v>66.901300000000006</v>
      </c>
      <c r="M4456" t="str" cm="1">
        <f t="array" ref="M4456">_xlfn.IFS(B4456&lt;18,"Under 18",B4456 &lt;=25,"18-25",B4456&lt;=35,"26-35",B4456&lt;=45,"36-45",B4456&lt;=60,"46-60",TRUE,"60+")</f>
        <v>36-45</v>
      </c>
      <c r="N4456" t="str">
        <f t="shared" si="208"/>
        <v>Discounted</v>
      </c>
      <c r="O4456" t="str">
        <f t="shared" si="209"/>
        <v>Returning</v>
      </c>
    </row>
    <row r="4457" spans="1:15" x14ac:dyDescent="0.25">
      <c r="A4457">
        <v>4456</v>
      </c>
      <c r="B4457">
        <v>49</v>
      </c>
      <c r="C4457" t="s">
        <v>16</v>
      </c>
      <c r="D4457" t="s">
        <v>27</v>
      </c>
      <c r="E4457" t="s">
        <v>53</v>
      </c>
      <c r="F4457" s="1">
        <v>2429.83</v>
      </c>
      <c r="G4457" t="s">
        <v>24</v>
      </c>
      <c r="H4457" t="s">
        <v>15</v>
      </c>
      <c r="I4457" s="2">
        <v>2.9</v>
      </c>
      <c r="J4457" s="4">
        <v>18</v>
      </c>
      <c r="K4457" s="3">
        <v>9</v>
      </c>
      <c r="L4457" s="1">
        <f t="shared" si="207"/>
        <v>1992.4606000000001</v>
      </c>
      <c r="M4457" t="str" cm="1">
        <f t="array" ref="M4457">_xlfn.IFS(B4457&lt;18,"Under 18",B4457 &lt;=25,"18-25",B4457&lt;=35,"26-35",B4457&lt;=45,"36-45",B4457&lt;=60,"46-60",TRUE,"60+")</f>
        <v>46-60</v>
      </c>
      <c r="N4457" t="str">
        <f t="shared" si="208"/>
        <v>Discounted</v>
      </c>
      <c r="O4457" t="str">
        <f t="shared" si="209"/>
        <v>Returning</v>
      </c>
    </row>
    <row r="4458" spans="1:15" x14ac:dyDescent="0.25">
      <c r="A4458">
        <v>4457</v>
      </c>
      <c r="B4458">
        <v>38</v>
      </c>
      <c r="C4458" t="s">
        <v>16</v>
      </c>
      <c r="D4458" t="s">
        <v>27</v>
      </c>
      <c r="E4458" t="s">
        <v>53</v>
      </c>
      <c r="F4458" s="1">
        <v>1961.17</v>
      </c>
      <c r="G4458" t="s">
        <v>31</v>
      </c>
      <c r="H4458" t="s">
        <v>15</v>
      </c>
      <c r="I4458" s="2">
        <v>2.9</v>
      </c>
      <c r="J4458" s="4">
        <v>26</v>
      </c>
      <c r="K4458" s="3">
        <v>8</v>
      </c>
      <c r="L4458" s="1">
        <f t="shared" si="207"/>
        <v>1451.2658000000001</v>
      </c>
      <c r="M4458" t="str" cm="1">
        <f t="array" ref="M4458">_xlfn.IFS(B4458&lt;18,"Under 18",B4458 &lt;=25,"18-25",B4458&lt;=35,"26-35",B4458&lt;=45,"36-45",B4458&lt;=60,"46-60",TRUE,"60+")</f>
        <v>36-45</v>
      </c>
      <c r="N4458" t="str">
        <f t="shared" si="208"/>
        <v>Discounted</v>
      </c>
      <c r="O4458" t="str">
        <f t="shared" si="209"/>
        <v>Returning</v>
      </c>
    </row>
    <row r="4459" spans="1:15" x14ac:dyDescent="0.25">
      <c r="A4459">
        <v>4458</v>
      </c>
      <c r="B4459">
        <v>41</v>
      </c>
      <c r="C4459" t="s">
        <v>11</v>
      </c>
      <c r="D4459" t="s">
        <v>33</v>
      </c>
      <c r="E4459" t="s">
        <v>38</v>
      </c>
      <c r="F4459" s="1">
        <v>119.89</v>
      </c>
      <c r="G4459" t="s">
        <v>24</v>
      </c>
      <c r="H4459" t="s">
        <v>15</v>
      </c>
      <c r="I4459" s="2">
        <v>3.6</v>
      </c>
      <c r="J4459" s="4">
        <v>11</v>
      </c>
      <c r="K4459" s="3">
        <v>3</v>
      </c>
      <c r="L4459" s="1">
        <f t="shared" si="207"/>
        <v>106.7021</v>
      </c>
      <c r="M4459" t="str" cm="1">
        <f t="array" ref="M4459">_xlfn.IFS(B4459&lt;18,"Under 18",B4459 &lt;=25,"18-25",B4459&lt;=35,"26-35",B4459&lt;=45,"36-45",B4459&lt;=60,"46-60",TRUE,"60+")</f>
        <v>36-45</v>
      </c>
      <c r="N4459" t="str">
        <f t="shared" si="208"/>
        <v>Discounted</v>
      </c>
      <c r="O4459" t="str">
        <f t="shared" si="209"/>
        <v>Returning</v>
      </c>
    </row>
    <row r="4460" spans="1:15" x14ac:dyDescent="0.25">
      <c r="A4460">
        <v>4459</v>
      </c>
      <c r="B4460">
        <v>25</v>
      </c>
      <c r="C4460" t="s">
        <v>11</v>
      </c>
      <c r="D4460" t="s">
        <v>25</v>
      </c>
      <c r="E4460" t="s">
        <v>54</v>
      </c>
      <c r="F4460" s="1">
        <v>78.319999999999993</v>
      </c>
      <c r="G4460" t="s">
        <v>24</v>
      </c>
      <c r="H4460" t="s">
        <v>37</v>
      </c>
      <c r="I4460" s="2">
        <v>4.5999999999999996</v>
      </c>
      <c r="J4460" s="4">
        <v>24</v>
      </c>
      <c r="K4460" s="3">
        <v>7</v>
      </c>
      <c r="L4460" s="1">
        <f t="shared" si="207"/>
        <v>59.523199999999996</v>
      </c>
      <c r="M4460" t="str" cm="1">
        <f t="array" ref="M4460">_xlfn.IFS(B4460&lt;18,"Under 18",B4460 &lt;=25,"18-25",B4460&lt;=35,"26-35",B4460&lt;=45,"36-45",B4460&lt;=60,"46-60",TRUE,"60+")</f>
        <v>18-25</v>
      </c>
      <c r="N4460" t="str">
        <f t="shared" si="208"/>
        <v>Discounted</v>
      </c>
      <c r="O4460" t="str">
        <f t="shared" si="209"/>
        <v>Returning</v>
      </c>
    </row>
    <row r="4461" spans="1:15" x14ac:dyDescent="0.25">
      <c r="A4461">
        <v>4460</v>
      </c>
      <c r="B4461">
        <v>55</v>
      </c>
      <c r="C4461" t="s">
        <v>16</v>
      </c>
      <c r="D4461" t="s">
        <v>27</v>
      </c>
      <c r="E4461" t="s">
        <v>28</v>
      </c>
      <c r="F4461" s="1">
        <v>1710.6</v>
      </c>
      <c r="G4461" t="s">
        <v>14</v>
      </c>
      <c r="H4461" t="s">
        <v>15</v>
      </c>
      <c r="I4461" s="2">
        <v>4</v>
      </c>
      <c r="J4461" s="4">
        <v>16</v>
      </c>
      <c r="K4461" s="3">
        <v>3</v>
      </c>
      <c r="L4461" s="1">
        <f t="shared" si="207"/>
        <v>1436.9039999999998</v>
      </c>
      <c r="M4461" t="str" cm="1">
        <f t="array" ref="M4461">_xlfn.IFS(B4461&lt;18,"Under 18",B4461 &lt;=25,"18-25",B4461&lt;=35,"26-35",B4461&lt;=45,"36-45",B4461&lt;=60,"46-60",TRUE,"60+")</f>
        <v>46-60</v>
      </c>
      <c r="N4461" t="str">
        <f t="shared" si="208"/>
        <v>Discounted</v>
      </c>
      <c r="O4461" t="str">
        <f t="shared" si="209"/>
        <v>Returning</v>
      </c>
    </row>
    <row r="4462" spans="1:15" x14ac:dyDescent="0.25">
      <c r="A4462">
        <v>4461</v>
      </c>
      <c r="B4462">
        <v>47</v>
      </c>
      <c r="C4462" t="s">
        <v>11</v>
      </c>
      <c r="D4462" t="s">
        <v>33</v>
      </c>
      <c r="E4462" t="s">
        <v>38</v>
      </c>
      <c r="F4462" s="1">
        <v>148.86000000000001</v>
      </c>
      <c r="G4462" t="s">
        <v>14</v>
      </c>
      <c r="H4462" t="s">
        <v>15</v>
      </c>
      <c r="I4462" s="2">
        <v>3.4</v>
      </c>
      <c r="J4462" s="4">
        <v>16</v>
      </c>
      <c r="K4462" s="3">
        <v>3</v>
      </c>
      <c r="L4462" s="1">
        <f t="shared" si="207"/>
        <v>125.0424</v>
      </c>
      <c r="M4462" t="str" cm="1">
        <f t="array" ref="M4462">_xlfn.IFS(B4462&lt;18,"Under 18",B4462 &lt;=25,"18-25",B4462&lt;=35,"26-35",B4462&lt;=45,"36-45",B4462&lt;=60,"46-60",TRUE,"60+")</f>
        <v>46-60</v>
      </c>
      <c r="N4462" t="str">
        <f t="shared" si="208"/>
        <v>Discounted</v>
      </c>
      <c r="O4462" t="str">
        <f t="shared" si="209"/>
        <v>Returning</v>
      </c>
    </row>
    <row r="4463" spans="1:15" x14ac:dyDescent="0.25">
      <c r="A4463">
        <v>4462</v>
      </c>
      <c r="B4463">
        <v>70</v>
      </c>
      <c r="C4463" t="s">
        <v>16</v>
      </c>
      <c r="D4463" t="s">
        <v>22</v>
      </c>
      <c r="E4463" t="s">
        <v>23</v>
      </c>
      <c r="F4463" s="1">
        <v>194.65</v>
      </c>
      <c r="G4463" t="s">
        <v>31</v>
      </c>
      <c r="H4463" t="s">
        <v>15</v>
      </c>
      <c r="I4463" s="2">
        <v>3.3</v>
      </c>
      <c r="J4463" s="4">
        <v>12</v>
      </c>
      <c r="K4463" s="3">
        <v>6</v>
      </c>
      <c r="L4463" s="1">
        <f t="shared" si="207"/>
        <v>171.292</v>
      </c>
      <c r="M4463" t="str" cm="1">
        <f t="array" ref="M4463">_xlfn.IFS(B4463&lt;18,"Under 18",B4463 &lt;=25,"18-25",B4463&lt;=35,"26-35",B4463&lt;=45,"36-45",B4463&lt;=60,"46-60",TRUE,"60+")</f>
        <v>60+</v>
      </c>
      <c r="N4463" t="str">
        <f t="shared" si="208"/>
        <v>Discounted</v>
      </c>
      <c r="O4463" t="str">
        <f t="shared" si="209"/>
        <v>Returning</v>
      </c>
    </row>
    <row r="4464" spans="1:15" x14ac:dyDescent="0.25">
      <c r="A4464">
        <v>4463</v>
      </c>
      <c r="B4464">
        <v>59</v>
      </c>
      <c r="C4464" t="s">
        <v>11</v>
      </c>
      <c r="D4464" t="s">
        <v>29</v>
      </c>
      <c r="E4464" t="s">
        <v>30</v>
      </c>
      <c r="F4464" s="1">
        <v>58.65</v>
      </c>
      <c r="G4464" t="s">
        <v>14</v>
      </c>
      <c r="H4464" t="s">
        <v>37</v>
      </c>
      <c r="I4464" s="2">
        <v>3.3</v>
      </c>
      <c r="J4464" s="4">
        <v>12</v>
      </c>
      <c r="K4464" s="3">
        <v>6</v>
      </c>
      <c r="L4464" s="1">
        <f t="shared" si="207"/>
        <v>51.612000000000002</v>
      </c>
      <c r="M4464" t="str" cm="1">
        <f t="array" ref="M4464">_xlfn.IFS(B4464&lt;18,"Under 18",B4464 &lt;=25,"18-25",B4464&lt;=35,"26-35",B4464&lt;=45,"36-45",B4464&lt;=60,"46-60",TRUE,"60+")</f>
        <v>46-60</v>
      </c>
      <c r="N4464" t="str">
        <f t="shared" si="208"/>
        <v>Discounted</v>
      </c>
      <c r="O4464" t="str">
        <f t="shared" si="209"/>
        <v>Returning</v>
      </c>
    </row>
    <row r="4465" spans="1:15" x14ac:dyDescent="0.25">
      <c r="A4465">
        <v>4464</v>
      </c>
      <c r="B4465">
        <v>21</v>
      </c>
      <c r="C4465" t="s">
        <v>11</v>
      </c>
      <c r="D4465" t="s">
        <v>33</v>
      </c>
      <c r="E4465" t="s">
        <v>38</v>
      </c>
      <c r="F4465" s="1">
        <v>228.61</v>
      </c>
      <c r="G4465" t="s">
        <v>14</v>
      </c>
      <c r="H4465" t="s">
        <v>15</v>
      </c>
      <c r="I4465" s="2">
        <v>2.5</v>
      </c>
      <c r="J4465" s="4">
        <v>10</v>
      </c>
      <c r="K4465" s="3">
        <v>5</v>
      </c>
      <c r="L4465" s="1">
        <f t="shared" si="207"/>
        <v>205.74900000000002</v>
      </c>
      <c r="M4465" t="str" cm="1">
        <f t="array" ref="M4465">_xlfn.IFS(B4465&lt;18,"Under 18",B4465 &lt;=25,"18-25",B4465&lt;=35,"26-35",B4465&lt;=45,"36-45",B4465&lt;=60,"46-60",TRUE,"60+")</f>
        <v>18-25</v>
      </c>
      <c r="N4465" t="str">
        <f t="shared" si="208"/>
        <v>Discounted</v>
      </c>
      <c r="O4465" t="str">
        <f t="shared" si="209"/>
        <v>Returning</v>
      </c>
    </row>
    <row r="4466" spans="1:15" x14ac:dyDescent="0.25">
      <c r="A4466">
        <v>4465</v>
      </c>
      <c r="B4466">
        <v>62</v>
      </c>
      <c r="C4466" t="s">
        <v>16</v>
      </c>
      <c r="D4466" t="s">
        <v>27</v>
      </c>
      <c r="E4466" t="s">
        <v>28</v>
      </c>
      <c r="F4466" s="1">
        <v>2057.65</v>
      </c>
      <c r="G4466" t="s">
        <v>19</v>
      </c>
      <c r="H4466" t="s">
        <v>15</v>
      </c>
      <c r="I4466" s="2">
        <v>4.0999999999999996</v>
      </c>
      <c r="J4466" s="4">
        <v>24</v>
      </c>
      <c r="K4466" s="3">
        <v>7</v>
      </c>
      <c r="L4466" s="1">
        <f t="shared" si="207"/>
        <v>1563.8140000000001</v>
      </c>
      <c r="M4466" t="str" cm="1">
        <f t="array" ref="M4466">_xlfn.IFS(B4466&lt;18,"Under 18",B4466 &lt;=25,"18-25",B4466&lt;=35,"26-35",B4466&lt;=45,"36-45",B4466&lt;=60,"46-60",TRUE,"60+")</f>
        <v>60+</v>
      </c>
      <c r="N4466" t="str">
        <f t="shared" si="208"/>
        <v>Discounted</v>
      </c>
      <c r="O4466" t="str">
        <f t="shared" si="209"/>
        <v>Returning</v>
      </c>
    </row>
    <row r="4467" spans="1:15" x14ac:dyDescent="0.25">
      <c r="A4467">
        <v>4466</v>
      </c>
      <c r="B4467">
        <v>25</v>
      </c>
      <c r="C4467" t="s">
        <v>11</v>
      </c>
      <c r="D4467" t="s">
        <v>33</v>
      </c>
      <c r="E4467" t="s">
        <v>38</v>
      </c>
      <c r="F4467" s="1">
        <v>138.83000000000001</v>
      </c>
      <c r="G4467" t="s">
        <v>31</v>
      </c>
      <c r="H4467" t="s">
        <v>15</v>
      </c>
      <c r="I4467" s="2">
        <v>3.8</v>
      </c>
      <c r="J4467" s="4">
        <v>20</v>
      </c>
      <c r="K4467" s="3">
        <v>5</v>
      </c>
      <c r="L4467" s="1">
        <f t="shared" si="207"/>
        <v>111.06400000000002</v>
      </c>
      <c r="M4467" t="str" cm="1">
        <f t="array" ref="M4467">_xlfn.IFS(B4467&lt;18,"Under 18",B4467 &lt;=25,"18-25",B4467&lt;=35,"26-35",B4467&lt;=45,"36-45",B4467&lt;=60,"46-60",TRUE,"60+")</f>
        <v>18-25</v>
      </c>
      <c r="N4467" t="str">
        <f t="shared" si="208"/>
        <v>Discounted</v>
      </c>
      <c r="O4467" t="str">
        <f t="shared" si="209"/>
        <v>Returning</v>
      </c>
    </row>
    <row r="4468" spans="1:15" x14ac:dyDescent="0.25">
      <c r="A4468">
        <v>4467</v>
      </c>
      <c r="B4468">
        <v>23</v>
      </c>
      <c r="C4468" t="s">
        <v>16</v>
      </c>
      <c r="D4468" t="s">
        <v>17</v>
      </c>
      <c r="E4468" t="s">
        <v>18</v>
      </c>
      <c r="F4468" s="1">
        <v>106.76</v>
      </c>
      <c r="G4468" t="s">
        <v>31</v>
      </c>
      <c r="H4468" t="s">
        <v>15</v>
      </c>
      <c r="I4468" s="2">
        <v>4.5</v>
      </c>
      <c r="J4468" s="4">
        <v>20</v>
      </c>
      <c r="K4468" s="3">
        <v>5</v>
      </c>
      <c r="L4468" s="1">
        <f t="shared" si="207"/>
        <v>85.408000000000015</v>
      </c>
      <c r="M4468" t="str" cm="1">
        <f t="array" ref="M4468">_xlfn.IFS(B4468&lt;18,"Under 18",B4468 &lt;=25,"18-25",B4468&lt;=35,"26-35",B4468&lt;=45,"36-45",B4468&lt;=60,"46-60",TRUE,"60+")</f>
        <v>18-25</v>
      </c>
      <c r="N4468" t="str">
        <f t="shared" si="208"/>
        <v>Discounted</v>
      </c>
      <c r="O4468" t="str">
        <f t="shared" si="209"/>
        <v>Returning</v>
      </c>
    </row>
    <row r="4469" spans="1:15" x14ac:dyDescent="0.25">
      <c r="A4469">
        <v>4468</v>
      </c>
      <c r="B4469">
        <v>62</v>
      </c>
      <c r="C4469" t="s">
        <v>16</v>
      </c>
      <c r="D4469" t="s">
        <v>27</v>
      </c>
      <c r="E4469" t="s">
        <v>53</v>
      </c>
      <c r="F4469" s="1">
        <v>2593.67</v>
      </c>
      <c r="G4469" t="s">
        <v>14</v>
      </c>
      <c r="H4469" t="s">
        <v>15</v>
      </c>
      <c r="I4469" s="2">
        <v>2.9</v>
      </c>
      <c r="J4469" s="4">
        <v>10</v>
      </c>
      <c r="K4469" s="3">
        <v>5</v>
      </c>
      <c r="L4469" s="1">
        <f t="shared" si="207"/>
        <v>2334.3030000000003</v>
      </c>
      <c r="M4469" t="str" cm="1">
        <f t="array" ref="M4469">_xlfn.IFS(B4469&lt;18,"Under 18",B4469 &lt;=25,"18-25",B4469&lt;=35,"26-35",B4469&lt;=45,"36-45",B4469&lt;=60,"46-60",TRUE,"60+")</f>
        <v>60+</v>
      </c>
      <c r="N4469" t="str">
        <f t="shared" si="208"/>
        <v>Discounted</v>
      </c>
      <c r="O4469" t="str">
        <f t="shared" si="209"/>
        <v>Returning</v>
      </c>
    </row>
    <row r="4470" spans="1:15" x14ac:dyDescent="0.25">
      <c r="A4470">
        <v>4469</v>
      </c>
      <c r="B4470">
        <v>30</v>
      </c>
      <c r="C4470" t="s">
        <v>16</v>
      </c>
      <c r="D4470" t="s">
        <v>17</v>
      </c>
      <c r="E4470" t="s">
        <v>48</v>
      </c>
      <c r="F4470" s="1">
        <v>195.55</v>
      </c>
      <c r="G4470" t="s">
        <v>19</v>
      </c>
      <c r="H4470" t="s">
        <v>15</v>
      </c>
      <c r="I4470" s="2">
        <v>3.9</v>
      </c>
      <c r="J4470" s="4">
        <v>18</v>
      </c>
      <c r="K4470" s="3">
        <v>4</v>
      </c>
      <c r="L4470" s="1">
        <f t="shared" si="207"/>
        <v>160.35100000000003</v>
      </c>
      <c r="M4470" t="str" cm="1">
        <f t="array" ref="M4470">_xlfn.IFS(B4470&lt;18,"Under 18",B4470 &lt;=25,"18-25",B4470&lt;=35,"26-35",B4470&lt;=45,"36-45",B4470&lt;=60,"46-60",TRUE,"60+")</f>
        <v>26-35</v>
      </c>
      <c r="N4470" t="str">
        <f t="shared" si="208"/>
        <v>Discounted</v>
      </c>
      <c r="O4470" t="str">
        <f t="shared" si="209"/>
        <v>Returning</v>
      </c>
    </row>
    <row r="4471" spans="1:15" x14ac:dyDescent="0.25">
      <c r="A4471">
        <v>4470</v>
      </c>
      <c r="B4471">
        <v>69</v>
      </c>
      <c r="C4471" t="s">
        <v>16</v>
      </c>
      <c r="D4471" t="s">
        <v>22</v>
      </c>
      <c r="E4471" t="s">
        <v>52</v>
      </c>
      <c r="F4471" s="1">
        <v>127.32</v>
      </c>
      <c r="G4471" t="s">
        <v>19</v>
      </c>
      <c r="H4471" t="s">
        <v>15</v>
      </c>
      <c r="I4471" s="2">
        <v>3.5</v>
      </c>
      <c r="J4471" s="4">
        <v>4</v>
      </c>
      <c r="K4471" s="3">
        <v>2</v>
      </c>
      <c r="L4471" s="1">
        <f t="shared" si="207"/>
        <v>122.22719999999998</v>
      </c>
      <c r="M4471" t="str" cm="1">
        <f t="array" ref="M4471">_xlfn.IFS(B4471&lt;18,"Under 18",B4471 &lt;=25,"18-25",B4471&lt;=35,"26-35",B4471&lt;=45,"36-45",B4471&lt;=60,"46-60",TRUE,"60+")</f>
        <v>60+</v>
      </c>
      <c r="N4471" t="str">
        <f t="shared" si="208"/>
        <v>Discounted</v>
      </c>
      <c r="O4471" t="str">
        <f t="shared" si="209"/>
        <v>Returning</v>
      </c>
    </row>
    <row r="4472" spans="1:15" x14ac:dyDescent="0.25">
      <c r="A4472">
        <v>4471</v>
      </c>
      <c r="B4472">
        <v>29</v>
      </c>
      <c r="C4472" t="s">
        <v>16</v>
      </c>
      <c r="D4472" t="s">
        <v>33</v>
      </c>
      <c r="E4472" t="s">
        <v>34</v>
      </c>
      <c r="F4472" s="1">
        <v>86.48</v>
      </c>
      <c r="G4472" t="s">
        <v>19</v>
      </c>
      <c r="H4472" t="s">
        <v>15</v>
      </c>
      <c r="I4472" s="2">
        <v>3.7</v>
      </c>
      <c r="J4472" s="4">
        <v>11</v>
      </c>
      <c r="K4472" s="3">
        <v>3</v>
      </c>
      <c r="L4472" s="1">
        <f t="shared" si="207"/>
        <v>76.967200000000005</v>
      </c>
      <c r="M4472" t="str" cm="1">
        <f t="array" ref="M4472">_xlfn.IFS(B4472&lt;18,"Under 18",B4472 &lt;=25,"18-25",B4472&lt;=35,"26-35",B4472&lt;=45,"36-45",B4472&lt;=60,"46-60",TRUE,"60+")</f>
        <v>26-35</v>
      </c>
      <c r="N4472" t="str">
        <f t="shared" si="208"/>
        <v>Discounted</v>
      </c>
      <c r="O4472" t="str">
        <f t="shared" si="209"/>
        <v>Returning</v>
      </c>
    </row>
    <row r="4473" spans="1:15" x14ac:dyDescent="0.25">
      <c r="A4473">
        <v>4472</v>
      </c>
      <c r="B4473">
        <v>21</v>
      </c>
      <c r="C4473" t="s">
        <v>11</v>
      </c>
      <c r="D4473" t="s">
        <v>29</v>
      </c>
      <c r="E4473" t="s">
        <v>55</v>
      </c>
      <c r="F4473" s="1">
        <v>109.66</v>
      </c>
      <c r="G4473" t="s">
        <v>24</v>
      </c>
      <c r="H4473" t="s">
        <v>15</v>
      </c>
      <c r="I4473" s="2">
        <v>3.5</v>
      </c>
      <c r="J4473" s="4">
        <v>16</v>
      </c>
      <c r="K4473" s="3">
        <v>8</v>
      </c>
      <c r="L4473" s="1">
        <f t="shared" si="207"/>
        <v>92.114399999999989</v>
      </c>
      <c r="M4473" t="str" cm="1">
        <f t="array" ref="M4473">_xlfn.IFS(B4473&lt;18,"Under 18",B4473 &lt;=25,"18-25",B4473&lt;=35,"26-35",B4473&lt;=45,"36-45",B4473&lt;=60,"46-60",TRUE,"60+")</f>
        <v>18-25</v>
      </c>
      <c r="N4473" t="str">
        <f t="shared" si="208"/>
        <v>Discounted</v>
      </c>
      <c r="O4473" t="str">
        <f t="shared" si="209"/>
        <v>Returning</v>
      </c>
    </row>
    <row r="4474" spans="1:15" x14ac:dyDescent="0.25">
      <c r="A4474">
        <v>4473</v>
      </c>
      <c r="B4474">
        <v>57</v>
      </c>
      <c r="C4474" t="s">
        <v>11</v>
      </c>
      <c r="D4474" t="s">
        <v>12</v>
      </c>
      <c r="E4474" t="s">
        <v>13</v>
      </c>
      <c r="F4474" s="1">
        <v>63.39</v>
      </c>
      <c r="G4474" t="s">
        <v>24</v>
      </c>
      <c r="H4474" t="s">
        <v>37</v>
      </c>
      <c r="I4474" s="2">
        <v>4</v>
      </c>
      <c r="J4474" s="4">
        <v>17</v>
      </c>
      <c r="K4474" s="3">
        <v>6</v>
      </c>
      <c r="L4474" s="1">
        <f t="shared" si="207"/>
        <v>52.613700000000001</v>
      </c>
      <c r="M4474" t="str" cm="1">
        <f t="array" ref="M4474">_xlfn.IFS(B4474&lt;18,"Under 18",B4474 &lt;=25,"18-25",B4474&lt;=35,"26-35",B4474&lt;=45,"36-45",B4474&lt;=60,"46-60",TRUE,"60+")</f>
        <v>46-60</v>
      </c>
      <c r="N4474" t="str">
        <f t="shared" si="208"/>
        <v>Discounted</v>
      </c>
      <c r="O4474" t="str">
        <f t="shared" si="209"/>
        <v>Returning</v>
      </c>
    </row>
    <row r="4475" spans="1:15" x14ac:dyDescent="0.25">
      <c r="A4475">
        <v>4474</v>
      </c>
      <c r="B4475">
        <v>61</v>
      </c>
      <c r="C4475" t="s">
        <v>11</v>
      </c>
      <c r="D4475" t="s">
        <v>41</v>
      </c>
      <c r="E4475" t="s">
        <v>45</v>
      </c>
      <c r="F4475" s="1">
        <v>198.86</v>
      </c>
      <c r="G4475" t="s">
        <v>24</v>
      </c>
      <c r="H4475" t="s">
        <v>15</v>
      </c>
      <c r="I4475" s="2">
        <v>3.5</v>
      </c>
      <c r="J4475" s="4">
        <v>15</v>
      </c>
      <c r="K4475" s="3">
        <v>5</v>
      </c>
      <c r="L4475" s="1">
        <f t="shared" si="207"/>
        <v>169.03100000000001</v>
      </c>
      <c r="M4475" t="str" cm="1">
        <f t="array" ref="M4475">_xlfn.IFS(B4475&lt;18,"Under 18",B4475 &lt;=25,"18-25",B4475&lt;=35,"26-35",B4475&lt;=45,"36-45",B4475&lt;=60,"46-60",TRUE,"60+")</f>
        <v>60+</v>
      </c>
      <c r="N4475" t="str">
        <f t="shared" si="208"/>
        <v>Discounted</v>
      </c>
      <c r="O4475" t="str">
        <f t="shared" si="209"/>
        <v>Returning</v>
      </c>
    </row>
    <row r="4476" spans="1:15" x14ac:dyDescent="0.25">
      <c r="A4476">
        <v>4475</v>
      </c>
      <c r="B4476">
        <v>29</v>
      </c>
      <c r="C4476" t="s">
        <v>11</v>
      </c>
      <c r="D4476" t="s">
        <v>29</v>
      </c>
      <c r="E4476" t="s">
        <v>51</v>
      </c>
      <c r="F4476" s="1">
        <v>143.68</v>
      </c>
      <c r="G4476" t="s">
        <v>19</v>
      </c>
      <c r="H4476" t="s">
        <v>15</v>
      </c>
      <c r="I4476" s="2">
        <v>3.5</v>
      </c>
      <c r="J4476" s="4">
        <v>11</v>
      </c>
      <c r="K4476" s="3">
        <v>3</v>
      </c>
      <c r="L4476" s="1">
        <f t="shared" si="207"/>
        <v>127.87520000000001</v>
      </c>
      <c r="M4476" t="str" cm="1">
        <f t="array" ref="M4476">_xlfn.IFS(B4476&lt;18,"Under 18",B4476 &lt;=25,"18-25",B4476&lt;=35,"26-35",B4476&lt;=45,"36-45",B4476&lt;=60,"46-60",TRUE,"60+")</f>
        <v>26-35</v>
      </c>
      <c r="N4476" t="str">
        <f t="shared" si="208"/>
        <v>Discounted</v>
      </c>
      <c r="O4476" t="str">
        <f t="shared" si="209"/>
        <v>Returning</v>
      </c>
    </row>
    <row r="4477" spans="1:15" x14ac:dyDescent="0.25">
      <c r="A4477">
        <v>4476</v>
      </c>
      <c r="B4477">
        <v>44</v>
      </c>
      <c r="C4477" t="s">
        <v>16</v>
      </c>
      <c r="D4477" t="s">
        <v>27</v>
      </c>
      <c r="E4477" t="s">
        <v>28</v>
      </c>
      <c r="F4477" s="1">
        <v>605.67999999999995</v>
      </c>
      <c r="G4477" t="s">
        <v>31</v>
      </c>
      <c r="H4477" t="s">
        <v>15</v>
      </c>
      <c r="I4477" s="2">
        <v>3</v>
      </c>
      <c r="J4477" s="4">
        <v>20</v>
      </c>
      <c r="K4477" s="3">
        <v>5</v>
      </c>
      <c r="L4477" s="1">
        <f t="shared" si="207"/>
        <v>484.54399999999998</v>
      </c>
      <c r="M4477" t="str" cm="1">
        <f t="array" ref="M4477">_xlfn.IFS(B4477&lt;18,"Under 18",B4477 &lt;=25,"18-25",B4477&lt;=35,"26-35",B4477&lt;=45,"36-45",B4477&lt;=60,"46-60",TRUE,"60+")</f>
        <v>36-45</v>
      </c>
      <c r="N4477" t="str">
        <f t="shared" si="208"/>
        <v>Discounted</v>
      </c>
      <c r="O4477" t="str">
        <f t="shared" si="209"/>
        <v>Returning</v>
      </c>
    </row>
    <row r="4478" spans="1:15" x14ac:dyDescent="0.25">
      <c r="A4478">
        <v>4477</v>
      </c>
      <c r="B4478">
        <v>24</v>
      </c>
      <c r="C4478" t="s">
        <v>11</v>
      </c>
      <c r="D4478" t="s">
        <v>33</v>
      </c>
      <c r="E4478" t="s">
        <v>34</v>
      </c>
      <c r="F4478" s="1">
        <v>52.58</v>
      </c>
      <c r="G4478" t="s">
        <v>14</v>
      </c>
      <c r="H4478" t="s">
        <v>37</v>
      </c>
      <c r="I4478" s="2">
        <v>2.4</v>
      </c>
      <c r="J4478" s="4">
        <v>13</v>
      </c>
      <c r="K4478" s="3">
        <v>4</v>
      </c>
      <c r="L4478" s="1">
        <f t="shared" si="207"/>
        <v>45.744599999999998</v>
      </c>
      <c r="M4478" t="str" cm="1">
        <f t="array" ref="M4478">_xlfn.IFS(B4478&lt;18,"Under 18",B4478 &lt;=25,"18-25",B4478&lt;=35,"26-35",B4478&lt;=45,"36-45",B4478&lt;=60,"46-60",TRUE,"60+")</f>
        <v>18-25</v>
      </c>
      <c r="N4478" t="str">
        <f t="shared" si="208"/>
        <v>Discounted</v>
      </c>
      <c r="O4478" t="str">
        <f t="shared" si="209"/>
        <v>Returning</v>
      </c>
    </row>
    <row r="4479" spans="1:15" x14ac:dyDescent="0.25">
      <c r="A4479">
        <v>4478</v>
      </c>
      <c r="B4479">
        <v>51</v>
      </c>
      <c r="C4479" t="s">
        <v>16</v>
      </c>
      <c r="D4479" t="s">
        <v>20</v>
      </c>
      <c r="E4479" t="s">
        <v>36</v>
      </c>
      <c r="F4479" s="1">
        <v>179.61</v>
      </c>
      <c r="G4479" t="s">
        <v>14</v>
      </c>
      <c r="H4479" t="s">
        <v>15</v>
      </c>
      <c r="I4479" s="2">
        <v>2.9</v>
      </c>
      <c r="J4479" s="4">
        <v>9</v>
      </c>
      <c r="K4479" s="3">
        <v>2</v>
      </c>
      <c r="L4479" s="1">
        <f t="shared" si="207"/>
        <v>163.44510000000002</v>
      </c>
      <c r="M4479" t="str" cm="1">
        <f t="array" ref="M4479">_xlfn.IFS(B4479&lt;18,"Under 18",B4479 &lt;=25,"18-25",B4479&lt;=35,"26-35",B4479&lt;=45,"36-45",B4479&lt;=60,"46-60",TRUE,"60+")</f>
        <v>46-60</v>
      </c>
      <c r="N4479" t="str">
        <f t="shared" si="208"/>
        <v>Discounted</v>
      </c>
      <c r="O4479" t="str">
        <f t="shared" si="209"/>
        <v>Returning</v>
      </c>
    </row>
    <row r="4480" spans="1:15" x14ac:dyDescent="0.25">
      <c r="A4480">
        <v>4479</v>
      </c>
      <c r="B4480">
        <v>35</v>
      </c>
      <c r="C4480" t="s">
        <v>11</v>
      </c>
      <c r="D4480" t="s">
        <v>41</v>
      </c>
      <c r="E4480" t="s">
        <v>46</v>
      </c>
      <c r="F4480" s="1">
        <v>170.61</v>
      </c>
      <c r="G4480" t="s">
        <v>19</v>
      </c>
      <c r="H4480" t="s">
        <v>15</v>
      </c>
      <c r="I4480" s="2">
        <v>4.3</v>
      </c>
      <c r="J4480" s="4">
        <v>24</v>
      </c>
      <c r="K4480" s="3">
        <v>7</v>
      </c>
      <c r="L4480" s="1">
        <f t="shared" si="207"/>
        <v>129.6636</v>
      </c>
      <c r="M4480" t="str" cm="1">
        <f t="array" ref="M4480">_xlfn.IFS(B4480&lt;18,"Under 18",B4480 &lt;=25,"18-25",B4480&lt;=35,"26-35",B4480&lt;=45,"36-45",B4480&lt;=60,"46-60",TRUE,"60+")</f>
        <v>26-35</v>
      </c>
      <c r="N4480" t="str">
        <f t="shared" si="208"/>
        <v>Discounted</v>
      </c>
      <c r="O4480" t="str">
        <f t="shared" si="209"/>
        <v>Returning</v>
      </c>
    </row>
    <row r="4481" spans="1:15" x14ac:dyDescent="0.25">
      <c r="A4481">
        <v>4480</v>
      </c>
      <c r="B4481">
        <v>61</v>
      </c>
      <c r="C4481" t="s">
        <v>16</v>
      </c>
      <c r="D4481" t="s">
        <v>17</v>
      </c>
      <c r="E4481" t="s">
        <v>18</v>
      </c>
      <c r="F4481" s="1">
        <v>124.26</v>
      </c>
      <c r="G4481" t="s">
        <v>31</v>
      </c>
      <c r="H4481" t="s">
        <v>15</v>
      </c>
      <c r="I4481" s="2">
        <v>3.6</v>
      </c>
      <c r="J4481" s="4">
        <v>15</v>
      </c>
      <c r="K4481" s="3">
        <v>5</v>
      </c>
      <c r="L4481" s="1">
        <f t="shared" si="207"/>
        <v>105.621</v>
      </c>
      <c r="M4481" t="str" cm="1">
        <f t="array" ref="M4481">_xlfn.IFS(B4481&lt;18,"Under 18",B4481 &lt;=25,"18-25",B4481&lt;=35,"26-35",B4481&lt;=45,"36-45",B4481&lt;=60,"46-60",TRUE,"60+")</f>
        <v>60+</v>
      </c>
      <c r="N4481" t="str">
        <f t="shared" si="208"/>
        <v>Discounted</v>
      </c>
      <c r="O4481" t="str">
        <f t="shared" si="209"/>
        <v>Returning</v>
      </c>
    </row>
    <row r="4482" spans="1:15" x14ac:dyDescent="0.25">
      <c r="A4482">
        <v>4481</v>
      </c>
      <c r="B4482">
        <v>54</v>
      </c>
      <c r="C4482" t="s">
        <v>11</v>
      </c>
      <c r="D4482" t="s">
        <v>41</v>
      </c>
      <c r="E4482" t="s">
        <v>45</v>
      </c>
      <c r="F4482" s="1">
        <v>102.38</v>
      </c>
      <c r="G4482" t="s">
        <v>14</v>
      </c>
      <c r="H4482" t="s">
        <v>15</v>
      </c>
      <c r="I4482" s="2">
        <v>4.8</v>
      </c>
      <c r="J4482" s="4">
        <v>6</v>
      </c>
      <c r="K4482" s="3">
        <v>3</v>
      </c>
      <c r="L4482" s="1">
        <f t="shared" si="207"/>
        <v>96.237199999999987</v>
      </c>
      <c r="M4482" t="str" cm="1">
        <f t="array" ref="M4482">_xlfn.IFS(B4482&lt;18,"Under 18",B4482 &lt;=25,"18-25",B4482&lt;=35,"26-35",B4482&lt;=45,"36-45",B4482&lt;=60,"46-60",TRUE,"60+")</f>
        <v>46-60</v>
      </c>
      <c r="N4482" t="str">
        <f t="shared" si="208"/>
        <v>Discounted</v>
      </c>
      <c r="O4482" t="str">
        <f t="shared" si="209"/>
        <v>Returning</v>
      </c>
    </row>
    <row r="4483" spans="1:15" x14ac:dyDescent="0.25">
      <c r="A4483">
        <v>4482</v>
      </c>
      <c r="B4483">
        <v>31</v>
      </c>
      <c r="C4483" t="s">
        <v>16</v>
      </c>
      <c r="D4483" t="s">
        <v>17</v>
      </c>
      <c r="E4483" t="s">
        <v>42</v>
      </c>
      <c r="F4483" s="1">
        <v>129.77000000000001</v>
      </c>
      <c r="G4483" t="s">
        <v>14</v>
      </c>
      <c r="H4483" t="s">
        <v>15</v>
      </c>
      <c r="I4483" s="2">
        <v>3.3</v>
      </c>
      <c r="J4483" s="4">
        <v>11</v>
      </c>
      <c r="K4483" s="3">
        <v>3</v>
      </c>
      <c r="L4483" s="1">
        <f t="shared" ref="L4483:L4546" si="210">F4483 * (1 - J4483 / 100)</f>
        <v>115.49530000000001</v>
      </c>
      <c r="M4483" t="str" cm="1">
        <f t="array" ref="M4483">_xlfn.IFS(B4483&lt;18,"Under 18",B4483 &lt;=25,"18-25",B4483&lt;=35,"26-35",B4483&lt;=45,"36-45",B4483&lt;=60,"46-60",TRUE,"60+")</f>
        <v>26-35</v>
      </c>
      <c r="N4483" t="str">
        <f t="shared" ref="N4483:N4546" si="211">IF(J4483&gt;0,"Discounted","No Discount")</f>
        <v>Discounted</v>
      </c>
      <c r="O4483" t="str">
        <f t="shared" ref="O4483:O4546" si="212">IF(K4483&gt;0,"Returning","New")</f>
        <v>Returning</v>
      </c>
    </row>
    <row r="4484" spans="1:15" x14ac:dyDescent="0.25">
      <c r="A4484">
        <v>4483</v>
      </c>
      <c r="B4484">
        <v>31</v>
      </c>
      <c r="C4484" t="s">
        <v>16</v>
      </c>
      <c r="D4484" t="s">
        <v>20</v>
      </c>
      <c r="E4484" t="s">
        <v>21</v>
      </c>
      <c r="F4484" s="1">
        <v>107.4</v>
      </c>
      <c r="G4484" t="s">
        <v>19</v>
      </c>
      <c r="H4484" t="s">
        <v>15</v>
      </c>
      <c r="I4484" s="2">
        <v>3.2</v>
      </c>
      <c r="J4484" s="4">
        <v>15</v>
      </c>
      <c r="K4484" s="3">
        <v>5</v>
      </c>
      <c r="L4484" s="1">
        <f t="shared" si="210"/>
        <v>91.29</v>
      </c>
      <c r="M4484" t="str" cm="1">
        <f t="array" ref="M4484">_xlfn.IFS(B4484&lt;18,"Under 18",B4484 &lt;=25,"18-25",B4484&lt;=35,"26-35",B4484&lt;=45,"36-45",B4484&lt;=60,"46-60",TRUE,"60+")</f>
        <v>26-35</v>
      </c>
      <c r="N4484" t="str">
        <f t="shared" si="211"/>
        <v>Discounted</v>
      </c>
      <c r="O4484" t="str">
        <f t="shared" si="212"/>
        <v>Returning</v>
      </c>
    </row>
    <row r="4485" spans="1:15" x14ac:dyDescent="0.25">
      <c r="A4485">
        <v>4484</v>
      </c>
      <c r="B4485">
        <v>56</v>
      </c>
      <c r="C4485" t="s">
        <v>16</v>
      </c>
      <c r="D4485" t="s">
        <v>27</v>
      </c>
      <c r="E4485" t="s">
        <v>28</v>
      </c>
      <c r="F4485" s="1">
        <v>1554.91</v>
      </c>
      <c r="G4485" t="s">
        <v>14</v>
      </c>
      <c r="H4485" t="s">
        <v>15</v>
      </c>
      <c r="I4485" s="2">
        <v>2.8</v>
      </c>
      <c r="J4485" s="4">
        <v>7</v>
      </c>
      <c r="K4485" s="3">
        <v>1</v>
      </c>
      <c r="L4485" s="1">
        <f t="shared" si="210"/>
        <v>1446.0663</v>
      </c>
      <c r="M4485" t="str" cm="1">
        <f t="array" ref="M4485">_xlfn.IFS(B4485&lt;18,"Under 18",B4485 &lt;=25,"18-25",B4485&lt;=35,"26-35",B4485&lt;=45,"36-45",B4485&lt;=60,"46-60",TRUE,"60+")</f>
        <v>46-60</v>
      </c>
      <c r="N4485" t="str">
        <f t="shared" si="211"/>
        <v>Discounted</v>
      </c>
      <c r="O4485" t="str">
        <f t="shared" si="212"/>
        <v>Returning</v>
      </c>
    </row>
    <row r="4486" spans="1:15" x14ac:dyDescent="0.25">
      <c r="A4486">
        <v>4485</v>
      </c>
      <c r="B4486">
        <v>66</v>
      </c>
      <c r="C4486" t="s">
        <v>11</v>
      </c>
      <c r="D4486" t="s">
        <v>41</v>
      </c>
      <c r="E4486" t="s">
        <v>45</v>
      </c>
      <c r="F4486" s="1">
        <v>131.11000000000001</v>
      </c>
      <c r="G4486" t="s">
        <v>14</v>
      </c>
      <c r="H4486" t="s">
        <v>15</v>
      </c>
      <c r="I4486" s="2">
        <v>3</v>
      </c>
      <c r="J4486" s="4">
        <v>20</v>
      </c>
      <c r="K4486" s="3">
        <v>10</v>
      </c>
      <c r="L4486" s="1">
        <f t="shared" si="210"/>
        <v>104.88800000000002</v>
      </c>
      <c r="M4486" t="str" cm="1">
        <f t="array" ref="M4486">_xlfn.IFS(B4486&lt;18,"Under 18",B4486 &lt;=25,"18-25",B4486&lt;=35,"26-35",B4486&lt;=45,"36-45",B4486&lt;=60,"46-60",TRUE,"60+")</f>
        <v>60+</v>
      </c>
      <c r="N4486" t="str">
        <f t="shared" si="211"/>
        <v>Discounted</v>
      </c>
      <c r="O4486" t="str">
        <f t="shared" si="212"/>
        <v>Returning</v>
      </c>
    </row>
    <row r="4487" spans="1:15" x14ac:dyDescent="0.25">
      <c r="A4487">
        <v>4486</v>
      </c>
      <c r="B4487">
        <v>38</v>
      </c>
      <c r="C4487" t="s">
        <v>16</v>
      </c>
      <c r="D4487" t="s">
        <v>17</v>
      </c>
      <c r="E4487" t="s">
        <v>48</v>
      </c>
      <c r="F4487" s="1">
        <v>52.09</v>
      </c>
      <c r="G4487" t="s">
        <v>24</v>
      </c>
      <c r="H4487" t="s">
        <v>15</v>
      </c>
      <c r="I4487" s="2">
        <v>4.2</v>
      </c>
      <c r="J4487" s="4">
        <v>14</v>
      </c>
      <c r="K4487" s="3">
        <v>2</v>
      </c>
      <c r="L4487" s="1">
        <f t="shared" si="210"/>
        <v>44.797400000000003</v>
      </c>
      <c r="M4487" t="str" cm="1">
        <f t="array" ref="M4487">_xlfn.IFS(B4487&lt;18,"Under 18",B4487 &lt;=25,"18-25",B4487&lt;=35,"26-35",B4487&lt;=45,"36-45",B4487&lt;=60,"46-60",TRUE,"60+")</f>
        <v>36-45</v>
      </c>
      <c r="N4487" t="str">
        <f t="shared" si="211"/>
        <v>Discounted</v>
      </c>
      <c r="O4487" t="str">
        <f t="shared" si="212"/>
        <v>Returning</v>
      </c>
    </row>
    <row r="4488" spans="1:15" x14ac:dyDescent="0.25">
      <c r="A4488">
        <v>4487</v>
      </c>
      <c r="B4488">
        <v>25</v>
      </c>
      <c r="C4488" t="s">
        <v>16</v>
      </c>
      <c r="D4488" t="s">
        <v>20</v>
      </c>
      <c r="E4488" t="s">
        <v>39</v>
      </c>
      <c r="F4488" s="1">
        <v>130.22999999999999</v>
      </c>
      <c r="G4488" t="s">
        <v>31</v>
      </c>
      <c r="H4488" t="s">
        <v>15</v>
      </c>
      <c r="I4488" s="2">
        <v>4.7</v>
      </c>
      <c r="J4488" s="4">
        <v>16</v>
      </c>
      <c r="K4488" s="3">
        <v>3</v>
      </c>
      <c r="L4488" s="1">
        <f t="shared" si="210"/>
        <v>109.39319999999999</v>
      </c>
      <c r="M4488" t="str" cm="1">
        <f t="array" ref="M4488">_xlfn.IFS(B4488&lt;18,"Under 18",B4488 &lt;=25,"18-25",B4488&lt;=35,"26-35",B4488&lt;=45,"36-45",B4488&lt;=60,"46-60",TRUE,"60+")</f>
        <v>18-25</v>
      </c>
      <c r="N4488" t="str">
        <f t="shared" si="211"/>
        <v>Discounted</v>
      </c>
      <c r="O4488" t="str">
        <f t="shared" si="212"/>
        <v>Returning</v>
      </c>
    </row>
    <row r="4489" spans="1:15" x14ac:dyDescent="0.25">
      <c r="A4489">
        <v>4488</v>
      </c>
      <c r="B4489">
        <v>44</v>
      </c>
      <c r="C4489" t="s">
        <v>16</v>
      </c>
      <c r="D4489" t="s">
        <v>20</v>
      </c>
      <c r="E4489" t="s">
        <v>21</v>
      </c>
      <c r="F4489" s="1">
        <v>125.56</v>
      </c>
      <c r="G4489" t="s">
        <v>31</v>
      </c>
      <c r="H4489" t="s">
        <v>15</v>
      </c>
      <c r="I4489" s="2">
        <v>3.2</v>
      </c>
      <c r="J4489" s="4">
        <v>12</v>
      </c>
      <c r="K4489" s="3">
        <v>1</v>
      </c>
      <c r="L4489" s="1">
        <f t="shared" si="210"/>
        <v>110.4928</v>
      </c>
      <c r="M4489" t="str" cm="1">
        <f t="array" ref="M4489">_xlfn.IFS(B4489&lt;18,"Under 18",B4489 &lt;=25,"18-25",B4489&lt;=35,"26-35",B4489&lt;=45,"36-45",B4489&lt;=60,"46-60",TRUE,"60+")</f>
        <v>36-45</v>
      </c>
      <c r="N4489" t="str">
        <f t="shared" si="211"/>
        <v>Discounted</v>
      </c>
      <c r="O4489" t="str">
        <f t="shared" si="212"/>
        <v>Returning</v>
      </c>
    </row>
    <row r="4490" spans="1:15" x14ac:dyDescent="0.25">
      <c r="A4490">
        <v>4489</v>
      </c>
      <c r="B4490">
        <v>60</v>
      </c>
      <c r="C4490" t="s">
        <v>11</v>
      </c>
      <c r="D4490" t="s">
        <v>33</v>
      </c>
      <c r="E4490" t="s">
        <v>40</v>
      </c>
      <c r="F4490" s="1">
        <v>76.16</v>
      </c>
      <c r="G4490" t="s">
        <v>24</v>
      </c>
      <c r="H4490" t="s">
        <v>15</v>
      </c>
      <c r="I4490" s="2">
        <v>4.7</v>
      </c>
      <c r="J4490" s="4">
        <v>13</v>
      </c>
      <c r="K4490" s="3">
        <v>4</v>
      </c>
      <c r="L4490" s="1">
        <f t="shared" si="210"/>
        <v>66.259199999999993</v>
      </c>
      <c r="M4490" t="str" cm="1">
        <f t="array" ref="M4490">_xlfn.IFS(B4490&lt;18,"Under 18",B4490 &lt;=25,"18-25",B4490&lt;=35,"26-35",B4490&lt;=45,"36-45",B4490&lt;=60,"46-60",TRUE,"60+")</f>
        <v>46-60</v>
      </c>
      <c r="N4490" t="str">
        <f t="shared" si="211"/>
        <v>Discounted</v>
      </c>
      <c r="O4490" t="str">
        <f t="shared" si="212"/>
        <v>Returning</v>
      </c>
    </row>
    <row r="4491" spans="1:15" x14ac:dyDescent="0.25">
      <c r="A4491">
        <v>4490</v>
      </c>
      <c r="B4491">
        <v>50</v>
      </c>
      <c r="C4491" t="s">
        <v>16</v>
      </c>
      <c r="D4491" t="s">
        <v>17</v>
      </c>
      <c r="E4491" t="s">
        <v>35</v>
      </c>
      <c r="F4491" s="1">
        <v>37.53</v>
      </c>
      <c r="G4491" t="s">
        <v>24</v>
      </c>
      <c r="H4491" t="s">
        <v>15</v>
      </c>
      <c r="I4491" s="2">
        <v>3.5</v>
      </c>
      <c r="J4491" s="4">
        <v>8</v>
      </c>
      <c r="K4491" s="3">
        <v>4</v>
      </c>
      <c r="L4491" s="1">
        <f t="shared" si="210"/>
        <v>34.5276</v>
      </c>
      <c r="M4491" t="str" cm="1">
        <f t="array" ref="M4491">_xlfn.IFS(B4491&lt;18,"Under 18",B4491 &lt;=25,"18-25",B4491&lt;=35,"26-35",B4491&lt;=45,"36-45",B4491&lt;=60,"46-60",TRUE,"60+")</f>
        <v>46-60</v>
      </c>
      <c r="N4491" t="str">
        <f t="shared" si="211"/>
        <v>Discounted</v>
      </c>
      <c r="O4491" t="str">
        <f t="shared" si="212"/>
        <v>Returning</v>
      </c>
    </row>
    <row r="4492" spans="1:15" x14ac:dyDescent="0.25">
      <c r="A4492">
        <v>4491</v>
      </c>
      <c r="B4492">
        <v>51</v>
      </c>
      <c r="C4492" t="s">
        <v>16</v>
      </c>
      <c r="D4492" t="s">
        <v>17</v>
      </c>
      <c r="E4492" t="s">
        <v>35</v>
      </c>
      <c r="F4492" s="1">
        <v>100.29</v>
      </c>
      <c r="G4492" t="s">
        <v>24</v>
      </c>
      <c r="H4492" t="s">
        <v>15</v>
      </c>
      <c r="I4492" s="2">
        <v>3.5</v>
      </c>
      <c r="J4492" s="4">
        <v>14</v>
      </c>
      <c r="K4492" s="3">
        <v>7</v>
      </c>
      <c r="L4492" s="1">
        <f t="shared" si="210"/>
        <v>86.249400000000009</v>
      </c>
      <c r="M4492" t="str" cm="1">
        <f t="array" ref="M4492">_xlfn.IFS(B4492&lt;18,"Under 18",B4492 &lt;=25,"18-25",B4492&lt;=35,"26-35",B4492&lt;=45,"36-45",B4492&lt;=60,"46-60",TRUE,"60+")</f>
        <v>46-60</v>
      </c>
      <c r="N4492" t="str">
        <f t="shared" si="211"/>
        <v>Discounted</v>
      </c>
      <c r="O4492" t="str">
        <f t="shared" si="212"/>
        <v>Returning</v>
      </c>
    </row>
    <row r="4493" spans="1:15" x14ac:dyDescent="0.25">
      <c r="A4493">
        <v>4492</v>
      </c>
      <c r="B4493">
        <v>26</v>
      </c>
      <c r="C4493" t="s">
        <v>16</v>
      </c>
      <c r="D4493" t="s">
        <v>27</v>
      </c>
      <c r="E4493" t="s">
        <v>49</v>
      </c>
      <c r="F4493" s="1">
        <v>1336.49</v>
      </c>
      <c r="G4493" t="s">
        <v>24</v>
      </c>
      <c r="H4493" t="s">
        <v>15</v>
      </c>
      <c r="I4493" s="2">
        <v>3.8</v>
      </c>
      <c r="J4493" s="4">
        <v>9</v>
      </c>
      <c r="K4493" s="3">
        <v>2</v>
      </c>
      <c r="L4493" s="1">
        <f t="shared" si="210"/>
        <v>1216.2059000000002</v>
      </c>
      <c r="M4493" t="str" cm="1">
        <f t="array" ref="M4493">_xlfn.IFS(B4493&lt;18,"Under 18",B4493 &lt;=25,"18-25",B4493&lt;=35,"26-35",B4493&lt;=45,"36-45",B4493&lt;=60,"46-60",TRUE,"60+")</f>
        <v>26-35</v>
      </c>
      <c r="N4493" t="str">
        <f t="shared" si="211"/>
        <v>Discounted</v>
      </c>
      <c r="O4493" t="str">
        <f t="shared" si="212"/>
        <v>Returning</v>
      </c>
    </row>
    <row r="4494" spans="1:15" x14ac:dyDescent="0.25">
      <c r="A4494">
        <v>4493</v>
      </c>
      <c r="B4494">
        <v>23</v>
      </c>
      <c r="C4494" t="s">
        <v>16</v>
      </c>
      <c r="D4494" t="s">
        <v>22</v>
      </c>
      <c r="E4494" t="s">
        <v>52</v>
      </c>
      <c r="F4494" s="1">
        <v>207.75</v>
      </c>
      <c r="G4494" t="s">
        <v>24</v>
      </c>
      <c r="H4494" t="s">
        <v>15</v>
      </c>
      <c r="I4494" s="2">
        <v>4.9000000000000004</v>
      </c>
      <c r="J4494" s="4">
        <v>17</v>
      </c>
      <c r="K4494" s="3">
        <v>6</v>
      </c>
      <c r="L4494" s="1">
        <f t="shared" si="210"/>
        <v>172.4325</v>
      </c>
      <c r="M4494" t="str" cm="1">
        <f t="array" ref="M4494">_xlfn.IFS(B4494&lt;18,"Under 18",B4494 &lt;=25,"18-25",B4494&lt;=35,"26-35",B4494&lt;=45,"36-45",B4494&lt;=60,"46-60",TRUE,"60+")</f>
        <v>18-25</v>
      </c>
      <c r="N4494" t="str">
        <f t="shared" si="211"/>
        <v>Discounted</v>
      </c>
      <c r="O4494" t="str">
        <f t="shared" si="212"/>
        <v>Returning</v>
      </c>
    </row>
    <row r="4495" spans="1:15" x14ac:dyDescent="0.25">
      <c r="A4495">
        <v>4494</v>
      </c>
      <c r="B4495">
        <v>25</v>
      </c>
      <c r="C4495" t="s">
        <v>11</v>
      </c>
      <c r="D4495" t="s">
        <v>22</v>
      </c>
      <c r="E4495" t="s">
        <v>43</v>
      </c>
      <c r="F4495" s="1">
        <v>44.45</v>
      </c>
      <c r="G4495" t="s">
        <v>31</v>
      </c>
      <c r="H4495" t="s">
        <v>37</v>
      </c>
      <c r="I4495" s="2">
        <v>5</v>
      </c>
      <c r="J4495" s="4">
        <v>10</v>
      </c>
      <c r="K4495" s="3">
        <v>5</v>
      </c>
      <c r="L4495" s="1">
        <f t="shared" si="210"/>
        <v>40.005000000000003</v>
      </c>
      <c r="M4495" t="str" cm="1">
        <f t="array" ref="M4495">_xlfn.IFS(B4495&lt;18,"Under 18",B4495 &lt;=25,"18-25",B4495&lt;=35,"26-35",B4495&lt;=45,"36-45",B4495&lt;=60,"46-60",TRUE,"60+")</f>
        <v>18-25</v>
      </c>
      <c r="N4495" t="str">
        <f t="shared" si="211"/>
        <v>Discounted</v>
      </c>
      <c r="O4495" t="str">
        <f t="shared" si="212"/>
        <v>Returning</v>
      </c>
    </row>
    <row r="4496" spans="1:15" x14ac:dyDescent="0.25">
      <c r="A4496">
        <v>4495</v>
      </c>
      <c r="B4496">
        <v>34</v>
      </c>
      <c r="C4496" t="s">
        <v>11</v>
      </c>
      <c r="D4496" t="s">
        <v>22</v>
      </c>
      <c r="E4496" t="s">
        <v>52</v>
      </c>
      <c r="F4496" s="1">
        <v>228.41</v>
      </c>
      <c r="G4496" t="s">
        <v>24</v>
      </c>
      <c r="H4496" t="s">
        <v>15</v>
      </c>
      <c r="I4496" s="2">
        <v>3.5</v>
      </c>
      <c r="J4496" s="4">
        <v>8</v>
      </c>
      <c r="K4496" s="3">
        <v>4</v>
      </c>
      <c r="L4496" s="1">
        <f t="shared" si="210"/>
        <v>210.13720000000001</v>
      </c>
      <c r="M4496" t="str" cm="1">
        <f t="array" ref="M4496">_xlfn.IFS(B4496&lt;18,"Under 18",B4496 &lt;=25,"18-25",B4496&lt;=35,"26-35",B4496&lt;=45,"36-45",B4496&lt;=60,"46-60",TRUE,"60+")</f>
        <v>26-35</v>
      </c>
      <c r="N4496" t="str">
        <f t="shared" si="211"/>
        <v>Discounted</v>
      </c>
      <c r="O4496" t="str">
        <f t="shared" si="212"/>
        <v>Returning</v>
      </c>
    </row>
    <row r="4497" spans="1:15" x14ac:dyDescent="0.25">
      <c r="A4497">
        <v>4496</v>
      </c>
      <c r="B4497">
        <v>24</v>
      </c>
      <c r="C4497" t="s">
        <v>16</v>
      </c>
      <c r="D4497" t="s">
        <v>22</v>
      </c>
      <c r="E4497" t="s">
        <v>52</v>
      </c>
      <c r="F4497" s="1">
        <v>69.23</v>
      </c>
      <c r="G4497" t="s">
        <v>19</v>
      </c>
      <c r="H4497" t="s">
        <v>37</v>
      </c>
      <c r="I4497" s="2">
        <v>4.2</v>
      </c>
      <c r="J4497" s="4">
        <v>4</v>
      </c>
      <c r="K4497" s="3">
        <v>2</v>
      </c>
      <c r="L4497" s="1">
        <f t="shared" si="210"/>
        <v>66.460800000000006</v>
      </c>
      <c r="M4497" t="str" cm="1">
        <f t="array" ref="M4497">_xlfn.IFS(B4497&lt;18,"Under 18",B4497 &lt;=25,"18-25",B4497&lt;=35,"26-35",B4497&lt;=45,"36-45",B4497&lt;=60,"46-60",TRUE,"60+")</f>
        <v>18-25</v>
      </c>
      <c r="N4497" t="str">
        <f t="shared" si="211"/>
        <v>Discounted</v>
      </c>
      <c r="O4497" t="str">
        <f t="shared" si="212"/>
        <v>Returning</v>
      </c>
    </row>
    <row r="4498" spans="1:15" x14ac:dyDescent="0.25">
      <c r="A4498">
        <v>4497</v>
      </c>
      <c r="B4498">
        <v>40</v>
      </c>
      <c r="C4498" t="s">
        <v>11</v>
      </c>
      <c r="D4498" t="s">
        <v>29</v>
      </c>
      <c r="E4498" t="s">
        <v>55</v>
      </c>
      <c r="F4498" s="1">
        <v>37.65</v>
      </c>
      <c r="G4498" t="s">
        <v>24</v>
      </c>
      <c r="H4498" t="s">
        <v>37</v>
      </c>
      <c r="I4498" s="2">
        <v>4.3</v>
      </c>
      <c r="J4498" s="4">
        <v>27</v>
      </c>
      <c r="K4498" s="3">
        <v>11</v>
      </c>
      <c r="L4498" s="1">
        <f t="shared" si="210"/>
        <v>27.484499999999997</v>
      </c>
      <c r="M4498" t="str" cm="1">
        <f t="array" ref="M4498">_xlfn.IFS(B4498&lt;18,"Under 18",B4498 &lt;=25,"18-25",B4498&lt;=35,"26-35",B4498&lt;=45,"36-45",B4498&lt;=60,"46-60",TRUE,"60+")</f>
        <v>36-45</v>
      </c>
      <c r="N4498" t="str">
        <f t="shared" si="211"/>
        <v>Discounted</v>
      </c>
      <c r="O4498" t="str">
        <f t="shared" si="212"/>
        <v>Returning</v>
      </c>
    </row>
    <row r="4499" spans="1:15" x14ac:dyDescent="0.25">
      <c r="A4499">
        <v>4498</v>
      </c>
      <c r="B4499">
        <v>23</v>
      </c>
      <c r="C4499" t="s">
        <v>16</v>
      </c>
      <c r="D4499" t="s">
        <v>27</v>
      </c>
      <c r="E4499" t="s">
        <v>49</v>
      </c>
      <c r="F4499" s="1">
        <v>1286.98</v>
      </c>
      <c r="G4499" t="s">
        <v>19</v>
      </c>
      <c r="H4499" t="s">
        <v>15</v>
      </c>
      <c r="I4499" s="2">
        <v>4</v>
      </c>
      <c r="J4499" s="4">
        <v>14</v>
      </c>
      <c r="K4499" s="3">
        <v>7</v>
      </c>
      <c r="L4499" s="1">
        <f t="shared" si="210"/>
        <v>1106.8027999999999</v>
      </c>
      <c r="M4499" t="str" cm="1">
        <f t="array" ref="M4499">_xlfn.IFS(B4499&lt;18,"Under 18",B4499 &lt;=25,"18-25",B4499&lt;=35,"26-35",B4499&lt;=45,"36-45",B4499&lt;=60,"46-60",TRUE,"60+")</f>
        <v>18-25</v>
      </c>
      <c r="N4499" t="str">
        <f t="shared" si="211"/>
        <v>Discounted</v>
      </c>
      <c r="O4499" t="str">
        <f t="shared" si="212"/>
        <v>Returning</v>
      </c>
    </row>
    <row r="4500" spans="1:15" x14ac:dyDescent="0.25">
      <c r="A4500">
        <v>4499</v>
      </c>
      <c r="B4500">
        <v>28</v>
      </c>
      <c r="C4500" t="s">
        <v>11</v>
      </c>
      <c r="D4500" t="s">
        <v>33</v>
      </c>
      <c r="E4500" t="s">
        <v>40</v>
      </c>
      <c r="F4500" s="1">
        <v>99.44</v>
      </c>
      <c r="G4500" t="s">
        <v>24</v>
      </c>
      <c r="H4500" t="s">
        <v>15</v>
      </c>
      <c r="I4500" s="2">
        <v>3.7</v>
      </c>
      <c r="J4500" s="4">
        <v>20</v>
      </c>
      <c r="K4500" s="3">
        <v>5</v>
      </c>
      <c r="L4500" s="1">
        <f t="shared" si="210"/>
        <v>79.552000000000007</v>
      </c>
      <c r="M4500" t="str" cm="1">
        <f t="array" ref="M4500">_xlfn.IFS(B4500&lt;18,"Under 18",B4500 &lt;=25,"18-25",B4500&lt;=35,"26-35",B4500&lt;=45,"36-45",B4500&lt;=60,"46-60",TRUE,"60+")</f>
        <v>26-35</v>
      </c>
      <c r="N4500" t="str">
        <f t="shared" si="211"/>
        <v>Discounted</v>
      </c>
      <c r="O4500" t="str">
        <f t="shared" si="212"/>
        <v>Returning</v>
      </c>
    </row>
    <row r="4501" spans="1:15" x14ac:dyDescent="0.25">
      <c r="A4501">
        <v>4500</v>
      </c>
      <c r="B4501">
        <v>22</v>
      </c>
      <c r="C4501" t="s">
        <v>16</v>
      </c>
      <c r="D4501" t="s">
        <v>20</v>
      </c>
      <c r="E4501" t="s">
        <v>21</v>
      </c>
      <c r="F4501" s="1">
        <v>215.07</v>
      </c>
      <c r="G4501" t="s">
        <v>24</v>
      </c>
      <c r="H4501" t="s">
        <v>15</v>
      </c>
      <c r="I4501" s="2">
        <v>2.5</v>
      </c>
      <c r="J4501" s="4">
        <v>24</v>
      </c>
      <c r="K4501" s="3">
        <v>7</v>
      </c>
      <c r="L4501" s="1">
        <f t="shared" si="210"/>
        <v>163.45320000000001</v>
      </c>
      <c r="M4501" t="str" cm="1">
        <f t="array" ref="M4501">_xlfn.IFS(B4501&lt;18,"Under 18",B4501 &lt;=25,"18-25",B4501&lt;=35,"26-35",B4501&lt;=45,"36-45",B4501&lt;=60,"46-60",TRUE,"60+")</f>
        <v>18-25</v>
      </c>
      <c r="N4501" t="str">
        <f t="shared" si="211"/>
        <v>Discounted</v>
      </c>
      <c r="O4501" t="str">
        <f t="shared" si="212"/>
        <v>Returning</v>
      </c>
    </row>
    <row r="4502" spans="1:15" x14ac:dyDescent="0.25">
      <c r="A4502">
        <v>4501</v>
      </c>
      <c r="B4502">
        <v>27</v>
      </c>
      <c r="C4502" t="s">
        <v>16</v>
      </c>
      <c r="D4502" t="s">
        <v>27</v>
      </c>
      <c r="E4502" t="s">
        <v>53</v>
      </c>
      <c r="F4502" s="1">
        <v>975.24</v>
      </c>
      <c r="G4502" t="s">
        <v>19</v>
      </c>
      <c r="H4502" t="s">
        <v>15</v>
      </c>
      <c r="I4502" s="2">
        <v>3.6</v>
      </c>
      <c r="J4502" s="4">
        <v>4</v>
      </c>
      <c r="K4502" s="3">
        <v>2</v>
      </c>
      <c r="L4502" s="1">
        <f t="shared" si="210"/>
        <v>936.23039999999992</v>
      </c>
      <c r="M4502" t="str" cm="1">
        <f t="array" ref="M4502">_xlfn.IFS(B4502&lt;18,"Under 18",B4502 &lt;=25,"18-25",B4502&lt;=35,"26-35",B4502&lt;=45,"36-45",B4502&lt;=60,"46-60",TRUE,"60+")</f>
        <v>26-35</v>
      </c>
      <c r="N4502" t="str">
        <f t="shared" si="211"/>
        <v>Discounted</v>
      </c>
      <c r="O4502" t="str">
        <f t="shared" si="212"/>
        <v>Returning</v>
      </c>
    </row>
    <row r="4503" spans="1:15" x14ac:dyDescent="0.25">
      <c r="A4503">
        <v>4502</v>
      </c>
      <c r="B4503">
        <v>58</v>
      </c>
      <c r="C4503" t="s">
        <v>11</v>
      </c>
      <c r="D4503" t="s">
        <v>41</v>
      </c>
      <c r="E4503" t="s">
        <v>44</v>
      </c>
      <c r="F4503" s="1">
        <v>52.67</v>
      </c>
      <c r="G4503" t="s">
        <v>19</v>
      </c>
      <c r="H4503" t="s">
        <v>37</v>
      </c>
      <c r="I4503" s="2">
        <v>3.3</v>
      </c>
      <c r="J4503" s="4">
        <v>16</v>
      </c>
      <c r="K4503" s="3">
        <v>8</v>
      </c>
      <c r="L4503" s="1">
        <f t="shared" si="210"/>
        <v>44.242800000000003</v>
      </c>
      <c r="M4503" t="str" cm="1">
        <f t="array" ref="M4503">_xlfn.IFS(B4503&lt;18,"Under 18",B4503 &lt;=25,"18-25",B4503&lt;=35,"26-35",B4503&lt;=45,"36-45",B4503&lt;=60,"46-60",TRUE,"60+")</f>
        <v>46-60</v>
      </c>
      <c r="N4503" t="str">
        <f t="shared" si="211"/>
        <v>Discounted</v>
      </c>
      <c r="O4503" t="str">
        <f t="shared" si="212"/>
        <v>Returning</v>
      </c>
    </row>
    <row r="4504" spans="1:15" x14ac:dyDescent="0.25">
      <c r="A4504">
        <v>4503</v>
      </c>
      <c r="B4504">
        <v>49</v>
      </c>
      <c r="C4504" t="s">
        <v>16</v>
      </c>
      <c r="D4504" t="s">
        <v>27</v>
      </c>
      <c r="E4504" t="s">
        <v>53</v>
      </c>
      <c r="F4504" s="1">
        <v>2177.2800000000002</v>
      </c>
      <c r="G4504" t="s">
        <v>31</v>
      </c>
      <c r="H4504" t="s">
        <v>15</v>
      </c>
      <c r="I4504" s="2">
        <v>3.6</v>
      </c>
      <c r="J4504" s="4">
        <v>26</v>
      </c>
      <c r="K4504" s="3">
        <v>8</v>
      </c>
      <c r="L4504" s="1">
        <f t="shared" si="210"/>
        <v>1611.1872000000001</v>
      </c>
      <c r="M4504" t="str" cm="1">
        <f t="array" ref="M4504">_xlfn.IFS(B4504&lt;18,"Under 18",B4504 &lt;=25,"18-25",B4504&lt;=35,"26-35",B4504&lt;=45,"36-45",B4504&lt;=60,"46-60",TRUE,"60+")</f>
        <v>46-60</v>
      </c>
      <c r="N4504" t="str">
        <f t="shared" si="211"/>
        <v>Discounted</v>
      </c>
      <c r="O4504" t="str">
        <f t="shared" si="212"/>
        <v>Returning</v>
      </c>
    </row>
    <row r="4505" spans="1:15" x14ac:dyDescent="0.25">
      <c r="A4505">
        <v>4504</v>
      </c>
      <c r="B4505">
        <v>60</v>
      </c>
      <c r="C4505" t="s">
        <v>11</v>
      </c>
      <c r="D4505" t="s">
        <v>41</v>
      </c>
      <c r="E4505" t="s">
        <v>45</v>
      </c>
      <c r="F4505" s="1">
        <v>90.75</v>
      </c>
      <c r="G4505" t="s">
        <v>19</v>
      </c>
      <c r="H4505" t="s">
        <v>15</v>
      </c>
      <c r="I4505" s="2">
        <v>3.7</v>
      </c>
      <c r="J4505" s="4">
        <v>25</v>
      </c>
      <c r="K4505" s="3">
        <v>10</v>
      </c>
      <c r="L4505" s="1">
        <f t="shared" si="210"/>
        <v>68.0625</v>
      </c>
      <c r="M4505" t="str" cm="1">
        <f t="array" ref="M4505">_xlfn.IFS(B4505&lt;18,"Under 18",B4505 &lt;=25,"18-25",B4505&lt;=35,"26-35",B4505&lt;=45,"36-45",B4505&lt;=60,"46-60",TRUE,"60+")</f>
        <v>46-60</v>
      </c>
      <c r="N4505" t="str">
        <f t="shared" si="211"/>
        <v>Discounted</v>
      </c>
      <c r="O4505" t="str">
        <f t="shared" si="212"/>
        <v>Returning</v>
      </c>
    </row>
    <row r="4506" spans="1:15" x14ac:dyDescent="0.25">
      <c r="A4506">
        <v>4505</v>
      </c>
      <c r="B4506">
        <v>23</v>
      </c>
      <c r="C4506" t="s">
        <v>11</v>
      </c>
      <c r="D4506" t="s">
        <v>33</v>
      </c>
      <c r="E4506" t="s">
        <v>40</v>
      </c>
      <c r="F4506" s="1">
        <v>200.4</v>
      </c>
      <c r="G4506" t="s">
        <v>14</v>
      </c>
      <c r="H4506" t="s">
        <v>15</v>
      </c>
      <c r="I4506" s="2">
        <v>3</v>
      </c>
      <c r="J4506" s="4">
        <v>19</v>
      </c>
      <c r="K4506" s="3">
        <v>7</v>
      </c>
      <c r="L4506" s="1">
        <f t="shared" si="210"/>
        <v>162.32400000000001</v>
      </c>
      <c r="M4506" t="str" cm="1">
        <f t="array" ref="M4506">_xlfn.IFS(B4506&lt;18,"Under 18",B4506 &lt;=25,"18-25",B4506&lt;=35,"26-35",B4506&lt;=45,"36-45",B4506&lt;=60,"46-60",TRUE,"60+")</f>
        <v>18-25</v>
      </c>
      <c r="N4506" t="str">
        <f t="shared" si="211"/>
        <v>Discounted</v>
      </c>
      <c r="O4506" t="str">
        <f t="shared" si="212"/>
        <v>Returning</v>
      </c>
    </row>
    <row r="4507" spans="1:15" x14ac:dyDescent="0.25">
      <c r="A4507">
        <v>4506</v>
      </c>
      <c r="B4507">
        <v>51</v>
      </c>
      <c r="C4507" t="s">
        <v>11</v>
      </c>
      <c r="D4507" t="s">
        <v>29</v>
      </c>
      <c r="E4507" t="s">
        <v>30</v>
      </c>
      <c r="F4507" s="1">
        <v>20.2</v>
      </c>
      <c r="G4507" t="s">
        <v>14</v>
      </c>
      <c r="H4507" t="s">
        <v>37</v>
      </c>
      <c r="I4507" s="2">
        <v>5</v>
      </c>
      <c r="J4507" s="4">
        <v>15</v>
      </c>
      <c r="K4507" s="3">
        <v>5</v>
      </c>
      <c r="L4507" s="1">
        <f t="shared" si="210"/>
        <v>17.169999999999998</v>
      </c>
      <c r="M4507" t="str" cm="1">
        <f t="array" ref="M4507">_xlfn.IFS(B4507&lt;18,"Under 18",B4507 &lt;=25,"18-25",B4507&lt;=35,"26-35",B4507&lt;=45,"36-45",B4507&lt;=60,"46-60",TRUE,"60+")</f>
        <v>46-60</v>
      </c>
      <c r="N4507" t="str">
        <f t="shared" si="211"/>
        <v>Discounted</v>
      </c>
      <c r="O4507" t="str">
        <f t="shared" si="212"/>
        <v>Returning</v>
      </c>
    </row>
    <row r="4508" spans="1:15" x14ac:dyDescent="0.25">
      <c r="A4508">
        <v>4507</v>
      </c>
      <c r="B4508">
        <v>42</v>
      </c>
      <c r="C4508" t="s">
        <v>16</v>
      </c>
      <c r="D4508" t="s">
        <v>17</v>
      </c>
      <c r="E4508" t="s">
        <v>18</v>
      </c>
      <c r="F4508" s="1">
        <v>120.04</v>
      </c>
      <c r="G4508" t="s">
        <v>31</v>
      </c>
      <c r="H4508" t="s">
        <v>15</v>
      </c>
      <c r="I4508" s="2">
        <v>4.8</v>
      </c>
      <c r="J4508" s="4">
        <v>17</v>
      </c>
      <c r="K4508" s="3">
        <v>6</v>
      </c>
      <c r="L4508" s="1">
        <f t="shared" si="210"/>
        <v>99.633200000000002</v>
      </c>
      <c r="M4508" t="str" cm="1">
        <f t="array" ref="M4508">_xlfn.IFS(B4508&lt;18,"Under 18",B4508 &lt;=25,"18-25",B4508&lt;=35,"26-35",B4508&lt;=45,"36-45",B4508&lt;=60,"46-60",TRUE,"60+")</f>
        <v>36-45</v>
      </c>
      <c r="N4508" t="str">
        <f t="shared" si="211"/>
        <v>Discounted</v>
      </c>
      <c r="O4508" t="str">
        <f t="shared" si="212"/>
        <v>Returning</v>
      </c>
    </row>
    <row r="4509" spans="1:15" x14ac:dyDescent="0.25">
      <c r="A4509">
        <v>4508</v>
      </c>
      <c r="B4509">
        <v>63</v>
      </c>
      <c r="C4509" t="s">
        <v>11</v>
      </c>
      <c r="D4509" t="s">
        <v>29</v>
      </c>
      <c r="E4509" t="s">
        <v>55</v>
      </c>
      <c r="F4509" s="1">
        <v>64.58</v>
      </c>
      <c r="G4509" t="s">
        <v>14</v>
      </c>
      <c r="H4509" t="s">
        <v>15</v>
      </c>
      <c r="I4509" s="2">
        <v>3.5</v>
      </c>
      <c r="J4509" s="4">
        <v>6</v>
      </c>
      <c r="K4509" s="3">
        <v>3</v>
      </c>
      <c r="L4509" s="1">
        <f t="shared" si="210"/>
        <v>60.705199999999998</v>
      </c>
      <c r="M4509" t="str" cm="1">
        <f t="array" ref="M4509">_xlfn.IFS(B4509&lt;18,"Under 18",B4509 &lt;=25,"18-25",B4509&lt;=35,"26-35",B4509&lt;=45,"36-45",B4509&lt;=60,"46-60",TRUE,"60+")</f>
        <v>60+</v>
      </c>
      <c r="N4509" t="str">
        <f t="shared" si="211"/>
        <v>Discounted</v>
      </c>
      <c r="O4509" t="str">
        <f t="shared" si="212"/>
        <v>Returning</v>
      </c>
    </row>
    <row r="4510" spans="1:15" x14ac:dyDescent="0.25">
      <c r="A4510">
        <v>4509</v>
      </c>
      <c r="B4510">
        <v>21</v>
      </c>
      <c r="C4510" t="s">
        <v>16</v>
      </c>
      <c r="D4510" t="s">
        <v>25</v>
      </c>
      <c r="E4510" t="s">
        <v>47</v>
      </c>
      <c r="F4510" s="1">
        <v>5.44</v>
      </c>
      <c r="G4510" t="s">
        <v>31</v>
      </c>
      <c r="H4510" t="s">
        <v>15</v>
      </c>
      <c r="I4510" s="2">
        <v>3.7</v>
      </c>
      <c r="J4510" s="4">
        <v>22</v>
      </c>
      <c r="K4510" s="3">
        <v>6</v>
      </c>
      <c r="L4510" s="1">
        <f t="shared" si="210"/>
        <v>4.2432000000000007</v>
      </c>
      <c r="M4510" t="str" cm="1">
        <f t="array" ref="M4510">_xlfn.IFS(B4510&lt;18,"Under 18",B4510 &lt;=25,"18-25",B4510&lt;=35,"26-35",B4510&lt;=45,"36-45",B4510&lt;=60,"46-60",TRUE,"60+")</f>
        <v>18-25</v>
      </c>
      <c r="N4510" t="str">
        <f t="shared" si="211"/>
        <v>Discounted</v>
      </c>
      <c r="O4510" t="str">
        <f t="shared" si="212"/>
        <v>Returning</v>
      </c>
    </row>
    <row r="4511" spans="1:15" x14ac:dyDescent="0.25">
      <c r="A4511">
        <v>4510</v>
      </c>
      <c r="B4511">
        <v>52</v>
      </c>
      <c r="C4511" t="s">
        <v>16</v>
      </c>
      <c r="D4511" t="s">
        <v>27</v>
      </c>
      <c r="E4511" t="s">
        <v>28</v>
      </c>
      <c r="F4511" s="1">
        <v>1371.54</v>
      </c>
      <c r="G4511" t="s">
        <v>24</v>
      </c>
      <c r="H4511" t="s">
        <v>15</v>
      </c>
      <c r="I4511" s="2">
        <v>3.4</v>
      </c>
      <c r="J4511" s="4">
        <v>14</v>
      </c>
      <c r="K4511" s="3">
        <v>7</v>
      </c>
      <c r="L4511" s="1">
        <f t="shared" si="210"/>
        <v>1179.5244</v>
      </c>
      <c r="M4511" t="str" cm="1">
        <f t="array" ref="M4511">_xlfn.IFS(B4511&lt;18,"Under 18",B4511 &lt;=25,"18-25",B4511&lt;=35,"26-35",B4511&lt;=45,"36-45",B4511&lt;=60,"46-60",TRUE,"60+")</f>
        <v>46-60</v>
      </c>
      <c r="N4511" t="str">
        <f t="shared" si="211"/>
        <v>Discounted</v>
      </c>
      <c r="O4511" t="str">
        <f t="shared" si="212"/>
        <v>Returning</v>
      </c>
    </row>
    <row r="4512" spans="1:15" x14ac:dyDescent="0.25">
      <c r="A4512">
        <v>4511</v>
      </c>
      <c r="B4512">
        <v>30</v>
      </c>
      <c r="C4512" t="s">
        <v>16</v>
      </c>
      <c r="D4512" t="s">
        <v>33</v>
      </c>
      <c r="E4512" t="s">
        <v>34</v>
      </c>
      <c r="F4512" s="1">
        <v>193.68</v>
      </c>
      <c r="G4512" t="s">
        <v>24</v>
      </c>
      <c r="H4512" t="s">
        <v>15</v>
      </c>
      <c r="I4512" s="2">
        <v>3.1</v>
      </c>
      <c r="J4512" s="4">
        <v>14</v>
      </c>
      <c r="K4512" s="3">
        <v>2</v>
      </c>
      <c r="L4512" s="1">
        <f t="shared" si="210"/>
        <v>166.56479999999999</v>
      </c>
      <c r="M4512" t="str" cm="1">
        <f t="array" ref="M4512">_xlfn.IFS(B4512&lt;18,"Under 18",B4512 &lt;=25,"18-25",B4512&lt;=35,"26-35",B4512&lt;=45,"36-45",B4512&lt;=60,"46-60",TRUE,"60+")</f>
        <v>26-35</v>
      </c>
      <c r="N4512" t="str">
        <f t="shared" si="211"/>
        <v>Discounted</v>
      </c>
      <c r="O4512" t="str">
        <f t="shared" si="212"/>
        <v>Returning</v>
      </c>
    </row>
    <row r="4513" spans="1:15" x14ac:dyDescent="0.25">
      <c r="A4513">
        <v>4512</v>
      </c>
      <c r="B4513">
        <v>70</v>
      </c>
      <c r="C4513" t="s">
        <v>11</v>
      </c>
      <c r="D4513" t="s">
        <v>41</v>
      </c>
      <c r="E4513" t="s">
        <v>42</v>
      </c>
      <c r="F4513" s="1">
        <v>142.97</v>
      </c>
      <c r="G4513" t="s">
        <v>24</v>
      </c>
      <c r="H4513" t="s">
        <v>15</v>
      </c>
      <c r="I4513" s="2">
        <v>4</v>
      </c>
      <c r="J4513" s="4">
        <v>17</v>
      </c>
      <c r="K4513" s="3">
        <v>6</v>
      </c>
      <c r="L4513" s="1">
        <f t="shared" si="210"/>
        <v>118.6651</v>
      </c>
      <c r="M4513" t="str" cm="1">
        <f t="array" ref="M4513">_xlfn.IFS(B4513&lt;18,"Under 18",B4513 &lt;=25,"18-25",B4513&lt;=35,"26-35",B4513&lt;=45,"36-45",B4513&lt;=60,"46-60",TRUE,"60+")</f>
        <v>60+</v>
      </c>
      <c r="N4513" t="str">
        <f t="shared" si="211"/>
        <v>Discounted</v>
      </c>
      <c r="O4513" t="str">
        <f t="shared" si="212"/>
        <v>Returning</v>
      </c>
    </row>
    <row r="4514" spans="1:15" x14ac:dyDescent="0.25">
      <c r="A4514">
        <v>4513</v>
      </c>
      <c r="B4514">
        <v>61</v>
      </c>
      <c r="C4514" t="s">
        <v>11</v>
      </c>
      <c r="D4514" t="s">
        <v>12</v>
      </c>
      <c r="E4514" t="s">
        <v>50</v>
      </c>
      <c r="F4514" s="1">
        <v>119.4</v>
      </c>
      <c r="G4514" t="s">
        <v>24</v>
      </c>
      <c r="H4514" t="s">
        <v>15</v>
      </c>
      <c r="I4514" s="2">
        <v>4.3</v>
      </c>
      <c r="J4514" s="4">
        <v>26</v>
      </c>
      <c r="K4514" s="3">
        <v>8</v>
      </c>
      <c r="L4514" s="1">
        <f t="shared" si="210"/>
        <v>88.356000000000009</v>
      </c>
      <c r="M4514" t="str" cm="1">
        <f t="array" ref="M4514">_xlfn.IFS(B4514&lt;18,"Under 18",B4514 &lt;=25,"18-25",B4514&lt;=35,"26-35",B4514&lt;=45,"36-45",B4514&lt;=60,"46-60",TRUE,"60+")</f>
        <v>60+</v>
      </c>
      <c r="N4514" t="str">
        <f t="shared" si="211"/>
        <v>Discounted</v>
      </c>
      <c r="O4514" t="str">
        <f t="shared" si="212"/>
        <v>Returning</v>
      </c>
    </row>
    <row r="4515" spans="1:15" x14ac:dyDescent="0.25">
      <c r="A4515">
        <v>4514</v>
      </c>
      <c r="B4515">
        <v>55</v>
      </c>
      <c r="C4515" t="s">
        <v>11</v>
      </c>
      <c r="D4515" t="s">
        <v>41</v>
      </c>
      <c r="E4515" t="s">
        <v>45</v>
      </c>
      <c r="F4515" s="1">
        <v>178.14</v>
      </c>
      <c r="G4515" t="s">
        <v>14</v>
      </c>
      <c r="H4515" t="s">
        <v>15</v>
      </c>
      <c r="I4515" s="2">
        <v>4.7</v>
      </c>
      <c r="J4515" s="4">
        <v>16</v>
      </c>
      <c r="K4515" s="3">
        <v>3</v>
      </c>
      <c r="L4515" s="1">
        <f t="shared" si="210"/>
        <v>149.63759999999999</v>
      </c>
      <c r="M4515" t="str" cm="1">
        <f t="array" ref="M4515">_xlfn.IFS(B4515&lt;18,"Under 18",B4515 &lt;=25,"18-25",B4515&lt;=35,"26-35",B4515&lt;=45,"36-45",B4515&lt;=60,"46-60",TRUE,"60+")</f>
        <v>46-60</v>
      </c>
      <c r="N4515" t="str">
        <f t="shared" si="211"/>
        <v>Discounted</v>
      </c>
      <c r="O4515" t="str">
        <f t="shared" si="212"/>
        <v>Returning</v>
      </c>
    </row>
    <row r="4516" spans="1:15" x14ac:dyDescent="0.25">
      <c r="A4516">
        <v>4515</v>
      </c>
      <c r="B4516">
        <v>65</v>
      </c>
      <c r="C4516" t="s">
        <v>16</v>
      </c>
      <c r="D4516" t="s">
        <v>25</v>
      </c>
      <c r="E4516" t="s">
        <v>54</v>
      </c>
      <c r="F4516" s="1">
        <v>13.59</v>
      </c>
      <c r="G4516" t="s">
        <v>19</v>
      </c>
      <c r="H4516" t="s">
        <v>15</v>
      </c>
      <c r="I4516" s="2">
        <v>3.1</v>
      </c>
      <c r="J4516" s="4">
        <v>10</v>
      </c>
      <c r="K4516" s="3">
        <v>5</v>
      </c>
      <c r="L4516" s="1">
        <f t="shared" si="210"/>
        <v>12.231</v>
      </c>
      <c r="M4516" t="str" cm="1">
        <f t="array" ref="M4516">_xlfn.IFS(B4516&lt;18,"Under 18",B4516 &lt;=25,"18-25",B4516&lt;=35,"26-35",B4516&lt;=45,"36-45",B4516&lt;=60,"46-60",TRUE,"60+")</f>
        <v>60+</v>
      </c>
      <c r="N4516" t="str">
        <f t="shared" si="211"/>
        <v>Discounted</v>
      </c>
      <c r="O4516" t="str">
        <f t="shared" si="212"/>
        <v>Returning</v>
      </c>
    </row>
    <row r="4517" spans="1:15" x14ac:dyDescent="0.25">
      <c r="A4517">
        <v>4516</v>
      </c>
      <c r="B4517">
        <v>41</v>
      </c>
      <c r="C4517" t="s">
        <v>16</v>
      </c>
      <c r="D4517" t="s">
        <v>25</v>
      </c>
      <c r="E4517" t="s">
        <v>57</v>
      </c>
      <c r="F4517" s="1">
        <v>11.01</v>
      </c>
      <c r="G4517" t="s">
        <v>31</v>
      </c>
      <c r="H4517" t="s">
        <v>37</v>
      </c>
      <c r="I4517" s="2">
        <v>4.5999999999999996</v>
      </c>
      <c r="J4517" s="4">
        <v>13</v>
      </c>
      <c r="K4517" s="3">
        <v>4</v>
      </c>
      <c r="L4517" s="1">
        <f t="shared" si="210"/>
        <v>9.5786999999999995</v>
      </c>
      <c r="M4517" t="str" cm="1">
        <f t="array" ref="M4517">_xlfn.IFS(B4517&lt;18,"Under 18",B4517 &lt;=25,"18-25",B4517&lt;=35,"26-35",B4517&lt;=45,"36-45",B4517&lt;=60,"46-60",TRUE,"60+")</f>
        <v>36-45</v>
      </c>
      <c r="N4517" t="str">
        <f t="shared" si="211"/>
        <v>Discounted</v>
      </c>
      <c r="O4517" t="str">
        <f t="shared" si="212"/>
        <v>Returning</v>
      </c>
    </row>
    <row r="4518" spans="1:15" x14ac:dyDescent="0.25">
      <c r="A4518">
        <v>4517</v>
      </c>
      <c r="B4518">
        <v>35</v>
      </c>
      <c r="C4518" t="s">
        <v>16</v>
      </c>
      <c r="D4518" t="s">
        <v>20</v>
      </c>
      <c r="E4518" t="s">
        <v>36</v>
      </c>
      <c r="F4518" s="1">
        <v>156.76</v>
      </c>
      <c r="G4518" t="s">
        <v>24</v>
      </c>
      <c r="H4518" t="s">
        <v>15</v>
      </c>
      <c r="I4518" s="2">
        <v>3.3</v>
      </c>
      <c r="J4518" s="4">
        <v>6</v>
      </c>
      <c r="K4518" s="3">
        <v>3</v>
      </c>
      <c r="L4518" s="1">
        <f t="shared" si="210"/>
        <v>147.35439999999997</v>
      </c>
      <c r="M4518" t="str" cm="1">
        <f t="array" ref="M4518">_xlfn.IFS(B4518&lt;18,"Under 18",B4518 &lt;=25,"18-25",B4518&lt;=35,"26-35",B4518&lt;=45,"36-45",B4518&lt;=60,"46-60",TRUE,"60+")</f>
        <v>26-35</v>
      </c>
      <c r="N4518" t="str">
        <f t="shared" si="211"/>
        <v>Discounted</v>
      </c>
      <c r="O4518" t="str">
        <f t="shared" si="212"/>
        <v>Returning</v>
      </c>
    </row>
    <row r="4519" spans="1:15" x14ac:dyDescent="0.25">
      <c r="A4519">
        <v>4518</v>
      </c>
      <c r="B4519">
        <v>55</v>
      </c>
      <c r="C4519" t="s">
        <v>11</v>
      </c>
      <c r="D4519" t="s">
        <v>33</v>
      </c>
      <c r="E4519" t="s">
        <v>34</v>
      </c>
      <c r="F4519" s="1">
        <v>40.21</v>
      </c>
      <c r="G4519" t="s">
        <v>14</v>
      </c>
      <c r="H4519" t="s">
        <v>15</v>
      </c>
      <c r="I4519" s="2">
        <v>3.5</v>
      </c>
      <c r="J4519" s="4">
        <v>14</v>
      </c>
      <c r="K4519" s="3">
        <v>2</v>
      </c>
      <c r="L4519" s="1">
        <f t="shared" si="210"/>
        <v>34.580599999999997</v>
      </c>
      <c r="M4519" t="str" cm="1">
        <f t="array" ref="M4519">_xlfn.IFS(B4519&lt;18,"Under 18",B4519 &lt;=25,"18-25",B4519&lt;=35,"26-35",B4519&lt;=45,"36-45",B4519&lt;=60,"46-60",TRUE,"60+")</f>
        <v>46-60</v>
      </c>
      <c r="N4519" t="str">
        <f t="shared" si="211"/>
        <v>Discounted</v>
      </c>
      <c r="O4519" t="str">
        <f t="shared" si="212"/>
        <v>Returning</v>
      </c>
    </row>
    <row r="4520" spans="1:15" x14ac:dyDescent="0.25">
      <c r="A4520">
        <v>4519</v>
      </c>
      <c r="B4520">
        <v>65</v>
      </c>
      <c r="C4520" t="s">
        <v>11</v>
      </c>
      <c r="D4520" t="s">
        <v>29</v>
      </c>
      <c r="E4520" t="s">
        <v>55</v>
      </c>
      <c r="F4520" s="1">
        <v>54.03</v>
      </c>
      <c r="G4520" t="s">
        <v>31</v>
      </c>
      <c r="H4520" t="s">
        <v>15</v>
      </c>
      <c r="I4520" s="2">
        <v>3.6</v>
      </c>
      <c r="J4520" s="4">
        <v>15</v>
      </c>
      <c r="K4520" s="3">
        <v>5</v>
      </c>
      <c r="L4520" s="1">
        <f t="shared" si="210"/>
        <v>45.9255</v>
      </c>
      <c r="M4520" t="str" cm="1">
        <f t="array" ref="M4520">_xlfn.IFS(B4520&lt;18,"Under 18",B4520 &lt;=25,"18-25",B4520&lt;=35,"26-35",B4520&lt;=45,"36-45",B4520&lt;=60,"46-60",TRUE,"60+")</f>
        <v>60+</v>
      </c>
      <c r="N4520" t="str">
        <f t="shared" si="211"/>
        <v>Discounted</v>
      </c>
      <c r="O4520" t="str">
        <f t="shared" si="212"/>
        <v>Returning</v>
      </c>
    </row>
    <row r="4521" spans="1:15" x14ac:dyDescent="0.25">
      <c r="A4521">
        <v>4520</v>
      </c>
      <c r="B4521">
        <v>40</v>
      </c>
      <c r="C4521" t="s">
        <v>11</v>
      </c>
      <c r="D4521" t="s">
        <v>22</v>
      </c>
      <c r="E4521" t="s">
        <v>43</v>
      </c>
      <c r="F4521" s="1">
        <v>216.9</v>
      </c>
      <c r="G4521" t="s">
        <v>31</v>
      </c>
      <c r="H4521" t="s">
        <v>15</v>
      </c>
      <c r="I4521" s="2">
        <v>3.7</v>
      </c>
      <c r="J4521" s="4">
        <v>4</v>
      </c>
      <c r="K4521" s="3">
        <v>2</v>
      </c>
      <c r="L4521" s="1">
        <f t="shared" si="210"/>
        <v>208.22399999999999</v>
      </c>
      <c r="M4521" t="str" cm="1">
        <f t="array" ref="M4521">_xlfn.IFS(B4521&lt;18,"Under 18",B4521 &lt;=25,"18-25",B4521&lt;=35,"26-35",B4521&lt;=45,"36-45",B4521&lt;=60,"46-60",TRUE,"60+")</f>
        <v>36-45</v>
      </c>
      <c r="N4521" t="str">
        <f t="shared" si="211"/>
        <v>Discounted</v>
      </c>
      <c r="O4521" t="str">
        <f t="shared" si="212"/>
        <v>Returning</v>
      </c>
    </row>
    <row r="4522" spans="1:15" x14ac:dyDescent="0.25">
      <c r="A4522">
        <v>4521</v>
      </c>
      <c r="B4522">
        <v>59</v>
      </c>
      <c r="C4522" t="s">
        <v>11</v>
      </c>
      <c r="D4522" t="s">
        <v>12</v>
      </c>
      <c r="E4522" t="s">
        <v>50</v>
      </c>
      <c r="F4522" s="1">
        <v>29.8</v>
      </c>
      <c r="G4522" t="s">
        <v>24</v>
      </c>
      <c r="H4522" t="s">
        <v>37</v>
      </c>
      <c r="I4522" s="2">
        <v>3.2</v>
      </c>
      <c r="J4522" s="4">
        <v>10</v>
      </c>
      <c r="K4522" s="3">
        <v>5</v>
      </c>
      <c r="L4522" s="1">
        <f t="shared" si="210"/>
        <v>26.82</v>
      </c>
      <c r="M4522" t="str" cm="1">
        <f t="array" ref="M4522">_xlfn.IFS(B4522&lt;18,"Under 18",B4522 &lt;=25,"18-25",B4522&lt;=35,"26-35",B4522&lt;=45,"36-45",B4522&lt;=60,"46-60",TRUE,"60+")</f>
        <v>46-60</v>
      </c>
      <c r="N4522" t="str">
        <f t="shared" si="211"/>
        <v>Discounted</v>
      </c>
      <c r="O4522" t="str">
        <f t="shared" si="212"/>
        <v>Returning</v>
      </c>
    </row>
    <row r="4523" spans="1:15" x14ac:dyDescent="0.25">
      <c r="A4523">
        <v>4522</v>
      </c>
      <c r="B4523">
        <v>59</v>
      </c>
      <c r="C4523" t="s">
        <v>11</v>
      </c>
      <c r="D4523" t="s">
        <v>29</v>
      </c>
      <c r="E4523" t="s">
        <v>30</v>
      </c>
      <c r="F4523" s="1">
        <v>111.6</v>
      </c>
      <c r="G4523" t="s">
        <v>19</v>
      </c>
      <c r="H4523" t="s">
        <v>15</v>
      </c>
      <c r="I4523" s="2">
        <v>2.2000000000000002</v>
      </c>
      <c r="J4523" s="4">
        <v>4</v>
      </c>
      <c r="K4523" s="3">
        <v>2</v>
      </c>
      <c r="L4523" s="1">
        <f t="shared" si="210"/>
        <v>107.136</v>
      </c>
      <c r="M4523" t="str" cm="1">
        <f t="array" ref="M4523">_xlfn.IFS(B4523&lt;18,"Under 18",B4523 &lt;=25,"18-25",B4523&lt;=35,"26-35",B4523&lt;=45,"36-45",B4523&lt;=60,"46-60",TRUE,"60+")</f>
        <v>46-60</v>
      </c>
      <c r="N4523" t="str">
        <f t="shared" si="211"/>
        <v>Discounted</v>
      </c>
      <c r="O4523" t="str">
        <f t="shared" si="212"/>
        <v>Returning</v>
      </c>
    </row>
    <row r="4524" spans="1:15" x14ac:dyDescent="0.25">
      <c r="A4524">
        <v>4523</v>
      </c>
      <c r="B4524">
        <v>70</v>
      </c>
      <c r="C4524" t="s">
        <v>11</v>
      </c>
      <c r="D4524" t="s">
        <v>41</v>
      </c>
      <c r="E4524" t="s">
        <v>45</v>
      </c>
      <c r="F4524" s="1">
        <v>161.66999999999999</v>
      </c>
      <c r="G4524" t="s">
        <v>24</v>
      </c>
      <c r="H4524" t="s">
        <v>15</v>
      </c>
      <c r="I4524" s="2">
        <v>3.8</v>
      </c>
      <c r="J4524" s="4">
        <v>17</v>
      </c>
      <c r="K4524" s="3">
        <v>6</v>
      </c>
      <c r="L4524" s="1">
        <f t="shared" si="210"/>
        <v>134.18609999999998</v>
      </c>
      <c r="M4524" t="str" cm="1">
        <f t="array" ref="M4524">_xlfn.IFS(B4524&lt;18,"Under 18",B4524 &lt;=25,"18-25",B4524&lt;=35,"26-35",B4524&lt;=45,"36-45",B4524&lt;=60,"46-60",TRUE,"60+")</f>
        <v>60+</v>
      </c>
      <c r="N4524" t="str">
        <f t="shared" si="211"/>
        <v>Discounted</v>
      </c>
      <c r="O4524" t="str">
        <f t="shared" si="212"/>
        <v>Returning</v>
      </c>
    </row>
    <row r="4525" spans="1:15" x14ac:dyDescent="0.25">
      <c r="A4525">
        <v>4524</v>
      </c>
      <c r="B4525">
        <v>59</v>
      </c>
      <c r="C4525" t="s">
        <v>16</v>
      </c>
      <c r="D4525" t="s">
        <v>22</v>
      </c>
      <c r="E4525" t="s">
        <v>52</v>
      </c>
      <c r="F4525" s="1">
        <v>155.09</v>
      </c>
      <c r="G4525" t="s">
        <v>31</v>
      </c>
      <c r="H4525" t="s">
        <v>15</v>
      </c>
      <c r="I4525" s="2">
        <v>3.6</v>
      </c>
      <c r="J4525" s="4">
        <v>18</v>
      </c>
      <c r="K4525" s="3">
        <v>9</v>
      </c>
      <c r="L4525" s="1">
        <f t="shared" si="210"/>
        <v>127.17380000000001</v>
      </c>
      <c r="M4525" t="str" cm="1">
        <f t="array" ref="M4525">_xlfn.IFS(B4525&lt;18,"Under 18",B4525 &lt;=25,"18-25",B4525&lt;=35,"26-35",B4525&lt;=45,"36-45",B4525&lt;=60,"46-60",TRUE,"60+")</f>
        <v>46-60</v>
      </c>
      <c r="N4525" t="str">
        <f t="shared" si="211"/>
        <v>Discounted</v>
      </c>
      <c r="O4525" t="str">
        <f t="shared" si="212"/>
        <v>Returning</v>
      </c>
    </row>
    <row r="4526" spans="1:15" x14ac:dyDescent="0.25">
      <c r="A4526">
        <v>4525</v>
      </c>
      <c r="B4526">
        <v>61</v>
      </c>
      <c r="C4526" t="s">
        <v>11</v>
      </c>
      <c r="D4526" t="s">
        <v>20</v>
      </c>
      <c r="E4526" t="s">
        <v>21</v>
      </c>
      <c r="F4526" s="1">
        <v>140.07</v>
      </c>
      <c r="G4526" t="s">
        <v>31</v>
      </c>
      <c r="H4526" t="s">
        <v>15</v>
      </c>
      <c r="I4526" s="2">
        <v>4</v>
      </c>
      <c r="J4526" s="4">
        <v>10</v>
      </c>
      <c r="K4526" s="3">
        <v>5</v>
      </c>
      <c r="L4526" s="1">
        <f t="shared" si="210"/>
        <v>126.063</v>
      </c>
      <c r="M4526" t="str" cm="1">
        <f t="array" ref="M4526">_xlfn.IFS(B4526&lt;18,"Under 18",B4526 &lt;=25,"18-25",B4526&lt;=35,"26-35",B4526&lt;=45,"36-45",B4526&lt;=60,"46-60",TRUE,"60+")</f>
        <v>60+</v>
      </c>
      <c r="N4526" t="str">
        <f t="shared" si="211"/>
        <v>Discounted</v>
      </c>
      <c r="O4526" t="str">
        <f t="shared" si="212"/>
        <v>Returning</v>
      </c>
    </row>
    <row r="4527" spans="1:15" x14ac:dyDescent="0.25">
      <c r="A4527">
        <v>4526</v>
      </c>
      <c r="B4527">
        <v>68</v>
      </c>
      <c r="C4527" t="s">
        <v>16</v>
      </c>
      <c r="D4527" t="s">
        <v>27</v>
      </c>
      <c r="E4527" t="s">
        <v>53</v>
      </c>
      <c r="F4527" s="1">
        <v>894.06</v>
      </c>
      <c r="G4527" t="s">
        <v>24</v>
      </c>
      <c r="H4527" t="s">
        <v>15</v>
      </c>
      <c r="I4527" s="2">
        <v>3.9</v>
      </c>
      <c r="J4527" s="4">
        <v>10</v>
      </c>
      <c r="K4527" s="3">
        <v>5</v>
      </c>
      <c r="L4527" s="1">
        <f t="shared" si="210"/>
        <v>804.654</v>
      </c>
      <c r="M4527" t="str" cm="1">
        <f t="array" ref="M4527">_xlfn.IFS(B4527&lt;18,"Under 18",B4527 &lt;=25,"18-25",B4527&lt;=35,"26-35",B4527&lt;=45,"36-45",B4527&lt;=60,"46-60",TRUE,"60+")</f>
        <v>60+</v>
      </c>
      <c r="N4527" t="str">
        <f t="shared" si="211"/>
        <v>Discounted</v>
      </c>
      <c r="O4527" t="str">
        <f t="shared" si="212"/>
        <v>Returning</v>
      </c>
    </row>
    <row r="4528" spans="1:15" x14ac:dyDescent="0.25">
      <c r="A4528">
        <v>4527</v>
      </c>
      <c r="B4528">
        <v>45</v>
      </c>
      <c r="C4528" t="s">
        <v>11</v>
      </c>
      <c r="D4528" t="s">
        <v>33</v>
      </c>
      <c r="E4528" t="s">
        <v>34</v>
      </c>
      <c r="F4528" s="1">
        <v>232.18</v>
      </c>
      <c r="G4528" t="s">
        <v>24</v>
      </c>
      <c r="H4528" t="s">
        <v>15</v>
      </c>
      <c r="I4528" s="2">
        <v>4.5</v>
      </c>
      <c r="J4528" s="4">
        <v>20</v>
      </c>
      <c r="K4528" s="3">
        <v>5</v>
      </c>
      <c r="L4528" s="1">
        <f t="shared" si="210"/>
        <v>185.74400000000003</v>
      </c>
      <c r="M4528" t="str" cm="1">
        <f t="array" ref="M4528">_xlfn.IFS(B4528&lt;18,"Under 18",B4528 &lt;=25,"18-25",B4528&lt;=35,"26-35",B4528&lt;=45,"36-45",B4528&lt;=60,"46-60",TRUE,"60+")</f>
        <v>36-45</v>
      </c>
      <c r="N4528" t="str">
        <f t="shared" si="211"/>
        <v>Discounted</v>
      </c>
      <c r="O4528" t="str">
        <f t="shared" si="212"/>
        <v>Returning</v>
      </c>
    </row>
    <row r="4529" spans="1:15" x14ac:dyDescent="0.25">
      <c r="A4529">
        <v>4528</v>
      </c>
      <c r="B4529">
        <v>35</v>
      </c>
      <c r="C4529" t="s">
        <v>11</v>
      </c>
      <c r="D4529" t="s">
        <v>33</v>
      </c>
      <c r="E4529" t="s">
        <v>40</v>
      </c>
      <c r="F4529" s="1">
        <v>185.34</v>
      </c>
      <c r="G4529" t="s">
        <v>31</v>
      </c>
      <c r="H4529" t="s">
        <v>15</v>
      </c>
      <c r="I4529" s="2">
        <v>3.6</v>
      </c>
      <c r="J4529" s="4">
        <v>13</v>
      </c>
      <c r="K4529" s="3">
        <v>4</v>
      </c>
      <c r="L4529" s="1">
        <f t="shared" si="210"/>
        <v>161.2458</v>
      </c>
      <c r="M4529" t="str" cm="1">
        <f t="array" ref="M4529">_xlfn.IFS(B4529&lt;18,"Under 18",B4529 &lt;=25,"18-25",B4529&lt;=35,"26-35",B4529&lt;=45,"36-45",B4529&lt;=60,"46-60",TRUE,"60+")</f>
        <v>26-35</v>
      </c>
      <c r="N4529" t="str">
        <f t="shared" si="211"/>
        <v>Discounted</v>
      </c>
      <c r="O4529" t="str">
        <f t="shared" si="212"/>
        <v>Returning</v>
      </c>
    </row>
    <row r="4530" spans="1:15" x14ac:dyDescent="0.25">
      <c r="A4530">
        <v>4529</v>
      </c>
      <c r="B4530">
        <v>54</v>
      </c>
      <c r="C4530" t="s">
        <v>16</v>
      </c>
      <c r="D4530" t="s">
        <v>20</v>
      </c>
      <c r="E4530" t="s">
        <v>39</v>
      </c>
      <c r="F4530" s="1">
        <v>245.45</v>
      </c>
      <c r="G4530" t="s">
        <v>31</v>
      </c>
      <c r="H4530" t="s">
        <v>15</v>
      </c>
      <c r="I4530" s="2">
        <v>3.6</v>
      </c>
      <c r="J4530" s="4">
        <v>8</v>
      </c>
      <c r="K4530" s="3">
        <v>4</v>
      </c>
      <c r="L4530" s="1">
        <f t="shared" si="210"/>
        <v>225.81399999999999</v>
      </c>
      <c r="M4530" t="str" cm="1">
        <f t="array" ref="M4530">_xlfn.IFS(B4530&lt;18,"Under 18",B4530 &lt;=25,"18-25",B4530&lt;=35,"26-35",B4530&lt;=45,"36-45",B4530&lt;=60,"46-60",TRUE,"60+")</f>
        <v>46-60</v>
      </c>
      <c r="N4530" t="str">
        <f t="shared" si="211"/>
        <v>Discounted</v>
      </c>
      <c r="O4530" t="str">
        <f t="shared" si="212"/>
        <v>Returning</v>
      </c>
    </row>
    <row r="4531" spans="1:15" x14ac:dyDescent="0.25">
      <c r="A4531">
        <v>4530</v>
      </c>
      <c r="B4531">
        <v>53</v>
      </c>
      <c r="C4531" t="s">
        <v>11</v>
      </c>
      <c r="D4531" t="s">
        <v>29</v>
      </c>
      <c r="E4531" t="s">
        <v>55</v>
      </c>
      <c r="F4531" s="1">
        <v>30.54</v>
      </c>
      <c r="G4531" t="s">
        <v>14</v>
      </c>
      <c r="H4531" t="s">
        <v>15</v>
      </c>
      <c r="I4531" s="2">
        <v>4</v>
      </c>
      <c r="J4531" s="4">
        <v>7</v>
      </c>
      <c r="K4531" s="3">
        <v>1</v>
      </c>
      <c r="L4531" s="1">
        <f t="shared" si="210"/>
        <v>28.402199999999997</v>
      </c>
      <c r="M4531" t="str" cm="1">
        <f t="array" ref="M4531">_xlfn.IFS(B4531&lt;18,"Under 18",B4531 &lt;=25,"18-25",B4531&lt;=35,"26-35",B4531&lt;=45,"36-45",B4531&lt;=60,"46-60",TRUE,"60+")</f>
        <v>46-60</v>
      </c>
      <c r="N4531" t="str">
        <f t="shared" si="211"/>
        <v>Discounted</v>
      </c>
      <c r="O4531" t="str">
        <f t="shared" si="212"/>
        <v>Returning</v>
      </c>
    </row>
    <row r="4532" spans="1:15" x14ac:dyDescent="0.25">
      <c r="A4532">
        <v>4531</v>
      </c>
      <c r="B4532">
        <v>30</v>
      </c>
      <c r="C4532" t="s">
        <v>11</v>
      </c>
      <c r="D4532" t="s">
        <v>41</v>
      </c>
      <c r="E4532" t="s">
        <v>45</v>
      </c>
      <c r="F4532" s="1">
        <v>95.64</v>
      </c>
      <c r="G4532" t="s">
        <v>24</v>
      </c>
      <c r="H4532" t="s">
        <v>37</v>
      </c>
      <c r="I4532" s="2">
        <v>4.5</v>
      </c>
      <c r="J4532" s="4">
        <v>17</v>
      </c>
      <c r="K4532" s="3">
        <v>6</v>
      </c>
      <c r="L4532" s="1">
        <f t="shared" si="210"/>
        <v>79.381199999999993</v>
      </c>
      <c r="M4532" t="str" cm="1">
        <f t="array" ref="M4532">_xlfn.IFS(B4532&lt;18,"Under 18",B4532 &lt;=25,"18-25",B4532&lt;=35,"26-35",B4532&lt;=45,"36-45",B4532&lt;=60,"46-60",TRUE,"60+")</f>
        <v>26-35</v>
      </c>
      <c r="N4532" t="str">
        <f t="shared" si="211"/>
        <v>Discounted</v>
      </c>
      <c r="O4532" t="str">
        <f t="shared" si="212"/>
        <v>Returning</v>
      </c>
    </row>
    <row r="4533" spans="1:15" x14ac:dyDescent="0.25">
      <c r="A4533">
        <v>4532</v>
      </c>
      <c r="B4533">
        <v>52</v>
      </c>
      <c r="C4533" t="s">
        <v>16</v>
      </c>
      <c r="D4533" t="s">
        <v>17</v>
      </c>
      <c r="E4533" t="s">
        <v>18</v>
      </c>
      <c r="F4533" s="1">
        <v>134.28</v>
      </c>
      <c r="G4533" t="s">
        <v>24</v>
      </c>
      <c r="H4533" t="s">
        <v>15</v>
      </c>
      <c r="I4533" s="2">
        <v>3.1</v>
      </c>
      <c r="J4533" s="4">
        <v>8</v>
      </c>
      <c r="K4533" s="3">
        <v>4</v>
      </c>
      <c r="L4533" s="1">
        <f t="shared" si="210"/>
        <v>123.53760000000001</v>
      </c>
      <c r="M4533" t="str" cm="1">
        <f t="array" ref="M4533">_xlfn.IFS(B4533&lt;18,"Under 18",B4533 &lt;=25,"18-25",B4533&lt;=35,"26-35",B4533&lt;=45,"36-45",B4533&lt;=60,"46-60",TRUE,"60+")</f>
        <v>46-60</v>
      </c>
      <c r="N4533" t="str">
        <f t="shared" si="211"/>
        <v>Discounted</v>
      </c>
      <c r="O4533" t="str">
        <f t="shared" si="212"/>
        <v>Returning</v>
      </c>
    </row>
    <row r="4534" spans="1:15" x14ac:dyDescent="0.25">
      <c r="A4534">
        <v>4533</v>
      </c>
      <c r="B4534">
        <v>42</v>
      </c>
      <c r="C4534" t="s">
        <v>16</v>
      </c>
      <c r="D4534" t="s">
        <v>20</v>
      </c>
      <c r="E4534" t="s">
        <v>21</v>
      </c>
      <c r="F4534" s="1">
        <v>249.3</v>
      </c>
      <c r="G4534" t="s">
        <v>31</v>
      </c>
      <c r="H4534" t="s">
        <v>15</v>
      </c>
      <c r="I4534" s="2">
        <v>5</v>
      </c>
      <c r="J4534" s="4">
        <v>18</v>
      </c>
      <c r="K4534" s="3">
        <v>4</v>
      </c>
      <c r="L4534" s="1">
        <f t="shared" si="210"/>
        <v>204.42600000000002</v>
      </c>
      <c r="M4534" t="str" cm="1">
        <f t="array" ref="M4534">_xlfn.IFS(B4534&lt;18,"Under 18",B4534 &lt;=25,"18-25",B4534&lt;=35,"26-35",B4534&lt;=45,"36-45",B4534&lt;=60,"46-60",TRUE,"60+")</f>
        <v>36-45</v>
      </c>
      <c r="N4534" t="str">
        <f t="shared" si="211"/>
        <v>Discounted</v>
      </c>
      <c r="O4534" t="str">
        <f t="shared" si="212"/>
        <v>Returning</v>
      </c>
    </row>
    <row r="4535" spans="1:15" x14ac:dyDescent="0.25">
      <c r="A4535">
        <v>4534</v>
      </c>
      <c r="B4535">
        <v>44</v>
      </c>
      <c r="C4535" t="s">
        <v>16</v>
      </c>
      <c r="D4535" t="s">
        <v>33</v>
      </c>
      <c r="E4535" t="s">
        <v>40</v>
      </c>
      <c r="F4535" s="1">
        <v>55.33</v>
      </c>
      <c r="G4535" t="s">
        <v>31</v>
      </c>
      <c r="H4535" t="s">
        <v>15</v>
      </c>
      <c r="I4535" s="2">
        <v>4.5</v>
      </c>
      <c r="J4535" s="4">
        <v>28</v>
      </c>
      <c r="K4535" s="3">
        <v>9</v>
      </c>
      <c r="L4535" s="1">
        <f t="shared" si="210"/>
        <v>39.837599999999995</v>
      </c>
      <c r="M4535" t="str" cm="1">
        <f t="array" ref="M4535">_xlfn.IFS(B4535&lt;18,"Under 18",B4535 &lt;=25,"18-25",B4535&lt;=35,"26-35",B4535&lt;=45,"36-45",B4535&lt;=60,"46-60",TRUE,"60+")</f>
        <v>36-45</v>
      </c>
      <c r="N4535" t="str">
        <f t="shared" si="211"/>
        <v>Discounted</v>
      </c>
      <c r="O4535" t="str">
        <f t="shared" si="212"/>
        <v>Returning</v>
      </c>
    </row>
    <row r="4536" spans="1:15" x14ac:dyDescent="0.25">
      <c r="A4536">
        <v>4535</v>
      </c>
      <c r="B4536">
        <v>60</v>
      </c>
      <c r="C4536" t="s">
        <v>16</v>
      </c>
      <c r="D4536" t="s">
        <v>25</v>
      </c>
      <c r="E4536" t="s">
        <v>26</v>
      </c>
      <c r="F4536" s="1">
        <v>10.3</v>
      </c>
      <c r="G4536" t="s">
        <v>19</v>
      </c>
      <c r="H4536" t="s">
        <v>37</v>
      </c>
      <c r="I4536" s="2">
        <v>3.9</v>
      </c>
      <c r="J4536" s="4">
        <v>17</v>
      </c>
      <c r="K4536" s="3">
        <v>6</v>
      </c>
      <c r="L4536" s="1">
        <f t="shared" si="210"/>
        <v>8.5489999999999995</v>
      </c>
      <c r="M4536" t="str" cm="1">
        <f t="array" ref="M4536">_xlfn.IFS(B4536&lt;18,"Under 18",B4536 &lt;=25,"18-25",B4536&lt;=35,"26-35",B4536&lt;=45,"36-45",B4536&lt;=60,"46-60",TRUE,"60+")</f>
        <v>46-60</v>
      </c>
      <c r="N4536" t="str">
        <f t="shared" si="211"/>
        <v>Discounted</v>
      </c>
      <c r="O4536" t="str">
        <f t="shared" si="212"/>
        <v>Returning</v>
      </c>
    </row>
    <row r="4537" spans="1:15" x14ac:dyDescent="0.25">
      <c r="A4537">
        <v>4536</v>
      </c>
      <c r="B4537">
        <v>22</v>
      </c>
      <c r="C4537" t="s">
        <v>11</v>
      </c>
      <c r="D4537" t="s">
        <v>33</v>
      </c>
      <c r="E4537" t="s">
        <v>34</v>
      </c>
      <c r="F4537" s="1">
        <v>109.51</v>
      </c>
      <c r="G4537" t="s">
        <v>19</v>
      </c>
      <c r="H4537" t="s">
        <v>15</v>
      </c>
      <c r="I4537" s="2">
        <v>4.8</v>
      </c>
      <c r="J4537" s="4">
        <v>10</v>
      </c>
      <c r="K4537" s="3">
        <v>5</v>
      </c>
      <c r="L4537" s="1">
        <f t="shared" si="210"/>
        <v>98.559000000000012</v>
      </c>
      <c r="M4537" t="str" cm="1">
        <f t="array" ref="M4537">_xlfn.IFS(B4537&lt;18,"Under 18",B4537 &lt;=25,"18-25",B4537&lt;=35,"26-35",B4537&lt;=45,"36-45",B4537&lt;=60,"46-60",TRUE,"60+")</f>
        <v>18-25</v>
      </c>
      <c r="N4537" t="str">
        <f t="shared" si="211"/>
        <v>Discounted</v>
      </c>
      <c r="O4537" t="str">
        <f t="shared" si="212"/>
        <v>Returning</v>
      </c>
    </row>
    <row r="4538" spans="1:15" x14ac:dyDescent="0.25">
      <c r="A4538">
        <v>4537</v>
      </c>
      <c r="B4538">
        <v>31</v>
      </c>
      <c r="C4538" t="s">
        <v>16</v>
      </c>
      <c r="D4538" t="s">
        <v>27</v>
      </c>
      <c r="E4538" t="s">
        <v>32</v>
      </c>
      <c r="F4538" s="1">
        <v>1550.91</v>
      </c>
      <c r="G4538" t="s">
        <v>19</v>
      </c>
      <c r="H4538" t="s">
        <v>15</v>
      </c>
      <c r="I4538" s="2">
        <v>2.1</v>
      </c>
      <c r="J4538" s="4">
        <v>9</v>
      </c>
      <c r="K4538" s="3">
        <v>2</v>
      </c>
      <c r="L4538" s="1">
        <f t="shared" si="210"/>
        <v>1411.3281000000002</v>
      </c>
      <c r="M4538" t="str" cm="1">
        <f t="array" ref="M4538">_xlfn.IFS(B4538&lt;18,"Under 18",B4538 &lt;=25,"18-25",B4538&lt;=35,"26-35",B4538&lt;=45,"36-45",B4538&lt;=60,"46-60",TRUE,"60+")</f>
        <v>26-35</v>
      </c>
      <c r="N4538" t="str">
        <f t="shared" si="211"/>
        <v>Discounted</v>
      </c>
      <c r="O4538" t="str">
        <f t="shared" si="212"/>
        <v>Returning</v>
      </c>
    </row>
    <row r="4539" spans="1:15" x14ac:dyDescent="0.25">
      <c r="A4539">
        <v>4538</v>
      </c>
      <c r="B4539">
        <v>38</v>
      </c>
      <c r="C4539" t="s">
        <v>16</v>
      </c>
      <c r="D4539" t="s">
        <v>33</v>
      </c>
      <c r="E4539" t="s">
        <v>40</v>
      </c>
      <c r="F4539" s="1">
        <v>192.19</v>
      </c>
      <c r="G4539" t="s">
        <v>14</v>
      </c>
      <c r="H4539" t="s">
        <v>15</v>
      </c>
      <c r="I4539" s="2">
        <v>3.5</v>
      </c>
      <c r="J4539" s="4">
        <v>11</v>
      </c>
      <c r="K4539" s="3">
        <v>3</v>
      </c>
      <c r="L4539" s="1">
        <f t="shared" si="210"/>
        <v>171.04910000000001</v>
      </c>
      <c r="M4539" t="str" cm="1">
        <f t="array" ref="M4539">_xlfn.IFS(B4539&lt;18,"Under 18",B4539 &lt;=25,"18-25",B4539&lt;=35,"26-35",B4539&lt;=45,"36-45",B4539&lt;=60,"46-60",TRUE,"60+")</f>
        <v>36-45</v>
      </c>
      <c r="N4539" t="str">
        <f t="shared" si="211"/>
        <v>Discounted</v>
      </c>
      <c r="O4539" t="str">
        <f t="shared" si="212"/>
        <v>Returning</v>
      </c>
    </row>
    <row r="4540" spans="1:15" x14ac:dyDescent="0.25">
      <c r="A4540">
        <v>4539</v>
      </c>
      <c r="B4540">
        <v>49</v>
      </c>
      <c r="C4540" t="s">
        <v>16</v>
      </c>
      <c r="D4540" t="s">
        <v>27</v>
      </c>
      <c r="E4540" t="s">
        <v>32</v>
      </c>
      <c r="F4540" s="1">
        <v>2208.2199999999998</v>
      </c>
      <c r="G4540" t="s">
        <v>31</v>
      </c>
      <c r="H4540" t="s">
        <v>15</v>
      </c>
      <c r="I4540" s="2">
        <v>3.8</v>
      </c>
      <c r="J4540" s="4">
        <v>8</v>
      </c>
      <c r="K4540" s="3">
        <v>4</v>
      </c>
      <c r="L4540" s="1">
        <f t="shared" si="210"/>
        <v>2031.5623999999998</v>
      </c>
      <c r="M4540" t="str" cm="1">
        <f t="array" ref="M4540">_xlfn.IFS(B4540&lt;18,"Under 18",B4540 &lt;=25,"18-25",B4540&lt;=35,"26-35",B4540&lt;=45,"36-45",B4540&lt;=60,"46-60",TRUE,"60+")</f>
        <v>46-60</v>
      </c>
      <c r="N4540" t="str">
        <f t="shared" si="211"/>
        <v>Discounted</v>
      </c>
      <c r="O4540" t="str">
        <f t="shared" si="212"/>
        <v>Returning</v>
      </c>
    </row>
    <row r="4541" spans="1:15" x14ac:dyDescent="0.25">
      <c r="A4541">
        <v>4540</v>
      </c>
      <c r="B4541">
        <v>23</v>
      </c>
      <c r="C4541" t="s">
        <v>11</v>
      </c>
      <c r="D4541" t="s">
        <v>20</v>
      </c>
      <c r="E4541" t="s">
        <v>39</v>
      </c>
      <c r="F4541" s="1">
        <v>37.85</v>
      </c>
      <c r="G4541" t="s">
        <v>24</v>
      </c>
      <c r="H4541" t="s">
        <v>15</v>
      </c>
      <c r="I4541" s="2">
        <v>3.1</v>
      </c>
      <c r="J4541" s="4">
        <v>19</v>
      </c>
      <c r="K4541" s="3">
        <v>7</v>
      </c>
      <c r="L4541" s="1">
        <f t="shared" si="210"/>
        <v>30.658500000000004</v>
      </c>
      <c r="M4541" t="str" cm="1">
        <f t="array" ref="M4541">_xlfn.IFS(B4541&lt;18,"Under 18",B4541 &lt;=25,"18-25",B4541&lt;=35,"26-35",B4541&lt;=45,"36-45",B4541&lt;=60,"46-60",TRUE,"60+")</f>
        <v>18-25</v>
      </c>
      <c r="N4541" t="str">
        <f t="shared" si="211"/>
        <v>Discounted</v>
      </c>
      <c r="O4541" t="str">
        <f t="shared" si="212"/>
        <v>Returning</v>
      </c>
    </row>
    <row r="4542" spans="1:15" x14ac:dyDescent="0.25">
      <c r="A4542">
        <v>4541</v>
      </c>
      <c r="B4542">
        <v>40</v>
      </c>
      <c r="C4542" t="s">
        <v>11</v>
      </c>
      <c r="D4542" t="s">
        <v>33</v>
      </c>
      <c r="E4542" t="s">
        <v>40</v>
      </c>
      <c r="F4542" s="1">
        <v>96.16</v>
      </c>
      <c r="G4542" t="s">
        <v>31</v>
      </c>
      <c r="H4542" t="s">
        <v>37</v>
      </c>
      <c r="I4542" s="2">
        <v>4.0999999999999996</v>
      </c>
      <c r="J4542" s="4">
        <v>14</v>
      </c>
      <c r="K4542" s="3">
        <v>2</v>
      </c>
      <c r="L4542" s="1">
        <f t="shared" si="210"/>
        <v>82.697599999999994</v>
      </c>
      <c r="M4542" t="str" cm="1">
        <f t="array" ref="M4542">_xlfn.IFS(B4542&lt;18,"Under 18",B4542 &lt;=25,"18-25",B4542&lt;=35,"26-35",B4542&lt;=45,"36-45",B4542&lt;=60,"46-60",TRUE,"60+")</f>
        <v>36-45</v>
      </c>
      <c r="N4542" t="str">
        <f t="shared" si="211"/>
        <v>Discounted</v>
      </c>
      <c r="O4542" t="str">
        <f t="shared" si="212"/>
        <v>Returning</v>
      </c>
    </row>
    <row r="4543" spans="1:15" x14ac:dyDescent="0.25">
      <c r="A4543">
        <v>4542</v>
      </c>
      <c r="B4543">
        <v>62</v>
      </c>
      <c r="C4543" t="s">
        <v>16</v>
      </c>
      <c r="D4543" t="s">
        <v>33</v>
      </c>
      <c r="E4543" t="s">
        <v>34</v>
      </c>
      <c r="F4543" s="1">
        <v>73.58</v>
      </c>
      <c r="G4543" t="s">
        <v>19</v>
      </c>
      <c r="H4543" t="s">
        <v>15</v>
      </c>
      <c r="I4543" s="2">
        <v>3.2</v>
      </c>
      <c r="J4543" s="4">
        <v>10</v>
      </c>
      <c r="K4543" s="3">
        <v>5</v>
      </c>
      <c r="L4543" s="1">
        <f t="shared" si="210"/>
        <v>66.221999999999994</v>
      </c>
      <c r="M4543" t="str" cm="1">
        <f t="array" ref="M4543">_xlfn.IFS(B4543&lt;18,"Under 18",B4543 &lt;=25,"18-25",B4543&lt;=35,"26-35",B4543&lt;=45,"36-45",B4543&lt;=60,"46-60",TRUE,"60+")</f>
        <v>60+</v>
      </c>
      <c r="N4543" t="str">
        <f t="shared" si="211"/>
        <v>Discounted</v>
      </c>
      <c r="O4543" t="str">
        <f t="shared" si="212"/>
        <v>Returning</v>
      </c>
    </row>
    <row r="4544" spans="1:15" x14ac:dyDescent="0.25">
      <c r="A4544">
        <v>4543</v>
      </c>
      <c r="B4544">
        <v>27</v>
      </c>
      <c r="C4544" t="s">
        <v>11</v>
      </c>
      <c r="D4544" t="s">
        <v>33</v>
      </c>
      <c r="E4544" t="s">
        <v>34</v>
      </c>
      <c r="F4544" s="1">
        <v>108.25</v>
      </c>
      <c r="G4544" t="s">
        <v>24</v>
      </c>
      <c r="H4544" t="s">
        <v>15</v>
      </c>
      <c r="I4544" s="2">
        <v>4.4000000000000004</v>
      </c>
      <c r="J4544" s="4">
        <v>15</v>
      </c>
      <c r="K4544" s="3">
        <v>5</v>
      </c>
      <c r="L4544" s="1">
        <f t="shared" si="210"/>
        <v>92.012500000000003</v>
      </c>
      <c r="M4544" t="str" cm="1">
        <f t="array" ref="M4544">_xlfn.IFS(B4544&lt;18,"Under 18",B4544 &lt;=25,"18-25",B4544&lt;=35,"26-35",B4544&lt;=45,"36-45",B4544&lt;=60,"46-60",TRUE,"60+")</f>
        <v>26-35</v>
      </c>
      <c r="N4544" t="str">
        <f t="shared" si="211"/>
        <v>Discounted</v>
      </c>
      <c r="O4544" t="str">
        <f t="shared" si="212"/>
        <v>Returning</v>
      </c>
    </row>
    <row r="4545" spans="1:15" x14ac:dyDescent="0.25">
      <c r="A4545">
        <v>4544</v>
      </c>
      <c r="B4545">
        <v>35</v>
      </c>
      <c r="C4545" t="s">
        <v>11</v>
      </c>
      <c r="D4545" t="s">
        <v>20</v>
      </c>
      <c r="E4545" t="s">
        <v>21</v>
      </c>
      <c r="F4545" s="1">
        <v>84.39</v>
      </c>
      <c r="G4545" t="s">
        <v>31</v>
      </c>
      <c r="H4545" t="s">
        <v>15</v>
      </c>
      <c r="I4545" s="2">
        <v>4.8</v>
      </c>
      <c r="J4545" s="4">
        <v>19</v>
      </c>
      <c r="K4545" s="3">
        <v>7</v>
      </c>
      <c r="L4545" s="1">
        <f t="shared" si="210"/>
        <v>68.355900000000005</v>
      </c>
      <c r="M4545" t="str" cm="1">
        <f t="array" ref="M4545">_xlfn.IFS(B4545&lt;18,"Under 18",B4545 &lt;=25,"18-25",B4545&lt;=35,"26-35",B4545&lt;=45,"36-45",B4545&lt;=60,"46-60",TRUE,"60+")</f>
        <v>26-35</v>
      </c>
      <c r="N4545" t="str">
        <f t="shared" si="211"/>
        <v>Discounted</v>
      </c>
      <c r="O4545" t="str">
        <f t="shared" si="212"/>
        <v>Returning</v>
      </c>
    </row>
    <row r="4546" spans="1:15" x14ac:dyDescent="0.25">
      <c r="A4546">
        <v>4545</v>
      </c>
      <c r="B4546">
        <v>21</v>
      </c>
      <c r="C4546" t="s">
        <v>16</v>
      </c>
      <c r="D4546" t="s">
        <v>27</v>
      </c>
      <c r="E4546" t="s">
        <v>49</v>
      </c>
      <c r="F4546" s="1">
        <v>2196.35</v>
      </c>
      <c r="G4546" t="s">
        <v>24</v>
      </c>
      <c r="H4546" t="s">
        <v>15</v>
      </c>
      <c r="I4546" s="2">
        <v>3.8</v>
      </c>
      <c r="J4546" s="4">
        <v>10</v>
      </c>
      <c r="K4546" s="3">
        <v>5</v>
      </c>
      <c r="L4546" s="1">
        <f t="shared" si="210"/>
        <v>1976.7149999999999</v>
      </c>
      <c r="M4546" t="str" cm="1">
        <f t="array" ref="M4546">_xlfn.IFS(B4546&lt;18,"Under 18",B4546 &lt;=25,"18-25",B4546&lt;=35,"26-35",B4546&lt;=45,"36-45",B4546&lt;=60,"46-60",TRUE,"60+")</f>
        <v>18-25</v>
      </c>
      <c r="N4546" t="str">
        <f t="shared" si="211"/>
        <v>Discounted</v>
      </c>
      <c r="O4546" t="str">
        <f t="shared" si="212"/>
        <v>Returning</v>
      </c>
    </row>
    <row r="4547" spans="1:15" x14ac:dyDescent="0.25">
      <c r="A4547">
        <v>4546</v>
      </c>
      <c r="B4547">
        <v>55</v>
      </c>
      <c r="C4547" t="s">
        <v>16</v>
      </c>
      <c r="D4547" t="s">
        <v>17</v>
      </c>
      <c r="E4547" t="s">
        <v>35</v>
      </c>
      <c r="F4547" s="1">
        <v>56.1</v>
      </c>
      <c r="G4547" t="s">
        <v>24</v>
      </c>
      <c r="H4547" t="s">
        <v>15</v>
      </c>
      <c r="I4547" s="2">
        <v>5</v>
      </c>
      <c r="J4547" s="4">
        <v>12</v>
      </c>
      <c r="K4547" s="3">
        <v>6</v>
      </c>
      <c r="L4547" s="1">
        <f t="shared" ref="L4547:L4610" si="213">F4547 * (1 - J4547 / 100)</f>
        <v>49.368000000000002</v>
      </c>
      <c r="M4547" t="str" cm="1">
        <f t="array" ref="M4547">_xlfn.IFS(B4547&lt;18,"Under 18",B4547 &lt;=25,"18-25",B4547&lt;=35,"26-35",B4547&lt;=45,"36-45",B4547&lt;=60,"46-60",TRUE,"60+")</f>
        <v>46-60</v>
      </c>
      <c r="N4547" t="str">
        <f t="shared" ref="N4547:N4610" si="214">IF(J4547&gt;0,"Discounted","No Discount")</f>
        <v>Discounted</v>
      </c>
      <c r="O4547" t="str">
        <f t="shared" ref="O4547:O4610" si="215">IF(K4547&gt;0,"Returning","New")</f>
        <v>Returning</v>
      </c>
    </row>
    <row r="4548" spans="1:15" x14ac:dyDescent="0.25">
      <c r="A4548">
        <v>4547</v>
      </c>
      <c r="B4548">
        <v>49</v>
      </c>
      <c r="C4548" t="s">
        <v>16</v>
      </c>
      <c r="D4548" t="s">
        <v>17</v>
      </c>
      <c r="E4548" t="s">
        <v>48</v>
      </c>
      <c r="F4548" s="1">
        <v>115.95</v>
      </c>
      <c r="G4548" t="s">
        <v>19</v>
      </c>
      <c r="H4548" t="s">
        <v>15</v>
      </c>
      <c r="I4548" s="2">
        <v>3.7</v>
      </c>
      <c r="J4548" s="4">
        <v>15</v>
      </c>
      <c r="K4548" s="3">
        <v>5</v>
      </c>
      <c r="L4548" s="1">
        <f t="shared" si="213"/>
        <v>98.557500000000005</v>
      </c>
      <c r="M4548" t="str" cm="1">
        <f t="array" ref="M4548">_xlfn.IFS(B4548&lt;18,"Under 18",B4548 &lt;=25,"18-25",B4548&lt;=35,"26-35",B4548&lt;=45,"36-45",B4548&lt;=60,"46-60",TRUE,"60+")</f>
        <v>46-60</v>
      </c>
      <c r="N4548" t="str">
        <f t="shared" si="214"/>
        <v>Discounted</v>
      </c>
      <c r="O4548" t="str">
        <f t="shared" si="215"/>
        <v>Returning</v>
      </c>
    </row>
    <row r="4549" spans="1:15" x14ac:dyDescent="0.25">
      <c r="A4549">
        <v>4548</v>
      </c>
      <c r="B4549">
        <v>60</v>
      </c>
      <c r="C4549" t="s">
        <v>16</v>
      </c>
      <c r="D4549" t="s">
        <v>20</v>
      </c>
      <c r="E4549" t="s">
        <v>21</v>
      </c>
      <c r="F4549" s="1">
        <v>122.97</v>
      </c>
      <c r="G4549" t="s">
        <v>14</v>
      </c>
      <c r="H4549" t="s">
        <v>15</v>
      </c>
      <c r="I4549" s="2">
        <v>3.8</v>
      </c>
      <c r="J4549" s="4">
        <v>9</v>
      </c>
      <c r="K4549" s="3">
        <v>2</v>
      </c>
      <c r="L4549" s="1">
        <f t="shared" si="213"/>
        <v>111.9027</v>
      </c>
      <c r="M4549" t="str" cm="1">
        <f t="array" ref="M4549">_xlfn.IFS(B4549&lt;18,"Under 18",B4549 &lt;=25,"18-25",B4549&lt;=35,"26-35",B4549&lt;=45,"36-45",B4549&lt;=60,"46-60",TRUE,"60+")</f>
        <v>46-60</v>
      </c>
      <c r="N4549" t="str">
        <f t="shared" si="214"/>
        <v>Discounted</v>
      </c>
      <c r="O4549" t="str">
        <f t="shared" si="215"/>
        <v>Returning</v>
      </c>
    </row>
    <row r="4550" spans="1:15" x14ac:dyDescent="0.25">
      <c r="A4550">
        <v>4549</v>
      </c>
      <c r="B4550">
        <v>46</v>
      </c>
      <c r="C4550" t="s">
        <v>16</v>
      </c>
      <c r="D4550" t="s">
        <v>27</v>
      </c>
      <c r="E4550" t="s">
        <v>28</v>
      </c>
      <c r="F4550" s="1">
        <v>561.66</v>
      </c>
      <c r="G4550" t="s">
        <v>31</v>
      </c>
      <c r="H4550" t="s">
        <v>15</v>
      </c>
      <c r="I4550" s="2">
        <v>3.8</v>
      </c>
      <c r="J4550" s="4">
        <v>12</v>
      </c>
      <c r="K4550" s="3">
        <v>6</v>
      </c>
      <c r="L4550" s="1">
        <f t="shared" si="213"/>
        <v>494.26079999999996</v>
      </c>
      <c r="M4550" t="str" cm="1">
        <f t="array" ref="M4550">_xlfn.IFS(B4550&lt;18,"Under 18",B4550 &lt;=25,"18-25",B4550&lt;=35,"26-35",B4550&lt;=45,"36-45",B4550&lt;=60,"46-60",TRUE,"60+")</f>
        <v>46-60</v>
      </c>
      <c r="N4550" t="str">
        <f t="shared" si="214"/>
        <v>Discounted</v>
      </c>
      <c r="O4550" t="str">
        <f t="shared" si="215"/>
        <v>Returning</v>
      </c>
    </row>
    <row r="4551" spans="1:15" x14ac:dyDescent="0.25">
      <c r="A4551">
        <v>4550</v>
      </c>
      <c r="B4551">
        <v>69</v>
      </c>
      <c r="C4551" t="s">
        <v>11</v>
      </c>
      <c r="D4551" t="s">
        <v>41</v>
      </c>
      <c r="E4551" t="s">
        <v>45</v>
      </c>
      <c r="F4551" s="1">
        <v>73.88</v>
      </c>
      <c r="G4551" t="s">
        <v>31</v>
      </c>
      <c r="H4551" t="s">
        <v>15</v>
      </c>
      <c r="I4551" s="2">
        <v>4.3</v>
      </c>
      <c r="J4551" s="4">
        <v>17</v>
      </c>
      <c r="K4551" s="3">
        <v>6</v>
      </c>
      <c r="L4551" s="1">
        <f t="shared" si="213"/>
        <v>61.320399999999992</v>
      </c>
      <c r="M4551" t="str" cm="1">
        <f t="array" ref="M4551">_xlfn.IFS(B4551&lt;18,"Under 18",B4551 &lt;=25,"18-25",B4551&lt;=35,"26-35",B4551&lt;=45,"36-45",B4551&lt;=60,"46-60",TRUE,"60+")</f>
        <v>60+</v>
      </c>
      <c r="N4551" t="str">
        <f t="shared" si="214"/>
        <v>Discounted</v>
      </c>
      <c r="O4551" t="str">
        <f t="shared" si="215"/>
        <v>Returning</v>
      </c>
    </row>
    <row r="4552" spans="1:15" x14ac:dyDescent="0.25">
      <c r="A4552">
        <v>4551</v>
      </c>
      <c r="B4552">
        <v>49</v>
      </c>
      <c r="C4552" t="s">
        <v>11</v>
      </c>
      <c r="D4552" t="s">
        <v>33</v>
      </c>
      <c r="E4552" t="s">
        <v>38</v>
      </c>
      <c r="F4552" s="1">
        <v>96.13</v>
      </c>
      <c r="G4552" t="s">
        <v>19</v>
      </c>
      <c r="H4552" t="s">
        <v>37</v>
      </c>
      <c r="I4552" s="2">
        <v>4</v>
      </c>
      <c r="J4552" s="4">
        <v>15</v>
      </c>
      <c r="K4552" s="3">
        <v>5</v>
      </c>
      <c r="L4552" s="1">
        <f t="shared" si="213"/>
        <v>81.710499999999996</v>
      </c>
      <c r="M4552" t="str" cm="1">
        <f t="array" ref="M4552">_xlfn.IFS(B4552&lt;18,"Under 18",B4552 &lt;=25,"18-25",B4552&lt;=35,"26-35",B4552&lt;=45,"36-45",B4552&lt;=60,"46-60",TRUE,"60+")</f>
        <v>46-60</v>
      </c>
      <c r="N4552" t="str">
        <f t="shared" si="214"/>
        <v>Discounted</v>
      </c>
      <c r="O4552" t="str">
        <f t="shared" si="215"/>
        <v>Returning</v>
      </c>
    </row>
    <row r="4553" spans="1:15" x14ac:dyDescent="0.25">
      <c r="A4553">
        <v>4552</v>
      </c>
      <c r="B4553">
        <v>58</v>
      </c>
      <c r="C4553" t="s">
        <v>16</v>
      </c>
      <c r="D4553" t="s">
        <v>17</v>
      </c>
      <c r="E4553" t="s">
        <v>35</v>
      </c>
      <c r="F4553" s="1">
        <v>128.34</v>
      </c>
      <c r="G4553" t="s">
        <v>19</v>
      </c>
      <c r="H4553" t="s">
        <v>15</v>
      </c>
      <c r="I4553" s="2">
        <v>3.6</v>
      </c>
      <c r="J4553" s="4">
        <v>22</v>
      </c>
      <c r="K4553" s="3">
        <v>6</v>
      </c>
      <c r="L4553" s="1">
        <f t="shared" si="213"/>
        <v>100.10520000000001</v>
      </c>
      <c r="M4553" t="str" cm="1">
        <f t="array" ref="M4553">_xlfn.IFS(B4553&lt;18,"Under 18",B4553 &lt;=25,"18-25",B4553&lt;=35,"26-35",B4553&lt;=45,"36-45",B4553&lt;=60,"46-60",TRUE,"60+")</f>
        <v>46-60</v>
      </c>
      <c r="N4553" t="str">
        <f t="shared" si="214"/>
        <v>Discounted</v>
      </c>
      <c r="O4553" t="str">
        <f t="shared" si="215"/>
        <v>Returning</v>
      </c>
    </row>
    <row r="4554" spans="1:15" x14ac:dyDescent="0.25">
      <c r="A4554">
        <v>4553</v>
      </c>
      <c r="B4554">
        <v>22</v>
      </c>
      <c r="C4554" t="s">
        <v>16</v>
      </c>
      <c r="D4554" t="s">
        <v>25</v>
      </c>
      <c r="E4554" t="s">
        <v>54</v>
      </c>
      <c r="F4554" s="1">
        <v>36.200000000000003</v>
      </c>
      <c r="G4554" t="s">
        <v>14</v>
      </c>
      <c r="H4554" t="s">
        <v>37</v>
      </c>
      <c r="I4554" s="2">
        <v>5</v>
      </c>
      <c r="J4554" s="4">
        <v>20</v>
      </c>
      <c r="K4554" s="3">
        <v>5</v>
      </c>
      <c r="L4554" s="1">
        <f t="shared" si="213"/>
        <v>28.960000000000004</v>
      </c>
      <c r="M4554" t="str" cm="1">
        <f t="array" ref="M4554">_xlfn.IFS(B4554&lt;18,"Under 18",B4554 &lt;=25,"18-25",B4554&lt;=35,"26-35",B4554&lt;=45,"36-45",B4554&lt;=60,"46-60",TRUE,"60+")</f>
        <v>18-25</v>
      </c>
      <c r="N4554" t="str">
        <f t="shared" si="214"/>
        <v>Discounted</v>
      </c>
      <c r="O4554" t="str">
        <f t="shared" si="215"/>
        <v>Returning</v>
      </c>
    </row>
    <row r="4555" spans="1:15" x14ac:dyDescent="0.25">
      <c r="A4555">
        <v>4554</v>
      </c>
      <c r="B4555">
        <v>50</v>
      </c>
      <c r="C4555" t="s">
        <v>11</v>
      </c>
      <c r="D4555" t="s">
        <v>29</v>
      </c>
      <c r="E4555" t="s">
        <v>55</v>
      </c>
      <c r="F4555" s="1">
        <v>22.59</v>
      </c>
      <c r="G4555" t="s">
        <v>19</v>
      </c>
      <c r="H4555" t="s">
        <v>37</v>
      </c>
      <c r="I4555" s="2">
        <v>3.9</v>
      </c>
      <c r="J4555" s="4">
        <v>20</v>
      </c>
      <c r="K4555" s="3">
        <v>5</v>
      </c>
      <c r="L4555" s="1">
        <f t="shared" si="213"/>
        <v>18.071999999999999</v>
      </c>
      <c r="M4555" t="str" cm="1">
        <f t="array" ref="M4555">_xlfn.IFS(B4555&lt;18,"Under 18",B4555 &lt;=25,"18-25",B4555&lt;=35,"26-35",B4555&lt;=45,"36-45",B4555&lt;=60,"46-60",TRUE,"60+")</f>
        <v>46-60</v>
      </c>
      <c r="N4555" t="str">
        <f t="shared" si="214"/>
        <v>Discounted</v>
      </c>
      <c r="O4555" t="str">
        <f t="shared" si="215"/>
        <v>Returning</v>
      </c>
    </row>
    <row r="4556" spans="1:15" x14ac:dyDescent="0.25">
      <c r="A4556">
        <v>4555</v>
      </c>
      <c r="B4556">
        <v>41</v>
      </c>
      <c r="C4556" t="s">
        <v>11</v>
      </c>
      <c r="D4556" t="s">
        <v>33</v>
      </c>
      <c r="E4556" t="s">
        <v>38</v>
      </c>
      <c r="F4556" s="1">
        <v>55.08</v>
      </c>
      <c r="G4556" t="s">
        <v>19</v>
      </c>
      <c r="H4556" t="s">
        <v>37</v>
      </c>
      <c r="I4556" s="2">
        <v>4</v>
      </c>
      <c r="J4556" s="4">
        <v>26</v>
      </c>
      <c r="K4556" s="3">
        <v>8</v>
      </c>
      <c r="L4556" s="1">
        <f t="shared" si="213"/>
        <v>40.7592</v>
      </c>
      <c r="M4556" t="str" cm="1">
        <f t="array" ref="M4556">_xlfn.IFS(B4556&lt;18,"Under 18",B4556 &lt;=25,"18-25",B4556&lt;=35,"26-35",B4556&lt;=45,"36-45",B4556&lt;=60,"46-60",TRUE,"60+")</f>
        <v>36-45</v>
      </c>
      <c r="N4556" t="str">
        <f t="shared" si="214"/>
        <v>Discounted</v>
      </c>
      <c r="O4556" t="str">
        <f t="shared" si="215"/>
        <v>Returning</v>
      </c>
    </row>
    <row r="4557" spans="1:15" x14ac:dyDescent="0.25">
      <c r="A4557">
        <v>4556</v>
      </c>
      <c r="B4557">
        <v>68</v>
      </c>
      <c r="C4557" t="s">
        <v>11</v>
      </c>
      <c r="D4557" t="s">
        <v>12</v>
      </c>
      <c r="E4557" t="s">
        <v>56</v>
      </c>
      <c r="F4557" s="1">
        <v>121.36</v>
      </c>
      <c r="G4557" t="s">
        <v>24</v>
      </c>
      <c r="H4557" t="s">
        <v>15</v>
      </c>
      <c r="I4557" s="2">
        <v>2.7</v>
      </c>
      <c r="J4557" s="4">
        <v>15</v>
      </c>
      <c r="K4557" s="3">
        <v>5</v>
      </c>
      <c r="L4557" s="1">
        <f t="shared" si="213"/>
        <v>103.15599999999999</v>
      </c>
      <c r="M4557" t="str" cm="1">
        <f t="array" ref="M4557">_xlfn.IFS(B4557&lt;18,"Under 18",B4557 &lt;=25,"18-25",B4557&lt;=35,"26-35",B4557&lt;=45,"36-45",B4557&lt;=60,"46-60",TRUE,"60+")</f>
        <v>60+</v>
      </c>
      <c r="N4557" t="str">
        <f t="shared" si="214"/>
        <v>Discounted</v>
      </c>
      <c r="O4557" t="str">
        <f t="shared" si="215"/>
        <v>Returning</v>
      </c>
    </row>
    <row r="4558" spans="1:15" x14ac:dyDescent="0.25">
      <c r="A4558">
        <v>4557</v>
      </c>
      <c r="B4558">
        <v>67</v>
      </c>
      <c r="C4558" t="s">
        <v>16</v>
      </c>
      <c r="D4558" t="s">
        <v>33</v>
      </c>
      <c r="E4558" t="s">
        <v>34</v>
      </c>
      <c r="F4558" s="1">
        <v>202.9</v>
      </c>
      <c r="G4558" t="s">
        <v>14</v>
      </c>
      <c r="H4558" t="s">
        <v>15</v>
      </c>
      <c r="I4558" s="2">
        <v>3.7</v>
      </c>
      <c r="J4558" s="4">
        <v>20</v>
      </c>
      <c r="K4558" s="3">
        <v>5</v>
      </c>
      <c r="L4558" s="1">
        <f t="shared" si="213"/>
        <v>162.32000000000002</v>
      </c>
      <c r="M4558" t="str" cm="1">
        <f t="array" ref="M4558">_xlfn.IFS(B4558&lt;18,"Under 18",B4558 &lt;=25,"18-25",B4558&lt;=35,"26-35",B4558&lt;=45,"36-45",B4558&lt;=60,"46-60",TRUE,"60+")</f>
        <v>60+</v>
      </c>
      <c r="N4558" t="str">
        <f t="shared" si="214"/>
        <v>Discounted</v>
      </c>
      <c r="O4558" t="str">
        <f t="shared" si="215"/>
        <v>Returning</v>
      </c>
    </row>
    <row r="4559" spans="1:15" x14ac:dyDescent="0.25">
      <c r="A4559">
        <v>4558</v>
      </c>
      <c r="B4559">
        <v>67</v>
      </c>
      <c r="C4559" t="s">
        <v>16</v>
      </c>
      <c r="D4559" t="s">
        <v>17</v>
      </c>
      <c r="E4559" t="s">
        <v>42</v>
      </c>
      <c r="F4559" s="1">
        <v>185.7</v>
      </c>
      <c r="G4559" t="s">
        <v>14</v>
      </c>
      <c r="H4559" t="s">
        <v>15</v>
      </c>
      <c r="I4559" s="2">
        <v>3.1</v>
      </c>
      <c r="J4559" s="4">
        <v>2</v>
      </c>
      <c r="K4559" s="3">
        <v>1</v>
      </c>
      <c r="L4559" s="1">
        <f t="shared" si="213"/>
        <v>181.98599999999999</v>
      </c>
      <c r="M4559" t="str" cm="1">
        <f t="array" ref="M4559">_xlfn.IFS(B4559&lt;18,"Under 18",B4559 &lt;=25,"18-25",B4559&lt;=35,"26-35",B4559&lt;=45,"36-45",B4559&lt;=60,"46-60",TRUE,"60+")</f>
        <v>60+</v>
      </c>
      <c r="N4559" t="str">
        <f t="shared" si="214"/>
        <v>Discounted</v>
      </c>
      <c r="O4559" t="str">
        <f t="shared" si="215"/>
        <v>Returning</v>
      </c>
    </row>
    <row r="4560" spans="1:15" x14ac:dyDescent="0.25">
      <c r="A4560">
        <v>4559</v>
      </c>
      <c r="B4560">
        <v>24</v>
      </c>
      <c r="C4560" t="s">
        <v>16</v>
      </c>
      <c r="D4560" t="s">
        <v>17</v>
      </c>
      <c r="E4560" t="s">
        <v>42</v>
      </c>
      <c r="F4560" s="1">
        <v>156.16999999999999</v>
      </c>
      <c r="G4560" t="s">
        <v>19</v>
      </c>
      <c r="H4560" t="s">
        <v>15</v>
      </c>
      <c r="I4560" s="2">
        <v>4.0999999999999996</v>
      </c>
      <c r="J4560" s="4">
        <v>11</v>
      </c>
      <c r="K4560" s="3">
        <v>3</v>
      </c>
      <c r="L4560" s="1">
        <f t="shared" si="213"/>
        <v>138.9913</v>
      </c>
      <c r="M4560" t="str" cm="1">
        <f t="array" ref="M4560">_xlfn.IFS(B4560&lt;18,"Under 18",B4560 &lt;=25,"18-25",B4560&lt;=35,"26-35",B4560&lt;=45,"36-45",B4560&lt;=60,"46-60",TRUE,"60+")</f>
        <v>18-25</v>
      </c>
      <c r="N4560" t="str">
        <f t="shared" si="214"/>
        <v>Discounted</v>
      </c>
      <c r="O4560" t="str">
        <f t="shared" si="215"/>
        <v>Returning</v>
      </c>
    </row>
    <row r="4561" spans="1:15" x14ac:dyDescent="0.25">
      <c r="A4561">
        <v>4560</v>
      </c>
      <c r="B4561">
        <v>56</v>
      </c>
      <c r="C4561" t="s">
        <v>11</v>
      </c>
      <c r="D4561" t="s">
        <v>29</v>
      </c>
      <c r="E4561" t="s">
        <v>30</v>
      </c>
      <c r="F4561" s="1">
        <v>32.07</v>
      </c>
      <c r="G4561" t="s">
        <v>31</v>
      </c>
      <c r="H4561" t="s">
        <v>15</v>
      </c>
      <c r="I4561" s="2">
        <v>3.7</v>
      </c>
      <c r="J4561" s="4">
        <v>34</v>
      </c>
      <c r="K4561" s="3">
        <v>12</v>
      </c>
      <c r="L4561" s="1">
        <f t="shared" si="213"/>
        <v>21.166199999999996</v>
      </c>
      <c r="M4561" t="str" cm="1">
        <f t="array" ref="M4561">_xlfn.IFS(B4561&lt;18,"Under 18",B4561 &lt;=25,"18-25",B4561&lt;=35,"26-35",B4561&lt;=45,"36-45",B4561&lt;=60,"46-60",TRUE,"60+")</f>
        <v>46-60</v>
      </c>
      <c r="N4561" t="str">
        <f t="shared" si="214"/>
        <v>Discounted</v>
      </c>
      <c r="O4561" t="str">
        <f t="shared" si="215"/>
        <v>Returning</v>
      </c>
    </row>
    <row r="4562" spans="1:15" x14ac:dyDescent="0.25">
      <c r="A4562">
        <v>4561</v>
      </c>
      <c r="B4562">
        <v>70</v>
      </c>
      <c r="C4562" t="s">
        <v>11</v>
      </c>
      <c r="D4562" t="s">
        <v>25</v>
      </c>
      <c r="E4562" t="s">
        <v>47</v>
      </c>
      <c r="F4562" s="1">
        <v>65.38</v>
      </c>
      <c r="G4562" t="s">
        <v>31</v>
      </c>
      <c r="H4562" t="s">
        <v>37</v>
      </c>
      <c r="I4562" s="2">
        <v>3.7</v>
      </c>
      <c r="J4562" s="4">
        <v>20</v>
      </c>
      <c r="K4562" s="3">
        <v>5</v>
      </c>
      <c r="L4562" s="1">
        <f t="shared" si="213"/>
        <v>52.304000000000002</v>
      </c>
      <c r="M4562" t="str" cm="1">
        <f t="array" ref="M4562">_xlfn.IFS(B4562&lt;18,"Under 18",B4562 &lt;=25,"18-25",B4562&lt;=35,"26-35",B4562&lt;=45,"36-45",B4562&lt;=60,"46-60",TRUE,"60+")</f>
        <v>60+</v>
      </c>
      <c r="N4562" t="str">
        <f t="shared" si="214"/>
        <v>Discounted</v>
      </c>
      <c r="O4562" t="str">
        <f t="shared" si="215"/>
        <v>Returning</v>
      </c>
    </row>
    <row r="4563" spans="1:15" x14ac:dyDescent="0.25">
      <c r="A4563">
        <v>4562</v>
      </c>
      <c r="B4563">
        <v>62</v>
      </c>
      <c r="C4563" t="s">
        <v>11</v>
      </c>
      <c r="D4563" t="s">
        <v>33</v>
      </c>
      <c r="E4563" t="s">
        <v>34</v>
      </c>
      <c r="F4563" s="1">
        <v>48.76</v>
      </c>
      <c r="G4563" t="s">
        <v>14</v>
      </c>
      <c r="H4563" t="s">
        <v>15</v>
      </c>
      <c r="I4563" s="2">
        <v>3.4</v>
      </c>
      <c r="J4563" s="4">
        <v>10</v>
      </c>
      <c r="K4563" s="3">
        <v>5</v>
      </c>
      <c r="L4563" s="1">
        <f t="shared" si="213"/>
        <v>43.884</v>
      </c>
      <c r="M4563" t="str" cm="1">
        <f t="array" ref="M4563">_xlfn.IFS(B4563&lt;18,"Under 18",B4563 &lt;=25,"18-25",B4563&lt;=35,"26-35",B4563&lt;=45,"36-45",B4563&lt;=60,"46-60",TRUE,"60+")</f>
        <v>60+</v>
      </c>
      <c r="N4563" t="str">
        <f t="shared" si="214"/>
        <v>Discounted</v>
      </c>
      <c r="O4563" t="str">
        <f t="shared" si="215"/>
        <v>Returning</v>
      </c>
    </row>
    <row r="4564" spans="1:15" x14ac:dyDescent="0.25">
      <c r="A4564">
        <v>4563</v>
      </c>
      <c r="B4564">
        <v>55</v>
      </c>
      <c r="C4564" t="s">
        <v>11</v>
      </c>
      <c r="D4564" t="s">
        <v>33</v>
      </c>
      <c r="E4564" t="s">
        <v>38</v>
      </c>
      <c r="F4564" s="1">
        <v>133.82</v>
      </c>
      <c r="G4564" t="s">
        <v>19</v>
      </c>
      <c r="H4564" t="s">
        <v>15</v>
      </c>
      <c r="I4564" s="2">
        <v>4.5</v>
      </c>
      <c r="J4564" s="4">
        <v>17</v>
      </c>
      <c r="K4564" s="3">
        <v>6</v>
      </c>
      <c r="L4564" s="1">
        <f t="shared" si="213"/>
        <v>111.07059999999998</v>
      </c>
      <c r="M4564" t="str" cm="1">
        <f t="array" ref="M4564">_xlfn.IFS(B4564&lt;18,"Under 18",B4564 &lt;=25,"18-25",B4564&lt;=35,"26-35",B4564&lt;=45,"36-45",B4564&lt;=60,"46-60",TRUE,"60+")</f>
        <v>46-60</v>
      </c>
      <c r="N4564" t="str">
        <f t="shared" si="214"/>
        <v>Discounted</v>
      </c>
      <c r="O4564" t="str">
        <f t="shared" si="215"/>
        <v>Returning</v>
      </c>
    </row>
    <row r="4565" spans="1:15" x14ac:dyDescent="0.25">
      <c r="A4565">
        <v>4564</v>
      </c>
      <c r="B4565">
        <v>41</v>
      </c>
      <c r="C4565" t="s">
        <v>11</v>
      </c>
      <c r="D4565" t="s">
        <v>20</v>
      </c>
      <c r="E4565" t="s">
        <v>36</v>
      </c>
      <c r="F4565" s="1">
        <v>189.59</v>
      </c>
      <c r="G4565" t="s">
        <v>14</v>
      </c>
      <c r="H4565" t="s">
        <v>15</v>
      </c>
      <c r="I4565" s="2">
        <v>3</v>
      </c>
      <c r="J4565" s="4">
        <v>10</v>
      </c>
      <c r="K4565" s="3">
        <v>5</v>
      </c>
      <c r="L4565" s="1">
        <f t="shared" si="213"/>
        <v>170.631</v>
      </c>
      <c r="M4565" t="str" cm="1">
        <f t="array" ref="M4565">_xlfn.IFS(B4565&lt;18,"Under 18",B4565 &lt;=25,"18-25",B4565&lt;=35,"26-35",B4565&lt;=45,"36-45",B4565&lt;=60,"46-60",TRUE,"60+")</f>
        <v>36-45</v>
      </c>
      <c r="N4565" t="str">
        <f t="shared" si="214"/>
        <v>Discounted</v>
      </c>
      <c r="O4565" t="str">
        <f t="shared" si="215"/>
        <v>Returning</v>
      </c>
    </row>
    <row r="4566" spans="1:15" x14ac:dyDescent="0.25">
      <c r="A4566">
        <v>4565</v>
      </c>
      <c r="B4566">
        <v>64</v>
      </c>
      <c r="C4566" t="s">
        <v>11</v>
      </c>
      <c r="D4566" t="s">
        <v>12</v>
      </c>
      <c r="E4566" t="s">
        <v>13</v>
      </c>
      <c r="F4566" s="1">
        <v>129.44999999999999</v>
      </c>
      <c r="G4566" t="s">
        <v>14</v>
      </c>
      <c r="H4566" t="s">
        <v>15</v>
      </c>
      <c r="I4566" s="2">
        <v>3.9</v>
      </c>
      <c r="J4566" s="4">
        <v>13</v>
      </c>
      <c r="K4566" s="3">
        <v>4</v>
      </c>
      <c r="L4566" s="1">
        <f t="shared" si="213"/>
        <v>112.62149999999998</v>
      </c>
      <c r="M4566" t="str" cm="1">
        <f t="array" ref="M4566">_xlfn.IFS(B4566&lt;18,"Under 18",B4566 &lt;=25,"18-25",B4566&lt;=35,"26-35",B4566&lt;=45,"36-45",B4566&lt;=60,"46-60",TRUE,"60+")</f>
        <v>60+</v>
      </c>
      <c r="N4566" t="str">
        <f t="shared" si="214"/>
        <v>Discounted</v>
      </c>
      <c r="O4566" t="str">
        <f t="shared" si="215"/>
        <v>Returning</v>
      </c>
    </row>
    <row r="4567" spans="1:15" x14ac:dyDescent="0.25">
      <c r="A4567">
        <v>4566</v>
      </c>
      <c r="B4567">
        <v>67</v>
      </c>
      <c r="C4567" t="s">
        <v>16</v>
      </c>
      <c r="D4567" t="s">
        <v>33</v>
      </c>
      <c r="E4567" t="s">
        <v>38</v>
      </c>
      <c r="F4567" s="1">
        <v>151.13</v>
      </c>
      <c r="G4567" t="s">
        <v>14</v>
      </c>
      <c r="H4567" t="s">
        <v>15</v>
      </c>
      <c r="I4567" s="2">
        <v>3.6</v>
      </c>
      <c r="J4567" s="4">
        <v>4</v>
      </c>
      <c r="K4567" s="3">
        <v>2</v>
      </c>
      <c r="L4567" s="1">
        <f t="shared" si="213"/>
        <v>145.0848</v>
      </c>
      <c r="M4567" t="str" cm="1">
        <f t="array" ref="M4567">_xlfn.IFS(B4567&lt;18,"Under 18",B4567 &lt;=25,"18-25",B4567&lt;=35,"26-35",B4567&lt;=45,"36-45",B4567&lt;=60,"46-60",TRUE,"60+")</f>
        <v>60+</v>
      </c>
      <c r="N4567" t="str">
        <f t="shared" si="214"/>
        <v>Discounted</v>
      </c>
      <c r="O4567" t="str">
        <f t="shared" si="215"/>
        <v>Returning</v>
      </c>
    </row>
    <row r="4568" spans="1:15" x14ac:dyDescent="0.25">
      <c r="A4568">
        <v>4567</v>
      </c>
      <c r="B4568">
        <v>30</v>
      </c>
      <c r="C4568" t="s">
        <v>16</v>
      </c>
      <c r="D4568" t="s">
        <v>33</v>
      </c>
      <c r="E4568" t="s">
        <v>40</v>
      </c>
      <c r="F4568" s="1">
        <v>122.89</v>
      </c>
      <c r="G4568" t="s">
        <v>24</v>
      </c>
      <c r="H4568" t="s">
        <v>15</v>
      </c>
      <c r="I4568" s="2">
        <v>5</v>
      </c>
      <c r="J4568" s="4">
        <v>13</v>
      </c>
      <c r="K4568" s="3">
        <v>4</v>
      </c>
      <c r="L4568" s="1">
        <f t="shared" si="213"/>
        <v>106.9143</v>
      </c>
      <c r="M4568" t="str" cm="1">
        <f t="array" ref="M4568">_xlfn.IFS(B4568&lt;18,"Under 18",B4568 &lt;=25,"18-25",B4568&lt;=35,"26-35",B4568&lt;=45,"36-45",B4568&lt;=60,"46-60",TRUE,"60+")</f>
        <v>26-35</v>
      </c>
      <c r="N4568" t="str">
        <f t="shared" si="214"/>
        <v>Discounted</v>
      </c>
      <c r="O4568" t="str">
        <f t="shared" si="215"/>
        <v>Returning</v>
      </c>
    </row>
    <row r="4569" spans="1:15" x14ac:dyDescent="0.25">
      <c r="A4569">
        <v>4568</v>
      </c>
      <c r="B4569">
        <v>70</v>
      </c>
      <c r="C4569" t="s">
        <v>16</v>
      </c>
      <c r="D4569" t="s">
        <v>33</v>
      </c>
      <c r="E4569" t="s">
        <v>38</v>
      </c>
      <c r="F4569" s="1">
        <v>112.06</v>
      </c>
      <c r="G4569" t="s">
        <v>19</v>
      </c>
      <c r="H4569" t="s">
        <v>15</v>
      </c>
      <c r="I4569" s="2">
        <v>5</v>
      </c>
      <c r="J4569" s="4">
        <v>25</v>
      </c>
      <c r="K4569" s="3">
        <v>10</v>
      </c>
      <c r="L4569" s="1">
        <f t="shared" si="213"/>
        <v>84.045000000000002</v>
      </c>
      <c r="M4569" t="str" cm="1">
        <f t="array" ref="M4569">_xlfn.IFS(B4569&lt;18,"Under 18",B4569 &lt;=25,"18-25",B4569&lt;=35,"26-35",B4569&lt;=45,"36-45",B4569&lt;=60,"46-60",TRUE,"60+")</f>
        <v>60+</v>
      </c>
      <c r="N4569" t="str">
        <f t="shared" si="214"/>
        <v>Discounted</v>
      </c>
      <c r="O4569" t="str">
        <f t="shared" si="215"/>
        <v>Returning</v>
      </c>
    </row>
    <row r="4570" spans="1:15" x14ac:dyDescent="0.25">
      <c r="A4570">
        <v>4569</v>
      </c>
      <c r="B4570">
        <v>66</v>
      </c>
      <c r="C4570" t="s">
        <v>11</v>
      </c>
      <c r="D4570" t="s">
        <v>20</v>
      </c>
      <c r="E4570" t="s">
        <v>39</v>
      </c>
      <c r="F4570" s="1">
        <v>115.8</v>
      </c>
      <c r="G4570" t="s">
        <v>24</v>
      </c>
      <c r="H4570" t="s">
        <v>15</v>
      </c>
      <c r="I4570" s="2">
        <v>3.2</v>
      </c>
      <c r="J4570" s="4">
        <v>12</v>
      </c>
      <c r="K4570" s="3">
        <v>1</v>
      </c>
      <c r="L4570" s="1">
        <f t="shared" si="213"/>
        <v>101.904</v>
      </c>
      <c r="M4570" t="str" cm="1">
        <f t="array" ref="M4570">_xlfn.IFS(B4570&lt;18,"Under 18",B4570 &lt;=25,"18-25",B4570&lt;=35,"26-35",B4570&lt;=45,"36-45",B4570&lt;=60,"46-60",TRUE,"60+")</f>
        <v>60+</v>
      </c>
      <c r="N4570" t="str">
        <f t="shared" si="214"/>
        <v>Discounted</v>
      </c>
      <c r="O4570" t="str">
        <f t="shared" si="215"/>
        <v>Returning</v>
      </c>
    </row>
    <row r="4571" spans="1:15" x14ac:dyDescent="0.25">
      <c r="A4571">
        <v>4570</v>
      </c>
      <c r="B4571">
        <v>55</v>
      </c>
      <c r="C4571" t="s">
        <v>11</v>
      </c>
      <c r="D4571" t="s">
        <v>25</v>
      </c>
      <c r="E4571" t="s">
        <v>47</v>
      </c>
      <c r="F4571" s="1">
        <v>68.87</v>
      </c>
      <c r="G4571" t="s">
        <v>14</v>
      </c>
      <c r="H4571" t="s">
        <v>37</v>
      </c>
      <c r="I4571" s="2">
        <v>4</v>
      </c>
      <c r="J4571" s="4">
        <v>6</v>
      </c>
      <c r="K4571" s="3">
        <v>3</v>
      </c>
      <c r="L4571" s="1">
        <f t="shared" si="213"/>
        <v>64.737800000000007</v>
      </c>
      <c r="M4571" t="str" cm="1">
        <f t="array" ref="M4571">_xlfn.IFS(B4571&lt;18,"Under 18",B4571 &lt;=25,"18-25",B4571&lt;=35,"26-35",B4571&lt;=45,"36-45",B4571&lt;=60,"46-60",TRUE,"60+")</f>
        <v>46-60</v>
      </c>
      <c r="N4571" t="str">
        <f t="shared" si="214"/>
        <v>Discounted</v>
      </c>
      <c r="O4571" t="str">
        <f t="shared" si="215"/>
        <v>Returning</v>
      </c>
    </row>
    <row r="4572" spans="1:15" x14ac:dyDescent="0.25">
      <c r="A4572">
        <v>4571</v>
      </c>
      <c r="B4572">
        <v>63</v>
      </c>
      <c r="C4572" t="s">
        <v>16</v>
      </c>
      <c r="D4572" t="s">
        <v>17</v>
      </c>
      <c r="E4572" t="s">
        <v>42</v>
      </c>
      <c r="F4572" s="1">
        <v>99.6</v>
      </c>
      <c r="G4572" t="s">
        <v>14</v>
      </c>
      <c r="H4572" t="s">
        <v>37</v>
      </c>
      <c r="I4572" s="2">
        <v>4.5999999999999996</v>
      </c>
      <c r="J4572" s="4">
        <v>14</v>
      </c>
      <c r="K4572" s="3">
        <v>2</v>
      </c>
      <c r="L4572" s="1">
        <f t="shared" si="213"/>
        <v>85.655999999999992</v>
      </c>
      <c r="M4572" t="str" cm="1">
        <f t="array" ref="M4572">_xlfn.IFS(B4572&lt;18,"Under 18",B4572 &lt;=25,"18-25",B4572&lt;=35,"26-35",B4572&lt;=45,"36-45",B4572&lt;=60,"46-60",TRUE,"60+")</f>
        <v>60+</v>
      </c>
      <c r="N4572" t="str">
        <f t="shared" si="214"/>
        <v>Discounted</v>
      </c>
      <c r="O4572" t="str">
        <f t="shared" si="215"/>
        <v>Returning</v>
      </c>
    </row>
    <row r="4573" spans="1:15" x14ac:dyDescent="0.25">
      <c r="A4573">
        <v>4572</v>
      </c>
      <c r="B4573">
        <v>65</v>
      </c>
      <c r="C4573" t="s">
        <v>16</v>
      </c>
      <c r="D4573" t="s">
        <v>20</v>
      </c>
      <c r="E4573" t="s">
        <v>36</v>
      </c>
      <c r="F4573" s="1">
        <v>112.71</v>
      </c>
      <c r="G4573" t="s">
        <v>24</v>
      </c>
      <c r="H4573" t="s">
        <v>15</v>
      </c>
      <c r="I4573" s="2">
        <v>4.7</v>
      </c>
      <c r="J4573" s="4">
        <v>25</v>
      </c>
      <c r="K4573" s="3">
        <v>10</v>
      </c>
      <c r="L4573" s="1">
        <f t="shared" si="213"/>
        <v>84.532499999999999</v>
      </c>
      <c r="M4573" t="str" cm="1">
        <f t="array" ref="M4573">_xlfn.IFS(B4573&lt;18,"Under 18",B4573 &lt;=25,"18-25",B4573&lt;=35,"26-35",B4573&lt;=45,"36-45",B4573&lt;=60,"46-60",TRUE,"60+")</f>
        <v>60+</v>
      </c>
      <c r="N4573" t="str">
        <f t="shared" si="214"/>
        <v>Discounted</v>
      </c>
      <c r="O4573" t="str">
        <f t="shared" si="215"/>
        <v>Returning</v>
      </c>
    </row>
    <row r="4574" spans="1:15" x14ac:dyDescent="0.25">
      <c r="A4574">
        <v>4573</v>
      </c>
      <c r="B4574">
        <v>42</v>
      </c>
      <c r="C4574" t="s">
        <v>16</v>
      </c>
      <c r="D4574" t="s">
        <v>33</v>
      </c>
      <c r="E4574" t="s">
        <v>34</v>
      </c>
      <c r="F4574" s="1">
        <v>176.05</v>
      </c>
      <c r="G4574" t="s">
        <v>31</v>
      </c>
      <c r="H4574" t="s">
        <v>15</v>
      </c>
      <c r="I4574" s="2">
        <v>4.3</v>
      </c>
      <c r="J4574" s="4">
        <v>10</v>
      </c>
      <c r="K4574" s="3">
        <v>5</v>
      </c>
      <c r="L4574" s="1">
        <f t="shared" si="213"/>
        <v>158.44500000000002</v>
      </c>
      <c r="M4574" t="str" cm="1">
        <f t="array" ref="M4574">_xlfn.IFS(B4574&lt;18,"Under 18",B4574 &lt;=25,"18-25",B4574&lt;=35,"26-35",B4574&lt;=45,"36-45",B4574&lt;=60,"46-60",TRUE,"60+")</f>
        <v>36-45</v>
      </c>
      <c r="N4574" t="str">
        <f t="shared" si="214"/>
        <v>Discounted</v>
      </c>
      <c r="O4574" t="str">
        <f t="shared" si="215"/>
        <v>Returning</v>
      </c>
    </row>
    <row r="4575" spans="1:15" x14ac:dyDescent="0.25">
      <c r="A4575">
        <v>4574</v>
      </c>
      <c r="B4575">
        <v>53</v>
      </c>
      <c r="C4575" t="s">
        <v>16</v>
      </c>
      <c r="D4575" t="s">
        <v>20</v>
      </c>
      <c r="E4575" t="s">
        <v>21</v>
      </c>
      <c r="F4575" s="1">
        <v>122.14</v>
      </c>
      <c r="G4575" t="s">
        <v>31</v>
      </c>
      <c r="H4575" t="s">
        <v>15</v>
      </c>
      <c r="I4575" s="2">
        <v>4.7</v>
      </c>
      <c r="J4575" s="4">
        <v>17</v>
      </c>
      <c r="K4575" s="3">
        <v>6</v>
      </c>
      <c r="L4575" s="1">
        <f t="shared" si="213"/>
        <v>101.3762</v>
      </c>
      <c r="M4575" t="str" cm="1">
        <f t="array" ref="M4575">_xlfn.IFS(B4575&lt;18,"Under 18",B4575 &lt;=25,"18-25",B4575&lt;=35,"26-35",B4575&lt;=45,"36-45",B4575&lt;=60,"46-60",TRUE,"60+")</f>
        <v>46-60</v>
      </c>
      <c r="N4575" t="str">
        <f t="shared" si="214"/>
        <v>Discounted</v>
      </c>
      <c r="O4575" t="str">
        <f t="shared" si="215"/>
        <v>Returning</v>
      </c>
    </row>
    <row r="4576" spans="1:15" x14ac:dyDescent="0.25">
      <c r="A4576">
        <v>4575</v>
      </c>
      <c r="B4576">
        <v>29</v>
      </c>
      <c r="C4576" t="s">
        <v>11</v>
      </c>
      <c r="D4576" t="s">
        <v>41</v>
      </c>
      <c r="E4576" t="s">
        <v>44</v>
      </c>
      <c r="F4576" s="1">
        <v>70.08</v>
      </c>
      <c r="G4576" t="s">
        <v>24</v>
      </c>
      <c r="H4576" t="s">
        <v>15</v>
      </c>
      <c r="I4576" s="2">
        <v>3.1</v>
      </c>
      <c r="J4576" s="4">
        <v>8</v>
      </c>
      <c r="K4576" s="3">
        <v>4</v>
      </c>
      <c r="L4576" s="1">
        <f t="shared" si="213"/>
        <v>64.473600000000005</v>
      </c>
      <c r="M4576" t="str" cm="1">
        <f t="array" ref="M4576">_xlfn.IFS(B4576&lt;18,"Under 18",B4576 &lt;=25,"18-25",B4576&lt;=35,"26-35",B4576&lt;=45,"36-45",B4576&lt;=60,"46-60",TRUE,"60+")</f>
        <v>26-35</v>
      </c>
      <c r="N4576" t="str">
        <f t="shared" si="214"/>
        <v>Discounted</v>
      </c>
      <c r="O4576" t="str">
        <f t="shared" si="215"/>
        <v>Returning</v>
      </c>
    </row>
    <row r="4577" spans="1:15" x14ac:dyDescent="0.25">
      <c r="A4577">
        <v>4576</v>
      </c>
      <c r="B4577">
        <v>31</v>
      </c>
      <c r="C4577" t="s">
        <v>11</v>
      </c>
      <c r="D4577" t="s">
        <v>22</v>
      </c>
      <c r="E4577" t="s">
        <v>43</v>
      </c>
      <c r="F4577" s="1">
        <v>212.12</v>
      </c>
      <c r="G4577" t="s">
        <v>19</v>
      </c>
      <c r="H4577" t="s">
        <v>15</v>
      </c>
      <c r="I4577" s="2">
        <v>3.6</v>
      </c>
      <c r="J4577" s="4">
        <v>8</v>
      </c>
      <c r="K4577" s="3">
        <v>4</v>
      </c>
      <c r="L4577" s="1">
        <f t="shared" si="213"/>
        <v>195.15040000000002</v>
      </c>
      <c r="M4577" t="str" cm="1">
        <f t="array" ref="M4577">_xlfn.IFS(B4577&lt;18,"Under 18",B4577 &lt;=25,"18-25",B4577&lt;=35,"26-35",B4577&lt;=45,"36-45",B4577&lt;=60,"46-60",TRUE,"60+")</f>
        <v>26-35</v>
      </c>
      <c r="N4577" t="str">
        <f t="shared" si="214"/>
        <v>Discounted</v>
      </c>
      <c r="O4577" t="str">
        <f t="shared" si="215"/>
        <v>Returning</v>
      </c>
    </row>
    <row r="4578" spans="1:15" x14ac:dyDescent="0.25">
      <c r="A4578">
        <v>4577</v>
      </c>
      <c r="B4578">
        <v>22</v>
      </c>
      <c r="C4578" t="s">
        <v>16</v>
      </c>
      <c r="D4578" t="s">
        <v>17</v>
      </c>
      <c r="E4578" t="s">
        <v>35</v>
      </c>
      <c r="F4578" s="1">
        <v>132.21</v>
      </c>
      <c r="G4578" t="s">
        <v>19</v>
      </c>
      <c r="H4578" t="s">
        <v>15</v>
      </c>
      <c r="I4578" s="2">
        <v>4.2</v>
      </c>
      <c r="J4578" s="4">
        <v>12</v>
      </c>
      <c r="K4578" s="3">
        <v>6</v>
      </c>
      <c r="L4578" s="1">
        <f t="shared" si="213"/>
        <v>116.34480000000001</v>
      </c>
      <c r="M4578" t="str" cm="1">
        <f t="array" ref="M4578">_xlfn.IFS(B4578&lt;18,"Under 18",B4578 &lt;=25,"18-25",B4578&lt;=35,"26-35",B4578&lt;=45,"36-45",B4578&lt;=60,"46-60",TRUE,"60+")</f>
        <v>18-25</v>
      </c>
      <c r="N4578" t="str">
        <f t="shared" si="214"/>
        <v>Discounted</v>
      </c>
      <c r="O4578" t="str">
        <f t="shared" si="215"/>
        <v>Returning</v>
      </c>
    </row>
    <row r="4579" spans="1:15" x14ac:dyDescent="0.25">
      <c r="A4579">
        <v>4578</v>
      </c>
      <c r="B4579">
        <v>61</v>
      </c>
      <c r="C4579" t="s">
        <v>16</v>
      </c>
      <c r="D4579" t="s">
        <v>22</v>
      </c>
      <c r="E4579" t="s">
        <v>43</v>
      </c>
      <c r="F4579" s="1">
        <v>30.41</v>
      </c>
      <c r="G4579" t="s">
        <v>19</v>
      </c>
      <c r="H4579" t="s">
        <v>15</v>
      </c>
      <c r="I4579" s="2">
        <v>4.5</v>
      </c>
      <c r="J4579" s="4">
        <v>24</v>
      </c>
      <c r="K4579" s="3">
        <v>7</v>
      </c>
      <c r="L4579" s="1">
        <f t="shared" si="213"/>
        <v>23.111599999999999</v>
      </c>
      <c r="M4579" t="str" cm="1">
        <f t="array" ref="M4579">_xlfn.IFS(B4579&lt;18,"Under 18",B4579 &lt;=25,"18-25",B4579&lt;=35,"26-35",B4579&lt;=45,"36-45",B4579&lt;=60,"46-60",TRUE,"60+")</f>
        <v>60+</v>
      </c>
      <c r="N4579" t="str">
        <f t="shared" si="214"/>
        <v>Discounted</v>
      </c>
      <c r="O4579" t="str">
        <f t="shared" si="215"/>
        <v>Returning</v>
      </c>
    </row>
    <row r="4580" spans="1:15" x14ac:dyDescent="0.25">
      <c r="A4580">
        <v>4579</v>
      </c>
      <c r="B4580">
        <v>70</v>
      </c>
      <c r="C4580" t="s">
        <v>11</v>
      </c>
      <c r="D4580" t="s">
        <v>41</v>
      </c>
      <c r="E4580" t="s">
        <v>44</v>
      </c>
      <c r="F4580" s="1">
        <v>155.75</v>
      </c>
      <c r="G4580" t="s">
        <v>19</v>
      </c>
      <c r="H4580" t="s">
        <v>15</v>
      </c>
      <c r="I4580" s="2">
        <v>4.8</v>
      </c>
      <c r="J4580" s="4">
        <v>26</v>
      </c>
      <c r="K4580" s="3">
        <v>8</v>
      </c>
      <c r="L4580" s="1">
        <f t="shared" si="213"/>
        <v>115.255</v>
      </c>
      <c r="M4580" t="str" cm="1">
        <f t="array" ref="M4580">_xlfn.IFS(B4580&lt;18,"Under 18",B4580 &lt;=25,"18-25",B4580&lt;=35,"26-35",B4580&lt;=45,"36-45",B4580&lt;=60,"46-60",TRUE,"60+")</f>
        <v>60+</v>
      </c>
      <c r="N4580" t="str">
        <f t="shared" si="214"/>
        <v>Discounted</v>
      </c>
      <c r="O4580" t="str">
        <f t="shared" si="215"/>
        <v>Returning</v>
      </c>
    </row>
    <row r="4581" spans="1:15" x14ac:dyDescent="0.25">
      <c r="A4581">
        <v>4580</v>
      </c>
      <c r="B4581">
        <v>23</v>
      </c>
      <c r="C4581" t="s">
        <v>11</v>
      </c>
      <c r="D4581" t="s">
        <v>41</v>
      </c>
      <c r="E4581" t="s">
        <v>45</v>
      </c>
      <c r="F4581" s="1">
        <v>139.63999999999999</v>
      </c>
      <c r="G4581" t="s">
        <v>31</v>
      </c>
      <c r="H4581" t="s">
        <v>15</v>
      </c>
      <c r="I4581" s="2">
        <v>3.2</v>
      </c>
      <c r="J4581" s="4">
        <v>13</v>
      </c>
      <c r="K4581" s="3">
        <v>4</v>
      </c>
      <c r="L4581" s="1">
        <f t="shared" si="213"/>
        <v>121.48679999999999</v>
      </c>
      <c r="M4581" t="str" cm="1">
        <f t="array" ref="M4581">_xlfn.IFS(B4581&lt;18,"Under 18",B4581 &lt;=25,"18-25",B4581&lt;=35,"26-35",B4581&lt;=45,"36-45",B4581&lt;=60,"46-60",TRUE,"60+")</f>
        <v>18-25</v>
      </c>
      <c r="N4581" t="str">
        <f t="shared" si="214"/>
        <v>Discounted</v>
      </c>
      <c r="O4581" t="str">
        <f t="shared" si="215"/>
        <v>Returning</v>
      </c>
    </row>
    <row r="4582" spans="1:15" x14ac:dyDescent="0.25">
      <c r="A4582">
        <v>4581</v>
      </c>
      <c r="B4582">
        <v>37</v>
      </c>
      <c r="C4582" t="s">
        <v>11</v>
      </c>
      <c r="D4582" t="s">
        <v>41</v>
      </c>
      <c r="E4582" t="s">
        <v>44</v>
      </c>
      <c r="F4582" s="1">
        <v>68.14</v>
      </c>
      <c r="G4582" t="s">
        <v>19</v>
      </c>
      <c r="H4582" t="s">
        <v>15</v>
      </c>
      <c r="I4582" s="2">
        <v>5</v>
      </c>
      <c r="J4582" s="4">
        <v>15</v>
      </c>
      <c r="K4582" s="3">
        <v>5</v>
      </c>
      <c r="L4582" s="1">
        <f t="shared" si="213"/>
        <v>57.918999999999997</v>
      </c>
      <c r="M4582" t="str" cm="1">
        <f t="array" ref="M4582">_xlfn.IFS(B4582&lt;18,"Under 18",B4582 &lt;=25,"18-25",B4582&lt;=35,"26-35",B4582&lt;=45,"36-45",B4582&lt;=60,"46-60",TRUE,"60+")</f>
        <v>36-45</v>
      </c>
      <c r="N4582" t="str">
        <f t="shared" si="214"/>
        <v>Discounted</v>
      </c>
      <c r="O4582" t="str">
        <f t="shared" si="215"/>
        <v>Returning</v>
      </c>
    </row>
    <row r="4583" spans="1:15" x14ac:dyDescent="0.25">
      <c r="A4583">
        <v>4582</v>
      </c>
      <c r="B4583">
        <v>46</v>
      </c>
      <c r="C4583" t="s">
        <v>11</v>
      </c>
      <c r="D4583" t="s">
        <v>29</v>
      </c>
      <c r="E4583" t="s">
        <v>55</v>
      </c>
      <c r="F4583" s="1">
        <v>90.16</v>
      </c>
      <c r="G4583" t="s">
        <v>14</v>
      </c>
      <c r="H4583" t="s">
        <v>37</v>
      </c>
      <c r="I4583" s="2">
        <v>3.4</v>
      </c>
      <c r="J4583" s="4">
        <v>8</v>
      </c>
      <c r="K4583" s="3">
        <v>4</v>
      </c>
      <c r="L4583" s="1">
        <f t="shared" si="213"/>
        <v>82.947199999999995</v>
      </c>
      <c r="M4583" t="str" cm="1">
        <f t="array" ref="M4583">_xlfn.IFS(B4583&lt;18,"Under 18",B4583 &lt;=25,"18-25",B4583&lt;=35,"26-35",B4583&lt;=45,"36-45",B4583&lt;=60,"46-60",TRUE,"60+")</f>
        <v>46-60</v>
      </c>
      <c r="N4583" t="str">
        <f t="shared" si="214"/>
        <v>Discounted</v>
      </c>
      <c r="O4583" t="str">
        <f t="shared" si="215"/>
        <v>Returning</v>
      </c>
    </row>
    <row r="4584" spans="1:15" x14ac:dyDescent="0.25">
      <c r="A4584">
        <v>4583</v>
      </c>
      <c r="B4584">
        <v>30</v>
      </c>
      <c r="C4584" t="s">
        <v>16</v>
      </c>
      <c r="D4584" t="s">
        <v>25</v>
      </c>
      <c r="E4584" t="s">
        <v>57</v>
      </c>
      <c r="F4584" s="1">
        <v>31.14</v>
      </c>
      <c r="G4584" t="s">
        <v>31</v>
      </c>
      <c r="H4584" t="s">
        <v>37</v>
      </c>
      <c r="I4584" s="2">
        <v>4.3</v>
      </c>
      <c r="J4584" s="4">
        <v>22</v>
      </c>
      <c r="K4584" s="3">
        <v>6</v>
      </c>
      <c r="L4584" s="1">
        <f t="shared" si="213"/>
        <v>24.289200000000001</v>
      </c>
      <c r="M4584" t="str" cm="1">
        <f t="array" ref="M4584">_xlfn.IFS(B4584&lt;18,"Under 18",B4584 &lt;=25,"18-25",B4584&lt;=35,"26-35",B4584&lt;=45,"36-45",B4584&lt;=60,"46-60",TRUE,"60+")</f>
        <v>26-35</v>
      </c>
      <c r="N4584" t="str">
        <f t="shared" si="214"/>
        <v>Discounted</v>
      </c>
      <c r="O4584" t="str">
        <f t="shared" si="215"/>
        <v>Returning</v>
      </c>
    </row>
    <row r="4585" spans="1:15" x14ac:dyDescent="0.25">
      <c r="A4585">
        <v>4584</v>
      </c>
      <c r="B4585">
        <v>40</v>
      </c>
      <c r="C4585" t="s">
        <v>11</v>
      </c>
      <c r="D4585" t="s">
        <v>29</v>
      </c>
      <c r="E4585" t="s">
        <v>30</v>
      </c>
      <c r="F4585" s="1">
        <v>58.36</v>
      </c>
      <c r="G4585" t="s">
        <v>24</v>
      </c>
      <c r="H4585" t="s">
        <v>37</v>
      </c>
      <c r="I4585" s="2">
        <v>3.4</v>
      </c>
      <c r="J4585" s="4">
        <v>16</v>
      </c>
      <c r="K4585" s="3">
        <v>3</v>
      </c>
      <c r="L4585" s="1">
        <f t="shared" si="213"/>
        <v>49.022399999999998</v>
      </c>
      <c r="M4585" t="str" cm="1">
        <f t="array" ref="M4585">_xlfn.IFS(B4585&lt;18,"Under 18",B4585 &lt;=25,"18-25",B4585&lt;=35,"26-35",B4585&lt;=45,"36-45",B4585&lt;=60,"46-60",TRUE,"60+")</f>
        <v>36-45</v>
      </c>
      <c r="N4585" t="str">
        <f t="shared" si="214"/>
        <v>Discounted</v>
      </c>
      <c r="O4585" t="str">
        <f t="shared" si="215"/>
        <v>Returning</v>
      </c>
    </row>
    <row r="4586" spans="1:15" x14ac:dyDescent="0.25">
      <c r="A4586">
        <v>4585</v>
      </c>
      <c r="B4586">
        <v>22</v>
      </c>
      <c r="C4586" t="s">
        <v>11</v>
      </c>
      <c r="D4586" t="s">
        <v>33</v>
      </c>
      <c r="E4586" t="s">
        <v>38</v>
      </c>
      <c r="F4586" s="1">
        <v>185.34</v>
      </c>
      <c r="G4586" t="s">
        <v>24</v>
      </c>
      <c r="H4586" t="s">
        <v>15</v>
      </c>
      <c r="I4586" s="2">
        <v>3.7</v>
      </c>
      <c r="J4586" s="4">
        <v>13</v>
      </c>
      <c r="K4586" s="3">
        <v>4</v>
      </c>
      <c r="L4586" s="1">
        <f t="shared" si="213"/>
        <v>161.2458</v>
      </c>
      <c r="M4586" t="str" cm="1">
        <f t="array" ref="M4586">_xlfn.IFS(B4586&lt;18,"Under 18",B4586 &lt;=25,"18-25",B4586&lt;=35,"26-35",B4586&lt;=45,"36-45",B4586&lt;=60,"46-60",TRUE,"60+")</f>
        <v>18-25</v>
      </c>
      <c r="N4586" t="str">
        <f t="shared" si="214"/>
        <v>Discounted</v>
      </c>
      <c r="O4586" t="str">
        <f t="shared" si="215"/>
        <v>Returning</v>
      </c>
    </row>
    <row r="4587" spans="1:15" x14ac:dyDescent="0.25">
      <c r="A4587">
        <v>4586</v>
      </c>
      <c r="B4587">
        <v>36</v>
      </c>
      <c r="C4587" t="s">
        <v>11</v>
      </c>
      <c r="D4587" t="s">
        <v>33</v>
      </c>
      <c r="E4587" t="s">
        <v>40</v>
      </c>
      <c r="F4587" s="1">
        <v>195.92</v>
      </c>
      <c r="G4587" t="s">
        <v>19</v>
      </c>
      <c r="H4587" t="s">
        <v>15</v>
      </c>
      <c r="I4587" s="2">
        <v>3.3</v>
      </c>
      <c r="J4587" s="4">
        <v>8</v>
      </c>
      <c r="K4587" s="3">
        <v>4</v>
      </c>
      <c r="L4587" s="1">
        <f t="shared" si="213"/>
        <v>180.24639999999999</v>
      </c>
      <c r="M4587" t="str" cm="1">
        <f t="array" ref="M4587">_xlfn.IFS(B4587&lt;18,"Under 18",B4587 &lt;=25,"18-25",B4587&lt;=35,"26-35",B4587&lt;=45,"36-45",B4587&lt;=60,"46-60",TRUE,"60+")</f>
        <v>36-45</v>
      </c>
      <c r="N4587" t="str">
        <f t="shared" si="214"/>
        <v>Discounted</v>
      </c>
      <c r="O4587" t="str">
        <f t="shared" si="215"/>
        <v>Returning</v>
      </c>
    </row>
    <row r="4588" spans="1:15" x14ac:dyDescent="0.25">
      <c r="A4588">
        <v>4587</v>
      </c>
      <c r="B4588">
        <v>37</v>
      </c>
      <c r="C4588" t="s">
        <v>11</v>
      </c>
      <c r="D4588" t="s">
        <v>29</v>
      </c>
      <c r="E4588" t="s">
        <v>55</v>
      </c>
      <c r="F4588" s="1">
        <v>126.73</v>
      </c>
      <c r="G4588" t="s">
        <v>31</v>
      </c>
      <c r="H4588" t="s">
        <v>15</v>
      </c>
      <c r="I4588" s="2">
        <v>4.4000000000000004</v>
      </c>
      <c r="J4588" s="4">
        <v>18</v>
      </c>
      <c r="K4588" s="3">
        <v>4</v>
      </c>
      <c r="L4588" s="1">
        <f t="shared" si="213"/>
        <v>103.91860000000001</v>
      </c>
      <c r="M4588" t="str" cm="1">
        <f t="array" ref="M4588">_xlfn.IFS(B4588&lt;18,"Under 18",B4588 &lt;=25,"18-25",B4588&lt;=35,"26-35",B4588&lt;=45,"36-45",B4588&lt;=60,"46-60",TRUE,"60+")</f>
        <v>36-45</v>
      </c>
      <c r="N4588" t="str">
        <f t="shared" si="214"/>
        <v>Discounted</v>
      </c>
      <c r="O4588" t="str">
        <f t="shared" si="215"/>
        <v>Returning</v>
      </c>
    </row>
    <row r="4589" spans="1:15" x14ac:dyDescent="0.25">
      <c r="A4589">
        <v>4588</v>
      </c>
      <c r="B4589">
        <v>36</v>
      </c>
      <c r="C4589" t="s">
        <v>16</v>
      </c>
      <c r="D4589" t="s">
        <v>20</v>
      </c>
      <c r="E4589" t="s">
        <v>39</v>
      </c>
      <c r="F4589" s="1">
        <v>57.52</v>
      </c>
      <c r="G4589" t="s">
        <v>24</v>
      </c>
      <c r="H4589" t="s">
        <v>37</v>
      </c>
      <c r="I4589" s="2">
        <v>3.6</v>
      </c>
      <c r="J4589" s="4">
        <v>17</v>
      </c>
      <c r="K4589" s="3">
        <v>6</v>
      </c>
      <c r="L4589" s="1">
        <f t="shared" si="213"/>
        <v>47.741599999999998</v>
      </c>
      <c r="M4589" t="str" cm="1">
        <f t="array" ref="M4589">_xlfn.IFS(B4589&lt;18,"Under 18",B4589 &lt;=25,"18-25",B4589&lt;=35,"26-35",B4589&lt;=45,"36-45",B4589&lt;=60,"46-60",TRUE,"60+")</f>
        <v>36-45</v>
      </c>
      <c r="N4589" t="str">
        <f t="shared" si="214"/>
        <v>Discounted</v>
      </c>
      <c r="O4589" t="str">
        <f t="shared" si="215"/>
        <v>Returning</v>
      </c>
    </row>
    <row r="4590" spans="1:15" x14ac:dyDescent="0.25">
      <c r="A4590">
        <v>4589</v>
      </c>
      <c r="B4590">
        <v>63</v>
      </c>
      <c r="C4590" t="s">
        <v>11</v>
      </c>
      <c r="D4590" t="s">
        <v>20</v>
      </c>
      <c r="E4590" t="s">
        <v>36</v>
      </c>
      <c r="F4590" s="1">
        <v>50.03</v>
      </c>
      <c r="G4590" t="s">
        <v>31</v>
      </c>
      <c r="H4590" t="s">
        <v>37</v>
      </c>
      <c r="I4590" s="2">
        <v>4.9000000000000004</v>
      </c>
      <c r="J4590" s="4">
        <v>13</v>
      </c>
      <c r="K4590" s="3">
        <v>4</v>
      </c>
      <c r="L4590" s="1">
        <f t="shared" si="213"/>
        <v>43.5261</v>
      </c>
      <c r="M4590" t="str" cm="1">
        <f t="array" ref="M4590">_xlfn.IFS(B4590&lt;18,"Under 18",B4590 &lt;=25,"18-25",B4590&lt;=35,"26-35",B4590&lt;=45,"36-45",B4590&lt;=60,"46-60",TRUE,"60+")</f>
        <v>60+</v>
      </c>
      <c r="N4590" t="str">
        <f t="shared" si="214"/>
        <v>Discounted</v>
      </c>
      <c r="O4590" t="str">
        <f t="shared" si="215"/>
        <v>Returning</v>
      </c>
    </row>
    <row r="4591" spans="1:15" x14ac:dyDescent="0.25">
      <c r="A4591">
        <v>4590</v>
      </c>
      <c r="B4591">
        <v>55</v>
      </c>
      <c r="C4591" t="s">
        <v>16</v>
      </c>
      <c r="D4591" t="s">
        <v>33</v>
      </c>
      <c r="E4591" t="s">
        <v>34</v>
      </c>
      <c r="F4591" s="1">
        <v>127.27</v>
      </c>
      <c r="G4591" t="s">
        <v>19</v>
      </c>
      <c r="H4591" t="s">
        <v>15</v>
      </c>
      <c r="I4591" s="2">
        <v>3.8</v>
      </c>
      <c r="J4591" s="4">
        <v>17</v>
      </c>
      <c r="K4591" s="3">
        <v>6</v>
      </c>
      <c r="L4591" s="1">
        <f t="shared" si="213"/>
        <v>105.63409999999999</v>
      </c>
      <c r="M4591" t="str" cm="1">
        <f t="array" ref="M4591">_xlfn.IFS(B4591&lt;18,"Under 18",B4591 &lt;=25,"18-25",B4591&lt;=35,"26-35",B4591&lt;=45,"36-45",B4591&lt;=60,"46-60",TRUE,"60+")</f>
        <v>46-60</v>
      </c>
      <c r="N4591" t="str">
        <f t="shared" si="214"/>
        <v>Discounted</v>
      </c>
      <c r="O4591" t="str">
        <f t="shared" si="215"/>
        <v>Returning</v>
      </c>
    </row>
    <row r="4592" spans="1:15" x14ac:dyDescent="0.25">
      <c r="A4592">
        <v>4591</v>
      </c>
      <c r="B4592">
        <v>59</v>
      </c>
      <c r="C4592" t="s">
        <v>16</v>
      </c>
      <c r="D4592" t="s">
        <v>33</v>
      </c>
      <c r="E4592" t="s">
        <v>38</v>
      </c>
      <c r="F4592" s="1">
        <v>146.82</v>
      </c>
      <c r="G4592" t="s">
        <v>14</v>
      </c>
      <c r="H4592" t="s">
        <v>15</v>
      </c>
      <c r="I4592" s="2">
        <v>2.8</v>
      </c>
      <c r="J4592" s="4">
        <v>9</v>
      </c>
      <c r="K4592" s="3">
        <v>2</v>
      </c>
      <c r="L4592" s="1">
        <f t="shared" si="213"/>
        <v>133.6062</v>
      </c>
      <c r="M4592" t="str" cm="1">
        <f t="array" ref="M4592">_xlfn.IFS(B4592&lt;18,"Under 18",B4592 &lt;=25,"18-25",B4592&lt;=35,"26-35",B4592&lt;=45,"36-45",B4592&lt;=60,"46-60",TRUE,"60+")</f>
        <v>46-60</v>
      </c>
      <c r="N4592" t="str">
        <f t="shared" si="214"/>
        <v>Discounted</v>
      </c>
      <c r="O4592" t="str">
        <f t="shared" si="215"/>
        <v>Returning</v>
      </c>
    </row>
    <row r="4593" spans="1:15" x14ac:dyDescent="0.25">
      <c r="A4593">
        <v>4592</v>
      </c>
      <c r="B4593">
        <v>27</v>
      </c>
      <c r="C4593" t="s">
        <v>16</v>
      </c>
      <c r="D4593" t="s">
        <v>27</v>
      </c>
      <c r="E4593" t="s">
        <v>53</v>
      </c>
      <c r="F4593" s="1">
        <v>1476.44</v>
      </c>
      <c r="G4593" t="s">
        <v>14</v>
      </c>
      <c r="H4593" t="s">
        <v>15</v>
      </c>
      <c r="I4593" s="2">
        <v>5</v>
      </c>
      <c r="J4593" s="4">
        <v>16</v>
      </c>
      <c r="K4593" s="3">
        <v>3</v>
      </c>
      <c r="L4593" s="1">
        <f t="shared" si="213"/>
        <v>1240.2095999999999</v>
      </c>
      <c r="M4593" t="str" cm="1">
        <f t="array" ref="M4593">_xlfn.IFS(B4593&lt;18,"Under 18",B4593 &lt;=25,"18-25",B4593&lt;=35,"26-35",B4593&lt;=45,"36-45",B4593&lt;=60,"46-60",TRUE,"60+")</f>
        <v>26-35</v>
      </c>
      <c r="N4593" t="str">
        <f t="shared" si="214"/>
        <v>Discounted</v>
      </c>
      <c r="O4593" t="str">
        <f t="shared" si="215"/>
        <v>Returning</v>
      </c>
    </row>
    <row r="4594" spans="1:15" x14ac:dyDescent="0.25">
      <c r="A4594">
        <v>4593</v>
      </c>
      <c r="B4594">
        <v>40</v>
      </c>
      <c r="C4594" t="s">
        <v>11</v>
      </c>
      <c r="D4594" t="s">
        <v>22</v>
      </c>
      <c r="E4594" t="s">
        <v>52</v>
      </c>
      <c r="F4594" s="1">
        <v>67.92</v>
      </c>
      <c r="G4594" t="s">
        <v>19</v>
      </c>
      <c r="H4594" t="s">
        <v>15</v>
      </c>
      <c r="I4594" s="2">
        <v>4.5999999999999996</v>
      </c>
      <c r="J4594" s="4">
        <v>12</v>
      </c>
      <c r="K4594" s="3">
        <v>6</v>
      </c>
      <c r="L4594" s="1">
        <f t="shared" si="213"/>
        <v>59.769600000000004</v>
      </c>
      <c r="M4594" t="str" cm="1">
        <f t="array" ref="M4594">_xlfn.IFS(B4594&lt;18,"Under 18",B4594 &lt;=25,"18-25",B4594&lt;=35,"26-35",B4594&lt;=45,"36-45",B4594&lt;=60,"46-60",TRUE,"60+")</f>
        <v>36-45</v>
      </c>
      <c r="N4594" t="str">
        <f t="shared" si="214"/>
        <v>Discounted</v>
      </c>
      <c r="O4594" t="str">
        <f t="shared" si="215"/>
        <v>Returning</v>
      </c>
    </row>
    <row r="4595" spans="1:15" x14ac:dyDescent="0.25">
      <c r="A4595">
        <v>4594</v>
      </c>
      <c r="B4595">
        <v>45</v>
      </c>
      <c r="C4595" t="s">
        <v>11</v>
      </c>
      <c r="D4595" t="s">
        <v>29</v>
      </c>
      <c r="E4595" t="s">
        <v>55</v>
      </c>
      <c r="F4595" s="1">
        <v>78.650000000000006</v>
      </c>
      <c r="G4595" t="s">
        <v>24</v>
      </c>
      <c r="H4595" t="s">
        <v>37</v>
      </c>
      <c r="I4595" s="2">
        <v>3.6</v>
      </c>
      <c r="J4595" s="4">
        <v>18</v>
      </c>
      <c r="K4595" s="3">
        <v>4</v>
      </c>
      <c r="L4595" s="1">
        <f t="shared" si="213"/>
        <v>64.493000000000009</v>
      </c>
      <c r="M4595" t="str" cm="1">
        <f t="array" ref="M4595">_xlfn.IFS(B4595&lt;18,"Under 18",B4595 &lt;=25,"18-25",B4595&lt;=35,"26-35",B4595&lt;=45,"36-45",B4595&lt;=60,"46-60",TRUE,"60+")</f>
        <v>36-45</v>
      </c>
      <c r="N4595" t="str">
        <f t="shared" si="214"/>
        <v>Discounted</v>
      </c>
      <c r="O4595" t="str">
        <f t="shared" si="215"/>
        <v>Returning</v>
      </c>
    </row>
    <row r="4596" spans="1:15" x14ac:dyDescent="0.25">
      <c r="A4596">
        <v>4595</v>
      </c>
      <c r="B4596">
        <v>64</v>
      </c>
      <c r="C4596" t="s">
        <v>16</v>
      </c>
      <c r="D4596" t="s">
        <v>17</v>
      </c>
      <c r="E4596" t="s">
        <v>48</v>
      </c>
      <c r="F4596" s="1">
        <v>158.12</v>
      </c>
      <c r="G4596" t="s">
        <v>31</v>
      </c>
      <c r="H4596" t="s">
        <v>15</v>
      </c>
      <c r="I4596" s="2">
        <v>3.9</v>
      </c>
      <c r="J4596" s="4">
        <v>4</v>
      </c>
      <c r="K4596" s="3">
        <v>2</v>
      </c>
      <c r="L4596" s="1">
        <f t="shared" si="213"/>
        <v>151.79519999999999</v>
      </c>
      <c r="M4596" t="str" cm="1">
        <f t="array" ref="M4596">_xlfn.IFS(B4596&lt;18,"Under 18",B4596 &lt;=25,"18-25",B4596&lt;=35,"26-35",B4596&lt;=45,"36-45",B4596&lt;=60,"46-60",TRUE,"60+")</f>
        <v>60+</v>
      </c>
      <c r="N4596" t="str">
        <f t="shared" si="214"/>
        <v>Discounted</v>
      </c>
      <c r="O4596" t="str">
        <f t="shared" si="215"/>
        <v>Returning</v>
      </c>
    </row>
    <row r="4597" spans="1:15" x14ac:dyDescent="0.25">
      <c r="A4597">
        <v>4596</v>
      </c>
      <c r="B4597">
        <v>44</v>
      </c>
      <c r="C4597" t="s">
        <v>11</v>
      </c>
      <c r="D4597" t="s">
        <v>12</v>
      </c>
      <c r="E4597" t="s">
        <v>50</v>
      </c>
      <c r="F4597" s="1">
        <v>92.21</v>
      </c>
      <c r="G4597" t="s">
        <v>19</v>
      </c>
      <c r="H4597" t="s">
        <v>15</v>
      </c>
      <c r="I4597" s="2">
        <v>2.9</v>
      </c>
      <c r="J4597" s="4">
        <v>15</v>
      </c>
      <c r="K4597" s="3">
        <v>5</v>
      </c>
      <c r="L4597" s="1">
        <f t="shared" si="213"/>
        <v>78.378499999999988</v>
      </c>
      <c r="M4597" t="str" cm="1">
        <f t="array" ref="M4597">_xlfn.IFS(B4597&lt;18,"Under 18",B4597 &lt;=25,"18-25",B4597&lt;=35,"26-35",B4597&lt;=45,"36-45",B4597&lt;=60,"46-60",TRUE,"60+")</f>
        <v>36-45</v>
      </c>
      <c r="N4597" t="str">
        <f t="shared" si="214"/>
        <v>Discounted</v>
      </c>
      <c r="O4597" t="str">
        <f t="shared" si="215"/>
        <v>Returning</v>
      </c>
    </row>
    <row r="4598" spans="1:15" x14ac:dyDescent="0.25">
      <c r="A4598">
        <v>4597</v>
      </c>
      <c r="B4598">
        <v>27</v>
      </c>
      <c r="C4598" t="s">
        <v>16</v>
      </c>
      <c r="D4598" t="s">
        <v>17</v>
      </c>
      <c r="E4598" t="s">
        <v>18</v>
      </c>
      <c r="F4598" s="1">
        <v>86.53</v>
      </c>
      <c r="G4598" t="s">
        <v>24</v>
      </c>
      <c r="H4598" t="s">
        <v>15</v>
      </c>
      <c r="I4598" s="2">
        <v>4.0999999999999996</v>
      </c>
      <c r="J4598" s="4">
        <v>5</v>
      </c>
      <c r="K4598" s="3">
        <v>0</v>
      </c>
      <c r="L4598" s="1">
        <f t="shared" si="213"/>
        <v>82.203499999999991</v>
      </c>
      <c r="M4598" t="str" cm="1">
        <f t="array" ref="M4598">_xlfn.IFS(B4598&lt;18,"Under 18",B4598 &lt;=25,"18-25",B4598&lt;=35,"26-35",B4598&lt;=45,"36-45",B4598&lt;=60,"46-60",TRUE,"60+")</f>
        <v>26-35</v>
      </c>
      <c r="N4598" t="str">
        <f t="shared" si="214"/>
        <v>Discounted</v>
      </c>
      <c r="O4598" t="str">
        <f t="shared" si="215"/>
        <v>New</v>
      </c>
    </row>
    <row r="4599" spans="1:15" x14ac:dyDescent="0.25">
      <c r="A4599">
        <v>4598</v>
      </c>
      <c r="B4599">
        <v>64</v>
      </c>
      <c r="C4599" t="s">
        <v>11</v>
      </c>
      <c r="D4599" t="s">
        <v>33</v>
      </c>
      <c r="E4599" t="s">
        <v>34</v>
      </c>
      <c r="F4599" s="1">
        <v>233.47</v>
      </c>
      <c r="G4599" t="s">
        <v>14</v>
      </c>
      <c r="H4599" t="s">
        <v>15</v>
      </c>
      <c r="I4599" s="2">
        <v>4.8</v>
      </c>
      <c r="J4599" s="4">
        <v>6</v>
      </c>
      <c r="K4599" s="3">
        <v>3</v>
      </c>
      <c r="L4599" s="1">
        <f t="shared" si="213"/>
        <v>219.46179999999998</v>
      </c>
      <c r="M4599" t="str" cm="1">
        <f t="array" ref="M4599">_xlfn.IFS(B4599&lt;18,"Under 18",B4599 &lt;=25,"18-25",B4599&lt;=35,"26-35",B4599&lt;=45,"36-45",B4599&lt;=60,"46-60",TRUE,"60+")</f>
        <v>60+</v>
      </c>
      <c r="N4599" t="str">
        <f t="shared" si="214"/>
        <v>Discounted</v>
      </c>
      <c r="O4599" t="str">
        <f t="shared" si="215"/>
        <v>Returning</v>
      </c>
    </row>
    <row r="4600" spans="1:15" x14ac:dyDescent="0.25">
      <c r="A4600">
        <v>4599</v>
      </c>
      <c r="B4600">
        <v>60</v>
      </c>
      <c r="C4600" t="s">
        <v>16</v>
      </c>
      <c r="D4600" t="s">
        <v>22</v>
      </c>
      <c r="E4600" t="s">
        <v>43</v>
      </c>
      <c r="F4600" s="1">
        <v>82.83</v>
      </c>
      <c r="G4600" t="s">
        <v>19</v>
      </c>
      <c r="H4600" t="s">
        <v>37</v>
      </c>
      <c r="I4600" s="2">
        <v>3.6</v>
      </c>
      <c r="J4600" s="4">
        <v>21</v>
      </c>
      <c r="K4600" s="3">
        <v>8</v>
      </c>
      <c r="L4600" s="1">
        <f t="shared" si="213"/>
        <v>65.435699999999997</v>
      </c>
      <c r="M4600" t="str" cm="1">
        <f t="array" ref="M4600">_xlfn.IFS(B4600&lt;18,"Under 18",B4600 &lt;=25,"18-25",B4600&lt;=35,"26-35",B4600&lt;=45,"36-45",B4600&lt;=60,"46-60",TRUE,"60+")</f>
        <v>46-60</v>
      </c>
      <c r="N4600" t="str">
        <f t="shared" si="214"/>
        <v>Discounted</v>
      </c>
      <c r="O4600" t="str">
        <f t="shared" si="215"/>
        <v>Returning</v>
      </c>
    </row>
    <row r="4601" spans="1:15" x14ac:dyDescent="0.25">
      <c r="A4601">
        <v>4600</v>
      </c>
      <c r="B4601">
        <v>60</v>
      </c>
      <c r="C4601" t="s">
        <v>11</v>
      </c>
      <c r="D4601" t="s">
        <v>20</v>
      </c>
      <c r="E4601" t="s">
        <v>21</v>
      </c>
      <c r="F4601" s="1">
        <v>217.78</v>
      </c>
      <c r="G4601" t="s">
        <v>24</v>
      </c>
      <c r="H4601" t="s">
        <v>15</v>
      </c>
      <c r="I4601" s="2">
        <v>4.8</v>
      </c>
      <c r="J4601" s="4">
        <v>18</v>
      </c>
      <c r="K4601" s="3">
        <v>4</v>
      </c>
      <c r="L4601" s="1">
        <f t="shared" si="213"/>
        <v>178.57960000000003</v>
      </c>
      <c r="M4601" t="str" cm="1">
        <f t="array" ref="M4601">_xlfn.IFS(B4601&lt;18,"Under 18",B4601 &lt;=25,"18-25",B4601&lt;=35,"26-35",B4601&lt;=45,"36-45",B4601&lt;=60,"46-60",TRUE,"60+")</f>
        <v>46-60</v>
      </c>
      <c r="N4601" t="str">
        <f t="shared" si="214"/>
        <v>Discounted</v>
      </c>
      <c r="O4601" t="str">
        <f t="shared" si="215"/>
        <v>Returning</v>
      </c>
    </row>
    <row r="4602" spans="1:15" x14ac:dyDescent="0.25">
      <c r="A4602">
        <v>4601</v>
      </c>
      <c r="B4602">
        <v>68</v>
      </c>
      <c r="C4602" t="s">
        <v>11</v>
      </c>
      <c r="D4602" t="s">
        <v>33</v>
      </c>
      <c r="E4602" t="s">
        <v>40</v>
      </c>
      <c r="F4602" s="1">
        <v>69.89</v>
      </c>
      <c r="G4602" t="s">
        <v>14</v>
      </c>
      <c r="H4602" t="s">
        <v>37</v>
      </c>
      <c r="I4602" s="2">
        <v>3.9</v>
      </c>
      <c r="J4602" s="4">
        <v>9</v>
      </c>
      <c r="K4602" s="3">
        <v>2</v>
      </c>
      <c r="L4602" s="1">
        <f t="shared" si="213"/>
        <v>63.599900000000005</v>
      </c>
      <c r="M4602" t="str" cm="1">
        <f t="array" ref="M4602">_xlfn.IFS(B4602&lt;18,"Under 18",B4602 &lt;=25,"18-25",B4602&lt;=35,"26-35",B4602&lt;=45,"36-45",B4602&lt;=60,"46-60",TRUE,"60+")</f>
        <v>60+</v>
      </c>
      <c r="N4602" t="str">
        <f t="shared" si="214"/>
        <v>Discounted</v>
      </c>
      <c r="O4602" t="str">
        <f t="shared" si="215"/>
        <v>Returning</v>
      </c>
    </row>
    <row r="4603" spans="1:15" x14ac:dyDescent="0.25">
      <c r="A4603">
        <v>4602</v>
      </c>
      <c r="B4603">
        <v>23</v>
      </c>
      <c r="C4603" t="s">
        <v>11</v>
      </c>
      <c r="D4603" t="s">
        <v>29</v>
      </c>
      <c r="E4603" t="s">
        <v>30</v>
      </c>
      <c r="F4603" s="1">
        <v>86.48</v>
      </c>
      <c r="G4603" t="s">
        <v>24</v>
      </c>
      <c r="H4603" t="s">
        <v>15</v>
      </c>
      <c r="I4603" s="2">
        <v>4.3</v>
      </c>
      <c r="J4603" s="4">
        <v>13</v>
      </c>
      <c r="K4603" s="3">
        <v>4</v>
      </c>
      <c r="L4603" s="1">
        <f t="shared" si="213"/>
        <v>75.2376</v>
      </c>
      <c r="M4603" t="str" cm="1">
        <f t="array" ref="M4603">_xlfn.IFS(B4603&lt;18,"Under 18",B4603 &lt;=25,"18-25",B4603&lt;=35,"26-35",B4603&lt;=45,"36-45",B4603&lt;=60,"46-60",TRUE,"60+")</f>
        <v>18-25</v>
      </c>
      <c r="N4603" t="str">
        <f t="shared" si="214"/>
        <v>Discounted</v>
      </c>
      <c r="O4603" t="str">
        <f t="shared" si="215"/>
        <v>Returning</v>
      </c>
    </row>
    <row r="4604" spans="1:15" x14ac:dyDescent="0.25">
      <c r="A4604">
        <v>4603</v>
      </c>
      <c r="B4604">
        <v>63</v>
      </c>
      <c r="C4604" t="s">
        <v>16</v>
      </c>
      <c r="D4604" t="s">
        <v>20</v>
      </c>
      <c r="E4604" t="s">
        <v>36</v>
      </c>
      <c r="F4604" s="1">
        <v>29.89</v>
      </c>
      <c r="G4604" t="s">
        <v>14</v>
      </c>
      <c r="H4604" t="s">
        <v>37</v>
      </c>
      <c r="I4604" s="2">
        <v>3.9</v>
      </c>
      <c r="J4604" s="4">
        <v>14</v>
      </c>
      <c r="K4604" s="3">
        <v>7</v>
      </c>
      <c r="L4604" s="1">
        <f t="shared" si="213"/>
        <v>25.705400000000001</v>
      </c>
      <c r="M4604" t="str" cm="1">
        <f t="array" ref="M4604">_xlfn.IFS(B4604&lt;18,"Under 18",B4604 &lt;=25,"18-25",B4604&lt;=35,"26-35",B4604&lt;=45,"36-45",B4604&lt;=60,"46-60",TRUE,"60+")</f>
        <v>60+</v>
      </c>
      <c r="N4604" t="str">
        <f t="shared" si="214"/>
        <v>Discounted</v>
      </c>
      <c r="O4604" t="str">
        <f t="shared" si="215"/>
        <v>Returning</v>
      </c>
    </row>
    <row r="4605" spans="1:15" x14ac:dyDescent="0.25">
      <c r="A4605">
        <v>4604</v>
      </c>
      <c r="B4605">
        <v>25</v>
      </c>
      <c r="C4605" t="s">
        <v>16</v>
      </c>
      <c r="D4605" t="s">
        <v>20</v>
      </c>
      <c r="E4605" t="s">
        <v>39</v>
      </c>
      <c r="F4605" s="1">
        <v>30.91</v>
      </c>
      <c r="G4605" t="s">
        <v>14</v>
      </c>
      <c r="H4605" t="s">
        <v>37</v>
      </c>
      <c r="I4605" s="2">
        <v>3.9</v>
      </c>
      <c r="J4605" s="4">
        <v>22</v>
      </c>
      <c r="K4605" s="3">
        <v>6</v>
      </c>
      <c r="L4605" s="1">
        <f t="shared" si="213"/>
        <v>24.1098</v>
      </c>
      <c r="M4605" t="str" cm="1">
        <f t="array" ref="M4605">_xlfn.IFS(B4605&lt;18,"Under 18",B4605 &lt;=25,"18-25",B4605&lt;=35,"26-35",B4605&lt;=45,"36-45",B4605&lt;=60,"46-60",TRUE,"60+")</f>
        <v>18-25</v>
      </c>
      <c r="N4605" t="str">
        <f t="shared" si="214"/>
        <v>Discounted</v>
      </c>
      <c r="O4605" t="str">
        <f t="shared" si="215"/>
        <v>Returning</v>
      </c>
    </row>
    <row r="4606" spans="1:15" x14ac:dyDescent="0.25">
      <c r="A4606">
        <v>4605</v>
      </c>
      <c r="B4606">
        <v>44</v>
      </c>
      <c r="C4606" t="s">
        <v>11</v>
      </c>
      <c r="D4606" t="s">
        <v>29</v>
      </c>
      <c r="E4606" t="s">
        <v>55</v>
      </c>
      <c r="F4606" s="1">
        <v>138.36000000000001</v>
      </c>
      <c r="G4606" t="s">
        <v>24</v>
      </c>
      <c r="H4606" t="s">
        <v>15</v>
      </c>
      <c r="I4606" s="2">
        <v>4.4000000000000004</v>
      </c>
      <c r="J4606" s="4">
        <v>16</v>
      </c>
      <c r="K4606" s="3">
        <v>3</v>
      </c>
      <c r="L4606" s="1">
        <f t="shared" si="213"/>
        <v>116.22240000000001</v>
      </c>
      <c r="M4606" t="str" cm="1">
        <f t="array" ref="M4606">_xlfn.IFS(B4606&lt;18,"Under 18",B4606 &lt;=25,"18-25",B4606&lt;=35,"26-35",B4606&lt;=45,"36-45",B4606&lt;=60,"46-60",TRUE,"60+")</f>
        <v>36-45</v>
      </c>
      <c r="N4606" t="str">
        <f t="shared" si="214"/>
        <v>Discounted</v>
      </c>
      <c r="O4606" t="str">
        <f t="shared" si="215"/>
        <v>Returning</v>
      </c>
    </row>
    <row r="4607" spans="1:15" x14ac:dyDescent="0.25">
      <c r="A4607">
        <v>4606</v>
      </c>
      <c r="B4607">
        <v>48</v>
      </c>
      <c r="C4607" t="s">
        <v>11</v>
      </c>
      <c r="D4607" t="s">
        <v>41</v>
      </c>
      <c r="E4607" t="s">
        <v>46</v>
      </c>
      <c r="F4607" s="1">
        <v>42.2</v>
      </c>
      <c r="G4607" t="s">
        <v>24</v>
      </c>
      <c r="H4607" t="s">
        <v>37</v>
      </c>
      <c r="I4607" s="2">
        <v>3.1</v>
      </c>
      <c r="J4607" s="4">
        <v>16</v>
      </c>
      <c r="K4607" s="3">
        <v>3</v>
      </c>
      <c r="L4607" s="1">
        <f t="shared" si="213"/>
        <v>35.448</v>
      </c>
      <c r="M4607" t="str" cm="1">
        <f t="array" ref="M4607">_xlfn.IFS(B4607&lt;18,"Under 18",B4607 &lt;=25,"18-25",B4607&lt;=35,"26-35",B4607&lt;=45,"36-45",B4607&lt;=60,"46-60",TRUE,"60+")</f>
        <v>46-60</v>
      </c>
      <c r="N4607" t="str">
        <f t="shared" si="214"/>
        <v>Discounted</v>
      </c>
      <c r="O4607" t="str">
        <f t="shared" si="215"/>
        <v>Returning</v>
      </c>
    </row>
    <row r="4608" spans="1:15" x14ac:dyDescent="0.25">
      <c r="A4608">
        <v>4607</v>
      </c>
      <c r="B4608">
        <v>30</v>
      </c>
      <c r="C4608" t="s">
        <v>11</v>
      </c>
      <c r="D4608" t="s">
        <v>41</v>
      </c>
      <c r="E4608" t="s">
        <v>46</v>
      </c>
      <c r="F4608" s="1">
        <v>137.13</v>
      </c>
      <c r="G4608" t="s">
        <v>31</v>
      </c>
      <c r="H4608" t="s">
        <v>15</v>
      </c>
      <c r="I4608" s="2">
        <v>4.4000000000000004</v>
      </c>
      <c r="J4608" s="4">
        <v>16</v>
      </c>
      <c r="K4608" s="3">
        <v>3</v>
      </c>
      <c r="L4608" s="1">
        <f t="shared" si="213"/>
        <v>115.18919999999999</v>
      </c>
      <c r="M4608" t="str" cm="1">
        <f t="array" ref="M4608">_xlfn.IFS(B4608&lt;18,"Under 18",B4608 &lt;=25,"18-25",B4608&lt;=35,"26-35",B4608&lt;=45,"36-45",B4608&lt;=60,"46-60",TRUE,"60+")</f>
        <v>26-35</v>
      </c>
      <c r="N4608" t="str">
        <f t="shared" si="214"/>
        <v>Discounted</v>
      </c>
      <c r="O4608" t="str">
        <f t="shared" si="215"/>
        <v>Returning</v>
      </c>
    </row>
    <row r="4609" spans="1:15" x14ac:dyDescent="0.25">
      <c r="A4609">
        <v>4608</v>
      </c>
      <c r="B4609">
        <v>24</v>
      </c>
      <c r="C4609" t="s">
        <v>16</v>
      </c>
      <c r="D4609" t="s">
        <v>22</v>
      </c>
      <c r="E4609" t="s">
        <v>23</v>
      </c>
      <c r="F4609" s="1">
        <v>232.57</v>
      </c>
      <c r="G4609" t="s">
        <v>31</v>
      </c>
      <c r="H4609" t="s">
        <v>15</v>
      </c>
      <c r="I4609" s="2">
        <v>3.6</v>
      </c>
      <c r="J4609" s="4">
        <v>26</v>
      </c>
      <c r="K4609" s="3">
        <v>8</v>
      </c>
      <c r="L4609" s="1">
        <f t="shared" si="213"/>
        <v>172.1018</v>
      </c>
      <c r="M4609" t="str" cm="1">
        <f t="array" ref="M4609">_xlfn.IFS(B4609&lt;18,"Under 18",B4609 &lt;=25,"18-25",B4609&lt;=35,"26-35",B4609&lt;=45,"36-45",B4609&lt;=60,"46-60",TRUE,"60+")</f>
        <v>18-25</v>
      </c>
      <c r="N4609" t="str">
        <f t="shared" si="214"/>
        <v>Discounted</v>
      </c>
      <c r="O4609" t="str">
        <f t="shared" si="215"/>
        <v>Returning</v>
      </c>
    </row>
    <row r="4610" spans="1:15" x14ac:dyDescent="0.25">
      <c r="A4610">
        <v>4609</v>
      </c>
      <c r="B4610">
        <v>25</v>
      </c>
      <c r="C4610" t="s">
        <v>11</v>
      </c>
      <c r="D4610" t="s">
        <v>12</v>
      </c>
      <c r="E4610" t="s">
        <v>13</v>
      </c>
      <c r="F4610" s="1">
        <v>22.59</v>
      </c>
      <c r="G4610" t="s">
        <v>24</v>
      </c>
      <c r="H4610" t="s">
        <v>37</v>
      </c>
      <c r="I4610" s="2">
        <v>2.9</v>
      </c>
      <c r="J4610" s="4">
        <v>12</v>
      </c>
      <c r="K4610" s="3">
        <v>6</v>
      </c>
      <c r="L4610" s="1">
        <f t="shared" si="213"/>
        <v>19.879200000000001</v>
      </c>
      <c r="M4610" t="str" cm="1">
        <f t="array" ref="M4610">_xlfn.IFS(B4610&lt;18,"Under 18",B4610 &lt;=25,"18-25",B4610&lt;=35,"26-35",B4610&lt;=45,"36-45",B4610&lt;=60,"46-60",TRUE,"60+")</f>
        <v>18-25</v>
      </c>
      <c r="N4610" t="str">
        <f t="shared" si="214"/>
        <v>Discounted</v>
      </c>
      <c r="O4610" t="str">
        <f t="shared" si="215"/>
        <v>Returning</v>
      </c>
    </row>
    <row r="4611" spans="1:15" x14ac:dyDescent="0.25">
      <c r="A4611">
        <v>4610</v>
      </c>
      <c r="B4611">
        <v>50</v>
      </c>
      <c r="C4611" t="s">
        <v>16</v>
      </c>
      <c r="D4611" t="s">
        <v>27</v>
      </c>
      <c r="E4611" t="s">
        <v>32</v>
      </c>
      <c r="F4611" s="1">
        <v>2642.49</v>
      </c>
      <c r="G4611" t="s">
        <v>24</v>
      </c>
      <c r="H4611" t="s">
        <v>15</v>
      </c>
      <c r="I4611" s="2">
        <v>3.5</v>
      </c>
      <c r="J4611" s="4">
        <v>20</v>
      </c>
      <c r="K4611" s="3">
        <v>5</v>
      </c>
      <c r="L4611" s="1">
        <f t="shared" ref="L4611:L4674" si="216">F4611 * (1 - J4611 / 100)</f>
        <v>2113.9919999999997</v>
      </c>
      <c r="M4611" t="str" cm="1">
        <f t="array" ref="M4611">_xlfn.IFS(B4611&lt;18,"Under 18",B4611 &lt;=25,"18-25",B4611&lt;=35,"26-35",B4611&lt;=45,"36-45",B4611&lt;=60,"46-60",TRUE,"60+")</f>
        <v>46-60</v>
      </c>
      <c r="N4611" t="str">
        <f t="shared" ref="N4611:N4674" si="217">IF(J4611&gt;0,"Discounted","No Discount")</f>
        <v>Discounted</v>
      </c>
      <c r="O4611" t="str">
        <f t="shared" ref="O4611:O4674" si="218">IF(K4611&gt;0,"Returning","New")</f>
        <v>Returning</v>
      </c>
    </row>
    <row r="4612" spans="1:15" x14ac:dyDescent="0.25">
      <c r="A4612">
        <v>4611</v>
      </c>
      <c r="B4612">
        <v>64</v>
      </c>
      <c r="C4612" t="s">
        <v>11</v>
      </c>
      <c r="D4612" t="s">
        <v>29</v>
      </c>
      <c r="E4612" t="s">
        <v>55</v>
      </c>
      <c r="F4612" s="1">
        <v>103.84</v>
      </c>
      <c r="G4612" t="s">
        <v>19</v>
      </c>
      <c r="H4612" t="s">
        <v>15</v>
      </c>
      <c r="I4612" s="2">
        <v>4.3</v>
      </c>
      <c r="J4612" s="4">
        <v>14</v>
      </c>
      <c r="K4612" s="3">
        <v>7</v>
      </c>
      <c r="L4612" s="1">
        <f t="shared" si="216"/>
        <v>89.302400000000006</v>
      </c>
      <c r="M4612" t="str" cm="1">
        <f t="array" ref="M4612">_xlfn.IFS(B4612&lt;18,"Under 18",B4612 &lt;=25,"18-25",B4612&lt;=35,"26-35",B4612&lt;=45,"36-45",B4612&lt;=60,"46-60",TRUE,"60+")</f>
        <v>60+</v>
      </c>
      <c r="N4612" t="str">
        <f t="shared" si="217"/>
        <v>Discounted</v>
      </c>
      <c r="O4612" t="str">
        <f t="shared" si="218"/>
        <v>Returning</v>
      </c>
    </row>
    <row r="4613" spans="1:15" x14ac:dyDescent="0.25">
      <c r="A4613">
        <v>4612</v>
      </c>
      <c r="B4613">
        <v>28</v>
      </c>
      <c r="C4613" t="s">
        <v>11</v>
      </c>
      <c r="D4613" t="s">
        <v>29</v>
      </c>
      <c r="E4613" t="s">
        <v>30</v>
      </c>
      <c r="F4613" s="1">
        <v>107.9</v>
      </c>
      <c r="G4613" t="s">
        <v>31</v>
      </c>
      <c r="H4613" t="s">
        <v>15</v>
      </c>
      <c r="I4613" s="2">
        <v>3.2</v>
      </c>
      <c r="J4613" s="4">
        <v>11</v>
      </c>
      <c r="K4613" s="3">
        <v>3</v>
      </c>
      <c r="L4613" s="1">
        <f t="shared" si="216"/>
        <v>96.031000000000006</v>
      </c>
      <c r="M4613" t="str" cm="1">
        <f t="array" ref="M4613">_xlfn.IFS(B4613&lt;18,"Under 18",B4613 &lt;=25,"18-25",B4613&lt;=35,"26-35",B4613&lt;=45,"36-45",B4613&lt;=60,"46-60",TRUE,"60+")</f>
        <v>26-35</v>
      </c>
      <c r="N4613" t="str">
        <f t="shared" si="217"/>
        <v>Discounted</v>
      </c>
      <c r="O4613" t="str">
        <f t="shared" si="218"/>
        <v>Returning</v>
      </c>
    </row>
    <row r="4614" spans="1:15" x14ac:dyDescent="0.25">
      <c r="A4614">
        <v>4613</v>
      </c>
      <c r="B4614">
        <v>55</v>
      </c>
      <c r="C4614" t="s">
        <v>16</v>
      </c>
      <c r="D4614" t="s">
        <v>20</v>
      </c>
      <c r="E4614" t="s">
        <v>39</v>
      </c>
      <c r="F4614" s="1">
        <v>175.64</v>
      </c>
      <c r="G4614" t="s">
        <v>31</v>
      </c>
      <c r="H4614" t="s">
        <v>15</v>
      </c>
      <c r="I4614" s="2">
        <v>4.4000000000000004</v>
      </c>
      <c r="J4614" s="4">
        <v>18</v>
      </c>
      <c r="K4614" s="3">
        <v>9</v>
      </c>
      <c r="L4614" s="1">
        <f t="shared" si="216"/>
        <v>144.0248</v>
      </c>
      <c r="M4614" t="str" cm="1">
        <f t="array" ref="M4614">_xlfn.IFS(B4614&lt;18,"Under 18",B4614 &lt;=25,"18-25",B4614&lt;=35,"26-35",B4614&lt;=45,"36-45",B4614&lt;=60,"46-60",TRUE,"60+")</f>
        <v>46-60</v>
      </c>
      <c r="N4614" t="str">
        <f t="shared" si="217"/>
        <v>Discounted</v>
      </c>
      <c r="O4614" t="str">
        <f t="shared" si="218"/>
        <v>Returning</v>
      </c>
    </row>
    <row r="4615" spans="1:15" x14ac:dyDescent="0.25">
      <c r="A4615">
        <v>4614</v>
      </c>
      <c r="B4615">
        <v>42</v>
      </c>
      <c r="C4615" t="s">
        <v>16</v>
      </c>
      <c r="D4615" t="s">
        <v>27</v>
      </c>
      <c r="E4615" t="s">
        <v>28</v>
      </c>
      <c r="F4615" s="1">
        <v>909.94</v>
      </c>
      <c r="G4615" t="s">
        <v>14</v>
      </c>
      <c r="H4615" t="s">
        <v>15</v>
      </c>
      <c r="I4615" s="2">
        <v>3.5</v>
      </c>
      <c r="J4615" s="4">
        <v>19</v>
      </c>
      <c r="K4615" s="3">
        <v>7</v>
      </c>
      <c r="L4615" s="1">
        <f t="shared" si="216"/>
        <v>737.05140000000006</v>
      </c>
      <c r="M4615" t="str" cm="1">
        <f t="array" ref="M4615">_xlfn.IFS(B4615&lt;18,"Under 18",B4615 &lt;=25,"18-25",B4615&lt;=35,"26-35",B4615&lt;=45,"36-45",B4615&lt;=60,"46-60",TRUE,"60+")</f>
        <v>36-45</v>
      </c>
      <c r="N4615" t="str">
        <f t="shared" si="217"/>
        <v>Discounted</v>
      </c>
      <c r="O4615" t="str">
        <f t="shared" si="218"/>
        <v>Returning</v>
      </c>
    </row>
    <row r="4616" spans="1:15" x14ac:dyDescent="0.25">
      <c r="A4616">
        <v>4615</v>
      </c>
      <c r="B4616">
        <v>37</v>
      </c>
      <c r="C4616" t="s">
        <v>16</v>
      </c>
      <c r="D4616" t="s">
        <v>20</v>
      </c>
      <c r="E4616" t="s">
        <v>39</v>
      </c>
      <c r="F4616" s="1">
        <v>72.13</v>
      </c>
      <c r="G4616" t="s">
        <v>14</v>
      </c>
      <c r="H4616" t="s">
        <v>37</v>
      </c>
      <c r="I4616" s="2">
        <v>3.6</v>
      </c>
      <c r="J4616" s="4">
        <v>12</v>
      </c>
      <c r="K4616" s="3">
        <v>6</v>
      </c>
      <c r="L4616" s="1">
        <f t="shared" si="216"/>
        <v>63.474399999999996</v>
      </c>
      <c r="M4616" t="str" cm="1">
        <f t="array" ref="M4616">_xlfn.IFS(B4616&lt;18,"Under 18",B4616 &lt;=25,"18-25",B4616&lt;=35,"26-35",B4616&lt;=45,"36-45",B4616&lt;=60,"46-60",TRUE,"60+")</f>
        <v>36-45</v>
      </c>
      <c r="N4616" t="str">
        <f t="shared" si="217"/>
        <v>Discounted</v>
      </c>
      <c r="O4616" t="str">
        <f t="shared" si="218"/>
        <v>Returning</v>
      </c>
    </row>
    <row r="4617" spans="1:15" x14ac:dyDescent="0.25">
      <c r="A4617">
        <v>4616</v>
      </c>
      <c r="B4617">
        <v>60</v>
      </c>
      <c r="C4617" t="s">
        <v>11</v>
      </c>
      <c r="D4617" t="s">
        <v>33</v>
      </c>
      <c r="E4617" t="s">
        <v>34</v>
      </c>
      <c r="F4617" s="1">
        <v>150.30000000000001</v>
      </c>
      <c r="G4617" t="s">
        <v>31</v>
      </c>
      <c r="H4617" t="s">
        <v>15</v>
      </c>
      <c r="I4617" s="2">
        <v>4.2</v>
      </c>
      <c r="J4617" s="4">
        <v>22</v>
      </c>
      <c r="K4617" s="3">
        <v>6</v>
      </c>
      <c r="L4617" s="1">
        <f t="shared" si="216"/>
        <v>117.23400000000001</v>
      </c>
      <c r="M4617" t="str" cm="1">
        <f t="array" ref="M4617">_xlfn.IFS(B4617&lt;18,"Under 18",B4617 &lt;=25,"18-25",B4617&lt;=35,"26-35",B4617&lt;=45,"36-45",B4617&lt;=60,"46-60",TRUE,"60+")</f>
        <v>46-60</v>
      </c>
      <c r="N4617" t="str">
        <f t="shared" si="217"/>
        <v>Discounted</v>
      </c>
      <c r="O4617" t="str">
        <f t="shared" si="218"/>
        <v>Returning</v>
      </c>
    </row>
    <row r="4618" spans="1:15" x14ac:dyDescent="0.25">
      <c r="A4618">
        <v>4617</v>
      </c>
      <c r="B4618">
        <v>32</v>
      </c>
      <c r="C4618" t="s">
        <v>16</v>
      </c>
      <c r="D4618" t="s">
        <v>20</v>
      </c>
      <c r="E4618" t="s">
        <v>21</v>
      </c>
      <c r="F4618" s="1">
        <v>59.98</v>
      </c>
      <c r="G4618" t="s">
        <v>14</v>
      </c>
      <c r="H4618" t="s">
        <v>37</v>
      </c>
      <c r="I4618" s="2">
        <v>4.4000000000000004</v>
      </c>
      <c r="J4618" s="4">
        <v>11</v>
      </c>
      <c r="K4618" s="3">
        <v>3</v>
      </c>
      <c r="L4618" s="1">
        <f t="shared" si="216"/>
        <v>53.382199999999997</v>
      </c>
      <c r="M4618" t="str" cm="1">
        <f t="array" ref="M4618">_xlfn.IFS(B4618&lt;18,"Under 18",B4618 &lt;=25,"18-25",B4618&lt;=35,"26-35",B4618&lt;=45,"36-45",B4618&lt;=60,"46-60",TRUE,"60+")</f>
        <v>26-35</v>
      </c>
      <c r="N4618" t="str">
        <f t="shared" si="217"/>
        <v>Discounted</v>
      </c>
      <c r="O4618" t="str">
        <f t="shared" si="218"/>
        <v>Returning</v>
      </c>
    </row>
    <row r="4619" spans="1:15" x14ac:dyDescent="0.25">
      <c r="A4619">
        <v>4618</v>
      </c>
      <c r="B4619">
        <v>38</v>
      </c>
      <c r="C4619" t="s">
        <v>11</v>
      </c>
      <c r="D4619" t="s">
        <v>41</v>
      </c>
      <c r="E4619" t="s">
        <v>42</v>
      </c>
      <c r="F4619" s="1">
        <v>55.88</v>
      </c>
      <c r="G4619" t="s">
        <v>24</v>
      </c>
      <c r="H4619" t="s">
        <v>15</v>
      </c>
      <c r="I4619" s="2">
        <v>4.9000000000000004</v>
      </c>
      <c r="J4619" s="4">
        <v>18</v>
      </c>
      <c r="K4619" s="3">
        <v>9</v>
      </c>
      <c r="L4619" s="1">
        <f t="shared" si="216"/>
        <v>45.821600000000004</v>
      </c>
      <c r="M4619" t="str" cm="1">
        <f t="array" ref="M4619">_xlfn.IFS(B4619&lt;18,"Under 18",B4619 &lt;=25,"18-25",B4619&lt;=35,"26-35",B4619&lt;=45,"36-45",B4619&lt;=60,"46-60",TRUE,"60+")</f>
        <v>36-45</v>
      </c>
      <c r="N4619" t="str">
        <f t="shared" si="217"/>
        <v>Discounted</v>
      </c>
      <c r="O4619" t="str">
        <f t="shared" si="218"/>
        <v>Returning</v>
      </c>
    </row>
    <row r="4620" spans="1:15" x14ac:dyDescent="0.25">
      <c r="A4620">
        <v>4619</v>
      </c>
      <c r="B4620">
        <v>62</v>
      </c>
      <c r="C4620" t="s">
        <v>16</v>
      </c>
      <c r="D4620" t="s">
        <v>17</v>
      </c>
      <c r="E4620" t="s">
        <v>42</v>
      </c>
      <c r="F4620" s="1">
        <v>86.82</v>
      </c>
      <c r="G4620" t="s">
        <v>31</v>
      </c>
      <c r="H4620" t="s">
        <v>37</v>
      </c>
      <c r="I4620" s="2">
        <v>3</v>
      </c>
      <c r="J4620" s="4">
        <v>11</v>
      </c>
      <c r="K4620" s="3">
        <v>3</v>
      </c>
      <c r="L4620" s="1">
        <f t="shared" si="216"/>
        <v>77.269799999999989</v>
      </c>
      <c r="M4620" t="str" cm="1">
        <f t="array" ref="M4620">_xlfn.IFS(B4620&lt;18,"Under 18",B4620 &lt;=25,"18-25",B4620&lt;=35,"26-35",B4620&lt;=45,"36-45",B4620&lt;=60,"46-60",TRUE,"60+")</f>
        <v>60+</v>
      </c>
      <c r="N4620" t="str">
        <f t="shared" si="217"/>
        <v>Discounted</v>
      </c>
      <c r="O4620" t="str">
        <f t="shared" si="218"/>
        <v>Returning</v>
      </c>
    </row>
    <row r="4621" spans="1:15" x14ac:dyDescent="0.25">
      <c r="A4621">
        <v>4620</v>
      </c>
      <c r="B4621">
        <v>58</v>
      </c>
      <c r="C4621" t="s">
        <v>16</v>
      </c>
      <c r="D4621" t="s">
        <v>20</v>
      </c>
      <c r="E4621" t="s">
        <v>21</v>
      </c>
      <c r="F4621" s="1">
        <v>88.53</v>
      </c>
      <c r="G4621" t="s">
        <v>24</v>
      </c>
      <c r="H4621" t="s">
        <v>15</v>
      </c>
      <c r="I4621" s="2">
        <v>3.5</v>
      </c>
      <c r="J4621" s="4">
        <v>13</v>
      </c>
      <c r="K4621" s="3">
        <v>4</v>
      </c>
      <c r="L4621" s="1">
        <f t="shared" si="216"/>
        <v>77.021100000000004</v>
      </c>
      <c r="M4621" t="str" cm="1">
        <f t="array" ref="M4621">_xlfn.IFS(B4621&lt;18,"Under 18",B4621 &lt;=25,"18-25",B4621&lt;=35,"26-35",B4621&lt;=45,"36-45",B4621&lt;=60,"46-60",TRUE,"60+")</f>
        <v>46-60</v>
      </c>
      <c r="N4621" t="str">
        <f t="shared" si="217"/>
        <v>Discounted</v>
      </c>
      <c r="O4621" t="str">
        <f t="shared" si="218"/>
        <v>Returning</v>
      </c>
    </row>
    <row r="4622" spans="1:15" x14ac:dyDescent="0.25">
      <c r="A4622">
        <v>4621</v>
      </c>
      <c r="B4622">
        <v>20</v>
      </c>
      <c r="C4622" t="s">
        <v>16</v>
      </c>
      <c r="D4622" t="s">
        <v>33</v>
      </c>
      <c r="E4622" t="s">
        <v>40</v>
      </c>
      <c r="F4622" s="1">
        <v>155.1</v>
      </c>
      <c r="G4622" t="s">
        <v>14</v>
      </c>
      <c r="H4622" t="s">
        <v>15</v>
      </c>
      <c r="I4622" s="2">
        <v>3.8</v>
      </c>
      <c r="J4622" s="4">
        <v>7</v>
      </c>
      <c r="K4622" s="3">
        <v>1</v>
      </c>
      <c r="L4622" s="1">
        <f t="shared" si="216"/>
        <v>144.24299999999999</v>
      </c>
      <c r="M4622" t="str" cm="1">
        <f t="array" ref="M4622">_xlfn.IFS(B4622&lt;18,"Under 18",B4622 &lt;=25,"18-25",B4622&lt;=35,"26-35",B4622&lt;=45,"36-45",B4622&lt;=60,"46-60",TRUE,"60+")</f>
        <v>18-25</v>
      </c>
      <c r="N4622" t="str">
        <f t="shared" si="217"/>
        <v>Discounted</v>
      </c>
      <c r="O4622" t="str">
        <f t="shared" si="218"/>
        <v>Returning</v>
      </c>
    </row>
    <row r="4623" spans="1:15" x14ac:dyDescent="0.25">
      <c r="A4623">
        <v>4622</v>
      </c>
      <c r="B4623">
        <v>43</v>
      </c>
      <c r="C4623" t="s">
        <v>11</v>
      </c>
      <c r="D4623" t="s">
        <v>29</v>
      </c>
      <c r="E4623" t="s">
        <v>30</v>
      </c>
      <c r="F4623" s="1">
        <v>79.400000000000006</v>
      </c>
      <c r="G4623" t="s">
        <v>24</v>
      </c>
      <c r="H4623" t="s">
        <v>37</v>
      </c>
      <c r="I4623" s="2">
        <v>4.3</v>
      </c>
      <c r="J4623" s="4">
        <v>21</v>
      </c>
      <c r="K4623" s="3">
        <v>8</v>
      </c>
      <c r="L4623" s="1">
        <f t="shared" si="216"/>
        <v>62.726000000000006</v>
      </c>
      <c r="M4623" t="str" cm="1">
        <f t="array" ref="M4623">_xlfn.IFS(B4623&lt;18,"Under 18",B4623 &lt;=25,"18-25",B4623&lt;=35,"26-35",B4623&lt;=45,"36-45",B4623&lt;=60,"46-60",TRUE,"60+")</f>
        <v>36-45</v>
      </c>
      <c r="N4623" t="str">
        <f t="shared" si="217"/>
        <v>Discounted</v>
      </c>
      <c r="O4623" t="str">
        <f t="shared" si="218"/>
        <v>Returning</v>
      </c>
    </row>
    <row r="4624" spans="1:15" x14ac:dyDescent="0.25">
      <c r="A4624">
        <v>4623</v>
      </c>
      <c r="B4624">
        <v>23</v>
      </c>
      <c r="C4624" t="s">
        <v>16</v>
      </c>
      <c r="D4624" t="s">
        <v>27</v>
      </c>
      <c r="E4624" t="s">
        <v>28</v>
      </c>
      <c r="F4624" s="1">
        <v>1000.65</v>
      </c>
      <c r="G4624" t="s">
        <v>19</v>
      </c>
      <c r="H4624" t="s">
        <v>15</v>
      </c>
      <c r="I4624" s="2">
        <v>3.6</v>
      </c>
      <c r="J4624" s="4">
        <v>19</v>
      </c>
      <c r="K4624" s="3">
        <v>7</v>
      </c>
      <c r="L4624" s="1">
        <f t="shared" si="216"/>
        <v>810.52650000000006</v>
      </c>
      <c r="M4624" t="str" cm="1">
        <f t="array" ref="M4624">_xlfn.IFS(B4624&lt;18,"Under 18",B4624 &lt;=25,"18-25",B4624&lt;=35,"26-35",B4624&lt;=45,"36-45",B4624&lt;=60,"46-60",TRUE,"60+")</f>
        <v>18-25</v>
      </c>
      <c r="N4624" t="str">
        <f t="shared" si="217"/>
        <v>Discounted</v>
      </c>
      <c r="O4624" t="str">
        <f t="shared" si="218"/>
        <v>Returning</v>
      </c>
    </row>
    <row r="4625" spans="1:15" x14ac:dyDescent="0.25">
      <c r="A4625">
        <v>4624</v>
      </c>
      <c r="B4625">
        <v>34</v>
      </c>
      <c r="C4625" t="s">
        <v>16</v>
      </c>
      <c r="D4625" t="s">
        <v>27</v>
      </c>
      <c r="E4625" t="s">
        <v>28</v>
      </c>
      <c r="F4625" s="1">
        <v>654.41999999999996</v>
      </c>
      <c r="G4625" t="s">
        <v>31</v>
      </c>
      <c r="H4625" t="s">
        <v>15</v>
      </c>
      <c r="I4625" s="2">
        <v>5</v>
      </c>
      <c r="J4625" s="4">
        <v>13</v>
      </c>
      <c r="K4625" s="3">
        <v>4</v>
      </c>
      <c r="L4625" s="1">
        <f t="shared" si="216"/>
        <v>569.34539999999993</v>
      </c>
      <c r="M4625" t="str" cm="1">
        <f t="array" ref="M4625">_xlfn.IFS(B4625&lt;18,"Under 18",B4625 &lt;=25,"18-25",B4625&lt;=35,"26-35",B4625&lt;=45,"36-45",B4625&lt;=60,"46-60",TRUE,"60+")</f>
        <v>26-35</v>
      </c>
      <c r="N4625" t="str">
        <f t="shared" si="217"/>
        <v>Discounted</v>
      </c>
      <c r="O4625" t="str">
        <f t="shared" si="218"/>
        <v>Returning</v>
      </c>
    </row>
    <row r="4626" spans="1:15" x14ac:dyDescent="0.25">
      <c r="A4626">
        <v>4625</v>
      </c>
      <c r="B4626">
        <v>31</v>
      </c>
      <c r="C4626" t="s">
        <v>16</v>
      </c>
      <c r="D4626" t="s">
        <v>20</v>
      </c>
      <c r="E4626" t="s">
        <v>39</v>
      </c>
      <c r="F4626" s="1">
        <v>226.81</v>
      </c>
      <c r="G4626" t="s">
        <v>19</v>
      </c>
      <c r="H4626" t="s">
        <v>15</v>
      </c>
      <c r="I4626" s="2">
        <v>4.5</v>
      </c>
      <c r="J4626" s="4">
        <v>4</v>
      </c>
      <c r="K4626" s="3">
        <v>2</v>
      </c>
      <c r="L4626" s="1">
        <f t="shared" si="216"/>
        <v>217.73759999999999</v>
      </c>
      <c r="M4626" t="str" cm="1">
        <f t="array" ref="M4626">_xlfn.IFS(B4626&lt;18,"Under 18",B4626 &lt;=25,"18-25",B4626&lt;=35,"26-35",B4626&lt;=45,"36-45",B4626&lt;=60,"46-60",TRUE,"60+")</f>
        <v>26-35</v>
      </c>
      <c r="N4626" t="str">
        <f t="shared" si="217"/>
        <v>Discounted</v>
      </c>
      <c r="O4626" t="str">
        <f t="shared" si="218"/>
        <v>Returning</v>
      </c>
    </row>
    <row r="4627" spans="1:15" x14ac:dyDescent="0.25">
      <c r="A4627">
        <v>4626</v>
      </c>
      <c r="B4627">
        <v>32</v>
      </c>
      <c r="C4627" t="s">
        <v>11</v>
      </c>
      <c r="D4627" t="s">
        <v>12</v>
      </c>
      <c r="E4627" t="s">
        <v>50</v>
      </c>
      <c r="F4627" s="1">
        <v>40.26</v>
      </c>
      <c r="G4627" t="s">
        <v>31</v>
      </c>
      <c r="H4627" t="s">
        <v>15</v>
      </c>
      <c r="I4627" s="2">
        <v>5</v>
      </c>
      <c r="J4627" s="4">
        <v>18</v>
      </c>
      <c r="K4627" s="3">
        <v>4</v>
      </c>
      <c r="L4627" s="1">
        <f t="shared" si="216"/>
        <v>33.013199999999998</v>
      </c>
      <c r="M4627" t="str" cm="1">
        <f t="array" ref="M4627">_xlfn.IFS(B4627&lt;18,"Under 18",B4627 &lt;=25,"18-25",B4627&lt;=35,"26-35",B4627&lt;=45,"36-45",B4627&lt;=60,"46-60",TRUE,"60+")</f>
        <v>26-35</v>
      </c>
      <c r="N4627" t="str">
        <f t="shared" si="217"/>
        <v>Discounted</v>
      </c>
      <c r="O4627" t="str">
        <f t="shared" si="218"/>
        <v>Returning</v>
      </c>
    </row>
    <row r="4628" spans="1:15" x14ac:dyDescent="0.25">
      <c r="A4628">
        <v>4627</v>
      </c>
      <c r="B4628">
        <v>55</v>
      </c>
      <c r="C4628" t="s">
        <v>16</v>
      </c>
      <c r="D4628" t="s">
        <v>27</v>
      </c>
      <c r="E4628" t="s">
        <v>32</v>
      </c>
      <c r="F4628" s="1">
        <v>556.03</v>
      </c>
      <c r="G4628" t="s">
        <v>14</v>
      </c>
      <c r="H4628" t="s">
        <v>15</v>
      </c>
      <c r="I4628" s="2">
        <v>4.0999999999999996</v>
      </c>
      <c r="J4628" s="4">
        <v>12</v>
      </c>
      <c r="K4628" s="3">
        <v>6</v>
      </c>
      <c r="L4628" s="1">
        <f t="shared" si="216"/>
        <v>489.3064</v>
      </c>
      <c r="M4628" t="str" cm="1">
        <f t="array" ref="M4628">_xlfn.IFS(B4628&lt;18,"Under 18",B4628 &lt;=25,"18-25",B4628&lt;=35,"26-35",B4628&lt;=45,"36-45",B4628&lt;=60,"46-60",TRUE,"60+")</f>
        <v>46-60</v>
      </c>
      <c r="N4628" t="str">
        <f t="shared" si="217"/>
        <v>Discounted</v>
      </c>
      <c r="O4628" t="str">
        <f t="shared" si="218"/>
        <v>Returning</v>
      </c>
    </row>
    <row r="4629" spans="1:15" x14ac:dyDescent="0.25">
      <c r="A4629">
        <v>4628</v>
      </c>
      <c r="B4629">
        <v>35</v>
      </c>
      <c r="C4629" t="s">
        <v>11</v>
      </c>
      <c r="D4629" t="s">
        <v>29</v>
      </c>
      <c r="E4629" t="s">
        <v>55</v>
      </c>
      <c r="F4629" s="1">
        <v>108.74</v>
      </c>
      <c r="G4629" t="s">
        <v>24</v>
      </c>
      <c r="H4629" t="s">
        <v>15</v>
      </c>
      <c r="I4629" s="2">
        <v>3.8</v>
      </c>
      <c r="J4629" s="4">
        <v>4</v>
      </c>
      <c r="K4629" s="3">
        <v>2</v>
      </c>
      <c r="L4629" s="1">
        <f t="shared" si="216"/>
        <v>104.39039999999999</v>
      </c>
      <c r="M4629" t="str" cm="1">
        <f t="array" ref="M4629">_xlfn.IFS(B4629&lt;18,"Under 18",B4629 &lt;=25,"18-25",B4629&lt;=35,"26-35",B4629&lt;=45,"36-45",B4629&lt;=60,"46-60",TRUE,"60+")</f>
        <v>26-35</v>
      </c>
      <c r="N4629" t="str">
        <f t="shared" si="217"/>
        <v>Discounted</v>
      </c>
      <c r="O4629" t="str">
        <f t="shared" si="218"/>
        <v>Returning</v>
      </c>
    </row>
    <row r="4630" spans="1:15" x14ac:dyDescent="0.25">
      <c r="A4630">
        <v>4629</v>
      </c>
      <c r="B4630">
        <v>27</v>
      </c>
      <c r="C4630" t="s">
        <v>11</v>
      </c>
      <c r="D4630" t="s">
        <v>22</v>
      </c>
      <c r="E4630" t="s">
        <v>23</v>
      </c>
      <c r="F4630" s="1">
        <v>176.23</v>
      </c>
      <c r="G4630" t="s">
        <v>14</v>
      </c>
      <c r="H4630" t="s">
        <v>15</v>
      </c>
      <c r="I4630" s="2">
        <v>4.0999999999999996</v>
      </c>
      <c r="J4630" s="4">
        <v>20</v>
      </c>
      <c r="K4630" s="3">
        <v>5</v>
      </c>
      <c r="L4630" s="1">
        <f t="shared" si="216"/>
        <v>140.98400000000001</v>
      </c>
      <c r="M4630" t="str" cm="1">
        <f t="array" ref="M4630">_xlfn.IFS(B4630&lt;18,"Under 18",B4630 &lt;=25,"18-25",B4630&lt;=35,"26-35",B4630&lt;=45,"36-45",B4630&lt;=60,"46-60",TRUE,"60+")</f>
        <v>26-35</v>
      </c>
      <c r="N4630" t="str">
        <f t="shared" si="217"/>
        <v>Discounted</v>
      </c>
      <c r="O4630" t="str">
        <f t="shared" si="218"/>
        <v>Returning</v>
      </c>
    </row>
    <row r="4631" spans="1:15" x14ac:dyDescent="0.25">
      <c r="A4631">
        <v>4630</v>
      </c>
      <c r="B4631">
        <v>30</v>
      </c>
      <c r="C4631" t="s">
        <v>11</v>
      </c>
      <c r="D4631" t="s">
        <v>33</v>
      </c>
      <c r="E4631" t="s">
        <v>34</v>
      </c>
      <c r="F4631" s="1">
        <v>189.68</v>
      </c>
      <c r="G4631" t="s">
        <v>31</v>
      </c>
      <c r="H4631" t="s">
        <v>15</v>
      </c>
      <c r="I4631" s="2">
        <v>4</v>
      </c>
      <c r="J4631" s="4">
        <v>13</v>
      </c>
      <c r="K4631" s="3">
        <v>4</v>
      </c>
      <c r="L4631" s="1">
        <f t="shared" si="216"/>
        <v>165.02160000000001</v>
      </c>
      <c r="M4631" t="str" cm="1">
        <f t="array" ref="M4631">_xlfn.IFS(B4631&lt;18,"Under 18",B4631 &lt;=25,"18-25",B4631&lt;=35,"26-35",B4631&lt;=45,"36-45",B4631&lt;=60,"46-60",TRUE,"60+")</f>
        <v>26-35</v>
      </c>
      <c r="N4631" t="str">
        <f t="shared" si="217"/>
        <v>Discounted</v>
      </c>
      <c r="O4631" t="str">
        <f t="shared" si="218"/>
        <v>Returning</v>
      </c>
    </row>
    <row r="4632" spans="1:15" x14ac:dyDescent="0.25">
      <c r="A4632">
        <v>4631</v>
      </c>
      <c r="B4632">
        <v>34</v>
      </c>
      <c r="C4632" t="s">
        <v>11</v>
      </c>
      <c r="D4632" t="s">
        <v>20</v>
      </c>
      <c r="E4632" t="s">
        <v>36</v>
      </c>
      <c r="F4632" s="1">
        <v>196.56</v>
      </c>
      <c r="G4632" t="s">
        <v>31</v>
      </c>
      <c r="H4632" t="s">
        <v>15</v>
      </c>
      <c r="I4632" s="2">
        <v>3.8</v>
      </c>
      <c r="J4632" s="4">
        <v>14</v>
      </c>
      <c r="K4632" s="3">
        <v>7</v>
      </c>
      <c r="L4632" s="1">
        <f t="shared" si="216"/>
        <v>169.04159999999999</v>
      </c>
      <c r="M4632" t="str" cm="1">
        <f t="array" ref="M4632">_xlfn.IFS(B4632&lt;18,"Under 18",B4632 &lt;=25,"18-25",B4632&lt;=35,"26-35",B4632&lt;=45,"36-45",B4632&lt;=60,"46-60",TRUE,"60+")</f>
        <v>26-35</v>
      </c>
      <c r="N4632" t="str">
        <f t="shared" si="217"/>
        <v>Discounted</v>
      </c>
      <c r="O4632" t="str">
        <f t="shared" si="218"/>
        <v>Returning</v>
      </c>
    </row>
    <row r="4633" spans="1:15" x14ac:dyDescent="0.25">
      <c r="A4633">
        <v>4632</v>
      </c>
      <c r="B4633">
        <v>52</v>
      </c>
      <c r="C4633" t="s">
        <v>16</v>
      </c>
      <c r="D4633" t="s">
        <v>20</v>
      </c>
      <c r="E4633" t="s">
        <v>21</v>
      </c>
      <c r="F4633" s="1">
        <v>42.78</v>
      </c>
      <c r="G4633" t="s">
        <v>24</v>
      </c>
      <c r="H4633" t="s">
        <v>37</v>
      </c>
      <c r="I4633" s="2">
        <v>2.5</v>
      </c>
      <c r="J4633" s="4">
        <v>10</v>
      </c>
      <c r="K4633" s="3">
        <v>5</v>
      </c>
      <c r="L4633" s="1">
        <f t="shared" si="216"/>
        <v>38.502000000000002</v>
      </c>
      <c r="M4633" t="str" cm="1">
        <f t="array" ref="M4633">_xlfn.IFS(B4633&lt;18,"Under 18",B4633 &lt;=25,"18-25",B4633&lt;=35,"26-35",B4633&lt;=45,"36-45",B4633&lt;=60,"46-60",TRUE,"60+")</f>
        <v>46-60</v>
      </c>
      <c r="N4633" t="str">
        <f t="shared" si="217"/>
        <v>Discounted</v>
      </c>
      <c r="O4633" t="str">
        <f t="shared" si="218"/>
        <v>Returning</v>
      </c>
    </row>
    <row r="4634" spans="1:15" x14ac:dyDescent="0.25">
      <c r="A4634">
        <v>4633</v>
      </c>
      <c r="B4634">
        <v>70</v>
      </c>
      <c r="C4634" t="s">
        <v>16</v>
      </c>
      <c r="D4634" t="s">
        <v>17</v>
      </c>
      <c r="E4634" t="s">
        <v>42</v>
      </c>
      <c r="F4634" s="1">
        <v>79.5</v>
      </c>
      <c r="G4634" t="s">
        <v>14</v>
      </c>
      <c r="H4634" t="s">
        <v>15</v>
      </c>
      <c r="I4634" s="2">
        <v>4.4000000000000004</v>
      </c>
      <c r="J4634" s="4">
        <v>13</v>
      </c>
      <c r="K4634" s="3">
        <v>4</v>
      </c>
      <c r="L4634" s="1">
        <f t="shared" si="216"/>
        <v>69.165000000000006</v>
      </c>
      <c r="M4634" t="str" cm="1">
        <f t="array" ref="M4634">_xlfn.IFS(B4634&lt;18,"Under 18",B4634 &lt;=25,"18-25",B4634&lt;=35,"26-35",B4634&lt;=45,"36-45",B4634&lt;=60,"46-60",TRUE,"60+")</f>
        <v>60+</v>
      </c>
      <c r="N4634" t="str">
        <f t="shared" si="217"/>
        <v>Discounted</v>
      </c>
      <c r="O4634" t="str">
        <f t="shared" si="218"/>
        <v>Returning</v>
      </c>
    </row>
    <row r="4635" spans="1:15" x14ac:dyDescent="0.25">
      <c r="A4635">
        <v>4634</v>
      </c>
      <c r="B4635">
        <v>42</v>
      </c>
      <c r="C4635" t="s">
        <v>11</v>
      </c>
      <c r="D4635" t="s">
        <v>33</v>
      </c>
      <c r="E4635" t="s">
        <v>40</v>
      </c>
      <c r="F4635" s="1">
        <v>145.34</v>
      </c>
      <c r="G4635" t="s">
        <v>31</v>
      </c>
      <c r="H4635" t="s">
        <v>15</v>
      </c>
      <c r="I4635" s="2">
        <v>4.0999999999999996</v>
      </c>
      <c r="J4635" s="4">
        <v>6</v>
      </c>
      <c r="K4635" s="3">
        <v>3</v>
      </c>
      <c r="L4635" s="1">
        <f t="shared" si="216"/>
        <v>136.61959999999999</v>
      </c>
      <c r="M4635" t="str" cm="1">
        <f t="array" ref="M4635">_xlfn.IFS(B4635&lt;18,"Under 18",B4635 &lt;=25,"18-25",B4635&lt;=35,"26-35",B4635&lt;=45,"36-45",B4635&lt;=60,"46-60",TRUE,"60+")</f>
        <v>36-45</v>
      </c>
      <c r="N4635" t="str">
        <f t="shared" si="217"/>
        <v>Discounted</v>
      </c>
      <c r="O4635" t="str">
        <f t="shared" si="218"/>
        <v>Returning</v>
      </c>
    </row>
    <row r="4636" spans="1:15" x14ac:dyDescent="0.25">
      <c r="A4636">
        <v>4635</v>
      </c>
      <c r="B4636">
        <v>29</v>
      </c>
      <c r="C4636" t="s">
        <v>16</v>
      </c>
      <c r="D4636" t="s">
        <v>27</v>
      </c>
      <c r="E4636" t="s">
        <v>49</v>
      </c>
      <c r="F4636" s="1">
        <v>1135.48</v>
      </c>
      <c r="G4636" t="s">
        <v>14</v>
      </c>
      <c r="H4636" t="s">
        <v>15</v>
      </c>
      <c r="I4636" s="2">
        <v>4.2</v>
      </c>
      <c r="J4636" s="4">
        <v>8</v>
      </c>
      <c r="K4636" s="3">
        <v>4</v>
      </c>
      <c r="L4636" s="1">
        <f t="shared" si="216"/>
        <v>1044.6416000000002</v>
      </c>
      <c r="M4636" t="str" cm="1">
        <f t="array" ref="M4636">_xlfn.IFS(B4636&lt;18,"Under 18",B4636 &lt;=25,"18-25",B4636&lt;=35,"26-35",B4636&lt;=45,"36-45",B4636&lt;=60,"46-60",TRUE,"60+")</f>
        <v>26-35</v>
      </c>
      <c r="N4636" t="str">
        <f t="shared" si="217"/>
        <v>Discounted</v>
      </c>
      <c r="O4636" t="str">
        <f t="shared" si="218"/>
        <v>Returning</v>
      </c>
    </row>
    <row r="4637" spans="1:15" x14ac:dyDescent="0.25">
      <c r="A4637">
        <v>4636</v>
      </c>
      <c r="B4637">
        <v>33</v>
      </c>
      <c r="C4637" t="s">
        <v>11</v>
      </c>
      <c r="D4637" t="s">
        <v>33</v>
      </c>
      <c r="E4637" t="s">
        <v>38</v>
      </c>
      <c r="F4637" s="1">
        <v>156.04</v>
      </c>
      <c r="G4637" t="s">
        <v>31</v>
      </c>
      <c r="H4637" t="s">
        <v>15</v>
      </c>
      <c r="I4637" s="2">
        <v>4.4000000000000004</v>
      </c>
      <c r="J4637" s="4">
        <v>20</v>
      </c>
      <c r="K4637" s="3">
        <v>5</v>
      </c>
      <c r="L4637" s="1">
        <f t="shared" si="216"/>
        <v>124.83199999999999</v>
      </c>
      <c r="M4637" t="str" cm="1">
        <f t="array" ref="M4637">_xlfn.IFS(B4637&lt;18,"Under 18",B4637 &lt;=25,"18-25",B4637&lt;=35,"26-35",B4637&lt;=45,"36-45",B4637&lt;=60,"46-60",TRUE,"60+")</f>
        <v>26-35</v>
      </c>
      <c r="N4637" t="str">
        <f t="shared" si="217"/>
        <v>Discounted</v>
      </c>
      <c r="O4637" t="str">
        <f t="shared" si="218"/>
        <v>Returning</v>
      </c>
    </row>
    <row r="4638" spans="1:15" x14ac:dyDescent="0.25">
      <c r="A4638">
        <v>4637</v>
      </c>
      <c r="B4638">
        <v>68</v>
      </c>
      <c r="C4638" t="s">
        <v>11</v>
      </c>
      <c r="D4638" t="s">
        <v>29</v>
      </c>
      <c r="E4638" t="s">
        <v>55</v>
      </c>
      <c r="F4638" s="1">
        <v>91.12</v>
      </c>
      <c r="G4638" t="s">
        <v>14</v>
      </c>
      <c r="H4638" t="s">
        <v>15</v>
      </c>
      <c r="I4638" s="2">
        <v>3.7</v>
      </c>
      <c r="J4638" s="4">
        <v>20</v>
      </c>
      <c r="K4638" s="3">
        <v>5</v>
      </c>
      <c r="L4638" s="1">
        <f t="shared" si="216"/>
        <v>72.896000000000001</v>
      </c>
      <c r="M4638" t="str" cm="1">
        <f t="array" ref="M4638">_xlfn.IFS(B4638&lt;18,"Under 18",B4638 &lt;=25,"18-25",B4638&lt;=35,"26-35",B4638&lt;=45,"36-45",B4638&lt;=60,"46-60",TRUE,"60+")</f>
        <v>60+</v>
      </c>
      <c r="N4638" t="str">
        <f t="shared" si="217"/>
        <v>Discounted</v>
      </c>
      <c r="O4638" t="str">
        <f t="shared" si="218"/>
        <v>Returning</v>
      </c>
    </row>
    <row r="4639" spans="1:15" x14ac:dyDescent="0.25">
      <c r="A4639">
        <v>4638</v>
      </c>
      <c r="B4639">
        <v>47</v>
      </c>
      <c r="C4639" t="s">
        <v>11</v>
      </c>
      <c r="D4639" t="s">
        <v>29</v>
      </c>
      <c r="E4639" t="s">
        <v>51</v>
      </c>
      <c r="F4639" s="1">
        <v>125.68</v>
      </c>
      <c r="G4639" t="s">
        <v>31</v>
      </c>
      <c r="H4639" t="s">
        <v>15</v>
      </c>
      <c r="I4639" s="2">
        <v>4.9000000000000004</v>
      </c>
      <c r="J4639" s="4">
        <v>18</v>
      </c>
      <c r="K4639" s="3">
        <v>4</v>
      </c>
      <c r="L4639" s="1">
        <f t="shared" si="216"/>
        <v>103.05760000000001</v>
      </c>
      <c r="M4639" t="str" cm="1">
        <f t="array" ref="M4639">_xlfn.IFS(B4639&lt;18,"Under 18",B4639 &lt;=25,"18-25",B4639&lt;=35,"26-35",B4639&lt;=45,"36-45",B4639&lt;=60,"46-60",TRUE,"60+")</f>
        <v>46-60</v>
      </c>
      <c r="N4639" t="str">
        <f t="shared" si="217"/>
        <v>Discounted</v>
      </c>
      <c r="O4639" t="str">
        <f t="shared" si="218"/>
        <v>Returning</v>
      </c>
    </row>
    <row r="4640" spans="1:15" x14ac:dyDescent="0.25">
      <c r="A4640">
        <v>4639</v>
      </c>
      <c r="B4640">
        <v>59</v>
      </c>
      <c r="C4640" t="s">
        <v>16</v>
      </c>
      <c r="D4640" t="s">
        <v>33</v>
      </c>
      <c r="E4640" t="s">
        <v>40</v>
      </c>
      <c r="F4640" s="1">
        <v>118.38</v>
      </c>
      <c r="G4640" t="s">
        <v>14</v>
      </c>
      <c r="H4640" t="s">
        <v>15</v>
      </c>
      <c r="I4640" s="2">
        <v>4.3</v>
      </c>
      <c r="J4640" s="4">
        <v>17</v>
      </c>
      <c r="K4640" s="3">
        <v>6</v>
      </c>
      <c r="L4640" s="1">
        <f t="shared" si="216"/>
        <v>98.255399999999995</v>
      </c>
      <c r="M4640" t="str" cm="1">
        <f t="array" ref="M4640">_xlfn.IFS(B4640&lt;18,"Under 18",B4640 &lt;=25,"18-25",B4640&lt;=35,"26-35",B4640&lt;=45,"36-45",B4640&lt;=60,"46-60",TRUE,"60+")</f>
        <v>46-60</v>
      </c>
      <c r="N4640" t="str">
        <f t="shared" si="217"/>
        <v>Discounted</v>
      </c>
      <c r="O4640" t="str">
        <f t="shared" si="218"/>
        <v>Returning</v>
      </c>
    </row>
    <row r="4641" spans="1:15" x14ac:dyDescent="0.25">
      <c r="A4641">
        <v>4640</v>
      </c>
      <c r="B4641">
        <v>41</v>
      </c>
      <c r="C4641" t="s">
        <v>16</v>
      </c>
      <c r="D4641" t="s">
        <v>27</v>
      </c>
      <c r="E4641" t="s">
        <v>32</v>
      </c>
      <c r="F4641" s="1">
        <v>2452.5500000000002</v>
      </c>
      <c r="G4641" t="s">
        <v>24</v>
      </c>
      <c r="H4641" t="s">
        <v>15</v>
      </c>
      <c r="I4641" s="2">
        <v>4.4000000000000004</v>
      </c>
      <c r="J4641" s="4">
        <v>18</v>
      </c>
      <c r="K4641" s="3">
        <v>4</v>
      </c>
      <c r="L4641" s="1">
        <f t="shared" si="216"/>
        <v>2011.0910000000003</v>
      </c>
      <c r="M4641" t="str" cm="1">
        <f t="array" ref="M4641">_xlfn.IFS(B4641&lt;18,"Under 18",B4641 &lt;=25,"18-25",B4641&lt;=35,"26-35",B4641&lt;=45,"36-45",B4641&lt;=60,"46-60",TRUE,"60+")</f>
        <v>36-45</v>
      </c>
      <c r="N4641" t="str">
        <f t="shared" si="217"/>
        <v>Discounted</v>
      </c>
      <c r="O4641" t="str">
        <f t="shared" si="218"/>
        <v>Returning</v>
      </c>
    </row>
    <row r="4642" spans="1:15" x14ac:dyDescent="0.25">
      <c r="A4642">
        <v>4641</v>
      </c>
      <c r="B4642">
        <v>60</v>
      </c>
      <c r="C4642" t="s">
        <v>11</v>
      </c>
      <c r="D4642" t="s">
        <v>33</v>
      </c>
      <c r="E4642" t="s">
        <v>38</v>
      </c>
      <c r="F4642" s="1">
        <v>126.78</v>
      </c>
      <c r="G4642" t="s">
        <v>31</v>
      </c>
      <c r="H4642" t="s">
        <v>15</v>
      </c>
      <c r="I4642" s="2">
        <v>3.2</v>
      </c>
      <c r="J4642" s="4">
        <v>13</v>
      </c>
      <c r="K4642" s="3">
        <v>4</v>
      </c>
      <c r="L4642" s="1">
        <f t="shared" si="216"/>
        <v>110.29860000000001</v>
      </c>
      <c r="M4642" t="str" cm="1">
        <f t="array" ref="M4642">_xlfn.IFS(B4642&lt;18,"Under 18",B4642 &lt;=25,"18-25",B4642&lt;=35,"26-35",B4642&lt;=45,"36-45",B4642&lt;=60,"46-60",TRUE,"60+")</f>
        <v>46-60</v>
      </c>
      <c r="N4642" t="str">
        <f t="shared" si="217"/>
        <v>Discounted</v>
      </c>
      <c r="O4642" t="str">
        <f t="shared" si="218"/>
        <v>Returning</v>
      </c>
    </row>
    <row r="4643" spans="1:15" x14ac:dyDescent="0.25">
      <c r="A4643">
        <v>4642</v>
      </c>
      <c r="B4643">
        <v>20</v>
      </c>
      <c r="C4643" t="s">
        <v>16</v>
      </c>
      <c r="D4643" t="s">
        <v>20</v>
      </c>
      <c r="E4643" t="s">
        <v>39</v>
      </c>
      <c r="F4643" s="1">
        <v>167.57</v>
      </c>
      <c r="G4643" t="s">
        <v>31</v>
      </c>
      <c r="H4643" t="s">
        <v>15</v>
      </c>
      <c r="I4643" s="2">
        <v>2.7</v>
      </c>
      <c r="J4643" s="4">
        <v>13</v>
      </c>
      <c r="K4643" s="3">
        <v>4</v>
      </c>
      <c r="L4643" s="1">
        <f t="shared" si="216"/>
        <v>145.7859</v>
      </c>
      <c r="M4643" t="str" cm="1">
        <f t="array" ref="M4643">_xlfn.IFS(B4643&lt;18,"Under 18",B4643 &lt;=25,"18-25",B4643&lt;=35,"26-35",B4643&lt;=45,"36-45",B4643&lt;=60,"46-60",TRUE,"60+")</f>
        <v>18-25</v>
      </c>
      <c r="N4643" t="str">
        <f t="shared" si="217"/>
        <v>Discounted</v>
      </c>
      <c r="O4643" t="str">
        <f t="shared" si="218"/>
        <v>Returning</v>
      </c>
    </row>
    <row r="4644" spans="1:15" x14ac:dyDescent="0.25">
      <c r="A4644">
        <v>4643</v>
      </c>
      <c r="B4644">
        <v>29</v>
      </c>
      <c r="C4644" t="s">
        <v>16</v>
      </c>
      <c r="D4644" t="s">
        <v>17</v>
      </c>
      <c r="E4644" t="s">
        <v>18</v>
      </c>
      <c r="F4644" s="1">
        <v>89.05</v>
      </c>
      <c r="G4644" t="s">
        <v>19</v>
      </c>
      <c r="H4644" t="s">
        <v>37</v>
      </c>
      <c r="I4644" s="2">
        <v>3.8</v>
      </c>
      <c r="J4644" s="4">
        <v>15</v>
      </c>
      <c r="K4644" s="3">
        <v>5</v>
      </c>
      <c r="L4644" s="1">
        <f t="shared" si="216"/>
        <v>75.692499999999995</v>
      </c>
      <c r="M4644" t="str" cm="1">
        <f t="array" ref="M4644">_xlfn.IFS(B4644&lt;18,"Under 18",B4644 &lt;=25,"18-25",B4644&lt;=35,"26-35",B4644&lt;=45,"36-45",B4644&lt;=60,"46-60",TRUE,"60+")</f>
        <v>26-35</v>
      </c>
      <c r="N4644" t="str">
        <f t="shared" si="217"/>
        <v>Discounted</v>
      </c>
      <c r="O4644" t="str">
        <f t="shared" si="218"/>
        <v>Returning</v>
      </c>
    </row>
    <row r="4645" spans="1:15" x14ac:dyDescent="0.25">
      <c r="A4645">
        <v>4644</v>
      </c>
      <c r="B4645">
        <v>41</v>
      </c>
      <c r="C4645" t="s">
        <v>11</v>
      </c>
      <c r="D4645" t="s">
        <v>33</v>
      </c>
      <c r="E4645" t="s">
        <v>34</v>
      </c>
      <c r="F4645" s="1">
        <v>83.85</v>
      </c>
      <c r="G4645" t="s">
        <v>14</v>
      </c>
      <c r="H4645" t="s">
        <v>37</v>
      </c>
      <c r="I4645" s="2">
        <v>4.4000000000000004</v>
      </c>
      <c r="J4645" s="4">
        <v>24</v>
      </c>
      <c r="K4645" s="3">
        <v>7</v>
      </c>
      <c r="L4645" s="1">
        <f t="shared" si="216"/>
        <v>63.725999999999999</v>
      </c>
      <c r="M4645" t="str" cm="1">
        <f t="array" ref="M4645">_xlfn.IFS(B4645&lt;18,"Under 18",B4645 &lt;=25,"18-25",B4645&lt;=35,"26-35",B4645&lt;=45,"36-45",B4645&lt;=60,"46-60",TRUE,"60+")</f>
        <v>36-45</v>
      </c>
      <c r="N4645" t="str">
        <f t="shared" si="217"/>
        <v>Discounted</v>
      </c>
      <c r="O4645" t="str">
        <f t="shared" si="218"/>
        <v>Returning</v>
      </c>
    </row>
    <row r="4646" spans="1:15" x14ac:dyDescent="0.25">
      <c r="A4646">
        <v>4645</v>
      </c>
      <c r="B4646">
        <v>22</v>
      </c>
      <c r="C4646" t="s">
        <v>11</v>
      </c>
      <c r="D4646" t="s">
        <v>41</v>
      </c>
      <c r="E4646" t="s">
        <v>44</v>
      </c>
      <c r="F4646" s="1">
        <v>73.430000000000007</v>
      </c>
      <c r="G4646" t="s">
        <v>14</v>
      </c>
      <c r="H4646" t="s">
        <v>15</v>
      </c>
      <c r="I4646" s="2">
        <v>3.9</v>
      </c>
      <c r="J4646" s="4">
        <v>18</v>
      </c>
      <c r="K4646" s="3">
        <v>4</v>
      </c>
      <c r="L4646" s="1">
        <f t="shared" si="216"/>
        <v>60.212600000000009</v>
      </c>
      <c r="M4646" t="str" cm="1">
        <f t="array" ref="M4646">_xlfn.IFS(B4646&lt;18,"Under 18",B4646 &lt;=25,"18-25",B4646&lt;=35,"26-35",B4646&lt;=45,"36-45",B4646&lt;=60,"46-60",TRUE,"60+")</f>
        <v>18-25</v>
      </c>
      <c r="N4646" t="str">
        <f t="shared" si="217"/>
        <v>Discounted</v>
      </c>
      <c r="O4646" t="str">
        <f t="shared" si="218"/>
        <v>Returning</v>
      </c>
    </row>
    <row r="4647" spans="1:15" x14ac:dyDescent="0.25">
      <c r="A4647">
        <v>4646</v>
      </c>
      <c r="B4647">
        <v>50</v>
      </c>
      <c r="C4647" t="s">
        <v>11</v>
      </c>
      <c r="D4647" t="s">
        <v>22</v>
      </c>
      <c r="E4647" t="s">
        <v>23</v>
      </c>
      <c r="F4647" s="1">
        <v>99.03</v>
      </c>
      <c r="G4647" t="s">
        <v>24</v>
      </c>
      <c r="H4647" t="s">
        <v>15</v>
      </c>
      <c r="I4647" s="2">
        <v>4.5999999999999996</v>
      </c>
      <c r="J4647" s="4">
        <v>17</v>
      </c>
      <c r="K4647" s="3">
        <v>6</v>
      </c>
      <c r="L4647" s="1">
        <f t="shared" si="216"/>
        <v>82.194900000000004</v>
      </c>
      <c r="M4647" t="str" cm="1">
        <f t="array" ref="M4647">_xlfn.IFS(B4647&lt;18,"Under 18",B4647 &lt;=25,"18-25",B4647&lt;=35,"26-35",B4647&lt;=45,"36-45",B4647&lt;=60,"46-60",TRUE,"60+")</f>
        <v>46-60</v>
      </c>
      <c r="N4647" t="str">
        <f t="shared" si="217"/>
        <v>Discounted</v>
      </c>
      <c r="O4647" t="str">
        <f t="shared" si="218"/>
        <v>Returning</v>
      </c>
    </row>
    <row r="4648" spans="1:15" x14ac:dyDescent="0.25">
      <c r="A4648">
        <v>4647</v>
      </c>
      <c r="B4648">
        <v>51</v>
      </c>
      <c r="C4648" t="s">
        <v>16</v>
      </c>
      <c r="D4648" t="s">
        <v>27</v>
      </c>
      <c r="E4648" t="s">
        <v>49</v>
      </c>
      <c r="F4648" s="1">
        <v>912.84</v>
      </c>
      <c r="G4648" t="s">
        <v>31</v>
      </c>
      <c r="H4648" t="s">
        <v>15</v>
      </c>
      <c r="I4648" s="2">
        <v>4.4000000000000004</v>
      </c>
      <c r="J4648" s="4">
        <v>18</v>
      </c>
      <c r="K4648" s="3">
        <v>9</v>
      </c>
      <c r="L4648" s="1">
        <f t="shared" si="216"/>
        <v>748.52880000000005</v>
      </c>
      <c r="M4648" t="str" cm="1">
        <f t="array" ref="M4648">_xlfn.IFS(B4648&lt;18,"Under 18",B4648 &lt;=25,"18-25",B4648&lt;=35,"26-35",B4648&lt;=45,"36-45",B4648&lt;=60,"46-60",TRUE,"60+")</f>
        <v>46-60</v>
      </c>
      <c r="N4648" t="str">
        <f t="shared" si="217"/>
        <v>Discounted</v>
      </c>
      <c r="O4648" t="str">
        <f t="shared" si="218"/>
        <v>Returning</v>
      </c>
    </row>
    <row r="4649" spans="1:15" x14ac:dyDescent="0.25">
      <c r="A4649">
        <v>4648</v>
      </c>
      <c r="B4649">
        <v>30</v>
      </c>
      <c r="C4649" t="s">
        <v>16</v>
      </c>
      <c r="D4649" t="s">
        <v>33</v>
      </c>
      <c r="E4649" t="s">
        <v>38</v>
      </c>
      <c r="F4649" s="1">
        <v>115.58</v>
      </c>
      <c r="G4649" t="s">
        <v>19</v>
      </c>
      <c r="H4649" t="s">
        <v>15</v>
      </c>
      <c r="I4649" s="2">
        <v>4.3</v>
      </c>
      <c r="J4649" s="4">
        <v>15</v>
      </c>
      <c r="K4649" s="3">
        <v>5</v>
      </c>
      <c r="L4649" s="1">
        <f t="shared" si="216"/>
        <v>98.242999999999995</v>
      </c>
      <c r="M4649" t="str" cm="1">
        <f t="array" ref="M4649">_xlfn.IFS(B4649&lt;18,"Under 18",B4649 &lt;=25,"18-25",B4649&lt;=35,"26-35",B4649&lt;=45,"36-45",B4649&lt;=60,"46-60",TRUE,"60+")</f>
        <v>26-35</v>
      </c>
      <c r="N4649" t="str">
        <f t="shared" si="217"/>
        <v>Discounted</v>
      </c>
      <c r="O4649" t="str">
        <f t="shared" si="218"/>
        <v>Returning</v>
      </c>
    </row>
    <row r="4650" spans="1:15" x14ac:dyDescent="0.25">
      <c r="A4650">
        <v>4649</v>
      </c>
      <c r="B4650">
        <v>47</v>
      </c>
      <c r="C4650" t="s">
        <v>16</v>
      </c>
      <c r="D4650" t="s">
        <v>17</v>
      </c>
      <c r="E4650" t="s">
        <v>35</v>
      </c>
      <c r="F4650" s="1">
        <v>93.05</v>
      </c>
      <c r="G4650" t="s">
        <v>24</v>
      </c>
      <c r="H4650" t="s">
        <v>37</v>
      </c>
      <c r="I4650" s="2">
        <v>3.6</v>
      </c>
      <c r="J4650" s="4">
        <v>15</v>
      </c>
      <c r="K4650" s="3">
        <v>5</v>
      </c>
      <c r="L4650" s="1">
        <f t="shared" si="216"/>
        <v>79.092500000000001</v>
      </c>
      <c r="M4650" t="str" cm="1">
        <f t="array" ref="M4650">_xlfn.IFS(B4650&lt;18,"Under 18",B4650 &lt;=25,"18-25",B4650&lt;=35,"26-35",B4650&lt;=45,"36-45",B4650&lt;=60,"46-60",TRUE,"60+")</f>
        <v>46-60</v>
      </c>
      <c r="N4650" t="str">
        <f t="shared" si="217"/>
        <v>Discounted</v>
      </c>
      <c r="O4650" t="str">
        <f t="shared" si="218"/>
        <v>Returning</v>
      </c>
    </row>
    <row r="4651" spans="1:15" x14ac:dyDescent="0.25">
      <c r="A4651">
        <v>4650</v>
      </c>
      <c r="B4651">
        <v>67</v>
      </c>
      <c r="C4651" t="s">
        <v>11</v>
      </c>
      <c r="D4651" t="s">
        <v>41</v>
      </c>
      <c r="E4651" t="s">
        <v>44</v>
      </c>
      <c r="F4651" s="1">
        <v>35.619999999999997</v>
      </c>
      <c r="G4651" t="s">
        <v>19</v>
      </c>
      <c r="H4651" t="s">
        <v>37</v>
      </c>
      <c r="I4651" s="2">
        <v>3.4</v>
      </c>
      <c r="J4651" s="4">
        <v>13</v>
      </c>
      <c r="K4651" s="3">
        <v>4</v>
      </c>
      <c r="L4651" s="1">
        <f t="shared" si="216"/>
        <v>30.989399999999996</v>
      </c>
      <c r="M4651" t="str" cm="1">
        <f t="array" ref="M4651">_xlfn.IFS(B4651&lt;18,"Under 18",B4651 &lt;=25,"18-25",B4651&lt;=35,"26-35",B4651&lt;=45,"36-45",B4651&lt;=60,"46-60",TRUE,"60+")</f>
        <v>60+</v>
      </c>
      <c r="N4651" t="str">
        <f t="shared" si="217"/>
        <v>Discounted</v>
      </c>
      <c r="O4651" t="str">
        <f t="shared" si="218"/>
        <v>Returning</v>
      </c>
    </row>
    <row r="4652" spans="1:15" x14ac:dyDescent="0.25">
      <c r="A4652">
        <v>4651</v>
      </c>
      <c r="B4652">
        <v>64</v>
      </c>
      <c r="C4652" t="s">
        <v>11</v>
      </c>
      <c r="D4652" t="s">
        <v>12</v>
      </c>
      <c r="E4652" t="s">
        <v>50</v>
      </c>
      <c r="F4652" s="1">
        <v>132.69</v>
      </c>
      <c r="G4652" t="s">
        <v>31</v>
      </c>
      <c r="H4652" t="s">
        <v>15</v>
      </c>
      <c r="I4652" s="2">
        <v>3.3</v>
      </c>
      <c r="J4652" s="4">
        <v>19</v>
      </c>
      <c r="K4652" s="3">
        <v>7</v>
      </c>
      <c r="L4652" s="1">
        <f t="shared" si="216"/>
        <v>107.47890000000001</v>
      </c>
      <c r="M4652" t="str" cm="1">
        <f t="array" ref="M4652">_xlfn.IFS(B4652&lt;18,"Under 18",B4652 &lt;=25,"18-25",B4652&lt;=35,"26-35",B4652&lt;=45,"36-45",B4652&lt;=60,"46-60",TRUE,"60+")</f>
        <v>60+</v>
      </c>
      <c r="N4652" t="str">
        <f t="shared" si="217"/>
        <v>Discounted</v>
      </c>
      <c r="O4652" t="str">
        <f t="shared" si="218"/>
        <v>Returning</v>
      </c>
    </row>
    <row r="4653" spans="1:15" x14ac:dyDescent="0.25">
      <c r="A4653">
        <v>4652</v>
      </c>
      <c r="B4653">
        <v>25</v>
      </c>
      <c r="C4653" t="s">
        <v>16</v>
      </c>
      <c r="D4653" t="s">
        <v>17</v>
      </c>
      <c r="E4653" t="s">
        <v>35</v>
      </c>
      <c r="F4653" s="1">
        <v>170.07</v>
      </c>
      <c r="G4653" t="s">
        <v>19</v>
      </c>
      <c r="H4653" t="s">
        <v>15</v>
      </c>
      <c r="I4653" s="2">
        <v>3.6</v>
      </c>
      <c r="J4653" s="4">
        <v>9</v>
      </c>
      <c r="K4653" s="3">
        <v>2</v>
      </c>
      <c r="L4653" s="1">
        <f t="shared" si="216"/>
        <v>154.7637</v>
      </c>
      <c r="M4653" t="str" cm="1">
        <f t="array" ref="M4653">_xlfn.IFS(B4653&lt;18,"Under 18",B4653 &lt;=25,"18-25",B4653&lt;=35,"26-35",B4653&lt;=45,"36-45",B4653&lt;=60,"46-60",TRUE,"60+")</f>
        <v>18-25</v>
      </c>
      <c r="N4653" t="str">
        <f t="shared" si="217"/>
        <v>Discounted</v>
      </c>
      <c r="O4653" t="str">
        <f t="shared" si="218"/>
        <v>Returning</v>
      </c>
    </row>
    <row r="4654" spans="1:15" x14ac:dyDescent="0.25">
      <c r="A4654">
        <v>4653</v>
      </c>
      <c r="B4654">
        <v>48</v>
      </c>
      <c r="C4654" t="s">
        <v>11</v>
      </c>
      <c r="D4654" t="s">
        <v>12</v>
      </c>
      <c r="E4654" t="s">
        <v>56</v>
      </c>
      <c r="F4654" s="1">
        <v>86.33</v>
      </c>
      <c r="G4654" t="s">
        <v>31</v>
      </c>
      <c r="H4654" t="s">
        <v>15</v>
      </c>
      <c r="I4654" s="2">
        <v>3.4</v>
      </c>
      <c r="J4654" s="4">
        <v>6</v>
      </c>
      <c r="K4654" s="3">
        <v>3</v>
      </c>
      <c r="L4654" s="1">
        <f t="shared" si="216"/>
        <v>81.150199999999998</v>
      </c>
      <c r="M4654" t="str" cm="1">
        <f t="array" ref="M4654">_xlfn.IFS(B4654&lt;18,"Under 18",B4654 &lt;=25,"18-25",B4654&lt;=35,"26-35",B4654&lt;=45,"36-45",B4654&lt;=60,"46-60",TRUE,"60+")</f>
        <v>46-60</v>
      </c>
      <c r="N4654" t="str">
        <f t="shared" si="217"/>
        <v>Discounted</v>
      </c>
      <c r="O4654" t="str">
        <f t="shared" si="218"/>
        <v>Returning</v>
      </c>
    </row>
    <row r="4655" spans="1:15" x14ac:dyDescent="0.25">
      <c r="A4655">
        <v>4654</v>
      </c>
      <c r="B4655">
        <v>47</v>
      </c>
      <c r="C4655" t="s">
        <v>16</v>
      </c>
      <c r="D4655" t="s">
        <v>27</v>
      </c>
      <c r="E4655" t="s">
        <v>53</v>
      </c>
      <c r="F4655" s="1">
        <v>2683.15</v>
      </c>
      <c r="G4655" t="s">
        <v>14</v>
      </c>
      <c r="H4655" t="s">
        <v>15</v>
      </c>
      <c r="I4655" s="2">
        <v>3.3</v>
      </c>
      <c r="J4655" s="4">
        <v>11</v>
      </c>
      <c r="K4655" s="3">
        <v>3</v>
      </c>
      <c r="L4655" s="1">
        <f t="shared" si="216"/>
        <v>2388.0035000000003</v>
      </c>
      <c r="M4655" t="str" cm="1">
        <f t="array" ref="M4655">_xlfn.IFS(B4655&lt;18,"Under 18",B4655 &lt;=25,"18-25",B4655&lt;=35,"26-35",B4655&lt;=45,"36-45",B4655&lt;=60,"46-60",TRUE,"60+")</f>
        <v>46-60</v>
      </c>
      <c r="N4655" t="str">
        <f t="shared" si="217"/>
        <v>Discounted</v>
      </c>
      <c r="O4655" t="str">
        <f t="shared" si="218"/>
        <v>Returning</v>
      </c>
    </row>
    <row r="4656" spans="1:15" x14ac:dyDescent="0.25">
      <c r="A4656">
        <v>4655</v>
      </c>
      <c r="B4656">
        <v>64</v>
      </c>
      <c r="C4656" t="s">
        <v>16</v>
      </c>
      <c r="D4656" t="s">
        <v>27</v>
      </c>
      <c r="E4656" t="s">
        <v>32</v>
      </c>
      <c r="F4656" s="1">
        <v>1406.03</v>
      </c>
      <c r="G4656" t="s">
        <v>24</v>
      </c>
      <c r="H4656" t="s">
        <v>15</v>
      </c>
      <c r="I4656" s="2">
        <v>3.7</v>
      </c>
      <c r="J4656" s="4">
        <v>22</v>
      </c>
      <c r="K4656" s="3">
        <v>6</v>
      </c>
      <c r="L4656" s="1">
        <f t="shared" si="216"/>
        <v>1096.7034000000001</v>
      </c>
      <c r="M4656" t="str" cm="1">
        <f t="array" ref="M4656">_xlfn.IFS(B4656&lt;18,"Under 18",B4656 &lt;=25,"18-25",B4656&lt;=35,"26-35",B4656&lt;=45,"36-45",B4656&lt;=60,"46-60",TRUE,"60+")</f>
        <v>60+</v>
      </c>
      <c r="N4656" t="str">
        <f t="shared" si="217"/>
        <v>Discounted</v>
      </c>
      <c r="O4656" t="str">
        <f t="shared" si="218"/>
        <v>Returning</v>
      </c>
    </row>
    <row r="4657" spans="1:15" x14ac:dyDescent="0.25">
      <c r="A4657">
        <v>4656</v>
      </c>
      <c r="B4657">
        <v>41</v>
      </c>
      <c r="C4657" t="s">
        <v>11</v>
      </c>
      <c r="D4657" t="s">
        <v>33</v>
      </c>
      <c r="E4657" t="s">
        <v>34</v>
      </c>
      <c r="F4657" s="1">
        <v>192.14</v>
      </c>
      <c r="G4657" t="s">
        <v>31</v>
      </c>
      <c r="H4657" t="s">
        <v>15</v>
      </c>
      <c r="I4657" s="2">
        <v>3.8</v>
      </c>
      <c r="J4657" s="4">
        <v>13</v>
      </c>
      <c r="K4657" s="3">
        <v>4</v>
      </c>
      <c r="L4657" s="1">
        <f t="shared" si="216"/>
        <v>167.1618</v>
      </c>
      <c r="M4657" t="str" cm="1">
        <f t="array" ref="M4657">_xlfn.IFS(B4657&lt;18,"Under 18",B4657 &lt;=25,"18-25",B4657&lt;=35,"26-35",B4657&lt;=45,"36-45",B4657&lt;=60,"46-60",TRUE,"60+")</f>
        <v>36-45</v>
      </c>
      <c r="N4657" t="str">
        <f t="shared" si="217"/>
        <v>Discounted</v>
      </c>
      <c r="O4657" t="str">
        <f t="shared" si="218"/>
        <v>Returning</v>
      </c>
    </row>
    <row r="4658" spans="1:15" x14ac:dyDescent="0.25">
      <c r="A4658">
        <v>4657</v>
      </c>
      <c r="B4658">
        <v>56</v>
      </c>
      <c r="C4658" t="s">
        <v>11</v>
      </c>
      <c r="D4658" t="s">
        <v>33</v>
      </c>
      <c r="E4658" t="s">
        <v>38</v>
      </c>
      <c r="F4658" s="1">
        <v>234.23</v>
      </c>
      <c r="G4658" t="s">
        <v>19</v>
      </c>
      <c r="H4658" t="s">
        <v>15</v>
      </c>
      <c r="I4658" s="2">
        <v>4.7</v>
      </c>
      <c r="J4658" s="4">
        <v>13</v>
      </c>
      <c r="K4658" s="3">
        <v>4</v>
      </c>
      <c r="L4658" s="1">
        <f t="shared" si="216"/>
        <v>203.78009999999998</v>
      </c>
      <c r="M4658" t="str" cm="1">
        <f t="array" ref="M4658">_xlfn.IFS(B4658&lt;18,"Under 18",B4658 &lt;=25,"18-25",B4658&lt;=35,"26-35",B4658&lt;=45,"36-45",B4658&lt;=60,"46-60",TRUE,"60+")</f>
        <v>46-60</v>
      </c>
      <c r="N4658" t="str">
        <f t="shared" si="217"/>
        <v>Discounted</v>
      </c>
      <c r="O4658" t="str">
        <f t="shared" si="218"/>
        <v>Returning</v>
      </c>
    </row>
    <row r="4659" spans="1:15" x14ac:dyDescent="0.25">
      <c r="A4659">
        <v>4658</v>
      </c>
      <c r="B4659">
        <v>65</v>
      </c>
      <c r="C4659" t="s">
        <v>11</v>
      </c>
      <c r="D4659" t="s">
        <v>41</v>
      </c>
      <c r="E4659" t="s">
        <v>45</v>
      </c>
      <c r="F4659" s="1">
        <v>50.96</v>
      </c>
      <c r="G4659" t="s">
        <v>14</v>
      </c>
      <c r="H4659" t="s">
        <v>15</v>
      </c>
      <c r="I4659" s="2">
        <v>4</v>
      </c>
      <c r="J4659" s="4">
        <v>23</v>
      </c>
      <c r="K4659" s="3">
        <v>9</v>
      </c>
      <c r="L4659" s="1">
        <f t="shared" si="216"/>
        <v>39.239200000000004</v>
      </c>
      <c r="M4659" t="str" cm="1">
        <f t="array" ref="M4659">_xlfn.IFS(B4659&lt;18,"Under 18",B4659 &lt;=25,"18-25",B4659&lt;=35,"26-35",B4659&lt;=45,"36-45",B4659&lt;=60,"46-60",TRUE,"60+")</f>
        <v>60+</v>
      </c>
      <c r="N4659" t="str">
        <f t="shared" si="217"/>
        <v>Discounted</v>
      </c>
      <c r="O4659" t="str">
        <f t="shared" si="218"/>
        <v>Returning</v>
      </c>
    </row>
    <row r="4660" spans="1:15" x14ac:dyDescent="0.25">
      <c r="A4660">
        <v>4659</v>
      </c>
      <c r="B4660">
        <v>62</v>
      </c>
      <c r="C4660" t="s">
        <v>11</v>
      </c>
      <c r="D4660" t="s">
        <v>33</v>
      </c>
      <c r="E4660" t="s">
        <v>40</v>
      </c>
      <c r="F4660" s="1">
        <v>50.04</v>
      </c>
      <c r="G4660" t="s">
        <v>19</v>
      </c>
      <c r="H4660" t="s">
        <v>37</v>
      </c>
      <c r="I4660" s="2">
        <v>2.5</v>
      </c>
      <c r="J4660" s="4">
        <v>19</v>
      </c>
      <c r="K4660" s="3">
        <v>7</v>
      </c>
      <c r="L4660" s="1">
        <f t="shared" si="216"/>
        <v>40.532400000000003</v>
      </c>
      <c r="M4660" t="str" cm="1">
        <f t="array" ref="M4660">_xlfn.IFS(B4660&lt;18,"Under 18",B4660 &lt;=25,"18-25",B4660&lt;=35,"26-35",B4660&lt;=45,"36-45",B4660&lt;=60,"46-60",TRUE,"60+")</f>
        <v>60+</v>
      </c>
      <c r="N4660" t="str">
        <f t="shared" si="217"/>
        <v>Discounted</v>
      </c>
      <c r="O4660" t="str">
        <f t="shared" si="218"/>
        <v>Returning</v>
      </c>
    </row>
    <row r="4661" spans="1:15" x14ac:dyDescent="0.25">
      <c r="A4661">
        <v>4660</v>
      </c>
      <c r="B4661">
        <v>63</v>
      </c>
      <c r="C4661" t="s">
        <v>16</v>
      </c>
      <c r="D4661" t="s">
        <v>17</v>
      </c>
      <c r="E4661" t="s">
        <v>42</v>
      </c>
      <c r="F4661" s="1">
        <v>156.43</v>
      </c>
      <c r="G4661" t="s">
        <v>24</v>
      </c>
      <c r="H4661" t="s">
        <v>15</v>
      </c>
      <c r="I4661" s="2">
        <v>3.7</v>
      </c>
      <c r="J4661" s="4">
        <v>13</v>
      </c>
      <c r="K4661" s="3">
        <v>4</v>
      </c>
      <c r="L4661" s="1">
        <f t="shared" si="216"/>
        <v>136.0941</v>
      </c>
      <c r="M4661" t="str" cm="1">
        <f t="array" ref="M4661">_xlfn.IFS(B4661&lt;18,"Under 18",B4661 &lt;=25,"18-25",B4661&lt;=35,"26-35",B4661&lt;=45,"36-45",B4661&lt;=60,"46-60",TRUE,"60+")</f>
        <v>60+</v>
      </c>
      <c r="N4661" t="str">
        <f t="shared" si="217"/>
        <v>Discounted</v>
      </c>
      <c r="O4661" t="str">
        <f t="shared" si="218"/>
        <v>Returning</v>
      </c>
    </row>
    <row r="4662" spans="1:15" x14ac:dyDescent="0.25">
      <c r="A4662">
        <v>4661</v>
      </c>
      <c r="B4662">
        <v>32</v>
      </c>
      <c r="C4662" t="s">
        <v>11</v>
      </c>
      <c r="D4662" t="s">
        <v>33</v>
      </c>
      <c r="E4662" t="s">
        <v>34</v>
      </c>
      <c r="F4662" s="1">
        <v>44.71</v>
      </c>
      <c r="G4662" t="s">
        <v>24</v>
      </c>
      <c r="H4662" t="s">
        <v>37</v>
      </c>
      <c r="I4662" s="2">
        <v>3.8</v>
      </c>
      <c r="J4662" s="4">
        <v>18</v>
      </c>
      <c r="K4662" s="3">
        <v>4</v>
      </c>
      <c r="L4662" s="1">
        <f t="shared" si="216"/>
        <v>36.662200000000006</v>
      </c>
      <c r="M4662" t="str" cm="1">
        <f t="array" ref="M4662">_xlfn.IFS(B4662&lt;18,"Under 18",B4662 &lt;=25,"18-25",B4662&lt;=35,"26-35",B4662&lt;=45,"36-45",B4662&lt;=60,"46-60",TRUE,"60+")</f>
        <v>26-35</v>
      </c>
      <c r="N4662" t="str">
        <f t="shared" si="217"/>
        <v>Discounted</v>
      </c>
      <c r="O4662" t="str">
        <f t="shared" si="218"/>
        <v>Returning</v>
      </c>
    </row>
    <row r="4663" spans="1:15" x14ac:dyDescent="0.25">
      <c r="A4663">
        <v>4662</v>
      </c>
      <c r="B4663">
        <v>42</v>
      </c>
      <c r="C4663" t="s">
        <v>16</v>
      </c>
      <c r="D4663" t="s">
        <v>33</v>
      </c>
      <c r="E4663" t="s">
        <v>34</v>
      </c>
      <c r="F4663" s="1">
        <v>220.57</v>
      </c>
      <c r="G4663" t="s">
        <v>19</v>
      </c>
      <c r="H4663" t="s">
        <v>15</v>
      </c>
      <c r="I4663" s="2">
        <v>2.4</v>
      </c>
      <c r="J4663" s="4">
        <v>15</v>
      </c>
      <c r="K4663" s="3">
        <v>5</v>
      </c>
      <c r="L4663" s="1">
        <f t="shared" si="216"/>
        <v>187.4845</v>
      </c>
      <c r="M4663" t="str" cm="1">
        <f t="array" ref="M4663">_xlfn.IFS(B4663&lt;18,"Under 18",B4663 &lt;=25,"18-25",B4663&lt;=35,"26-35",B4663&lt;=45,"36-45",B4663&lt;=60,"46-60",TRUE,"60+")</f>
        <v>36-45</v>
      </c>
      <c r="N4663" t="str">
        <f t="shared" si="217"/>
        <v>Discounted</v>
      </c>
      <c r="O4663" t="str">
        <f t="shared" si="218"/>
        <v>Returning</v>
      </c>
    </row>
    <row r="4664" spans="1:15" x14ac:dyDescent="0.25">
      <c r="A4664">
        <v>4663</v>
      </c>
      <c r="B4664">
        <v>31</v>
      </c>
      <c r="C4664" t="s">
        <v>11</v>
      </c>
      <c r="D4664" t="s">
        <v>33</v>
      </c>
      <c r="E4664" t="s">
        <v>38</v>
      </c>
      <c r="F4664" s="1">
        <v>42.84</v>
      </c>
      <c r="G4664" t="s">
        <v>14</v>
      </c>
      <c r="H4664" t="s">
        <v>37</v>
      </c>
      <c r="I4664" s="2">
        <v>3.4</v>
      </c>
      <c r="J4664" s="4">
        <v>5</v>
      </c>
      <c r="K4664" s="3">
        <v>0</v>
      </c>
      <c r="L4664" s="1">
        <f t="shared" si="216"/>
        <v>40.698</v>
      </c>
      <c r="M4664" t="str" cm="1">
        <f t="array" ref="M4664">_xlfn.IFS(B4664&lt;18,"Under 18",B4664 &lt;=25,"18-25",B4664&lt;=35,"26-35",B4664&lt;=45,"36-45",B4664&lt;=60,"46-60",TRUE,"60+")</f>
        <v>26-35</v>
      </c>
      <c r="N4664" t="str">
        <f t="shared" si="217"/>
        <v>Discounted</v>
      </c>
      <c r="O4664" t="str">
        <f t="shared" si="218"/>
        <v>New</v>
      </c>
    </row>
    <row r="4665" spans="1:15" x14ac:dyDescent="0.25">
      <c r="A4665">
        <v>4664</v>
      </c>
      <c r="B4665">
        <v>65</v>
      </c>
      <c r="C4665" t="s">
        <v>16</v>
      </c>
      <c r="D4665" t="s">
        <v>20</v>
      </c>
      <c r="E4665" t="s">
        <v>21</v>
      </c>
      <c r="F4665" s="1">
        <v>182.38</v>
      </c>
      <c r="G4665" t="s">
        <v>24</v>
      </c>
      <c r="H4665" t="s">
        <v>15</v>
      </c>
      <c r="I4665" s="2">
        <v>4.5999999999999996</v>
      </c>
      <c r="J4665" s="4">
        <v>11</v>
      </c>
      <c r="K4665" s="3">
        <v>3</v>
      </c>
      <c r="L4665" s="1">
        <f t="shared" si="216"/>
        <v>162.31819999999999</v>
      </c>
      <c r="M4665" t="str" cm="1">
        <f t="array" ref="M4665">_xlfn.IFS(B4665&lt;18,"Under 18",B4665 &lt;=25,"18-25",B4665&lt;=35,"26-35",B4665&lt;=45,"36-45",B4665&lt;=60,"46-60",TRUE,"60+")</f>
        <v>60+</v>
      </c>
      <c r="N4665" t="str">
        <f t="shared" si="217"/>
        <v>Discounted</v>
      </c>
      <c r="O4665" t="str">
        <f t="shared" si="218"/>
        <v>Returning</v>
      </c>
    </row>
    <row r="4666" spans="1:15" x14ac:dyDescent="0.25">
      <c r="A4666">
        <v>4665</v>
      </c>
      <c r="B4666">
        <v>47</v>
      </c>
      <c r="C4666" t="s">
        <v>16</v>
      </c>
      <c r="D4666" t="s">
        <v>33</v>
      </c>
      <c r="E4666" t="s">
        <v>34</v>
      </c>
      <c r="F4666" s="1">
        <v>147.94</v>
      </c>
      <c r="G4666" t="s">
        <v>19</v>
      </c>
      <c r="H4666" t="s">
        <v>15</v>
      </c>
      <c r="I4666" s="2">
        <v>4.3</v>
      </c>
      <c r="J4666" s="4">
        <v>26</v>
      </c>
      <c r="K4666" s="3">
        <v>8</v>
      </c>
      <c r="L4666" s="1">
        <f t="shared" si="216"/>
        <v>109.4756</v>
      </c>
      <c r="M4666" t="str" cm="1">
        <f t="array" ref="M4666">_xlfn.IFS(B4666&lt;18,"Under 18",B4666 &lt;=25,"18-25",B4666&lt;=35,"26-35",B4666&lt;=45,"36-45",B4666&lt;=60,"46-60",TRUE,"60+")</f>
        <v>46-60</v>
      </c>
      <c r="N4666" t="str">
        <f t="shared" si="217"/>
        <v>Discounted</v>
      </c>
      <c r="O4666" t="str">
        <f t="shared" si="218"/>
        <v>Returning</v>
      </c>
    </row>
    <row r="4667" spans="1:15" x14ac:dyDescent="0.25">
      <c r="A4667">
        <v>4666</v>
      </c>
      <c r="B4667">
        <v>55</v>
      </c>
      <c r="C4667" t="s">
        <v>16</v>
      </c>
      <c r="D4667" t="s">
        <v>17</v>
      </c>
      <c r="E4667" t="s">
        <v>42</v>
      </c>
      <c r="F4667" s="1">
        <v>178.41</v>
      </c>
      <c r="G4667" t="s">
        <v>14</v>
      </c>
      <c r="H4667" t="s">
        <v>15</v>
      </c>
      <c r="I4667" s="2">
        <v>4</v>
      </c>
      <c r="J4667" s="4">
        <v>11</v>
      </c>
      <c r="K4667" s="3">
        <v>3</v>
      </c>
      <c r="L4667" s="1">
        <f t="shared" si="216"/>
        <v>158.78489999999999</v>
      </c>
      <c r="M4667" t="str" cm="1">
        <f t="array" ref="M4667">_xlfn.IFS(B4667&lt;18,"Under 18",B4667 &lt;=25,"18-25",B4667&lt;=35,"26-35",B4667&lt;=45,"36-45",B4667&lt;=60,"46-60",TRUE,"60+")</f>
        <v>46-60</v>
      </c>
      <c r="N4667" t="str">
        <f t="shared" si="217"/>
        <v>Discounted</v>
      </c>
      <c r="O4667" t="str">
        <f t="shared" si="218"/>
        <v>Returning</v>
      </c>
    </row>
    <row r="4668" spans="1:15" x14ac:dyDescent="0.25">
      <c r="A4668">
        <v>4667</v>
      </c>
      <c r="B4668">
        <v>35</v>
      </c>
      <c r="C4668" t="s">
        <v>11</v>
      </c>
      <c r="D4668" t="s">
        <v>29</v>
      </c>
      <c r="E4668" t="s">
        <v>51</v>
      </c>
      <c r="F4668" s="1">
        <v>24.39</v>
      </c>
      <c r="G4668" t="s">
        <v>14</v>
      </c>
      <c r="H4668" t="s">
        <v>15</v>
      </c>
      <c r="I4668" s="2">
        <v>2.9</v>
      </c>
      <c r="J4668" s="4">
        <v>14</v>
      </c>
      <c r="K4668" s="3">
        <v>2</v>
      </c>
      <c r="L4668" s="1">
        <f t="shared" si="216"/>
        <v>20.9754</v>
      </c>
      <c r="M4668" t="str" cm="1">
        <f t="array" ref="M4668">_xlfn.IFS(B4668&lt;18,"Under 18",B4668 &lt;=25,"18-25",B4668&lt;=35,"26-35",B4668&lt;=45,"36-45",B4668&lt;=60,"46-60",TRUE,"60+")</f>
        <v>26-35</v>
      </c>
      <c r="N4668" t="str">
        <f t="shared" si="217"/>
        <v>Discounted</v>
      </c>
      <c r="O4668" t="str">
        <f t="shared" si="218"/>
        <v>Returning</v>
      </c>
    </row>
    <row r="4669" spans="1:15" x14ac:dyDescent="0.25">
      <c r="A4669">
        <v>4668</v>
      </c>
      <c r="B4669">
        <v>42</v>
      </c>
      <c r="C4669" t="s">
        <v>11</v>
      </c>
      <c r="D4669" t="s">
        <v>29</v>
      </c>
      <c r="E4669" t="s">
        <v>30</v>
      </c>
      <c r="F4669" s="1">
        <v>94.95</v>
      </c>
      <c r="G4669" t="s">
        <v>24</v>
      </c>
      <c r="H4669" t="s">
        <v>15</v>
      </c>
      <c r="I4669" s="2">
        <v>3.6</v>
      </c>
      <c r="J4669" s="4">
        <v>9</v>
      </c>
      <c r="K4669" s="3">
        <v>2</v>
      </c>
      <c r="L4669" s="1">
        <f t="shared" si="216"/>
        <v>86.404499999999999</v>
      </c>
      <c r="M4669" t="str" cm="1">
        <f t="array" ref="M4669">_xlfn.IFS(B4669&lt;18,"Under 18",B4669 &lt;=25,"18-25",B4669&lt;=35,"26-35",B4669&lt;=45,"36-45",B4669&lt;=60,"46-60",TRUE,"60+")</f>
        <v>36-45</v>
      </c>
      <c r="N4669" t="str">
        <f t="shared" si="217"/>
        <v>Discounted</v>
      </c>
      <c r="O4669" t="str">
        <f t="shared" si="218"/>
        <v>Returning</v>
      </c>
    </row>
    <row r="4670" spans="1:15" x14ac:dyDescent="0.25">
      <c r="A4670">
        <v>4669</v>
      </c>
      <c r="B4670">
        <v>60</v>
      </c>
      <c r="C4670" t="s">
        <v>11</v>
      </c>
      <c r="D4670" t="s">
        <v>20</v>
      </c>
      <c r="E4670" t="s">
        <v>36</v>
      </c>
      <c r="F4670" s="1">
        <v>119.16</v>
      </c>
      <c r="G4670" t="s">
        <v>31</v>
      </c>
      <c r="H4670" t="s">
        <v>15</v>
      </c>
      <c r="I4670" s="2">
        <v>4.3</v>
      </c>
      <c r="J4670" s="4">
        <v>5</v>
      </c>
      <c r="K4670" s="3">
        <v>0</v>
      </c>
      <c r="L4670" s="1">
        <f t="shared" si="216"/>
        <v>113.202</v>
      </c>
      <c r="M4670" t="str" cm="1">
        <f t="array" ref="M4670">_xlfn.IFS(B4670&lt;18,"Under 18",B4670 &lt;=25,"18-25",B4670&lt;=35,"26-35",B4670&lt;=45,"36-45",B4670&lt;=60,"46-60",TRUE,"60+")</f>
        <v>46-60</v>
      </c>
      <c r="N4670" t="str">
        <f t="shared" si="217"/>
        <v>Discounted</v>
      </c>
      <c r="O4670" t="str">
        <f t="shared" si="218"/>
        <v>New</v>
      </c>
    </row>
    <row r="4671" spans="1:15" x14ac:dyDescent="0.25">
      <c r="A4671">
        <v>4670</v>
      </c>
      <c r="B4671">
        <v>66</v>
      </c>
      <c r="C4671" t="s">
        <v>11</v>
      </c>
      <c r="D4671" t="s">
        <v>29</v>
      </c>
      <c r="E4671" t="s">
        <v>30</v>
      </c>
      <c r="F4671" s="1">
        <v>102.5</v>
      </c>
      <c r="G4671" t="s">
        <v>31</v>
      </c>
      <c r="H4671" t="s">
        <v>15</v>
      </c>
      <c r="I4671" s="2">
        <v>3.1</v>
      </c>
      <c r="J4671" s="4">
        <v>10</v>
      </c>
      <c r="K4671" s="3">
        <v>5</v>
      </c>
      <c r="L4671" s="1">
        <f t="shared" si="216"/>
        <v>92.25</v>
      </c>
      <c r="M4671" t="str" cm="1">
        <f t="array" ref="M4671">_xlfn.IFS(B4671&lt;18,"Under 18",B4671 &lt;=25,"18-25",B4671&lt;=35,"26-35",B4671&lt;=45,"36-45",B4671&lt;=60,"46-60",TRUE,"60+")</f>
        <v>60+</v>
      </c>
      <c r="N4671" t="str">
        <f t="shared" si="217"/>
        <v>Discounted</v>
      </c>
      <c r="O4671" t="str">
        <f t="shared" si="218"/>
        <v>Returning</v>
      </c>
    </row>
    <row r="4672" spans="1:15" x14ac:dyDescent="0.25">
      <c r="A4672">
        <v>4671</v>
      </c>
      <c r="B4672">
        <v>54</v>
      </c>
      <c r="C4672" t="s">
        <v>11</v>
      </c>
      <c r="D4672" t="s">
        <v>12</v>
      </c>
      <c r="E4672" t="s">
        <v>13</v>
      </c>
      <c r="F4672" s="1">
        <v>151.18</v>
      </c>
      <c r="G4672" t="s">
        <v>19</v>
      </c>
      <c r="H4672" t="s">
        <v>15</v>
      </c>
      <c r="I4672" s="2">
        <v>4.9000000000000004</v>
      </c>
      <c r="J4672" s="4">
        <v>11</v>
      </c>
      <c r="K4672" s="3">
        <v>3</v>
      </c>
      <c r="L4672" s="1">
        <f t="shared" si="216"/>
        <v>134.55020000000002</v>
      </c>
      <c r="M4672" t="str" cm="1">
        <f t="array" ref="M4672">_xlfn.IFS(B4672&lt;18,"Under 18",B4672 &lt;=25,"18-25",B4672&lt;=35,"26-35",B4672&lt;=45,"36-45",B4672&lt;=60,"46-60",TRUE,"60+")</f>
        <v>46-60</v>
      </c>
      <c r="N4672" t="str">
        <f t="shared" si="217"/>
        <v>Discounted</v>
      </c>
      <c r="O4672" t="str">
        <f t="shared" si="218"/>
        <v>Returning</v>
      </c>
    </row>
    <row r="4673" spans="1:15" x14ac:dyDescent="0.25">
      <c r="A4673">
        <v>4672</v>
      </c>
      <c r="B4673">
        <v>69</v>
      </c>
      <c r="C4673" t="s">
        <v>16</v>
      </c>
      <c r="D4673" t="s">
        <v>17</v>
      </c>
      <c r="E4673" t="s">
        <v>42</v>
      </c>
      <c r="F4673" s="1">
        <v>172.82</v>
      </c>
      <c r="G4673" t="s">
        <v>14</v>
      </c>
      <c r="H4673" t="s">
        <v>15</v>
      </c>
      <c r="I4673" s="2">
        <v>3.2</v>
      </c>
      <c r="J4673" s="4">
        <v>17</v>
      </c>
      <c r="K4673" s="3">
        <v>6</v>
      </c>
      <c r="L4673" s="1">
        <f t="shared" si="216"/>
        <v>143.44059999999999</v>
      </c>
      <c r="M4673" t="str" cm="1">
        <f t="array" ref="M4673">_xlfn.IFS(B4673&lt;18,"Under 18",B4673 &lt;=25,"18-25",B4673&lt;=35,"26-35",B4673&lt;=45,"36-45",B4673&lt;=60,"46-60",TRUE,"60+")</f>
        <v>60+</v>
      </c>
      <c r="N4673" t="str">
        <f t="shared" si="217"/>
        <v>Discounted</v>
      </c>
      <c r="O4673" t="str">
        <f t="shared" si="218"/>
        <v>Returning</v>
      </c>
    </row>
    <row r="4674" spans="1:15" x14ac:dyDescent="0.25">
      <c r="A4674">
        <v>4673</v>
      </c>
      <c r="B4674">
        <v>59</v>
      </c>
      <c r="C4674" t="s">
        <v>16</v>
      </c>
      <c r="D4674" t="s">
        <v>20</v>
      </c>
      <c r="E4674" t="s">
        <v>39</v>
      </c>
      <c r="F4674" s="1">
        <v>181.52</v>
      </c>
      <c r="G4674" t="s">
        <v>19</v>
      </c>
      <c r="H4674" t="s">
        <v>15</v>
      </c>
      <c r="I4674" s="2">
        <v>4.4000000000000004</v>
      </c>
      <c r="J4674" s="4">
        <v>20</v>
      </c>
      <c r="K4674" s="3">
        <v>5</v>
      </c>
      <c r="L4674" s="1">
        <f t="shared" si="216"/>
        <v>145.21600000000001</v>
      </c>
      <c r="M4674" t="str" cm="1">
        <f t="array" ref="M4674">_xlfn.IFS(B4674&lt;18,"Under 18",B4674 &lt;=25,"18-25",B4674&lt;=35,"26-35",B4674&lt;=45,"36-45",B4674&lt;=60,"46-60",TRUE,"60+")</f>
        <v>46-60</v>
      </c>
      <c r="N4674" t="str">
        <f t="shared" si="217"/>
        <v>Discounted</v>
      </c>
      <c r="O4674" t="str">
        <f t="shared" si="218"/>
        <v>Returning</v>
      </c>
    </row>
    <row r="4675" spans="1:15" x14ac:dyDescent="0.25">
      <c r="A4675">
        <v>4674</v>
      </c>
      <c r="B4675">
        <v>23</v>
      </c>
      <c r="C4675" t="s">
        <v>11</v>
      </c>
      <c r="D4675" t="s">
        <v>12</v>
      </c>
      <c r="E4675" t="s">
        <v>13</v>
      </c>
      <c r="F4675" s="1">
        <v>120.86</v>
      </c>
      <c r="G4675" t="s">
        <v>19</v>
      </c>
      <c r="H4675" t="s">
        <v>15</v>
      </c>
      <c r="I4675" s="2">
        <v>3.9</v>
      </c>
      <c r="J4675" s="4">
        <v>8</v>
      </c>
      <c r="K4675" s="3">
        <v>4</v>
      </c>
      <c r="L4675" s="1">
        <f t="shared" ref="L4675:L4738" si="219">F4675 * (1 - J4675 / 100)</f>
        <v>111.19120000000001</v>
      </c>
      <c r="M4675" t="str" cm="1">
        <f t="array" ref="M4675">_xlfn.IFS(B4675&lt;18,"Under 18",B4675 &lt;=25,"18-25",B4675&lt;=35,"26-35",B4675&lt;=45,"36-45",B4675&lt;=60,"46-60",TRUE,"60+")</f>
        <v>18-25</v>
      </c>
      <c r="N4675" t="str">
        <f t="shared" ref="N4675:N4738" si="220">IF(J4675&gt;0,"Discounted","No Discount")</f>
        <v>Discounted</v>
      </c>
      <c r="O4675" t="str">
        <f t="shared" ref="O4675:O4738" si="221">IF(K4675&gt;0,"Returning","New")</f>
        <v>Returning</v>
      </c>
    </row>
    <row r="4676" spans="1:15" x14ac:dyDescent="0.25">
      <c r="A4676">
        <v>4675</v>
      </c>
      <c r="B4676">
        <v>45</v>
      </c>
      <c r="C4676" t="s">
        <v>16</v>
      </c>
      <c r="D4676" t="s">
        <v>20</v>
      </c>
      <c r="E4676" t="s">
        <v>36</v>
      </c>
      <c r="F4676" s="1">
        <v>153.69999999999999</v>
      </c>
      <c r="G4676" t="s">
        <v>19</v>
      </c>
      <c r="H4676" t="s">
        <v>15</v>
      </c>
      <c r="I4676" s="2">
        <v>2.9</v>
      </c>
      <c r="J4676" s="4">
        <v>12</v>
      </c>
      <c r="K4676" s="3">
        <v>6</v>
      </c>
      <c r="L4676" s="1">
        <f t="shared" si="219"/>
        <v>135.256</v>
      </c>
      <c r="M4676" t="str" cm="1">
        <f t="array" ref="M4676">_xlfn.IFS(B4676&lt;18,"Under 18",B4676 &lt;=25,"18-25",B4676&lt;=35,"26-35",B4676&lt;=45,"36-45",B4676&lt;=60,"46-60",TRUE,"60+")</f>
        <v>36-45</v>
      </c>
      <c r="N4676" t="str">
        <f t="shared" si="220"/>
        <v>Discounted</v>
      </c>
      <c r="O4676" t="str">
        <f t="shared" si="221"/>
        <v>Returning</v>
      </c>
    </row>
    <row r="4677" spans="1:15" x14ac:dyDescent="0.25">
      <c r="A4677">
        <v>4676</v>
      </c>
      <c r="B4677">
        <v>55</v>
      </c>
      <c r="C4677" t="s">
        <v>11</v>
      </c>
      <c r="D4677" t="s">
        <v>33</v>
      </c>
      <c r="E4677" t="s">
        <v>40</v>
      </c>
      <c r="F4677" s="1">
        <v>220.12</v>
      </c>
      <c r="G4677" t="s">
        <v>19</v>
      </c>
      <c r="H4677" t="s">
        <v>15</v>
      </c>
      <c r="I4677" s="2">
        <v>3.7</v>
      </c>
      <c r="J4677" s="4">
        <v>15</v>
      </c>
      <c r="K4677" s="3">
        <v>5</v>
      </c>
      <c r="L4677" s="1">
        <f t="shared" si="219"/>
        <v>187.102</v>
      </c>
      <c r="M4677" t="str" cm="1">
        <f t="array" ref="M4677">_xlfn.IFS(B4677&lt;18,"Under 18",B4677 &lt;=25,"18-25",B4677&lt;=35,"26-35",B4677&lt;=45,"36-45",B4677&lt;=60,"46-60",TRUE,"60+")</f>
        <v>46-60</v>
      </c>
      <c r="N4677" t="str">
        <f t="shared" si="220"/>
        <v>Discounted</v>
      </c>
      <c r="O4677" t="str">
        <f t="shared" si="221"/>
        <v>Returning</v>
      </c>
    </row>
    <row r="4678" spans="1:15" x14ac:dyDescent="0.25">
      <c r="A4678">
        <v>4677</v>
      </c>
      <c r="B4678">
        <v>56</v>
      </c>
      <c r="C4678" t="s">
        <v>16</v>
      </c>
      <c r="D4678" t="s">
        <v>33</v>
      </c>
      <c r="E4678" t="s">
        <v>34</v>
      </c>
      <c r="F4678" s="1">
        <v>197.64</v>
      </c>
      <c r="G4678" t="s">
        <v>24</v>
      </c>
      <c r="H4678" t="s">
        <v>15</v>
      </c>
      <c r="I4678" s="2">
        <v>3.8</v>
      </c>
      <c r="J4678" s="4">
        <v>21</v>
      </c>
      <c r="K4678" s="3">
        <v>8</v>
      </c>
      <c r="L4678" s="1">
        <f t="shared" si="219"/>
        <v>156.13559999999998</v>
      </c>
      <c r="M4678" t="str" cm="1">
        <f t="array" ref="M4678">_xlfn.IFS(B4678&lt;18,"Under 18",B4678 &lt;=25,"18-25",B4678&lt;=35,"26-35",B4678&lt;=45,"36-45",B4678&lt;=60,"46-60",TRUE,"60+")</f>
        <v>46-60</v>
      </c>
      <c r="N4678" t="str">
        <f t="shared" si="220"/>
        <v>Discounted</v>
      </c>
      <c r="O4678" t="str">
        <f t="shared" si="221"/>
        <v>Returning</v>
      </c>
    </row>
    <row r="4679" spans="1:15" x14ac:dyDescent="0.25">
      <c r="A4679">
        <v>4678</v>
      </c>
      <c r="B4679">
        <v>37</v>
      </c>
      <c r="C4679" t="s">
        <v>11</v>
      </c>
      <c r="D4679" t="s">
        <v>12</v>
      </c>
      <c r="E4679" t="s">
        <v>50</v>
      </c>
      <c r="F4679" s="1">
        <v>172.67</v>
      </c>
      <c r="G4679" t="s">
        <v>14</v>
      </c>
      <c r="H4679" t="s">
        <v>15</v>
      </c>
      <c r="I4679" s="2">
        <v>3.4</v>
      </c>
      <c r="J4679" s="4">
        <v>11</v>
      </c>
      <c r="K4679" s="3">
        <v>3</v>
      </c>
      <c r="L4679" s="1">
        <f t="shared" si="219"/>
        <v>153.6763</v>
      </c>
      <c r="M4679" t="str" cm="1">
        <f t="array" ref="M4679">_xlfn.IFS(B4679&lt;18,"Under 18",B4679 &lt;=25,"18-25",B4679&lt;=35,"26-35",B4679&lt;=45,"36-45",B4679&lt;=60,"46-60",TRUE,"60+")</f>
        <v>36-45</v>
      </c>
      <c r="N4679" t="str">
        <f t="shared" si="220"/>
        <v>Discounted</v>
      </c>
      <c r="O4679" t="str">
        <f t="shared" si="221"/>
        <v>Returning</v>
      </c>
    </row>
    <row r="4680" spans="1:15" x14ac:dyDescent="0.25">
      <c r="A4680">
        <v>4679</v>
      </c>
      <c r="B4680">
        <v>26</v>
      </c>
      <c r="C4680" t="s">
        <v>16</v>
      </c>
      <c r="D4680" t="s">
        <v>17</v>
      </c>
      <c r="E4680" t="s">
        <v>42</v>
      </c>
      <c r="F4680" s="1">
        <v>146.24</v>
      </c>
      <c r="G4680" t="s">
        <v>31</v>
      </c>
      <c r="H4680" t="s">
        <v>15</v>
      </c>
      <c r="I4680" s="2">
        <v>4.4000000000000004</v>
      </c>
      <c r="J4680" s="4">
        <v>23</v>
      </c>
      <c r="K4680" s="3">
        <v>9</v>
      </c>
      <c r="L4680" s="1">
        <f t="shared" si="219"/>
        <v>112.60480000000001</v>
      </c>
      <c r="M4680" t="str" cm="1">
        <f t="array" ref="M4680">_xlfn.IFS(B4680&lt;18,"Under 18",B4680 &lt;=25,"18-25",B4680&lt;=35,"26-35",B4680&lt;=45,"36-45",B4680&lt;=60,"46-60",TRUE,"60+")</f>
        <v>26-35</v>
      </c>
      <c r="N4680" t="str">
        <f t="shared" si="220"/>
        <v>Discounted</v>
      </c>
      <c r="O4680" t="str">
        <f t="shared" si="221"/>
        <v>Returning</v>
      </c>
    </row>
    <row r="4681" spans="1:15" x14ac:dyDescent="0.25">
      <c r="A4681">
        <v>4680</v>
      </c>
      <c r="B4681">
        <v>29</v>
      </c>
      <c r="C4681" t="s">
        <v>11</v>
      </c>
      <c r="D4681" t="s">
        <v>12</v>
      </c>
      <c r="E4681" t="s">
        <v>13</v>
      </c>
      <c r="F4681" s="1">
        <v>22.75</v>
      </c>
      <c r="G4681" t="s">
        <v>19</v>
      </c>
      <c r="H4681" t="s">
        <v>15</v>
      </c>
      <c r="I4681" s="2">
        <v>4.2</v>
      </c>
      <c r="J4681" s="4">
        <v>24</v>
      </c>
      <c r="K4681" s="3">
        <v>7</v>
      </c>
      <c r="L4681" s="1">
        <f t="shared" si="219"/>
        <v>17.29</v>
      </c>
      <c r="M4681" t="str" cm="1">
        <f t="array" ref="M4681">_xlfn.IFS(B4681&lt;18,"Under 18",B4681 &lt;=25,"18-25",B4681&lt;=35,"26-35",B4681&lt;=45,"36-45",B4681&lt;=60,"46-60",TRUE,"60+")</f>
        <v>26-35</v>
      </c>
      <c r="N4681" t="str">
        <f t="shared" si="220"/>
        <v>Discounted</v>
      </c>
      <c r="O4681" t="str">
        <f t="shared" si="221"/>
        <v>Returning</v>
      </c>
    </row>
    <row r="4682" spans="1:15" x14ac:dyDescent="0.25">
      <c r="A4682">
        <v>4681</v>
      </c>
      <c r="B4682">
        <v>27</v>
      </c>
      <c r="C4682" t="s">
        <v>16</v>
      </c>
      <c r="D4682" t="s">
        <v>20</v>
      </c>
      <c r="E4682" t="s">
        <v>36</v>
      </c>
      <c r="F4682" s="1">
        <v>229.25</v>
      </c>
      <c r="G4682" t="s">
        <v>19</v>
      </c>
      <c r="H4682" t="s">
        <v>15</v>
      </c>
      <c r="I4682" s="2">
        <v>4.0999999999999996</v>
      </c>
      <c r="J4682" s="4">
        <v>30</v>
      </c>
      <c r="K4682" s="3">
        <v>10</v>
      </c>
      <c r="L4682" s="1">
        <f t="shared" si="219"/>
        <v>160.47499999999999</v>
      </c>
      <c r="M4682" t="str" cm="1">
        <f t="array" ref="M4682">_xlfn.IFS(B4682&lt;18,"Under 18",B4682 &lt;=25,"18-25",B4682&lt;=35,"26-35",B4682&lt;=45,"36-45",B4682&lt;=60,"46-60",TRUE,"60+")</f>
        <v>26-35</v>
      </c>
      <c r="N4682" t="str">
        <f t="shared" si="220"/>
        <v>Discounted</v>
      </c>
      <c r="O4682" t="str">
        <f t="shared" si="221"/>
        <v>Returning</v>
      </c>
    </row>
    <row r="4683" spans="1:15" x14ac:dyDescent="0.25">
      <c r="A4683">
        <v>4682</v>
      </c>
      <c r="B4683">
        <v>40</v>
      </c>
      <c r="C4683" t="s">
        <v>16</v>
      </c>
      <c r="D4683" t="s">
        <v>27</v>
      </c>
      <c r="E4683" t="s">
        <v>49</v>
      </c>
      <c r="F4683" s="1">
        <v>2163.41</v>
      </c>
      <c r="G4683" t="s">
        <v>19</v>
      </c>
      <c r="H4683" t="s">
        <v>15</v>
      </c>
      <c r="I4683" s="2">
        <v>3.9</v>
      </c>
      <c r="J4683" s="4">
        <v>11</v>
      </c>
      <c r="K4683" s="3">
        <v>3</v>
      </c>
      <c r="L4683" s="1">
        <f t="shared" si="219"/>
        <v>1925.4349</v>
      </c>
      <c r="M4683" t="str" cm="1">
        <f t="array" ref="M4683">_xlfn.IFS(B4683&lt;18,"Under 18",B4683 &lt;=25,"18-25",B4683&lt;=35,"26-35",B4683&lt;=45,"36-45",B4683&lt;=60,"46-60",TRUE,"60+")</f>
        <v>36-45</v>
      </c>
      <c r="N4683" t="str">
        <f t="shared" si="220"/>
        <v>Discounted</v>
      </c>
      <c r="O4683" t="str">
        <f t="shared" si="221"/>
        <v>Returning</v>
      </c>
    </row>
    <row r="4684" spans="1:15" x14ac:dyDescent="0.25">
      <c r="A4684">
        <v>4683</v>
      </c>
      <c r="B4684">
        <v>42</v>
      </c>
      <c r="C4684" t="s">
        <v>11</v>
      </c>
      <c r="D4684" t="s">
        <v>33</v>
      </c>
      <c r="E4684" t="s">
        <v>40</v>
      </c>
      <c r="F4684" s="1">
        <v>222.57</v>
      </c>
      <c r="G4684" t="s">
        <v>24</v>
      </c>
      <c r="H4684" t="s">
        <v>15</v>
      </c>
      <c r="I4684" s="2">
        <v>3.3</v>
      </c>
      <c r="J4684" s="4">
        <v>12</v>
      </c>
      <c r="K4684" s="3">
        <v>6</v>
      </c>
      <c r="L4684" s="1">
        <f t="shared" si="219"/>
        <v>195.86159999999998</v>
      </c>
      <c r="M4684" t="str" cm="1">
        <f t="array" ref="M4684">_xlfn.IFS(B4684&lt;18,"Under 18",B4684 &lt;=25,"18-25",B4684&lt;=35,"26-35",B4684&lt;=45,"36-45",B4684&lt;=60,"46-60",TRUE,"60+")</f>
        <v>36-45</v>
      </c>
      <c r="N4684" t="str">
        <f t="shared" si="220"/>
        <v>Discounted</v>
      </c>
      <c r="O4684" t="str">
        <f t="shared" si="221"/>
        <v>Returning</v>
      </c>
    </row>
    <row r="4685" spans="1:15" x14ac:dyDescent="0.25">
      <c r="A4685">
        <v>4684</v>
      </c>
      <c r="B4685">
        <v>23</v>
      </c>
      <c r="C4685" t="s">
        <v>11</v>
      </c>
      <c r="D4685" t="s">
        <v>41</v>
      </c>
      <c r="E4685" t="s">
        <v>44</v>
      </c>
      <c r="F4685" s="1">
        <v>75.36</v>
      </c>
      <c r="G4685" t="s">
        <v>19</v>
      </c>
      <c r="H4685" t="s">
        <v>37</v>
      </c>
      <c r="I4685" s="2">
        <v>3.2</v>
      </c>
      <c r="J4685" s="4">
        <v>15</v>
      </c>
      <c r="K4685" s="3">
        <v>5</v>
      </c>
      <c r="L4685" s="1">
        <f t="shared" si="219"/>
        <v>64.055999999999997</v>
      </c>
      <c r="M4685" t="str" cm="1">
        <f t="array" ref="M4685">_xlfn.IFS(B4685&lt;18,"Under 18",B4685 &lt;=25,"18-25",B4685&lt;=35,"26-35",B4685&lt;=45,"36-45",B4685&lt;=60,"46-60",TRUE,"60+")</f>
        <v>18-25</v>
      </c>
      <c r="N4685" t="str">
        <f t="shared" si="220"/>
        <v>Discounted</v>
      </c>
      <c r="O4685" t="str">
        <f t="shared" si="221"/>
        <v>Returning</v>
      </c>
    </row>
    <row r="4686" spans="1:15" x14ac:dyDescent="0.25">
      <c r="A4686">
        <v>4685</v>
      </c>
      <c r="B4686">
        <v>68</v>
      </c>
      <c r="C4686" t="s">
        <v>16</v>
      </c>
      <c r="D4686" t="s">
        <v>27</v>
      </c>
      <c r="E4686" t="s">
        <v>32</v>
      </c>
      <c r="F4686" s="1">
        <v>1944.68</v>
      </c>
      <c r="G4686" t="s">
        <v>19</v>
      </c>
      <c r="H4686" t="s">
        <v>15</v>
      </c>
      <c r="I4686" s="2">
        <v>2.4</v>
      </c>
      <c r="J4686" s="4">
        <v>18</v>
      </c>
      <c r="K4686" s="3">
        <v>4</v>
      </c>
      <c r="L4686" s="1">
        <f t="shared" si="219"/>
        <v>1594.6376000000002</v>
      </c>
      <c r="M4686" t="str" cm="1">
        <f t="array" ref="M4686">_xlfn.IFS(B4686&lt;18,"Under 18",B4686 &lt;=25,"18-25",B4686&lt;=35,"26-35",B4686&lt;=45,"36-45",B4686&lt;=60,"46-60",TRUE,"60+")</f>
        <v>60+</v>
      </c>
      <c r="N4686" t="str">
        <f t="shared" si="220"/>
        <v>Discounted</v>
      </c>
      <c r="O4686" t="str">
        <f t="shared" si="221"/>
        <v>Returning</v>
      </c>
    </row>
    <row r="4687" spans="1:15" x14ac:dyDescent="0.25">
      <c r="A4687">
        <v>4686</v>
      </c>
      <c r="B4687">
        <v>22</v>
      </c>
      <c r="C4687" t="s">
        <v>16</v>
      </c>
      <c r="D4687" t="s">
        <v>20</v>
      </c>
      <c r="E4687" t="s">
        <v>36</v>
      </c>
      <c r="F4687" s="1">
        <v>40.119999999999997</v>
      </c>
      <c r="G4687" t="s">
        <v>31</v>
      </c>
      <c r="H4687" t="s">
        <v>37</v>
      </c>
      <c r="I4687" s="2">
        <v>4.2</v>
      </c>
      <c r="J4687" s="4">
        <v>9</v>
      </c>
      <c r="K4687" s="3">
        <v>2</v>
      </c>
      <c r="L4687" s="1">
        <f t="shared" si="219"/>
        <v>36.5092</v>
      </c>
      <c r="M4687" t="str" cm="1">
        <f t="array" ref="M4687">_xlfn.IFS(B4687&lt;18,"Under 18",B4687 &lt;=25,"18-25",B4687&lt;=35,"26-35",B4687&lt;=45,"36-45",B4687&lt;=60,"46-60",TRUE,"60+")</f>
        <v>18-25</v>
      </c>
      <c r="N4687" t="str">
        <f t="shared" si="220"/>
        <v>Discounted</v>
      </c>
      <c r="O4687" t="str">
        <f t="shared" si="221"/>
        <v>Returning</v>
      </c>
    </row>
    <row r="4688" spans="1:15" x14ac:dyDescent="0.25">
      <c r="A4688">
        <v>4687</v>
      </c>
      <c r="B4688">
        <v>54</v>
      </c>
      <c r="C4688" t="s">
        <v>11</v>
      </c>
      <c r="D4688" t="s">
        <v>20</v>
      </c>
      <c r="E4688" t="s">
        <v>36</v>
      </c>
      <c r="F4688" s="1">
        <v>48.75</v>
      </c>
      <c r="G4688" t="s">
        <v>24</v>
      </c>
      <c r="H4688" t="s">
        <v>37</v>
      </c>
      <c r="I4688" s="2">
        <v>3.8</v>
      </c>
      <c r="J4688" s="4">
        <v>18</v>
      </c>
      <c r="K4688" s="3">
        <v>4</v>
      </c>
      <c r="L4688" s="1">
        <f t="shared" si="219"/>
        <v>39.975000000000001</v>
      </c>
      <c r="M4688" t="str" cm="1">
        <f t="array" ref="M4688">_xlfn.IFS(B4688&lt;18,"Under 18",B4688 &lt;=25,"18-25",B4688&lt;=35,"26-35",B4688&lt;=45,"36-45",B4688&lt;=60,"46-60",TRUE,"60+")</f>
        <v>46-60</v>
      </c>
      <c r="N4688" t="str">
        <f t="shared" si="220"/>
        <v>Discounted</v>
      </c>
      <c r="O4688" t="str">
        <f t="shared" si="221"/>
        <v>Returning</v>
      </c>
    </row>
    <row r="4689" spans="1:15" x14ac:dyDescent="0.25">
      <c r="A4689">
        <v>4688</v>
      </c>
      <c r="B4689">
        <v>50</v>
      </c>
      <c r="C4689" t="s">
        <v>11</v>
      </c>
      <c r="D4689" t="s">
        <v>25</v>
      </c>
      <c r="E4689" t="s">
        <v>47</v>
      </c>
      <c r="F4689" s="1">
        <v>43.15</v>
      </c>
      <c r="G4689" t="s">
        <v>24</v>
      </c>
      <c r="H4689" t="s">
        <v>15</v>
      </c>
      <c r="I4689" s="2">
        <v>3.5</v>
      </c>
      <c r="J4689" s="4">
        <v>20</v>
      </c>
      <c r="K4689" s="3">
        <v>5</v>
      </c>
      <c r="L4689" s="1">
        <f t="shared" si="219"/>
        <v>34.520000000000003</v>
      </c>
      <c r="M4689" t="str" cm="1">
        <f t="array" ref="M4689">_xlfn.IFS(B4689&lt;18,"Under 18",B4689 &lt;=25,"18-25",B4689&lt;=35,"26-35",B4689&lt;=45,"36-45",B4689&lt;=60,"46-60",TRUE,"60+")</f>
        <v>46-60</v>
      </c>
      <c r="N4689" t="str">
        <f t="shared" si="220"/>
        <v>Discounted</v>
      </c>
      <c r="O4689" t="str">
        <f t="shared" si="221"/>
        <v>Returning</v>
      </c>
    </row>
    <row r="4690" spans="1:15" x14ac:dyDescent="0.25">
      <c r="A4690">
        <v>4689</v>
      </c>
      <c r="B4690">
        <v>34</v>
      </c>
      <c r="C4690" t="s">
        <v>16</v>
      </c>
      <c r="D4690" t="s">
        <v>20</v>
      </c>
      <c r="E4690" t="s">
        <v>21</v>
      </c>
      <c r="F4690" s="1">
        <v>246.17</v>
      </c>
      <c r="G4690" t="s">
        <v>24</v>
      </c>
      <c r="H4690" t="s">
        <v>15</v>
      </c>
      <c r="I4690" s="2">
        <v>3.1</v>
      </c>
      <c r="J4690" s="4">
        <v>17</v>
      </c>
      <c r="K4690" s="3">
        <v>6</v>
      </c>
      <c r="L4690" s="1">
        <f t="shared" si="219"/>
        <v>204.32109999999997</v>
      </c>
      <c r="M4690" t="str" cm="1">
        <f t="array" ref="M4690">_xlfn.IFS(B4690&lt;18,"Under 18",B4690 &lt;=25,"18-25",B4690&lt;=35,"26-35",B4690&lt;=45,"36-45",B4690&lt;=60,"46-60",TRUE,"60+")</f>
        <v>26-35</v>
      </c>
      <c r="N4690" t="str">
        <f t="shared" si="220"/>
        <v>Discounted</v>
      </c>
      <c r="O4690" t="str">
        <f t="shared" si="221"/>
        <v>Returning</v>
      </c>
    </row>
    <row r="4691" spans="1:15" x14ac:dyDescent="0.25">
      <c r="A4691">
        <v>4690</v>
      </c>
      <c r="B4691">
        <v>28</v>
      </c>
      <c r="C4691" t="s">
        <v>16</v>
      </c>
      <c r="D4691" t="s">
        <v>17</v>
      </c>
      <c r="E4691" t="s">
        <v>35</v>
      </c>
      <c r="F4691" s="1">
        <v>185.01</v>
      </c>
      <c r="G4691" t="s">
        <v>24</v>
      </c>
      <c r="H4691" t="s">
        <v>15</v>
      </c>
      <c r="I4691" s="2">
        <v>4.0999999999999996</v>
      </c>
      <c r="J4691" s="4">
        <v>13</v>
      </c>
      <c r="K4691" s="3">
        <v>4</v>
      </c>
      <c r="L4691" s="1">
        <f t="shared" si="219"/>
        <v>160.95869999999999</v>
      </c>
      <c r="M4691" t="str" cm="1">
        <f t="array" ref="M4691">_xlfn.IFS(B4691&lt;18,"Under 18",B4691 &lt;=25,"18-25",B4691&lt;=35,"26-35",B4691&lt;=45,"36-45",B4691&lt;=60,"46-60",TRUE,"60+")</f>
        <v>26-35</v>
      </c>
      <c r="N4691" t="str">
        <f t="shared" si="220"/>
        <v>Discounted</v>
      </c>
      <c r="O4691" t="str">
        <f t="shared" si="221"/>
        <v>Returning</v>
      </c>
    </row>
    <row r="4692" spans="1:15" x14ac:dyDescent="0.25">
      <c r="A4692">
        <v>4691</v>
      </c>
      <c r="B4692">
        <v>32</v>
      </c>
      <c r="C4692" t="s">
        <v>16</v>
      </c>
      <c r="D4692" t="s">
        <v>17</v>
      </c>
      <c r="E4692" t="s">
        <v>42</v>
      </c>
      <c r="F4692" s="1">
        <v>81.069999999999993</v>
      </c>
      <c r="G4692" t="s">
        <v>31</v>
      </c>
      <c r="H4692" t="s">
        <v>15</v>
      </c>
      <c r="I4692" s="2">
        <v>3.8</v>
      </c>
      <c r="J4692" s="4">
        <v>24</v>
      </c>
      <c r="K4692" s="3">
        <v>7</v>
      </c>
      <c r="L4692" s="1">
        <f t="shared" si="219"/>
        <v>61.613199999999999</v>
      </c>
      <c r="M4692" t="str" cm="1">
        <f t="array" ref="M4692">_xlfn.IFS(B4692&lt;18,"Under 18",B4692 &lt;=25,"18-25",B4692&lt;=35,"26-35",B4692&lt;=45,"36-45",B4692&lt;=60,"46-60",TRUE,"60+")</f>
        <v>26-35</v>
      </c>
      <c r="N4692" t="str">
        <f t="shared" si="220"/>
        <v>Discounted</v>
      </c>
      <c r="O4692" t="str">
        <f t="shared" si="221"/>
        <v>Returning</v>
      </c>
    </row>
    <row r="4693" spans="1:15" x14ac:dyDescent="0.25">
      <c r="A4693">
        <v>4692</v>
      </c>
      <c r="B4693">
        <v>50</v>
      </c>
      <c r="C4693" t="s">
        <v>16</v>
      </c>
      <c r="D4693" t="s">
        <v>17</v>
      </c>
      <c r="E4693" t="s">
        <v>35</v>
      </c>
      <c r="F4693" s="1">
        <v>108.87</v>
      </c>
      <c r="G4693" t="s">
        <v>19</v>
      </c>
      <c r="H4693" t="s">
        <v>15</v>
      </c>
      <c r="I4693" s="2">
        <v>4</v>
      </c>
      <c r="J4693" s="4">
        <v>12</v>
      </c>
      <c r="K4693" s="3">
        <v>6</v>
      </c>
      <c r="L4693" s="1">
        <f t="shared" si="219"/>
        <v>95.805599999999998</v>
      </c>
      <c r="M4693" t="str" cm="1">
        <f t="array" ref="M4693">_xlfn.IFS(B4693&lt;18,"Under 18",B4693 &lt;=25,"18-25",B4693&lt;=35,"26-35",B4693&lt;=45,"36-45",B4693&lt;=60,"46-60",TRUE,"60+")</f>
        <v>46-60</v>
      </c>
      <c r="N4693" t="str">
        <f t="shared" si="220"/>
        <v>Discounted</v>
      </c>
      <c r="O4693" t="str">
        <f t="shared" si="221"/>
        <v>Returning</v>
      </c>
    </row>
    <row r="4694" spans="1:15" x14ac:dyDescent="0.25">
      <c r="A4694">
        <v>4693</v>
      </c>
      <c r="B4694">
        <v>34</v>
      </c>
      <c r="C4694" t="s">
        <v>11</v>
      </c>
      <c r="D4694" t="s">
        <v>12</v>
      </c>
      <c r="E4694" t="s">
        <v>13</v>
      </c>
      <c r="F4694" s="1">
        <v>52.23</v>
      </c>
      <c r="G4694" t="s">
        <v>19</v>
      </c>
      <c r="H4694" t="s">
        <v>15</v>
      </c>
      <c r="I4694" s="2">
        <v>3.7</v>
      </c>
      <c r="J4694" s="4">
        <v>15</v>
      </c>
      <c r="K4694" s="3">
        <v>5</v>
      </c>
      <c r="L4694" s="1">
        <f t="shared" si="219"/>
        <v>44.395499999999998</v>
      </c>
      <c r="M4694" t="str" cm="1">
        <f t="array" ref="M4694">_xlfn.IFS(B4694&lt;18,"Under 18",B4694 &lt;=25,"18-25",B4694&lt;=35,"26-35",B4694&lt;=45,"36-45",B4694&lt;=60,"46-60",TRUE,"60+")</f>
        <v>26-35</v>
      </c>
      <c r="N4694" t="str">
        <f t="shared" si="220"/>
        <v>Discounted</v>
      </c>
      <c r="O4694" t="str">
        <f t="shared" si="221"/>
        <v>Returning</v>
      </c>
    </row>
    <row r="4695" spans="1:15" x14ac:dyDescent="0.25">
      <c r="A4695">
        <v>4694</v>
      </c>
      <c r="B4695">
        <v>60</v>
      </c>
      <c r="C4695" t="s">
        <v>11</v>
      </c>
      <c r="D4695" t="s">
        <v>12</v>
      </c>
      <c r="E4695" t="s">
        <v>56</v>
      </c>
      <c r="F4695" s="1">
        <v>129.80000000000001</v>
      </c>
      <c r="G4695" t="s">
        <v>19</v>
      </c>
      <c r="H4695" t="s">
        <v>15</v>
      </c>
      <c r="I4695" s="2">
        <v>4</v>
      </c>
      <c r="J4695" s="4">
        <v>24</v>
      </c>
      <c r="K4695" s="3">
        <v>7</v>
      </c>
      <c r="L4695" s="1">
        <f t="shared" si="219"/>
        <v>98.64800000000001</v>
      </c>
      <c r="M4695" t="str" cm="1">
        <f t="array" ref="M4695">_xlfn.IFS(B4695&lt;18,"Under 18",B4695 &lt;=25,"18-25",B4695&lt;=35,"26-35",B4695&lt;=45,"36-45",B4695&lt;=60,"46-60",TRUE,"60+")</f>
        <v>46-60</v>
      </c>
      <c r="N4695" t="str">
        <f t="shared" si="220"/>
        <v>Discounted</v>
      </c>
      <c r="O4695" t="str">
        <f t="shared" si="221"/>
        <v>Returning</v>
      </c>
    </row>
    <row r="4696" spans="1:15" x14ac:dyDescent="0.25">
      <c r="A4696">
        <v>4695</v>
      </c>
      <c r="B4696">
        <v>59</v>
      </c>
      <c r="C4696" t="s">
        <v>16</v>
      </c>
      <c r="D4696" t="s">
        <v>17</v>
      </c>
      <c r="E4696" t="s">
        <v>48</v>
      </c>
      <c r="F4696" s="1">
        <v>115.65</v>
      </c>
      <c r="G4696" t="s">
        <v>24</v>
      </c>
      <c r="H4696" t="s">
        <v>15</v>
      </c>
      <c r="I4696" s="2">
        <v>4.8</v>
      </c>
      <c r="J4696" s="4">
        <v>15</v>
      </c>
      <c r="K4696" s="3">
        <v>5</v>
      </c>
      <c r="L4696" s="1">
        <f t="shared" si="219"/>
        <v>98.302500000000009</v>
      </c>
      <c r="M4696" t="str" cm="1">
        <f t="array" ref="M4696">_xlfn.IFS(B4696&lt;18,"Under 18",B4696 &lt;=25,"18-25",B4696&lt;=35,"26-35",B4696&lt;=45,"36-45",B4696&lt;=60,"46-60",TRUE,"60+")</f>
        <v>46-60</v>
      </c>
      <c r="N4696" t="str">
        <f t="shared" si="220"/>
        <v>Discounted</v>
      </c>
      <c r="O4696" t="str">
        <f t="shared" si="221"/>
        <v>Returning</v>
      </c>
    </row>
    <row r="4697" spans="1:15" x14ac:dyDescent="0.25">
      <c r="A4697">
        <v>4696</v>
      </c>
      <c r="B4697">
        <v>40</v>
      </c>
      <c r="C4697" t="s">
        <v>11</v>
      </c>
      <c r="D4697" t="s">
        <v>25</v>
      </c>
      <c r="E4697" t="s">
        <v>47</v>
      </c>
      <c r="F4697" s="1">
        <v>25.94</v>
      </c>
      <c r="G4697" t="s">
        <v>31</v>
      </c>
      <c r="H4697" t="s">
        <v>37</v>
      </c>
      <c r="I4697" s="2">
        <v>3.3</v>
      </c>
      <c r="J4697" s="4">
        <v>9</v>
      </c>
      <c r="K4697" s="3">
        <v>2</v>
      </c>
      <c r="L4697" s="1">
        <f t="shared" si="219"/>
        <v>23.605400000000003</v>
      </c>
      <c r="M4697" t="str" cm="1">
        <f t="array" ref="M4697">_xlfn.IFS(B4697&lt;18,"Under 18",B4697 &lt;=25,"18-25",B4697&lt;=35,"26-35",B4697&lt;=45,"36-45",B4697&lt;=60,"46-60",TRUE,"60+")</f>
        <v>36-45</v>
      </c>
      <c r="N4697" t="str">
        <f t="shared" si="220"/>
        <v>Discounted</v>
      </c>
      <c r="O4697" t="str">
        <f t="shared" si="221"/>
        <v>Returning</v>
      </c>
    </row>
    <row r="4698" spans="1:15" x14ac:dyDescent="0.25">
      <c r="A4698">
        <v>4697</v>
      </c>
      <c r="B4698">
        <v>66</v>
      </c>
      <c r="C4698" t="s">
        <v>11</v>
      </c>
      <c r="D4698" t="s">
        <v>41</v>
      </c>
      <c r="E4698" t="s">
        <v>45</v>
      </c>
      <c r="F4698" s="1">
        <v>101.87</v>
      </c>
      <c r="G4698" t="s">
        <v>19</v>
      </c>
      <c r="H4698" t="s">
        <v>15</v>
      </c>
      <c r="I4698" s="2">
        <v>3.3</v>
      </c>
      <c r="J4698" s="4">
        <v>11</v>
      </c>
      <c r="K4698" s="3">
        <v>3</v>
      </c>
      <c r="L4698" s="1">
        <f t="shared" si="219"/>
        <v>90.664300000000011</v>
      </c>
      <c r="M4698" t="str" cm="1">
        <f t="array" ref="M4698">_xlfn.IFS(B4698&lt;18,"Under 18",B4698 &lt;=25,"18-25",B4698&lt;=35,"26-35",B4698&lt;=45,"36-45",B4698&lt;=60,"46-60",TRUE,"60+")</f>
        <v>60+</v>
      </c>
      <c r="N4698" t="str">
        <f t="shared" si="220"/>
        <v>Discounted</v>
      </c>
      <c r="O4698" t="str">
        <f t="shared" si="221"/>
        <v>Returning</v>
      </c>
    </row>
    <row r="4699" spans="1:15" x14ac:dyDescent="0.25">
      <c r="A4699">
        <v>4698</v>
      </c>
      <c r="B4699">
        <v>44</v>
      </c>
      <c r="C4699" t="s">
        <v>11</v>
      </c>
      <c r="D4699" t="s">
        <v>29</v>
      </c>
      <c r="E4699" t="s">
        <v>30</v>
      </c>
      <c r="F4699" s="1">
        <v>106.04</v>
      </c>
      <c r="G4699" t="s">
        <v>19</v>
      </c>
      <c r="H4699" t="s">
        <v>15</v>
      </c>
      <c r="I4699" s="2">
        <v>3.6</v>
      </c>
      <c r="J4699" s="4">
        <v>17</v>
      </c>
      <c r="K4699" s="3">
        <v>6</v>
      </c>
      <c r="L4699" s="1">
        <f t="shared" si="219"/>
        <v>88.013199999999998</v>
      </c>
      <c r="M4699" t="str" cm="1">
        <f t="array" ref="M4699">_xlfn.IFS(B4699&lt;18,"Under 18",B4699 &lt;=25,"18-25",B4699&lt;=35,"26-35",B4699&lt;=45,"36-45",B4699&lt;=60,"46-60",TRUE,"60+")</f>
        <v>36-45</v>
      </c>
      <c r="N4699" t="str">
        <f t="shared" si="220"/>
        <v>Discounted</v>
      </c>
      <c r="O4699" t="str">
        <f t="shared" si="221"/>
        <v>Returning</v>
      </c>
    </row>
    <row r="4700" spans="1:15" x14ac:dyDescent="0.25">
      <c r="A4700">
        <v>4699</v>
      </c>
      <c r="B4700">
        <v>43</v>
      </c>
      <c r="C4700" t="s">
        <v>11</v>
      </c>
      <c r="D4700" t="s">
        <v>33</v>
      </c>
      <c r="E4700" t="s">
        <v>40</v>
      </c>
      <c r="F4700" s="1">
        <v>200.13</v>
      </c>
      <c r="G4700" t="s">
        <v>14</v>
      </c>
      <c r="H4700" t="s">
        <v>15</v>
      </c>
      <c r="I4700" s="2">
        <v>4</v>
      </c>
      <c r="J4700" s="4">
        <v>17</v>
      </c>
      <c r="K4700" s="3">
        <v>6</v>
      </c>
      <c r="L4700" s="1">
        <f t="shared" si="219"/>
        <v>166.1079</v>
      </c>
      <c r="M4700" t="str" cm="1">
        <f t="array" ref="M4700">_xlfn.IFS(B4700&lt;18,"Under 18",B4700 &lt;=25,"18-25",B4700&lt;=35,"26-35",B4700&lt;=45,"36-45",B4700&lt;=60,"46-60",TRUE,"60+")</f>
        <v>36-45</v>
      </c>
      <c r="N4700" t="str">
        <f t="shared" si="220"/>
        <v>Discounted</v>
      </c>
      <c r="O4700" t="str">
        <f t="shared" si="221"/>
        <v>Returning</v>
      </c>
    </row>
    <row r="4701" spans="1:15" x14ac:dyDescent="0.25">
      <c r="A4701">
        <v>4700</v>
      </c>
      <c r="B4701">
        <v>60</v>
      </c>
      <c r="C4701" t="s">
        <v>16</v>
      </c>
      <c r="D4701" t="s">
        <v>33</v>
      </c>
      <c r="E4701" t="s">
        <v>40</v>
      </c>
      <c r="F4701" s="1">
        <v>210.29</v>
      </c>
      <c r="G4701" t="s">
        <v>31</v>
      </c>
      <c r="H4701" t="s">
        <v>15</v>
      </c>
      <c r="I4701" s="2">
        <v>4.8</v>
      </c>
      <c r="J4701" s="4">
        <v>15</v>
      </c>
      <c r="K4701" s="3">
        <v>5</v>
      </c>
      <c r="L4701" s="1">
        <f t="shared" si="219"/>
        <v>178.7465</v>
      </c>
      <c r="M4701" t="str" cm="1">
        <f t="array" ref="M4701">_xlfn.IFS(B4701&lt;18,"Under 18",B4701 &lt;=25,"18-25",B4701&lt;=35,"26-35",B4701&lt;=45,"36-45",B4701&lt;=60,"46-60",TRUE,"60+")</f>
        <v>46-60</v>
      </c>
      <c r="N4701" t="str">
        <f t="shared" si="220"/>
        <v>Discounted</v>
      </c>
      <c r="O4701" t="str">
        <f t="shared" si="221"/>
        <v>Returning</v>
      </c>
    </row>
    <row r="4702" spans="1:15" x14ac:dyDescent="0.25">
      <c r="A4702">
        <v>4701</v>
      </c>
      <c r="B4702">
        <v>41</v>
      </c>
      <c r="C4702" t="s">
        <v>11</v>
      </c>
      <c r="D4702" t="s">
        <v>41</v>
      </c>
      <c r="E4702" t="s">
        <v>42</v>
      </c>
      <c r="F4702" s="1">
        <v>41.5</v>
      </c>
      <c r="G4702" t="s">
        <v>24</v>
      </c>
      <c r="H4702" t="s">
        <v>15</v>
      </c>
      <c r="I4702" s="2">
        <v>4.0999999999999996</v>
      </c>
      <c r="J4702" s="4">
        <v>13</v>
      </c>
      <c r="K4702" s="3">
        <v>4</v>
      </c>
      <c r="L4702" s="1">
        <f t="shared" si="219"/>
        <v>36.104999999999997</v>
      </c>
      <c r="M4702" t="str" cm="1">
        <f t="array" ref="M4702">_xlfn.IFS(B4702&lt;18,"Under 18",B4702 &lt;=25,"18-25",B4702&lt;=35,"26-35",B4702&lt;=45,"36-45",B4702&lt;=60,"46-60",TRUE,"60+")</f>
        <v>36-45</v>
      </c>
      <c r="N4702" t="str">
        <f t="shared" si="220"/>
        <v>Discounted</v>
      </c>
      <c r="O4702" t="str">
        <f t="shared" si="221"/>
        <v>Returning</v>
      </c>
    </row>
    <row r="4703" spans="1:15" x14ac:dyDescent="0.25">
      <c r="A4703">
        <v>4702</v>
      </c>
      <c r="B4703">
        <v>32</v>
      </c>
      <c r="C4703" t="s">
        <v>16</v>
      </c>
      <c r="D4703" t="s">
        <v>20</v>
      </c>
      <c r="E4703" t="s">
        <v>39</v>
      </c>
      <c r="F4703" s="1">
        <v>186.57</v>
      </c>
      <c r="G4703" t="s">
        <v>31</v>
      </c>
      <c r="H4703" t="s">
        <v>15</v>
      </c>
      <c r="I4703" s="2">
        <v>3.2</v>
      </c>
      <c r="J4703" s="4">
        <v>12</v>
      </c>
      <c r="K4703" s="3">
        <v>6</v>
      </c>
      <c r="L4703" s="1">
        <f t="shared" si="219"/>
        <v>164.1816</v>
      </c>
      <c r="M4703" t="str" cm="1">
        <f t="array" ref="M4703">_xlfn.IFS(B4703&lt;18,"Under 18",B4703 &lt;=25,"18-25",B4703&lt;=35,"26-35",B4703&lt;=45,"36-45",B4703&lt;=60,"46-60",TRUE,"60+")</f>
        <v>26-35</v>
      </c>
      <c r="N4703" t="str">
        <f t="shared" si="220"/>
        <v>Discounted</v>
      </c>
      <c r="O4703" t="str">
        <f t="shared" si="221"/>
        <v>Returning</v>
      </c>
    </row>
    <row r="4704" spans="1:15" x14ac:dyDescent="0.25">
      <c r="A4704">
        <v>4703</v>
      </c>
      <c r="B4704">
        <v>42</v>
      </c>
      <c r="C4704" t="s">
        <v>16</v>
      </c>
      <c r="D4704" t="s">
        <v>17</v>
      </c>
      <c r="E4704" t="s">
        <v>35</v>
      </c>
      <c r="F4704" s="1">
        <v>189.79</v>
      </c>
      <c r="G4704" t="s">
        <v>24</v>
      </c>
      <c r="H4704" t="s">
        <v>15</v>
      </c>
      <c r="I4704" s="2">
        <v>3</v>
      </c>
      <c r="J4704" s="4">
        <v>14</v>
      </c>
      <c r="K4704" s="3">
        <v>7</v>
      </c>
      <c r="L4704" s="1">
        <f t="shared" si="219"/>
        <v>163.21939999999998</v>
      </c>
      <c r="M4704" t="str" cm="1">
        <f t="array" ref="M4704">_xlfn.IFS(B4704&lt;18,"Under 18",B4704 &lt;=25,"18-25",B4704&lt;=35,"26-35",B4704&lt;=45,"36-45",B4704&lt;=60,"46-60",TRUE,"60+")</f>
        <v>36-45</v>
      </c>
      <c r="N4704" t="str">
        <f t="shared" si="220"/>
        <v>Discounted</v>
      </c>
      <c r="O4704" t="str">
        <f t="shared" si="221"/>
        <v>Returning</v>
      </c>
    </row>
    <row r="4705" spans="1:15" x14ac:dyDescent="0.25">
      <c r="A4705">
        <v>4704</v>
      </c>
      <c r="B4705">
        <v>30</v>
      </c>
      <c r="C4705" t="s">
        <v>16</v>
      </c>
      <c r="D4705" t="s">
        <v>25</v>
      </c>
      <c r="E4705" t="s">
        <v>54</v>
      </c>
      <c r="F4705" s="1">
        <v>63.78</v>
      </c>
      <c r="G4705" t="s">
        <v>24</v>
      </c>
      <c r="H4705" t="s">
        <v>37</v>
      </c>
      <c r="I4705" s="2">
        <v>4.4000000000000004</v>
      </c>
      <c r="J4705" s="4">
        <v>21</v>
      </c>
      <c r="K4705" s="3">
        <v>8</v>
      </c>
      <c r="L4705" s="1">
        <f t="shared" si="219"/>
        <v>50.386200000000002</v>
      </c>
      <c r="M4705" t="str" cm="1">
        <f t="array" ref="M4705">_xlfn.IFS(B4705&lt;18,"Under 18",B4705 &lt;=25,"18-25",B4705&lt;=35,"26-35",B4705&lt;=45,"36-45",B4705&lt;=60,"46-60",TRUE,"60+")</f>
        <v>26-35</v>
      </c>
      <c r="N4705" t="str">
        <f t="shared" si="220"/>
        <v>Discounted</v>
      </c>
      <c r="O4705" t="str">
        <f t="shared" si="221"/>
        <v>Returning</v>
      </c>
    </row>
    <row r="4706" spans="1:15" x14ac:dyDescent="0.25">
      <c r="A4706">
        <v>4705</v>
      </c>
      <c r="B4706">
        <v>25</v>
      </c>
      <c r="C4706" t="s">
        <v>11</v>
      </c>
      <c r="D4706" t="s">
        <v>41</v>
      </c>
      <c r="E4706" t="s">
        <v>44</v>
      </c>
      <c r="F4706" s="1">
        <v>161.91</v>
      </c>
      <c r="G4706" t="s">
        <v>24</v>
      </c>
      <c r="H4706" t="s">
        <v>15</v>
      </c>
      <c r="I4706" s="2">
        <v>3.6</v>
      </c>
      <c r="J4706" s="4">
        <v>14</v>
      </c>
      <c r="K4706" s="3">
        <v>7</v>
      </c>
      <c r="L4706" s="1">
        <f t="shared" si="219"/>
        <v>139.24259999999998</v>
      </c>
      <c r="M4706" t="str" cm="1">
        <f t="array" ref="M4706">_xlfn.IFS(B4706&lt;18,"Under 18",B4706 &lt;=25,"18-25",B4706&lt;=35,"26-35",B4706&lt;=45,"36-45",B4706&lt;=60,"46-60",TRUE,"60+")</f>
        <v>18-25</v>
      </c>
      <c r="N4706" t="str">
        <f t="shared" si="220"/>
        <v>Discounted</v>
      </c>
      <c r="O4706" t="str">
        <f t="shared" si="221"/>
        <v>Returning</v>
      </c>
    </row>
    <row r="4707" spans="1:15" x14ac:dyDescent="0.25">
      <c r="A4707">
        <v>4706</v>
      </c>
      <c r="B4707">
        <v>54</v>
      </c>
      <c r="C4707" t="s">
        <v>16</v>
      </c>
      <c r="D4707" t="s">
        <v>27</v>
      </c>
      <c r="E4707" t="s">
        <v>53</v>
      </c>
      <c r="F4707" s="1">
        <v>2349.33</v>
      </c>
      <c r="G4707" t="s">
        <v>31</v>
      </c>
      <c r="H4707" t="s">
        <v>15</v>
      </c>
      <c r="I4707" s="2">
        <v>3.3</v>
      </c>
      <c r="J4707" s="4">
        <v>7</v>
      </c>
      <c r="K4707" s="3">
        <v>1</v>
      </c>
      <c r="L4707" s="1">
        <f t="shared" si="219"/>
        <v>2184.8768999999998</v>
      </c>
      <c r="M4707" t="str" cm="1">
        <f t="array" ref="M4707">_xlfn.IFS(B4707&lt;18,"Under 18",B4707 &lt;=25,"18-25",B4707&lt;=35,"26-35",B4707&lt;=45,"36-45",B4707&lt;=60,"46-60",TRUE,"60+")</f>
        <v>46-60</v>
      </c>
      <c r="N4707" t="str">
        <f t="shared" si="220"/>
        <v>Discounted</v>
      </c>
      <c r="O4707" t="str">
        <f t="shared" si="221"/>
        <v>Returning</v>
      </c>
    </row>
    <row r="4708" spans="1:15" x14ac:dyDescent="0.25">
      <c r="A4708">
        <v>4707</v>
      </c>
      <c r="B4708">
        <v>70</v>
      </c>
      <c r="C4708" t="s">
        <v>11</v>
      </c>
      <c r="D4708" t="s">
        <v>41</v>
      </c>
      <c r="E4708" t="s">
        <v>42</v>
      </c>
      <c r="F4708" s="1">
        <v>61.86</v>
      </c>
      <c r="G4708" t="s">
        <v>31</v>
      </c>
      <c r="H4708" t="s">
        <v>15</v>
      </c>
      <c r="I4708" s="2">
        <v>2.9</v>
      </c>
      <c r="J4708" s="4">
        <v>17</v>
      </c>
      <c r="K4708" s="3">
        <v>6</v>
      </c>
      <c r="L4708" s="1">
        <f t="shared" si="219"/>
        <v>51.343799999999995</v>
      </c>
      <c r="M4708" t="str" cm="1">
        <f t="array" ref="M4708">_xlfn.IFS(B4708&lt;18,"Under 18",B4708 &lt;=25,"18-25",B4708&lt;=35,"26-35",B4708&lt;=45,"36-45",B4708&lt;=60,"46-60",TRUE,"60+")</f>
        <v>60+</v>
      </c>
      <c r="N4708" t="str">
        <f t="shared" si="220"/>
        <v>Discounted</v>
      </c>
      <c r="O4708" t="str">
        <f t="shared" si="221"/>
        <v>Returning</v>
      </c>
    </row>
    <row r="4709" spans="1:15" x14ac:dyDescent="0.25">
      <c r="A4709">
        <v>4708</v>
      </c>
      <c r="B4709">
        <v>26</v>
      </c>
      <c r="C4709" t="s">
        <v>11</v>
      </c>
      <c r="D4709" t="s">
        <v>41</v>
      </c>
      <c r="E4709" t="s">
        <v>42</v>
      </c>
      <c r="F4709" s="1">
        <v>96.69</v>
      </c>
      <c r="G4709" t="s">
        <v>14</v>
      </c>
      <c r="H4709" t="s">
        <v>37</v>
      </c>
      <c r="I4709" s="2">
        <v>4.8</v>
      </c>
      <c r="J4709" s="4">
        <v>18</v>
      </c>
      <c r="K4709" s="3">
        <v>4</v>
      </c>
      <c r="L4709" s="1">
        <f t="shared" si="219"/>
        <v>79.285800000000009</v>
      </c>
      <c r="M4709" t="str" cm="1">
        <f t="array" ref="M4709">_xlfn.IFS(B4709&lt;18,"Under 18",B4709 &lt;=25,"18-25",B4709&lt;=35,"26-35",B4709&lt;=45,"36-45",B4709&lt;=60,"46-60",TRUE,"60+")</f>
        <v>26-35</v>
      </c>
      <c r="N4709" t="str">
        <f t="shared" si="220"/>
        <v>Discounted</v>
      </c>
      <c r="O4709" t="str">
        <f t="shared" si="221"/>
        <v>Returning</v>
      </c>
    </row>
    <row r="4710" spans="1:15" x14ac:dyDescent="0.25">
      <c r="A4710">
        <v>4709</v>
      </c>
      <c r="B4710">
        <v>57</v>
      </c>
      <c r="C4710" t="s">
        <v>16</v>
      </c>
      <c r="D4710" t="s">
        <v>20</v>
      </c>
      <c r="E4710" t="s">
        <v>36</v>
      </c>
      <c r="F4710" s="1">
        <v>126.2</v>
      </c>
      <c r="G4710" t="s">
        <v>14</v>
      </c>
      <c r="H4710" t="s">
        <v>15</v>
      </c>
      <c r="I4710" s="2">
        <v>5</v>
      </c>
      <c r="J4710" s="4">
        <v>11</v>
      </c>
      <c r="K4710" s="3">
        <v>3</v>
      </c>
      <c r="L4710" s="1">
        <f t="shared" si="219"/>
        <v>112.318</v>
      </c>
      <c r="M4710" t="str" cm="1">
        <f t="array" ref="M4710">_xlfn.IFS(B4710&lt;18,"Under 18",B4710 &lt;=25,"18-25",B4710&lt;=35,"26-35",B4710&lt;=45,"36-45",B4710&lt;=60,"46-60",TRUE,"60+")</f>
        <v>46-60</v>
      </c>
      <c r="N4710" t="str">
        <f t="shared" si="220"/>
        <v>Discounted</v>
      </c>
      <c r="O4710" t="str">
        <f t="shared" si="221"/>
        <v>Returning</v>
      </c>
    </row>
    <row r="4711" spans="1:15" x14ac:dyDescent="0.25">
      <c r="A4711">
        <v>4710</v>
      </c>
      <c r="B4711">
        <v>38</v>
      </c>
      <c r="C4711" t="s">
        <v>11</v>
      </c>
      <c r="D4711" t="s">
        <v>29</v>
      </c>
      <c r="E4711" t="s">
        <v>51</v>
      </c>
      <c r="F4711" s="1">
        <v>62.65</v>
      </c>
      <c r="G4711" t="s">
        <v>14</v>
      </c>
      <c r="H4711" t="s">
        <v>15</v>
      </c>
      <c r="I4711" s="2">
        <v>3.3</v>
      </c>
      <c r="J4711" s="4">
        <v>13</v>
      </c>
      <c r="K4711" s="3">
        <v>4</v>
      </c>
      <c r="L4711" s="1">
        <f t="shared" si="219"/>
        <v>54.505499999999998</v>
      </c>
      <c r="M4711" t="str" cm="1">
        <f t="array" ref="M4711">_xlfn.IFS(B4711&lt;18,"Under 18",B4711 &lt;=25,"18-25",B4711&lt;=35,"26-35",B4711&lt;=45,"36-45",B4711&lt;=60,"46-60",TRUE,"60+")</f>
        <v>36-45</v>
      </c>
      <c r="N4711" t="str">
        <f t="shared" si="220"/>
        <v>Discounted</v>
      </c>
      <c r="O4711" t="str">
        <f t="shared" si="221"/>
        <v>Returning</v>
      </c>
    </row>
    <row r="4712" spans="1:15" x14ac:dyDescent="0.25">
      <c r="A4712">
        <v>4711</v>
      </c>
      <c r="B4712">
        <v>57</v>
      </c>
      <c r="C4712" t="s">
        <v>11</v>
      </c>
      <c r="D4712" t="s">
        <v>41</v>
      </c>
      <c r="E4712" t="s">
        <v>45</v>
      </c>
      <c r="F4712" s="1">
        <v>149.91</v>
      </c>
      <c r="G4712" t="s">
        <v>24</v>
      </c>
      <c r="H4712" t="s">
        <v>15</v>
      </c>
      <c r="I4712" s="2">
        <v>3.1</v>
      </c>
      <c r="J4712" s="4">
        <v>14</v>
      </c>
      <c r="K4712" s="3">
        <v>7</v>
      </c>
      <c r="L4712" s="1">
        <f t="shared" si="219"/>
        <v>128.92259999999999</v>
      </c>
      <c r="M4712" t="str" cm="1">
        <f t="array" ref="M4712">_xlfn.IFS(B4712&lt;18,"Under 18",B4712 &lt;=25,"18-25",B4712&lt;=35,"26-35",B4712&lt;=45,"36-45",B4712&lt;=60,"46-60",TRUE,"60+")</f>
        <v>46-60</v>
      </c>
      <c r="N4712" t="str">
        <f t="shared" si="220"/>
        <v>Discounted</v>
      </c>
      <c r="O4712" t="str">
        <f t="shared" si="221"/>
        <v>Returning</v>
      </c>
    </row>
    <row r="4713" spans="1:15" x14ac:dyDescent="0.25">
      <c r="A4713">
        <v>4712</v>
      </c>
      <c r="B4713">
        <v>68</v>
      </c>
      <c r="C4713" t="s">
        <v>11</v>
      </c>
      <c r="D4713" t="s">
        <v>25</v>
      </c>
      <c r="E4713" t="s">
        <v>57</v>
      </c>
      <c r="F4713" s="1">
        <v>54.83</v>
      </c>
      <c r="G4713" t="s">
        <v>24</v>
      </c>
      <c r="H4713" t="s">
        <v>37</v>
      </c>
      <c r="I4713" s="2">
        <v>3.5</v>
      </c>
      <c r="J4713" s="4">
        <v>12</v>
      </c>
      <c r="K4713" s="3">
        <v>6</v>
      </c>
      <c r="L4713" s="1">
        <f t="shared" si="219"/>
        <v>48.250399999999999</v>
      </c>
      <c r="M4713" t="str" cm="1">
        <f t="array" ref="M4713">_xlfn.IFS(B4713&lt;18,"Under 18",B4713 &lt;=25,"18-25",B4713&lt;=35,"26-35",B4713&lt;=45,"36-45",B4713&lt;=60,"46-60",TRUE,"60+")</f>
        <v>60+</v>
      </c>
      <c r="N4713" t="str">
        <f t="shared" si="220"/>
        <v>Discounted</v>
      </c>
      <c r="O4713" t="str">
        <f t="shared" si="221"/>
        <v>Returning</v>
      </c>
    </row>
    <row r="4714" spans="1:15" x14ac:dyDescent="0.25">
      <c r="A4714">
        <v>4713</v>
      </c>
      <c r="B4714">
        <v>26</v>
      </c>
      <c r="C4714" t="s">
        <v>16</v>
      </c>
      <c r="D4714" t="s">
        <v>27</v>
      </c>
      <c r="E4714" t="s">
        <v>53</v>
      </c>
      <c r="F4714" s="1">
        <v>733.03</v>
      </c>
      <c r="G4714" t="s">
        <v>19</v>
      </c>
      <c r="H4714" t="s">
        <v>15</v>
      </c>
      <c r="I4714" s="2">
        <v>3</v>
      </c>
      <c r="J4714" s="4">
        <v>13</v>
      </c>
      <c r="K4714" s="3">
        <v>4</v>
      </c>
      <c r="L4714" s="1">
        <f t="shared" si="219"/>
        <v>637.73609999999996</v>
      </c>
      <c r="M4714" t="str" cm="1">
        <f t="array" ref="M4714">_xlfn.IFS(B4714&lt;18,"Under 18",B4714 &lt;=25,"18-25",B4714&lt;=35,"26-35",B4714&lt;=45,"36-45",B4714&lt;=60,"46-60",TRUE,"60+")</f>
        <v>26-35</v>
      </c>
      <c r="N4714" t="str">
        <f t="shared" si="220"/>
        <v>Discounted</v>
      </c>
      <c r="O4714" t="str">
        <f t="shared" si="221"/>
        <v>Returning</v>
      </c>
    </row>
    <row r="4715" spans="1:15" x14ac:dyDescent="0.25">
      <c r="A4715">
        <v>4714</v>
      </c>
      <c r="B4715">
        <v>22</v>
      </c>
      <c r="C4715" t="s">
        <v>16</v>
      </c>
      <c r="D4715" t="s">
        <v>33</v>
      </c>
      <c r="E4715" t="s">
        <v>34</v>
      </c>
      <c r="F4715" s="1">
        <v>116.76</v>
      </c>
      <c r="G4715" t="s">
        <v>24</v>
      </c>
      <c r="H4715" t="s">
        <v>15</v>
      </c>
      <c r="I4715" s="2">
        <v>4.8</v>
      </c>
      <c r="J4715" s="4">
        <v>17</v>
      </c>
      <c r="K4715" s="3">
        <v>6</v>
      </c>
      <c r="L4715" s="1">
        <f t="shared" si="219"/>
        <v>96.910799999999995</v>
      </c>
      <c r="M4715" t="str" cm="1">
        <f t="array" ref="M4715">_xlfn.IFS(B4715&lt;18,"Under 18",B4715 &lt;=25,"18-25",B4715&lt;=35,"26-35",B4715&lt;=45,"36-45",B4715&lt;=60,"46-60",TRUE,"60+")</f>
        <v>18-25</v>
      </c>
      <c r="N4715" t="str">
        <f t="shared" si="220"/>
        <v>Discounted</v>
      </c>
      <c r="O4715" t="str">
        <f t="shared" si="221"/>
        <v>Returning</v>
      </c>
    </row>
    <row r="4716" spans="1:15" x14ac:dyDescent="0.25">
      <c r="A4716">
        <v>4715</v>
      </c>
      <c r="B4716">
        <v>38</v>
      </c>
      <c r="C4716" t="s">
        <v>16</v>
      </c>
      <c r="D4716" t="s">
        <v>33</v>
      </c>
      <c r="E4716" t="s">
        <v>40</v>
      </c>
      <c r="F4716" s="1">
        <v>139.77000000000001</v>
      </c>
      <c r="G4716" t="s">
        <v>24</v>
      </c>
      <c r="H4716" t="s">
        <v>15</v>
      </c>
      <c r="I4716" s="2">
        <v>5</v>
      </c>
      <c r="J4716" s="4">
        <v>8</v>
      </c>
      <c r="K4716" s="3">
        <v>4</v>
      </c>
      <c r="L4716" s="1">
        <f t="shared" si="219"/>
        <v>128.58840000000001</v>
      </c>
      <c r="M4716" t="str" cm="1">
        <f t="array" ref="M4716">_xlfn.IFS(B4716&lt;18,"Under 18",B4716 &lt;=25,"18-25",B4716&lt;=35,"26-35",B4716&lt;=45,"36-45",B4716&lt;=60,"46-60",TRUE,"60+")</f>
        <v>36-45</v>
      </c>
      <c r="N4716" t="str">
        <f t="shared" si="220"/>
        <v>Discounted</v>
      </c>
      <c r="O4716" t="str">
        <f t="shared" si="221"/>
        <v>Returning</v>
      </c>
    </row>
    <row r="4717" spans="1:15" x14ac:dyDescent="0.25">
      <c r="A4717">
        <v>4716</v>
      </c>
      <c r="B4717">
        <v>58</v>
      </c>
      <c r="C4717" t="s">
        <v>16</v>
      </c>
      <c r="D4717" t="s">
        <v>20</v>
      </c>
      <c r="E4717" t="s">
        <v>39</v>
      </c>
      <c r="F4717" s="1">
        <v>95.93</v>
      </c>
      <c r="G4717" t="s">
        <v>31</v>
      </c>
      <c r="H4717" t="s">
        <v>15</v>
      </c>
      <c r="I4717" s="2">
        <v>3.7</v>
      </c>
      <c r="J4717" s="4">
        <v>13</v>
      </c>
      <c r="K4717" s="3">
        <v>4</v>
      </c>
      <c r="L4717" s="1">
        <f t="shared" si="219"/>
        <v>83.459100000000007</v>
      </c>
      <c r="M4717" t="str" cm="1">
        <f t="array" ref="M4717">_xlfn.IFS(B4717&lt;18,"Under 18",B4717 &lt;=25,"18-25",B4717&lt;=35,"26-35",B4717&lt;=45,"36-45",B4717&lt;=60,"46-60",TRUE,"60+")</f>
        <v>46-60</v>
      </c>
      <c r="N4717" t="str">
        <f t="shared" si="220"/>
        <v>Discounted</v>
      </c>
      <c r="O4717" t="str">
        <f t="shared" si="221"/>
        <v>Returning</v>
      </c>
    </row>
    <row r="4718" spans="1:15" x14ac:dyDescent="0.25">
      <c r="A4718">
        <v>4717</v>
      </c>
      <c r="B4718">
        <v>66</v>
      </c>
      <c r="C4718" t="s">
        <v>16</v>
      </c>
      <c r="D4718" t="s">
        <v>20</v>
      </c>
      <c r="E4718" t="s">
        <v>21</v>
      </c>
      <c r="F4718" s="1">
        <v>51.77</v>
      </c>
      <c r="G4718" t="s">
        <v>31</v>
      </c>
      <c r="H4718" t="s">
        <v>37</v>
      </c>
      <c r="I4718" s="2">
        <v>5</v>
      </c>
      <c r="J4718" s="4">
        <v>17</v>
      </c>
      <c r="K4718" s="3">
        <v>6</v>
      </c>
      <c r="L4718" s="1">
        <f t="shared" si="219"/>
        <v>42.969099999999997</v>
      </c>
      <c r="M4718" t="str" cm="1">
        <f t="array" ref="M4718">_xlfn.IFS(B4718&lt;18,"Under 18",B4718 &lt;=25,"18-25",B4718&lt;=35,"26-35",B4718&lt;=45,"36-45",B4718&lt;=60,"46-60",TRUE,"60+")</f>
        <v>60+</v>
      </c>
      <c r="N4718" t="str">
        <f t="shared" si="220"/>
        <v>Discounted</v>
      </c>
      <c r="O4718" t="str">
        <f t="shared" si="221"/>
        <v>Returning</v>
      </c>
    </row>
    <row r="4719" spans="1:15" x14ac:dyDescent="0.25">
      <c r="A4719">
        <v>4718</v>
      </c>
      <c r="B4719">
        <v>44</v>
      </c>
      <c r="C4719" t="s">
        <v>11</v>
      </c>
      <c r="D4719" t="s">
        <v>29</v>
      </c>
      <c r="E4719" t="s">
        <v>55</v>
      </c>
      <c r="F4719" s="1">
        <v>28.68</v>
      </c>
      <c r="G4719" t="s">
        <v>19</v>
      </c>
      <c r="H4719" t="s">
        <v>37</v>
      </c>
      <c r="I4719" s="2">
        <v>3.5</v>
      </c>
      <c r="J4719" s="4">
        <v>12</v>
      </c>
      <c r="K4719" s="3">
        <v>6</v>
      </c>
      <c r="L4719" s="1">
        <f t="shared" si="219"/>
        <v>25.238399999999999</v>
      </c>
      <c r="M4719" t="str" cm="1">
        <f t="array" ref="M4719">_xlfn.IFS(B4719&lt;18,"Under 18",B4719 &lt;=25,"18-25",B4719&lt;=35,"26-35",B4719&lt;=45,"36-45",B4719&lt;=60,"46-60",TRUE,"60+")</f>
        <v>36-45</v>
      </c>
      <c r="N4719" t="str">
        <f t="shared" si="220"/>
        <v>Discounted</v>
      </c>
      <c r="O4719" t="str">
        <f t="shared" si="221"/>
        <v>Returning</v>
      </c>
    </row>
    <row r="4720" spans="1:15" x14ac:dyDescent="0.25">
      <c r="A4720">
        <v>4719</v>
      </c>
      <c r="B4720">
        <v>34</v>
      </c>
      <c r="C4720" t="s">
        <v>11</v>
      </c>
      <c r="D4720" t="s">
        <v>12</v>
      </c>
      <c r="E4720" t="s">
        <v>56</v>
      </c>
      <c r="F4720" s="1">
        <v>140.63</v>
      </c>
      <c r="G4720" t="s">
        <v>31</v>
      </c>
      <c r="H4720" t="s">
        <v>15</v>
      </c>
      <c r="I4720" s="2">
        <v>4.5</v>
      </c>
      <c r="J4720" s="4">
        <v>19</v>
      </c>
      <c r="K4720" s="3">
        <v>7</v>
      </c>
      <c r="L4720" s="1">
        <f t="shared" si="219"/>
        <v>113.91030000000001</v>
      </c>
      <c r="M4720" t="str" cm="1">
        <f t="array" ref="M4720">_xlfn.IFS(B4720&lt;18,"Under 18",B4720 &lt;=25,"18-25",B4720&lt;=35,"26-35",B4720&lt;=45,"36-45",B4720&lt;=60,"46-60",TRUE,"60+")</f>
        <v>26-35</v>
      </c>
      <c r="N4720" t="str">
        <f t="shared" si="220"/>
        <v>Discounted</v>
      </c>
      <c r="O4720" t="str">
        <f t="shared" si="221"/>
        <v>Returning</v>
      </c>
    </row>
    <row r="4721" spans="1:15" x14ac:dyDescent="0.25">
      <c r="A4721">
        <v>4720</v>
      </c>
      <c r="B4721">
        <v>25</v>
      </c>
      <c r="C4721" t="s">
        <v>16</v>
      </c>
      <c r="D4721" t="s">
        <v>20</v>
      </c>
      <c r="E4721" t="s">
        <v>21</v>
      </c>
      <c r="F4721" s="1">
        <v>27.85</v>
      </c>
      <c r="G4721" t="s">
        <v>24</v>
      </c>
      <c r="H4721" t="s">
        <v>15</v>
      </c>
      <c r="I4721" s="2">
        <v>3.5</v>
      </c>
      <c r="J4721" s="4">
        <v>2</v>
      </c>
      <c r="K4721" s="3">
        <v>1</v>
      </c>
      <c r="L4721" s="1">
        <f t="shared" si="219"/>
        <v>27.292999999999999</v>
      </c>
      <c r="M4721" t="str" cm="1">
        <f t="array" ref="M4721">_xlfn.IFS(B4721&lt;18,"Under 18",B4721 &lt;=25,"18-25",B4721&lt;=35,"26-35",B4721&lt;=45,"36-45",B4721&lt;=60,"46-60",TRUE,"60+")</f>
        <v>18-25</v>
      </c>
      <c r="N4721" t="str">
        <f t="shared" si="220"/>
        <v>Discounted</v>
      </c>
      <c r="O4721" t="str">
        <f t="shared" si="221"/>
        <v>Returning</v>
      </c>
    </row>
    <row r="4722" spans="1:15" x14ac:dyDescent="0.25">
      <c r="A4722">
        <v>4721</v>
      </c>
      <c r="B4722">
        <v>49</v>
      </c>
      <c r="C4722" t="s">
        <v>16</v>
      </c>
      <c r="D4722" t="s">
        <v>27</v>
      </c>
      <c r="E4722" t="s">
        <v>28</v>
      </c>
      <c r="F4722" s="1">
        <v>2620.52</v>
      </c>
      <c r="G4722" t="s">
        <v>24</v>
      </c>
      <c r="H4722" t="s">
        <v>15</v>
      </c>
      <c r="I4722" s="2">
        <v>3.3</v>
      </c>
      <c r="J4722" s="4">
        <v>18</v>
      </c>
      <c r="K4722" s="3">
        <v>4</v>
      </c>
      <c r="L4722" s="1">
        <f t="shared" si="219"/>
        <v>2148.8263999999999</v>
      </c>
      <c r="M4722" t="str" cm="1">
        <f t="array" ref="M4722">_xlfn.IFS(B4722&lt;18,"Under 18",B4722 &lt;=25,"18-25",B4722&lt;=35,"26-35",B4722&lt;=45,"36-45",B4722&lt;=60,"46-60",TRUE,"60+")</f>
        <v>46-60</v>
      </c>
      <c r="N4722" t="str">
        <f t="shared" si="220"/>
        <v>Discounted</v>
      </c>
      <c r="O4722" t="str">
        <f t="shared" si="221"/>
        <v>Returning</v>
      </c>
    </row>
    <row r="4723" spans="1:15" x14ac:dyDescent="0.25">
      <c r="A4723">
        <v>4722</v>
      </c>
      <c r="B4723">
        <v>36</v>
      </c>
      <c r="C4723" t="s">
        <v>11</v>
      </c>
      <c r="D4723" t="s">
        <v>12</v>
      </c>
      <c r="E4723" t="s">
        <v>50</v>
      </c>
      <c r="F4723" s="1">
        <v>60.24</v>
      </c>
      <c r="G4723" t="s">
        <v>24</v>
      </c>
      <c r="H4723" t="s">
        <v>37</v>
      </c>
      <c r="I4723" s="2">
        <v>4.4000000000000004</v>
      </c>
      <c r="J4723" s="4">
        <v>6</v>
      </c>
      <c r="K4723" s="3">
        <v>3</v>
      </c>
      <c r="L4723" s="1">
        <f t="shared" si="219"/>
        <v>56.625599999999999</v>
      </c>
      <c r="M4723" t="str" cm="1">
        <f t="array" ref="M4723">_xlfn.IFS(B4723&lt;18,"Under 18",B4723 &lt;=25,"18-25",B4723&lt;=35,"26-35",B4723&lt;=45,"36-45",B4723&lt;=60,"46-60",TRUE,"60+")</f>
        <v>36-45</v>
      </c>
      <c r="N4723" t="str">
        <f t="shared" si="220"/>
        <v>Discounted</v>
      </c>
      <c r="O4723" t="str">
        <f t="shared" si="221"/>
        <v>Returning</v>
      </c>
    </row>
    <row r="4724" spans="1:15" x14ac:dyDescent="0.25">
      <c r="A4724">
        <v>4723</v>
      </c>
      <c r="B4724">
        <v>24</v>
      </c>
      <c r="C4724" t="s">
        <v>16</v>
      </c>
      <c r="D4724" t="s">
        <v>20</v>
      </c>
      <c r="E4724" t="s">
        <v>36</v>
      </c>
      <c r="F4724" s="1">
        <v>89.29</v>
      </c>
      <c r="G4724" t="s">
        <v>24</v>
      </c>
      <c r="H4724" t="s">
        <v>15</v>
      </c>
      <c r="I4724" s="2">
        <v>3.8</v>
      </c>
      <c r="J4724" s="4">
        <v>0</v>
      </c>
      <c r="K4724" s="3">
        <v>0</v>
      </c>
      <c r="L4724" s="1">
        <f t="shared" si="219"/>
        <v>89.29</v>
      </c>
      <c r="M4724" t="str" cm="1">
        <f t="array" ref="M4724">_xlfn.IFS(B4724&lt;18,"Under 18",B4724 &lt;=25,"18-25",B4724&lt;=35,"26-35",B4724&lt;=45,"36-45",B4724&lt;=60,"46-60",TRUE,"60+")</f>
        <v>18-25</v>
      </c>
      <c r="N4724" t="str">
        <f t="shared" si="220"/>
        <v>No Discount</v>
      </c>
      <c r="O4724" t="str">
        <f t="shared" si="221"/>
        <v>New</v>
      </c>
    </row>
    <row r="4725" spans="1:15" x14ac:dyDescent="0.25">
      <c r="A4725">
        <v>4724</v>
      </c>
      <c r="B4725">
        <v>32</v>
      </c>
      <c r="C4725" t="s">
        <v>11</v>
      </c>
      <c r="D4725" t="s">
        <v>33</v>
      </c>
      <c r="E4725" t="s">
        <v>38</v>
      </c>
      <c r="F4725" s="1">
        <v>52.53</v>
      </c>
      <c r="G4725" t="s">
        <v>19</v>
      </c>
      <c r="H4725" t="s">
        <v>37</v>
      </c>
      <c r="I4725" s="2">
        <v>3.1</v>
      </c>
      <c r="J4725" s="4">
        <v>18</v>
      </c>
      <c r="K4725" s="3">
        <v>4</v>
      </c>
      <c r="L4725" s="1">
        <f t="shared" si="219"/>
        <v>43.074600000000004</v>
      </c>
      <c r="M4725" t="str" cm="1">
        <f t="array" ref="M4725">_xlfn.IFS(B4725&lt;18,"Under 18",B4725 &lt;=25,"18-25",B4725&lt;=35,"26-35",B4725&lt;=45,"36-45",B4725&lt;=60,"46-60",TRUE,"60+")</f>
        <v>26-35</v>
      </c>
      <c r="N4725" t="str">
        <f t="shared" si="220"/>
        <v>Discounted</v>
      </c>
      <c r="O4725" t="str">
        <f t="shared" si="221"/>
        <v>Returning</v>
      </c>
    </row>
    <row r="4726" spans="1:15" x14ac:dyDescent="0.25">
      <c r="A4726">
        <v>4725</v>
      </c>
      <c r="B4726">
        <v>62</v>
      </c>
      <c r="C4726" t="s">
        <v>11</v>
      </c>
      <c r="D4726" t="s">
        <v>29</v>
      </c>
      <c r="E4726" t="s">
        <v>30</v>
      </c>
      <c r="F4726" s="1">
        <v>93.41</v>
      </c>
      <c r="G4726" t="s">
        <v>24</v>
      </c>
      <c r="H4726" t="s">
        <v>37</v>
      </c>
      <c r="I4726" s="2">
        <v>4.0999999999999996</v>
      </c>
      <c r="J4726" s="4">
        <v>12</v>
      </c>
      <c r="K4726" s="3">
        <v>6</v>
      </c>
      <c r="L4726" s="1">
        <f t="shared" si="219"/>
        <v>82.200800000000001</v>
      </c>
      <c r="M4726" t="str" cm="1">
        <f t="array" ref="M4726">_xlfn.IFS(B4726&lt;18,"Under 18",B4726 &lt;=25,"18-25",B4726&lt;=35,"26-35",B4726&lt;=45,"36-45",B4726&lt;=60,"46-60",TRUE,"60+")</f>
        <v>60+</v>
      </c>
      <c r="N4726" t="str">
        <f t="shared" si="220"/>
        <v>Discounted</v>
      </c>
      <c r="O4726" t="str">
        <f t="shared" si="221"/>
        <v>Returning</v>
      </c>
    </row>
    <row r="4727" spans="1:15" x14ac:dyDescent="0.25">
      <c r="A4727">
        <v>4726</v>
      </c>
      <c r="B4727">
        <v>48</v>
      </c>
      <c r="C4727" t="s">
        <v>11</v>
      </c>
      <c r="D4727" t="s">
        <v>29</v>
      </c>
      <c r="E4727" t="s">
        <v>51</v>
      </c>
      <c r="F4727" s="1">
        <v>96.12</v>
      </c>
      <c r="G4727" t="s">
        <v>14</v>
      </c>
      <c r="H4727" t="s">
        <v>15</v>
      </c>
      <c r="I4727" s="2">
        <v>3.8</v>
      </c>
      <c r="J4727" s="4">
        <v>22</v>
      </c>
      <c r="K4727" s="3">
        <v>11</v>
      </c>
      <c r="L4727" s="1">
        <f t="shared" si="219"/>
        <v>74.973600000000005</v>
      </c>
      <c r="M4727" t="str" cm="1">
        <f t="array" ref="M4727">_xlfn.IFS(B4727&lt;18,"Under 18",B4727 &lt;=25,"18-25",B4727&lt;=35,"26-35",B4727&lt;=45,"36-45",B4727&lt;=60,"46-60",TRUE,"60+")</f>
        <v>46-60</v>
      </c>
      <c r="N4727" t="str">
        <f t="shared" si="220"/>
        <v>Discounted</v>
      </c>
      <c r="O4727" t="str">
        <f t="shared" si="221"/>
        <v>Returning</v>
      </c>
    </row>
    <row r="4728" spans="1:15" x14ac:dyDescent="0.25">
      <c r="A4728">
        <v>4727</v>
      </c>
      <c r="B4728">
        <v>44</v>
      </c>
      <c r="C4728" t="s">
        <v>16</v>
      </c>
      <c r="D4728" t="s">
        <v>25</v>
      </c>
      <c r="E4728" t="s">
        <v>26</v>
      </c>
      <c r="F4728" s="1">
        <v>51.5</v>
      </c>
      <c r="G4728" t="s">
        <v>14</v>
      </c>
      <c r="H4728" t="s">
        <v>37</v>
      </c>
      <c r="I4728" s="2">
        <v>3.8</v>
      </c>
      <c r="J4728" s="4">
        <v>22</v>
      </c>
      <c r="K4728" s="3">
        <v>6</v>
      </c>
      <c r="L4728" s="1">
        <f t="shared" si="219"/>
        <v>40.17</v>
      </c>
      <c r="M4728" t="str" cm="1">
        <f t="array" ref="M4728">_xlfn.IFS(B4728&lt;18,"Under 18",B4728 &lt;=25,"18-25",B4728&lt;=35,"26-35",B4728&lt;=45,"36-45",B4728&lt;=60,"46-60",TRUE,"60+")</f>
        <v>36-45</v>
      </c>
      <c r="N4728" t="str">
        <f t="shared" si="220"/>
        <v>Discounted</v>
      </c>
      <c r="O4728" t="str">
        <f t="shared" si="221"/>
        <v>Returning</v>
      </c>
    </row>
    <row r="4729" spans="1:15" x14ac:dyDescent="0.25">
      <c r="A4729">
        <v>4728</v>
      </c>
      <c r="B4729">
        <v>58</v>
      </c>
      <c r="C4729" t="s">
        <v>16</v>
      </c>
      <c r="D4729" t="s">
        <v>20</v>
      </c>
      <c r="E4729" t="s">
        <v>21</v>
      </c>
      <c r="F4729" s="1">
        <v>147.1</v>
      </c>
      <c r="G4729" t="s">
        <v>31</v>
      </c>
      <c r="H4729" t="s">
        <v>15</v>
      </c>
      <c r="I4729" s="2">
        <v>4.0999999999999996</v>
      </c>
      <c r="J4729" s="4">
        <v>12</v>
      </c>
      <c r="K4729" s="3">
        <v>1</v>
      </c>
      <c r="L4729" s="1">
        <f t="shared" si="219"/>
        <v>129.44800000000001</v>
      </c>
      <c r="M4729" t="str" cm="1">
        <f t="array" ref="M4729">_xlfn.IFS(B4729&lt;18,"Under 18",B4729 &lt;=25,"18-25",B4729&lt;=35,"26-35",B4729&lt;=45,"36-45",B4729&lt;=60,"46-60",TRUE,"60+")</f>
        <v>46-60</v>
      </c>
      <c r="N4729" t="str">
        <f t="shared" si="220"/>
        <v>Discounted</v>
      </c>
      <c r="O4729" t="str">
        <f t="shared" si="221"/>
        <v>Returning</v>
      </c>
    </row>
    <row r="4730" spans="1:15" x14ac:dyDescent="0.25">
      <c r="A4730">
        <v>4729</v>
      </c>
      <c r="B4730">
        <v>59</v>
      </c>
      <c r="C4730" t="s">
        <v>16</v>
      </c>
      <c r="D4730" t="s">
        <v>33</v>
      </c>
      <c r="E4730" t="s">
        <v>40</v>
      </c>
      <c r="F4730" s="1">
        <v>208.77</v>
      </c>
      <c r="G4730" t="s">
        <v>19</v>
      </c>
      <c r="H4730" t="s">
        <v>15</v>
      </c>
      <c r="I4730" s="2">
        <v>4</v>
      </c>
      <c r="J4730" s="4">
        <v>12</v>
      </c>
      <c r="K4730" s="3">
        <v>6</v>
      </c>
      <c r="L4730" s="1">
        <f t="shared" si="219"/>
        <v>183.7176</v>
      </c>
      <c r="M4730" t="str" cm="1">
        <f t="array" ref="M4730">_xlfn.IFS(B4730&lt;18,"Under 18",B4730 &lt;=25,"18-25",B4730&lt;=35,"26-35",B4730&lt;=45,"36-45",B4730&lt;=60,"46-60",TRUE,"60+")</f>
        <v>46-60</v>
      </c>
      <c r="N4730" t="str">
        <f t="shared" si="220"/>
        <v>Discounted</v>
      </c>
      <c r="O4730" t="str">
        <f t="shared" si="221"/>
        <v>Returning</v>
      </c>
    </row>
    <row r="4731" spans="1:15" x14ac:dyDescent="0.25">
      <c r="A4731">
        <v>4730</v>
      </c>
      <c r="B4731">
        <v>31</v>
      </c>
      <c r="C4731" t="s">
        <v>16</v>
      </c>
      <c r="D4731" t="s">
        <v>33</v>
      </c>
      <c r="E4731" t="s">
        <v>40</v>
      </c>
      <c r="F4731" s="1">
        <v>222.63</v>
      </c>
      <c r="G4731" t="s">
        <v>31</v>
      </c>
      <c r="H4731" t="s">
        <v>15</v>
      </c>
      <c r="I4731" s="2">
        <v>4.3</v>
      </c>
      <c r="J4731" s="4">
        <v>18</v>
      </c>
      <c r="K4731" s="3">
        <v>9</v>
      </c>
      <c r="L4731" s="1">
        <f t="shared" si="219"/>
        <v>182.5566</v>
      </c>
      <c r="M4731" t="str" cm="1">
        <f t="array" ref="M4731">_xlfn.IFS(B4731&lt;18,"Under 18",B4731 &lt;=25,"18-25",B4731&lt;=35,"26-35",B4731&lt;=45,"36-45",B4731&lt;=60,"46-60",TRUE,"60+")</f>
        <v>26-35</v>
      </c>
      <c r="N4731" t="str">
        <f t="shared" si="220"/>
        <v>Discounted</v>
      </c>
      <c r="O4731" t="str">
        <f t="shared" si="221"/>
        <v>Returning</v>
      </c>
    </row>
    <row r="4732" spans="1:15" x14ac:dyDescent="0.25">
      <c r="A4732">
        <v>4731</v>
      </c>
      <c r="B4732">
        <v>37</v>
      </c>
      <c r="C4732" t="s">
        <v>11</v>
      </c>
      <c r="D4732" t="s">
        <v>41</v>
      </c>
      <c r="E4732" t="s">
        <v>44</v>
      </c>
      <c r="F4732" s="1">
        <v>56.66</v>
      </c>
      <c r="G4732" t="s">
        <v>14</v>
      </c>
      <c r="H4732" t="s">
        <v>15</v>
      </c>
      <c r="I4732" s="2">
        <v>5</v>
      </c>
      <c r="J4732" s="4">
        <v>14</v>
      </c>
      <c r="K4732" s="3">
        <v>7</v>
      </c>
      <c r="L4732" s="1">
        <f t="shared" si="219"/>
        <v>48.727599999999995</v>
      </c>
      <c r="M4732" t="str" cm="1">
        <f t="array" ref="M4732">_xlfn.IFS(B4732&lt;18,"Under 18",B4732 &lt;=25,"18-25",B4732&lt;=35,"26-35",B4732&lt;=45,"36-45",B4732&lt;=60,"46-60",TRUE,"60+")</f>
        <v>36-45</v>
      </c>
      <c r="N4732" t="str">
        <f t="shared" si="220"/>
        <v>Discounted</v>
      </c>
      <c r="O4732" t="str">
        <f t="shared" si="221"/>
        <v>Returning</v>
      </c>
    </row>
    <row r="4733" spans="1:15" x14ac:dyDescent="0.25">
      <c r="A4733">
        <v>4732</v>
      </c>
      <c r="B4733">
        <v>32</v>
      </c>
      <c r="C4733" t="s">
        <v>16</v>
      </c>
      <c r="D4733" t="s">
        <v>20</v>
      </c>
      <c r="E4733" t="s">
        <v>39</v>
      </c>
      <c r="F4733" s="1">
        <v>46.9</v>
      </c>
      <c r="G4733" t="s">
        <v>19</v>
      </c>
      <c r="H4733" t="s">
        <v>37</v>
      </c>
      <c r="I4733" s="2">
        <v>3.4</v>
      </c>
      <c r="J4733" s="4">
        <v>17</v>
      </c>
      <c r="K4733" s="3">
        <v>6</v>
      </c>
      <c r="L4733" s="1">
        <f t="shared" si="219"/>
        <v>38.927</v>
      </c>
      <c r="M4733" t="str" cm="1">
        <f t="array" ref="M4733">_xlfn.IFS(B4733&lt;18,"Under 18",B4733 &lt;=25,"18-25",B4733&lt;=35,"26-35",B4733&lt;=45,"36-45",B4733&lt;=60,"46-60",TRUE,"60+")</f>
        <v>26-35</v>
      </c>
      <c r="N4733" t="str">
        <f t="shared" si="220"/>
        <v>Discounted</v>
      </c>
      <c r="O4733" t="str">
        <f t="shared" si="221"/>
        <v>Returning</v>
      </c>
    </row>
    <row r="4734" spans="1:15" x14ac:dyDescent="0.25">
      <c r="A4734">
        <v>4733</v>
      </c>
      <c r="B4734">
        <v>69</v>
      </c>
      <c r="C4734" t="s">
        <v>16</v>
      </c>
      <c r="D4734" t="s">
        <v>27</v>
      </c>
      <c r="E4734" t="s">
        <v>32</v>
      </c>
      <c r="F4734" s="1">
        <v>771.91</v>
      </c>
      <c r="G4734" t="s">
        <v>14</v>
      </c>
      <c r="H4734" t="s">
        <v>15</v>
      </c>
      <c r="I4734" s="2">
        <v>4.8</v>
      </c>
      <c r="J4734" s="4">
        <v>14</v>
      </c>
      <c r="K4734" s="3">
        <v>7</v>
      </c>
      <c r="L4734" s="1">
        <f t="shared" si="219"/>
        <v>663.84259999999995</v>
      </c>
      <c r="M4734" t="str" cm="1">
        <f t="array" ref="M4734">_xlfn.IFS(B4734&lt;18,"Under 18",B4734 &lt;=25,"18-25",B4734&lt;=35,"26-35",B4734&lt;=45,"36-45",B4734&lt;=60,"46-60",TRUE,"60+")</f>
        <v>60+</v>
      </c>
      <c r="N4734" t="str">
        <f t="shared" si="220"/>
        <v>Discounted</v>
      </c>
      <c r="O4734" t="str">
        <f t="shared" si="221"/>
        <v>Returning</v>
      </c>
    </row>
    <row r="4735" spans="1:15" x14ac:dyDescent="0.25">
      <c r="A4735">
        <v>4734</v>
      </c>
      <c r="B4735">
        <v>40</v>
      </c>
      <c r="C4735" t="s">
        <v>16</v>
      </c>
      <c r="D4735" t="s">
        <v>20</v>
      </c>
      <c r="E4735" t="s">
        <v>36</v>
      </c>
      <c r="F4735" s="1">
        <v>122.71</v>
      </c>
      <c r="G4735" t="s">
        <v>14</v>
      </c>
      <c r="H4735" t="s">
        <v>15</v>
      </c>
      <c r="I4735" s="2">
        <v>2.8</v>
      </c>
      <c r="J4735" s="4">
        <v>13</v>
      </c>
      <c r="K4735" s="3">
        <v>4</v>
      </c>
      <c r="L4735" s="1">
        <f t="shared" si="219"/>
        <v>106.7577</v>
      </c>
      <c r="M4735" t="str" cm="1">
        <f t="array" ref="M4735">_xlfn.IFS(B4735&lt;18,"Under 18",B4735 &lt;=25,"18-25",B4735&lt;=35,"26-35",B4735&lt;=45,"36-45",B4735&lt;=60,"46-60",TRUE,"60+")</f>
        <v>36-45</v>
      </c>
      <c r="N4735" t="str">
        <f t="shared" si="220"/>
        <v>Discounted</v>
      </c>
      <c r="O4735" t="str">
        <f t="shared" si="221"/>
        <v>Returning</v>
      </c>
    </row>
    <row r="4736" spans="1:15" x14ac:dyDescent="0.25">
      <c r="A4736">
        <v>4735</v>
      </c>
      <c r="B4736">
        <v>21</v>
      </c>
      <c r="C4736" t="s">
        <v>11</v>
      </c>
      <c r="D4736" t="s">
        <v>41</v>
      </c>
      <c r="E4736" t="s">
        <v>42</v>
      </c>
      <c r="F4736" s="1">
        <v>195.09</v>
      </c>
      <c r="G4736" t="s">
        <v>24</v>
      </c>
      <c r="H4736" t="s">
        <v>15</v>
      </c>
      <c r="I4736" s="2">
        <v>4.4000000000000004</v>
      </c>
      <c r="J4736" s="4">
        <v>20</v>
      </c>
      <c r="K4736" s="3">
        <v>5</v>
      </c>
      <c r="L4736" s="1">
        <f t="shared" si="219"/>
        <v>156.072</v>
      </c>
      <c r="M4736" t="str" cm="1">
        <f t="array" ref="M4736">_xlfn.IFS(B4736&lt;18,"Under 18",B4736 &lt;=25,"18-25",B4736&lt;=35,"26-35",B4736&lt;=45,"36-45",B4736&lt;=60,"46-60",TRUE,"60+")</f>
        <v>18-25</v>
      </c>
      <c r="N4736" t="str">
        <f t="shared" si="220"/>
        <v>Discounted</v>
      </c>
      <c r="O4736" t="str">
        <f t="shared" si="221"/>
        <v>Returning</v>
      </c>
    </row>
    <row r="4737" spans="1:15" x14ac:dyDescent="0.25">
      <c r="A4737">
        <v>4736</v>
      </c>
      <c r="B4737">
        <v>60</v>
      </c>
      <c r="C4737" t="s">
        <v>11</v>
      </c>
      <c r="D4737" t="s">
        <v>29</v>
      </c>
      <c r="E4737" t="s">
        <v>30</v>
      </c>
      <c r="F4737" s="1">
        <v>80.38</v>
      </c>
      <c r="G4737" t="s">
        <v>19</v>
      </c>
      <c r="H4737" t="s">
        <v>15</v>
      </c>
      <c r="I4737" s="2">
        <v>3.6</v>
      </c>
      <c r="J4737" s="4">
        <v>14</v>
      </c>
      <c r="K4737" s="3">
        <v>7</v>
      </c>
      <c r="L4737" s="1">
        <f t="shared" si="219"/>
        <v>69.126799999999989</v>
      </c>
      <c r="M4737" t="str" cm="1">
        <f t="array" ref="M4737">_xlfn.IFS(B4737&lt;18,"Under 18",B4737 &lt;=25,"18-25",B4737&lt;=35,"26-35",B4737&lt;=45,"36-45",B4737&lt;=60,"46-60",TRUE,"60+")</f>
        <v>46-60</v>
      </c>
      <c r="N4737" t="str">
        <f t="shared" si="220"/>
        <v>Discounted</v>
      </c>
      <c r="O4737" t="str">
        <f t="shared" si="221"/>
        <v>Returning</v>
      </c>
    </row>
    <row r="4738" spans="1:15" x14ac:dyDescent="0.25">
      <c r="A4738">
        <v>4737</v>
      </c>
      <c r="B4738">
        <v>66</v>
      </c>
      <c r="C4738" t="s">
        <v>11</v>
      </c>
      <c r="D4738" t="s">
        <v>41</v>
      </c>
      <c r="E4738" t="s">
        <v>45</v>
      </c>
      <c r="F4738" s="1">
        <v>109.58</v>
      </c>
      <c r="G4738" t="s">
        <v>31</v>
      </c>
      <c r="H4738" t="s">
        <v>15</v>
      </c>
      <c r="I4738" s="2">
        <v>4.3</v>
      </c>
      <c r="J4738" s="4">
        <v>26</v>
      </c>
      <c r="K4738" s="3">
        <v>8</v>
      </c>
      <c r="L4738" s="1">
        <f t="shared" si="219"/>
        <v>81.089199999999991</v>
      </c>
      <c r="M4738" t="str" cm="1">
        <f t="array" ref="M4738">_xlfn.IFS(B4738&lt;18,"Under 18",B4738 &lt;=25,"18-25",B4738&lt;=35,"26-35",B4738&lt;=45,"36-45",B4738&lt;=60,"46-60",TRUE,"60+")</f>
        <v>60+</v>
      </c>
      <c r="N4738" t="str">
        <f t="shared" si="220"/>
        <v>Discounted</v>
      </c>
      <c r="O4738" t="str">
        <f t="shared" si="221"/>
        <v>Returning</v>
      </c>
    </row>
    <row r="4739" spans="1:15" x14ac:dyDescent="0.25">
      <c r="A4739">
        <v>4738</v>
      </c>
      <c r="B4739">
        <v>42</v>
      </c>
      <c r="C4739" t="s">
        <v>11</v>
      </c>
      <c r="D4739" t="s">
        <v>29</v>
      </c>
      <c r="E4739" t="s">
        <v>51</v>
      </c>
      <c r="F4739" s="1">
        <v>133.84</v>
      </c>
      <c r="G4739" t="s">
        <v>31</v>
      </c>
      <c r="H4739" t="s">
        <v>15</v>
      </c>
      <c r="I4739" s="2">
        <v>3.3</v>
      </c>
      <c r="J4739" s="4">
        <v>14</v>
      </c>
      <c r="K4739" s="3">
        <v>7</v>
      </c>
      <c r="L4739" s="1">
        <f t="shared" ref="L4739:L4802" si="222">F4739 * (1 - J4739 / 100)</f>
        <v>115.1024</v>
      </c>
      <c r="M4739" t="str" cm="1">
        <f t="array" ref="M4739">_xlfn.IFS(B4739&lt;18,"Under 18",B4739 &lt;=25,"18-25",B4739&lt;=35,"26-35",B4739&lt;=45,"36-45",B4739&lt;=60,"46-60",TRUE,"60+")</f>
        <v>36-45</v>
      </c>
      <c r="N4739" t="str">
        <f t="shared" ref="N4739:N4802" si="223">IF(J4739&gt;0,"Discounted","No Discount")</f>
        <v>Discounted</v>
      </c>
      <c r="O4739" t="str">
        <f t="shared" ref="O4739:O4802" si="224">IF(K4739&gt;0,"Returning","New")</f>
        <v>Returning</v>
      </c>
    </row>
    <row r="4740" spans="1:15" x14ac:dyDescent="0.25">
      <c r="A4740">
        <v>4739</v>
      </c>
      <c r="B4740">
        <v>28</v>
      </c>
      <c r="C4740" t="s">
        <v>16</v>
      </c>
      <c r="D4740" t="s">
        <v>17</v>
      </c>
      <c r="E4740" t="s">
        <v>35</v>
      </c>
      <c r="F4740" s="1">
        <v>37.090000000000003</v>
      </c>
      <c r="G4740" t="s">
        <v>31</v>
      </c>
      <c r="H4740" t="s">
        <v>15</v>
      </c>
      <c r="I4740" s="2">
        <v>4.4000000000000004</v>
      </c>
      <c r="J4740" s="4">
        <v>22</v>
      </c>
      <c r="K4740" s="3">
        <v>6</v>
      </c>
      <c r="L4740" s="1">
        <f t="shared" si="222"/>
        <v>28.930200000000003</v>
      </c>
      <c r="M4740" t="str" cm="1">
        <f t="array" ref="M4740">_xlfn.IFS(B4740&lt;18,"Under 18",B4740 &lt;=25,"18-25",B4740&lt;=35,"26-35",B4740&lt;=45,"36-45",B4740&lt;=60,"46-60",TRUE,"60+")</f>
        <v>26-35</v>
      </c>
      <c r="N4740" t="str">
        <f t="shared" si="223"/>
        <v>Discounted</v>
      </c>
      <c r="O4740" t="str">
        <f t="shared" si="224"/>
        <v>Returning</v>
      </c>
    </row>
    <row r="4741" spans="1:15" x14ac:dyDescent="0.25">
      <c r="A4741">
        <v>4740</v>
      </c>
      <c r="B4741">
        <v>50</v>
      </c>
      <c r="C4741" t="s">
        <v>16</v>
      </c>
      <c r="D4741" t="s">
        <v>25</v>
      </c>
      <c r="E4741" t="s">
        <v>47</v>
      </c>
      <c r="F4741" s="1">
        <v>19.579999999999998</v>
      </c>
      <c r="G4741" t="s">
        <v>24</v>
      </c>
      <c r="H4741" t="s">
        <v>15</v>
      </c>
      <c r="I4741" s="2">
        <v>3.3</v>
      </c>
      <c r="J4741" s="4">
        <v>19</v>
      </c>
      <c r="K4741" s="3">
        <v>7</v>
      </c>
      <c r="L4741" s="1">
        <f t="shared" si="222"/>
        <v>15.8598</v>
      </c>
      <c r="M4741" t="str" cm="1">
        <f t="array" ref="M4741">_xlfn.IFS(B4741&lt;18,"Under 18",B4741 &lt;=25,"18-25",B4741&lt;=35,"26-35",B4741&lt;=45,"36-45",B4741&lt;=60,"46-60",TRUE,"60+")</f>
        <v>46-60</v>
      </c>
      <c r="N4741" t="str">
        <f t="shared" si="223"/>
        <v>Discounted</v>
      </c>
      <c r="O4741" t="str">
        <f t="shared" si="224"/>
        <v>Returning</v>
      </c>
    </row>
    <row r="4742" spans="1:15" x14ac:dyDescent="0.25">
      <c r="A4742">
        <v>4741</v>
      </c>
      <c r="B4742">
        <v>65</v>
      </c>
      <c r="C4742" t="s">
        <v>16</v>
      </c>
      <c r="D4742" t="s">
        <v>25</v>
      </c>
      <c r="E4742" t="s">
        <v>47</v>
      </c>
      <c r="F4742" s="1">
        <v>13.95</v>
      </c>
      <c r="G4742" t="s">
        <v>31</v>
      </c>
      <c r="H4742" t="s">
        <v>15</v>
      </c>
      <c r="I4742" s="2">
        <v>4.0999999999999996</v>
      </c>
      <c r="J4742" s="4">
        <v>21</v>
      </c>
      <c r="K4742" s="3">
        <v>8</v>
      </c>
      <c r="L4742" s="1">
        <f t="shared" si="222"/>
        <v>11.0205</v>
      </c>
      <c r="M4742" t="str" cm="1">
        <f t="array" ref="M4742">_xlfn.IFS(B4742&lt;18,"Under 18",B4742 &lt;=25,"18-25",B4742&lt;=35,"26-35",B4742&lt;=45,"36-45",B4742&lt;=60,"46-60",TRUE,"60+")</f>
        <v>60+</v>
      </c>
      <c r="N4742" t="str">
        <f t="shared" si="223"/>
        <v>Discounted</v>
      </c>
      <c r="O4742" t="str">
        <f t="shared" si="224"/>
        <v>Returning</v>
      </c>
    </row>
    <row r="4743" spans="1:15" x14ac:dyDescent="0.25">
      <c r="A4743">
        <v>4742</v>
      </c>
      <c r="B4743">
        <v>48</v>
      </c>
      <c r="C4743" t="s">
        <v>16</v>
      </c>
      <c r="D4743" t="s">
        <v>20</v>
      </c>
      <c r="E4743" t="s">
        <v>39</v>
      </c>
      <c r="F4743" s="1">
        <v>147.08000000000001</v>
      </c>
      <c r="G4743" t="s">
        <v>31</v>
      </c>
      <c r="H4743" t="s">
        <v>15</v>
      </c>
      <c r="I4743" s="2">
        <v>3.4</v>
      </c>
      <c r="J4743" s="4">
        <v>20</v>
      </c>
      <c r="K4743" s="3">
        <v>5</v>
      </c>
      <c r="L4743" s="1">
        <f t="shared" si="222"/>
        <v>117.66400000000002</v>
      </c>
      <c r="M4743" t="str" cm="1">
        <f t="array" ref="M4743">_xlfn.IFS(B4743&lt;18,"Under 18",B4743 &lt;=25,"18-25",B4743&lt;=35,"26-35",B4743&lt;=45,"36-45",B4743&lt;=60,"46-60",TRUE,"60+")</f>
        <v>46-60</v>
      </c>
      <c r="N4743" t="str">
        <f t="shared" si="223"/>
        <v>Discounted</v>
      </c>
      <c r="O4743" t="str">
        <f t="shared" si="224"/>
        <v>Returning</v>
      </c>
    </row>
    <row r="4744" spans="1:15" x14ac:dyDescent="0.25">
      <c r="A4744">
        <v>4743</v>
      </c>
      <c r="B4744">
        <v>56</v>
      </c>
      <c r="C4744" t="s">
        <v>11</v>
      </c>
      <c r="D4744" t="s">
        <v>41</v>
      </c>
      <c r="E4744" t="s">
        <v>44</v>
      </c>
      <c r="F4744" s="1">
        <v>172.44</v>
      </c>
      <c r="G4744" t="s">
        <v>31</v>
      </c>
      <c r="H4744" t="s">
        <v>15</v>
      </c>
      <c r="I4744" s="2">
        <v>3.7</v>
      </c>
      <c r="J4744" s="4">
        <v>18</v>
      </c>
      <c r="K4744" s="3">
        <v>4</v>
      </c>
      <c r="L4744" s="1">
        <f t="shared" si="222"/>
        <v>141.4008</v>
      </c>
      <c r="M4744" t="str" cm="1">
        <f t="array" ref="M4744">_xlfn.IFS(B4744&lt;18,"Under 18",B4744 &lt;=25,"18-25",B4744&lt;=35,"26-35",B4744&lt;=45,"36-45",B4744&lt;=60,"46-60",TRUE,"60+")</f>
        <v>46-60</v>
      </c>
      <c r="N4744" t="str">
        <f t="shared" si="223"/>
        <v>Discounted</v>
      </c>
      <c r="O4744" t="str">
        <f t="shared" si="224"/>
        <v>Returning</v>
      </c>
    </row>
    <row r="4745" spans="1:15" x14ac:dyDescent="0.25">
      <c r="A4745">
        <v>4744</v>
      </c>
      <c r="B4745">
        <v>41</v>
      </c>
      <c r="C4745" t="s">
        <v>16</v>
      </c>
      <c r="D4745" t="s">
        <v>20</v>
      </c>
      <c r="E4745" t="s">
        <v>39</v>
      </c>
      <c r="F4745" s="1">
        <v>179</v>
      </c>
      <c r="G4745" t="s">
        <v>14</v>
      </c>
      <c r="H4745" t="s">
        <v>15</v>
      </c>
      <c r="I4745" s="2">
        <v>4.9000000000000004</v>
      </c>
      <c r="J4745" s="4">
        <v>8</v>
      </c>
      <c r="K4745" s="3">
        <v>4</v>
      </c>
      <c r="L4745" s="1">
        <f t="shared" si="222"/>
        <v>164.68</v>
      </c>
      <c r="M4745" t="str" cm="1">
        <f t="array" ref="M4745">_xlfn.IFS(B4745&lt;18,"Under 18",B4745 &lt;=25,"18-25",B4745&lt;=35,"26-35",B4745&lt;=45,"36-45",B4745&lt;=60,"46-60",TRUE,"60+")</f>
        <v>36-45</v>
      </c>
      <c r="N4745" t="str">
        <f t="shared" si="223"/>
        <v>Discounted</v>
      </c>
      <c r="O4745" t="str">
        <f t="shared" si="224"/>
        <v>Returning</v>
      </c>
    </row>
    <row r="4746" spans="1:15" x14ac:dyDescent="0.25">
      <c r="A4746">
        <v>4745</v>
      </c>
      <c r="B4746">
        <v>26</v>
      </c>
      <c r="C4746" t="s">
        <v>11</v>
      </c>
      <c r="D4746" t="s">
        <v>33</v>
      </c>
      <c r="E4746" t="s">
        <v>38</v>
      </c>
      <c r="F4746" s="1">
        <v>104.75</v>
      </c>
      <c r="G4746" t="s">
        <v>24</v>
      </c>
      <c r="H4746" t="s">
        <v>15</v>
      </c>
      <c r="I4746" s="2">
        <v>4.0999999999999996</v>
      </c>
      <c r="J4746" s="4">
        <v>6</v>
      </c>
      <c r="K4746" s="3">
        <v>3</v>
      </c>
      <c r="L4746" s="1">
        <f t="shared" si="222"/>
        <v>98.464999999999989</v>
      </c>
      <c r="M4746" t="str" cm="1">
        <f t="array" ref="M4746">_xlfn.IFS(B4746&lt;18,"Under 18",B4746 &lt;=25,"18-25",B4746&lt;=35,"26-35",B4746&lt;=45,"36-45",B4746&lt;=60,"46-60",TRUE,"60+")</f>
        <v>26-35</v>
      </c>
      <c r="N4746" t="str">
        <f t="shared" si="223"/>
        <v>Discounted</v>
      </c>
      <c r="O4746" t="str">
        <f t="shared" si="224"/>
        <v>Returning</v>
      </c>
    </row>
    <row r="4747" spans="1:15" x14ac:dyDescent="0.25">
      <c r="A4747">
        <v>4746</v>
      </c>
      <c r="B4747">
        <v>61</v>
      </c>
      <c r="C4747" t="s">
        <v>16</v>
      </c>
      <c r="D4747" t="s">
        <v>20</v>
      </c>
      <c r="E4747" t="s">
        <v>21</v>
      </c>
      <c r="F4747" s="1">
        <v>216.67</v>
      </c>
      <c r="G4747" t="s">
        <v>14</v>
      </c>
      <c r="H4747" t="s">
        <v>15</v>
      </c>
      <c r="I4747" s="2">
        <v>4.4000000000000004</v>
      </c>
      <c r="J4747" s="4">
        <v>13</v>
      </c>
      <c r="K4747" s="3">
        <v>4</v>
      </c>
      <c r="L4747" s="1">
        <f t="shared" si="222"/>
        <v>188.50289999999998</v>
      </c>
      <c r="M4747" t="str" cm="1">
        <f t="array" ref="M4747">_xlfn.IFS(B4747&lt;18,"Under 18",B4747 &lt;=25,"18-25",B4747&lt;=35,"26-35",B4747&lt;=45,"36-45",B4747&lt;=60,"46-60",TRUE,"60+")</f>
        <v>60+</v>
      </c>
      <c r="N4747" t="str">
        <f t="shared" si="223"/>
        <v>Discounted</v>
      </c>
      <c r="O4747" t="str">
        <f t="shared" si="224"/>
        <v>Returning</v>
      </c>
    </row>
    <row r="4748" spans="1:15" x14ac:dyDescent="0.25">
      <c r="A4748">
        <v>4747</v>
      </c>
      <c r="B4748">
        <v>54</v>
      </c>
      <c r="C4748" t="s">
        <v>16</v>
      </c>
      <c r="D4748" t="s">
        <v>27</v>
      </c>
      <c r="E4748" t="s">
        <v>49</v>
      </c>
      <c r="F4748" s="1">
        <v>572.52</v>
      </c>
      <c r="G4748" t="s">
        <v>14</v>
      </c>
      <c r="H4748" t="s">
        <v>15</v>
      </c>
      <c r="I4748" s="2">
        <v>3.7</v>
      </c>
      <c r="J4748" s="4">
        <v>11</v>
      </c>
      <c r="K4748" s="3">
        <v>3</v>
      </c>
      <c r="L4748" s="1">
        <f t="shared" si="222"/>
        <v>509.5428</v>
      </c>
      <c r="M4748" t="str" cm="1">
        <f t="array" ref="M4748">_xlfn.IFS(B4748&lt;18,"Under 18",B4748 &lt;=25,"18-25",B4748&lt;=35,"26-35",B4748&lt;=45,"36-45",B4748&lt;=60,"46-60",TRUE,"60+")</f>
        <v>46-60</v>
      </c>
      <c r="N4748" t="str">
        <f t="shared" si="223"/>
        <v>Discounted</v>
      </c>
      <c r="O4748" t="str">
        <f t="shared" si="224"/>
        <v>Returning</v>
      </c>
    </row>
    <row r="4749" spans="1:15" x14ac:dyDescent="0.25">
      <c r="A4749">
        <v>4748</v>
      </c>
      <c r="B4749">
        <v>45</v>
      </c>
      <c r="C4749" t="s">
        <v>11</v>
      </c>
      <c r="D4749" t="s">
        <v>33</v>
      </c>
      <c r="E4749" t="s">
        <v>40</v>
      </c>
      <c r="F4749" s="1">
        <v>198.44</v>
      </c>
      <c r="G4749" t="s">
        <v>24</v>
      </c>
      <c r="H4749" t="s">
        <v>15</v>
      </c>
      <c r="I4749" s="2">
        <v>2.6</v>
      </c>
      <c r="J4749" s="4">
        <v>18</v>
      </c>
      <c r="K4749" s="3">
        <v>4</v>
      </c>
      <c r="L4749" s="1">
        <f t="shared" si="222"/>
        <v>162.7208</v>
      </c>
      <c r="M4749" t="str" cm="1">
        <f t="array" ref="M4749">_xlfn.IFS(B4749&lt;18,"Under 18",B4749 &lt;=25,"18-25",B4749&lt;=35,"26-35",B4749&lt;=45,"36-45",B4749&lt;=60,"46-60",TRUE,"60+")</f>
        <v>36-45</v>
      </c>
      <c r="N4749" t="str">
        <f t="shared" si="223"/>
        <v>Discounted</v>
      </c>
      <c r="O4749" t="str">
        <f t="shared" si="224"/>
        <v>Returning</v>
      </c>
    </row>
    <row r="4750" spans="1:15" x14ac:dyDescent="0.25">
      <c r="A4750">
        <v>4749</v>
      </c>
      <c r="B4750">
        <v>66</v>
      </c>
      <c r="C4750" t="s">
        <v>16</v>
      </c>
      <c r="D4750" t="s">
        <v>20</v>
      </c>
      <c r="E4750" t="s">
        <v>36</v>
      </c>
      <c r="F4750" s="1">
        <v>32.81</v>
      </c>
      <c r="G4750" t="s">
        <v>14</v>
      </c>
      <c r="H4750" t="s">
        <v>37</v>
      </c>
      <c r="I4750" s="2">
        <v>3.6</v>
      </c>
      <c r="J4750" s="4">
        <v>16</v>
      </c>
      <c r="K4750" s="3">
        <v>3</v>
      </c>
      <c r="L4750" s="1">
        <f t="shared" si="222"/>
        <v>27.560400000000001</v>
      </c>
      <c r="M4750" t="str" cm="1">
        <f t="array" ref="M4750">_xlfn.IFS(B4750&lt;18,"Under 18",B4750 &lt;=25,"18-25",B4750&lt;=35,"26-35",B4750&lt;=45,"36-45",B4750&lt;=60,"46-60",TRUE,"60+")</f>
        <v>60+</v>
      </c>
      <c r="N4750" t="str">
        <f t="shared" si="223"/>
        <v>Discounted</v>
      </c>
      <c r="O4750" t="str">
        <f t="shared" si="224"/>
        <v>Returning</v>
      </c>
    </row>
    <row r="4751" spans="1:15" x14ac:dyDescent="0.25">
      <c r="A4751">
        <v>4750</v>
      </c>
      <c r="B4751">
        <v>29</v>
      </c>
      <c r="C4751" t="s">
        <v>16</v>
      </c>
      <c r="D4751" t="s">
        <v>33</v>
      </c>
      <c r="E4751" t="s">
        <v>34</v>
      </c>
      <c r="F4751" s="1">
        <v>218.6</v>
      </c>
      <c r="G4751" t="s">
        <v>31</v>
      </c>
      <c r="H4751" t="s">
        <v>15</v>
      </c>
      <c r="I4751" s="2">
        <v>2.2999999999999998</v>
      </c>
      <c r="J4751" s="4">
        <v>8</v>
      </c>
      <c r="K4751" s="3">
        <v>4</v>
      </c>
      <c r="L4751" s="1">
        <f t="shared" si="222"/>
        <v>201.11199999999999</v>
      </c>
      <c r="M4751" t="str" cm="1">
        <f t="array" ref="M4751">_xlfn.IFS(B4751&lt;18,"Under 18",B4751 &lt;=25,"18-25",B4751&lt;=35,"26-35",B4751&lt;=45,"36-45",B4751&lt;=60,"46-60",TRUE,"60+")</f>
        <v>26-35</v>
      </c>
      <c r="N4751" t="str">
        <f t="shared" si="223"/>
        <v>Discounted</v>
      </c>
      <c r="O4751" t="str">
        <f t="shared" si="224"/>
        <v>Returning</v>
      </c>
    </row>
    <row r="4752" spans="1:15" x14ac:dyDescent="0.25">
      <c r="A4752">
        <v>4751</v>
      </c>
      <c r="B4752">
        <v>27</v>
      </c>
      <c r="C4752" t="s">
        <v>16</v>
      </c>
      <c r="D4752" t="s">
        <v>20</v>
      </c>
      <c r="E4752" t="s">
        <v>21</v>
      </c>
      <c r="F4752" s="1">
        <v>96.93</v>
      </c>
      <c r="G4752" t="s">
        <v>14</v>
      </c>
      <c r="H4752" t="s">
        <v>37</v>
      </c>
      <c r="I4752" s="2">
        <v>3.2</v>
      </c>
      <c r="J4752" s="4">
        <v>8</v>
      </c>
      <c r="K4752" s="3">
        <v>4</v>
      </c>
      <c r="L4752" s="1">
        <f t="shared" si="222"/>
        <v>89.175600000000017</v>
      </c>
      <c r="M4752" t="str" cm="1">
        <f t="array" ref="M4752">_xlfn.IFS(B4752&lt;18,"Under 18",B4752 &lt;=25,"18-25",B4752&lt;=35,"26-35",B4752&lt;=45,"36-45",B4752&lt;=60,"46-60",TRUE,"60+")</f>
        <v>26-35</v>
      </c>
      <c r="N4752" t="str">
        <f t="shared" si="223"/>
        <v>Discounted</v>
      </c>
      <c r="O4752" t="str">
        <f t="shared" si="224"/>
        <v>Returning</v>
      </c>
    </row>
    <row r="4753" spans="1:15" x14ac:dyDescent="0.25">
      <c r="A4753">
        <v>4752</v>
      </c>
      <c r="B4753">
        <v>29</v>
      </c>
      <c r="C4753" t="s">
        <v>16</v>
      </c>
      <c r="D4753" t="s">
        <v>27</v>
      </c>
      <c r="E4753" t="s">
        <v>53</v>
      </c>
      <c r="F4753" s="1">
        <v>2817.6</v>
      </c>
      <c r="G4753" t="s">
        <v>14</v>
      </c>
      <c r="H4753" t="s">
        <v>15</v>
      </c>
      <c r="I4753" s="2">
        <v>4.0999999999999996</v>
      </c>
      <c r="J4753" s="4">
        <v>14</v>
      </c>
      <c r="K4753" s="3">
        <v>2</v>
      </c>
      <c r="L4753" s="1">
        <f t="shared" si="222"/>
        <v>2423.136</v>
      </c>
      <c r="M4753" t="str" cm="1">
        <f t="array" ref="M4753">_xlfn.IFS(B4753&lt;18,"Under 18",B4753 &lt;=25,"18-25",B4753&lt;=35,"26-35",B4753&lt;=45,"36-45",B4753&lt;=60,"46-60",TRUE,"60+")</f>
        <v>26-35</v>
      </c>
      <c r="N4753" t="str">
        <f t="shared" si="223"/>
        <v>Discounted</v>
      </c>
      <c r="O4753" t="str">
        <f t="shared" si="224"/>
        <v>Returning</v>
      </c>
    </row>
    <row r="4754" spans="1:15" x14ac:dyDescent="0.25">
      <c r="A4754">
        <v>4753</v>
      </c>
      <c r="B4754">
        <v>24</v>
      </c>
      <c r="C4754" t="s">
        <v>11</v>
      </c>
      <c r="D4754" t="s">
        <v>22</v>
      </c>
      <c r="E4754" t="s">
        <v>23</v>
      </c>
      <c r="F4754" s="1">
        <v>209.24</v>
      </c>
      <c r="G4754" t="s">
        <v>14</v>
      </c>
      <c r="H4754" t="s">
        <v>15</v>
      </c>
      <c r="I4754" s="2">
        <v>3.1</v>
      </c>
      <c r="J4754" s="4">
        <v>6</v>
      </c>
      <c r="K4754" s="3">
        <v>3</v>
      </c>
      <c r="L4754" s="1">
        <f t="shared" si="222"/>
        <v>196.68559999999999</v>
      </c>
      <c r="M4754" t="str" cm="1">
        <f t="array" ref="M4754">_xlfn.IFS(B4754&lt;18,"Under 18",B4754 &lt;=25,"18-25",B4754&lt;=35,"26-35",B4754&lt;=45,"36-45",B4754&lt;=60,"46-60",TRUE,"60+")</f>
        <v>18-25</v>
      </c>
      <c r="N4754" t="str">
        <f t="shared" si="223"/>
        <v>Discounted</v>
      </c>
      <c r="O4754" t="str">
        <f t="shared" si="224"/>
        <v>Returning</v>
      </c>
    </row>
    <row r="4755" spans="1:15" x14ac:dyDescent="0.25">
      <c r="A4755">
        <v>4754</v>
      </c>
      <c r="B4755">
        <v>65</v>
      </c>
      <c r="C4755" t="s">
        <v>16</v>
      </c>
      <c r="D4755" t="s">
        <v>22</v>
      </c>
      <c r="E4755" t="s">
        <v>52</v>
      </c>
      <c r="F4755" s="1">
        <v>205.4</v>
      </c>
      <c r="G4755" t="s">
        <v>31</v>
      </c>
      <c r="H4755" t="s">
        <v>15</v>
      </c>
      <c r="I4755" s="2">
        <v>3.8</v>
      </c>
      <c r="J4755" s="4">
        <v>8</v>
      </c>
      <c r="K4755" s="3">
        <v>4</v>
      </c>
      <c r="L4755" s="1">
        <f t="shared" si="222"/>
        <v>188.96800000000002</v>
      </c>
      <c r="M4755" t="str" cm="1">
        <f t="array" ref="M4755">_xlfn.IFS(B4755&lt;18,"Under 18",B4755 &lt;=25,"18-25",B4755&lt;=35,"26-35",B4755&lt;=45,"36-45",B4755&lt;=60,"46-60",TRUE,"60+")</f>
        <v>60+</v>
      </c>
      <c r="N4755" t="str">
        <f t="shared" si="223"/>
        <v>Discounted</v>
      </c>
      <c r="O4755" t="str">
        <f t="shared" si="224"/>
        <v>Returning</v>
      </c>
    </row>
    <row r="4756" spans="1:15" x14ac:dyDescent="0.25">
      <c r="A4756">
        <v>4755</v>
      </c>
      <c r="B4756">
        <v>50</v>
      </c>
      <c r="C4756" t="s">
        <v>11</v>
      </c>
      <c r="D4756" t="s">
        <v>33</v>
      </c>
      <c r="E4756" t="s">
        <v>34</v>
      </c>
      <c r="F4756" s="1">
        <v>69.78</v>
      </c>
      <c r="G4756" t="s">
        <v>24</v>
      </c>
      <c r="H4756" t="s">
        <v>15</v>
      </c>
      <c r="I4756" s="2">
        <v>3.1</v>
      </c>
      <c r="J4756" s="4">
        <v>13</v>
      </c>
      <c r="K4756" s="3">
        <v>4</v>
      </c>
      <c r="L4756" s="1">
        <f t="shared" si="222"/>
        <v>60.708600000000004</v>
      </c>
      <c r="M4756" t="str" cm="1">
        <f t="array" ref="M4756">_xlfn.IFS(B4756&lt;18,"Under 18",B4756 &lt;=25,"18-25",B4756&lt;=35,"26-35",B4756&lt;=45,"36-45",B4756&lt;=60,"46-60",TRUE,"60+")</f>
        <v>46-60</v>
      </c>
      <c r="N4756" t="str">
        <f t="shared" si="223"/>
        <v>Discounted</v>
      </c>
      <c r="O4756" t="str">
        <f t="shared" si="224"/>
        <v>Returning</v>
      </c>
    </row>
    <row r="4757" spans="1:15" x14ac:dyDescent="0.25">
      <c r="A4757">
        <v>4756</v>
      </c>
      <c r="B4757">
        <v>28</v>
      </c>
      <c r="C4757" t="s">
        <v>11</v>
      </c>
      <c r="D4757" t="s">
        <v>29</v>
      </c>
      <c r="E4757" t="s">
        <v>51</v>
      </c>
      <c r="F4757" s="1">
        <v>133.09</v>
      </c>
      <c r="G4757" t="s">
        <v>24</v>
      </c>
      <c r="H4757" t="s">
        <v>15</v>
      </c>
      <c r="I4757" s="2">
        <v>4.4000000000000004</v>
      </c>
      <c r="J4757" s="4">
        <v>17</v>
      </c>
      <c r="K4757" s="3">
        <v>6</v>
      </c>
      <c r="L4757" s="1">
        <f t="shared" si="222"/>
        <v>110.46469999999999</v>
      </c>
      <c r="M4757" t="str" cm="1">
        <f t="array" ref="M4757">_xlfn.IFS(B4757&lt;18,"Under 18",B4757 &lt;=25,"18-25",B4757&lt;=35,"26-35",B4757&lt;=45,"36-45",B4757&lt;=60,"46-60",TRUE,"60+")</f>
        <v>26-35</v>
      </c>
      <c r="N4757" t="str">
        <f t="shared" si="223"/>
        <v>Discounted</v>
      </c>
      <c r="O4757" t="str">
        <f t="shared" si="224"/>
        <v>Returning</v>
      </c>
    </row>
    <row r="4758" spans="1:15" x14ac:dyDescent="0.25">
      <c r="A4758">
        <v>4757</v>
      </c>
      <c r="B4758">
        <v>26</v>
      </c>
      <c r="C4758" t="s">
        <v>16</v>
      </c>
      <c r="D4758" t="s">
        <v>22</v>
      </c>
      <c r="E4758" t="s">
        <v>23</v>
      </c>
      <c r="F4758" s="1">
        <v>239.79</v>
      </c>
      <c r="G4758" t="s">
        <v>19</v>
      </c>
      <c r="H4758" t="s">
        <v>15</v>
      </c>
      <c r="I4758" s="2">
        <v>3.5</v>
      </c>
      <c r="J4758" s="4">
        <v>8</v>
      </c>
      <c r="K4758" s="3">
        <v>4</v>
      </c>
      <c r="L4758" s="1">
        <f t="shared" si="222"/>
        <v>220.60679999999999</v>
      </c>
      <c r="M4758" t="str" cm="1">
        <f t="array" ref="M4758">_xlfn.IFS(B4758&lt;18,"Under 18",B4758 &lt;=25,"18-25",B4758&lt;=35,"26-35",B4758&lt;=45,"36-45",B4758&lt;=60,"46-60",TRUE,"60+")</f>
        <v>26-35</v>
      </c>
      <c r="N4758" t="str">
        <f t="shared" si="223"/>
        <v>Discounted</v>
      </c>
      <c r="O4758" t="str">
        <f t="shared" si="224"/>
        <v>Returning</v>
      </c>
    </row>
    <row r="4759" spans="1:15" x14ac:dyDescent="0.25">
      <c r="A4759">
        <v>4758</v>
      </c>
      <c r="B4759">
        <v>33</v>
      </c>
      <c r="C4759" t="s">
        <v>11</v>
      </c>
      <c r="D4759" t="s">
        <v>33</v>
      </c>
      <c r="E4759" t="s">
        <v>34</v>
      </c>
      <c r="F4759" s="1">
        <v>226.44</v>
      </c>
      <c r="G4759" t="s">
        <v>31</v>
      </c>
      <c r="H4759" t="s">
        <v>15</v>
      </c>
      <c r="I4759" s="2">
        <v>4.5</v>
      </c>
      <c r="J4759" s="4">
        <v>8</v>
      </c>
      <c r="K4759" s="3">
        <v>4</v>
      </c>
      <c r="L4759" s="1">
        <f t="shared" si="222"/>
        <v>208.32480000000001</v>
      </c>
      <c r="M4759" t="str" cm="1">
        <f t="array" ref="M4759">_xlfn.IFS(B4759&lt;18,"Under 18",B4759 &lt;=25,"18-25",B4759&lt;=35,"26-35",B4759&lt;=45,"36-45",B4759&lt;=60,"46-60",TRUE,"60+")</f>
        <v>26-35</v>
      </c>
      <c r="N4759" t="str">
        <f t="shared" si="223"/>
        <v>Discounted</v>
      </c>
      <c r="O4759" t="str">
        <f t="shared" si="224"/>
        <v>Returning</v>
      </c>
    </row>
    <row r="4760" spans="1:15" x14ac:dyDescent="0.25">
      <c r="A4760">
        <v>4759</v>
      </c>
      <c r="B4760">
        <v>69</v>
      </c>
      <c r="C4760" t="s">
        <v>16</v>
      </c>
      <c r="D4760" t="s">
        <v>22</v>
      </c>
      <c r="E4760" t="s">
        <v>52</v>
      </c>
      <c r="F4760" s="1">
        <v>232.66</v>
      </c>
      <c r="G4760" t="s">
        <v>19</v>
      </c>
      <c r="H4760" t="s">
        <v>15</v>
      </c>
      <c r="I4760" s="2">
        <v>3.7</v>
      </c>
      <c r="J4760" s="4">
        <v>26</v>
      </c>
      <c r="K4760" s="3">
        <v>8</v>
      </c>
      <c r="L4760" s="1">
        <f t="shared" si="222"/>
        <v>172.16839999999999</v>
      </c>
      <c r="M4760" t="str" cm="1">
        <f t="array" ref="M4760">_xlfn.IFS(B4760&lt;18,"Under 18",B4760 &lt;=25,"18-25",B4760&lt;=35,"26-35",B4760&lt;=45,"36-45",B4760&lt;=60,"46-60",TRUE,"60+")</f>
        <v>60+</v>
      </c>
      <c r="N4760" t="str">
        <f t="shared" si="223"/>
        <v>Discounted</v>
      </c>
      <c r="O4760" t="str">
        <f t="shared" si="224"/>
        <v>Returning</v>
      </c>
    </row>
    <row r="4761" spans="1:15" x14ac:dyDescent="0.25">
      <c r="A4761">
        <v>4760</v>
      </c>
      <c r="B4761">
        <v>31</v>
      </c>
      <c r="C4761" t="s">
        <v>11</v>
      </c>
      <c r="D4761" t="s">
        <v>41</v>
      </c>
      <c r="E4761" t="s">
        <v>44</v>
      </c>
      <c r="F4761" s="1">
        <v>158.41999999999999</v>
      </c>
      <c r="G4761" t="s">
        <v>19</v>
      </c>
      <c r="H4761" t="s">
        <v>15</v>
      </c>
      <c r="I4761" s="2">
        <v>3.3</v>
      </c>
      <c r="J4761" s="4">
        <v>15</v>
      </c>
      <c r="K4761" s="3">
        <v>5</v>
      </c>
      <c r="L4761" s="1">
        <f t="shared" si="222"/>
        <v>134.65699999999998</v>
      </c>
      <c r="M4761" t="str" cm="1">
        <f t="array" ref="M4761">_xlfn.IFS(B4761&lt;18,"Under 18",B4761 &lt;=25,"18-25",B4761&lt;=35,"26-35",B4761&lt;=45,"36-45",B4761&lt;=60,"46-60",TRUE,"60+")</f>
        <v>26-35</v>
      </c>
      <c r="N4761" t="str">
        <f t="shared" si="223"/>
        <v>Discounted</v>
      </c>
      <c r="O4761" t="str">
        <f t="shared" si="224"/>
        <v>Returning</v>
      </c>
    </row>
    <row r="4762" spans="1:15" x14ac:dyDescent="0.25">
      <c r="A4762">
        <v>4761</v>
      </c>
      <c r="B4762">
        <v>59</v>
      </c>
      <c r="C4762" t="s">
        <v>11</v>
      </c>
      <c r="D4762" t="s">
        <v>25</v>
      </c>
      <c r="E4762" t="s">
        <v>57</v>
      </c>
      <c r="F4762" s="1">
        <v>23.69</v>
      </c>
      <c r="G4762" t="s">
        <v>14</v>
      </c>
      <c r="H4762" t="s">
        <v>37</v>
      </c>
      <c r="I4762" s="2">
        <v>3.5</v>
      </c>
      <c r="J4762" s="4">
        <v>14</v>
      </c>
      <c r="K4762" s="3">
        <v>2</v>
      </c>
      <c r="L4762" s="1">
        <f t="shared" si="222"/>
        <v>20.3734</v>
      </c>
      <c r="M4762" t="str" cm="1">
        <f t="array" ref="M4762">_xlfn.IFS(B4762&lt;18,"Under 18",B4762 &lt;=25,"18-25",B4762&lt;=35,"26-35",B4762&lt;=45,"36-45",B4762&lt;=60,"46-60",TRUE,"60+")</f>
        <v>46-60</v>
      </c>
      <c r="N4762" t="str">
        <f t="shared" si="223"/>
        <v>Discounted</v>
      </c>
      <c r="O4762" t="str">
        <f t="shared" si="224"/>
        <v>Returning</v>
      </c>
    </row>
    <row r="4763" spans="1:15" x14ac:dyDescent="0.25">
      <c r="A4763">
        <v>4762</v>
      </c>
      <c r="B4763">
        <v>34</v>
      </c>
      <c r="C4763" t="s">
        <v>16</v>
      </c>
      <c r="D4763" t="s">
        <v>17</v>
      </c>
      <c r="E4763" t="s">
        <v>18</v>
      </c>
      <c r="F4763" s="1">
        <v>174.51</v>
      </c>
      <c r="G4763" t="s">
        <v>19</v>
      </c>
      <c r="H4763" t="s">
        <v>15</v>
      </c>
      <c r="I4763" s="2">
        <v>2.6</v>
      </c>
      <c r="J4763" s="4">
        <v>12</v>
      </c>
      <c r="K4763" s="3">
        <v>6</v>
      </c>
      <c r="L4763" s="1">
        <f t="shared" si="222"/>
        <v>153.56879999999998</v>
      </c>
      <c r="M4763" t="str" cm="1">
        <f t="array" ref="M4763">_xlfn.IFS(B4763&lt;18,"Under 18",B4763 &lt;=25,"18-25",B4763&lt;=35,"26-35",B4763&lt;=45,"36-45",B4763&lt;=60,"46-60",TRUE,"60+")</f>
        <v>26-35</v>
      </c>
      <c r="N4763" t="str">
        <f t="shared" si="223"/>
        <v>Discounted</v>
      </c>
      <c r="O4763" t="str">
        <f t="shared" si="224"/>
        <v>Returning</v>
      </c>
    </row>
    <row r="4764" spans="1:15" x14ac:dyDescent="0.25">
      <c r="A4764">
        <v>4763</v>
      </c>
      <c r="B4764">
        <v>36</v>
      </c>
      <c r="C4764" t="s">
        <v>16</v>
      </c>
      <c r="D4764" t="s">
        <v>20</v>
      </c>
      <c r="E4764" t="s">
        <v>39</v>
      </c>
      <c r="F4764" s="1">
        <v>189.27</v>
      </c>
      <c r="G4764" t="s">
        <v>14</v>
      </c>
      <c r="H4764" t="s">
        <v>15</v>
      </c>
      <c r="I4764" s="2">
        <v>2.4</v>
      </c>
      <c r="J4764" s="4">
        <v>16</v>
      </c>
      <c r="K4764" s="3">
        <v>3</v>
      </c>
      <c r="L4764" s="1">
        <f t="shared" si="222"/>
        <v>158.98680000000002</v>
      </c>
      <c r="M4764" t="str" cm="1">
        <f t="array" ref="M4764">_xlfn.IFS(B4764&lt;18,"Under 18",B4764 &lt;=25,"18-25",B4764&lt;=35,"26-35",B4764&lt;=45,"36-45",B4764&lt;=60,"46-60",TRUE,"60+")</f>
        <v>36-45</v>
      </c>
      <c r="N4764" t="str">
        <f t="shared" si="223"/>
        <v>Discounted</v>
      </c>
      <c r="O4764" t="str">
        <f t="shared" si="224"/>
        <v>Returning</v>
      </c>
    </row>
    <row r="4765" spans="1:15" x14ac:dyDescent="0.25">
      <c r="A4765">
        <v>4764</v>
      </c>
      <c r="B4765">
        <v>22</v>
      </c>
      <c r="C4765" t="s">
        <v>11</v>
      </c>
      <c r="D4765" t="s">
        <v>29</v>
      </c>
      <c r="E4765" t="s">
        <v>51</v>
      </c>
      <c r="F4765" s="1">
        <v>28.45</v>
      </c>
      <c r="G4765" t="s">
        <v>24</v>
      </c>
      <c r="H4765" t="s">
        <v>37</v>
      </c>
      <c r="I4765" s="2">
        <v>3.6</v>
      </c>
      <c r="J4765" s="4">
        <v>15</v>
      </c>
      <c r="K4765" s="3">
        <v>5</v>
      </c>
      <c r="L4765" s="1">
        <f t="shared" si="222"/>
        <v>24.182499999999997</v>
      </c>
      <c r="M4765" t="str" cm="1">
        <f t="array" ref="M4765">_xlfn.IFS(B4765&lt;18,"Under 18",B4765 &lt;=25,"18-25",B4765&lt;=35,"26-35",B4765&lt;=45,"36-45",B4765&lt;=60,"46-60",TRUE,"60+")</f>
        <v>18-25</v>
      </c>
      <c r="N4765" t="str">
        <f t="shared" si="223"/>
        <v>Discounted</v>
      </c>
      <c r="O4765" t="str">
        <f t="shared" si="224"/>
        <v>Returning</v>
      </c>
    </row>
    <row r="4766" spans="1:15" x14ac:dyDescent="0.25">
      <c r="A4766">
        <v>4765</v>
      </c>
      <c r="B4766">
        <v>42</v>
      </c>
      <c r="C4766" t="s">
        <v>11</v>
      </c>
      <c r="D4766" t="s">
        <v>12</v>
      </c>
      <c r="E4766" t="s">
        <v>13</v>
      </c>
      <c r="F4766" s="1">
        <v>103.25</v>
      </c>
      <c r="G4766" t="s">
        <v>31</v>
      </c>
      <c r="H4766" t="s">
        <v>15</v>
      </c>
      <c r="I4766" s="2">
        <v>4.0999999999999996</v>
      </c>
      <c r="J4766" s="4">
        <v>15</v>
      </c>
      <c r="K4766" s="3">
        <v>5</v>
      </c>
      <c r="L4766" s="1">
        <f t="shared" si="222"/>
        <v>87.762500000000003</v>
      </c>
      <c r="M4766" t="str" cm="1">
        <f t="array" ref="M4766">_xlfn.IFS(B4766&lt;18,"Under 18",B4766 &lt;=25,"18-25",B4766&lt;=35,"26-35",B4766&lt;=45,"36-45",B4766&lt;=60,"46-60",TRUE,"60+")</f>
        <v>36-45</v>
      </c>
      <c r="N4766" t="str">
        <f t="shared" si="223"/>
        <v>Discounted</v>
      </c>
      <c r="O4766" t="str">
        <f t="shared" si="224"/>
        <v>Returning</v>
      </c>
    </row>
    <row r="4767" spans="1:15" x14ac:dyDescent="0.25">
      <c r="A4767">
        <v>4766</v>
      </c>
      <c r="B4767">
        <v>32</v>
      </c>
      <c r="C4767" t="s">
        <v>16</v>
      </c>
      <c r="D4767" t="s">
        <v>27</v>
      </c>
      <c r="E4767" t="s">
        <v>28</v>
      </c>
      <c r="F4767" s="1">
        <v>2817.12</v>
      </c>
      <c r="G4767" t="s">
        <v>14</v>
      </c>
      <c r="H4767" t="s">
        <v>15</v>
      </c>
      <c r="I4767" s="2">
        <v>2.6</v>
      </c>
      <c r="J4767" s="4">
        <v>12</v>
      </c>
      <c r="K4767" s="3">
        <v>6</v>
      </c>
      <c r="L4767" s="1">
        <f t="shared" si="222"/>
        <v>2479.0655999999999</v>
      </c>
      <c r="M4767" t="str" cm="1">
        <f t="array" ref="M4767">_xlfn.IFS(B4767&lt;18,"Under 18",B4767 &lt;=25,"18-25",B4767&lt;=35,"26-35",B4767&lt;=45,"36-45",B4767&lt;=60,"46-60",TRUE,"60+")</f>
        <v>26-35</v>
      </c>
      <c r="N4767" t="str">
        <f t="shared" si="223"/>
        <v>Discounted</v>
      </c>
      <c r="O4767" t="str">
        <f t="shared" si="224"/>
        <v>Returning</v>
      </c>
    </row>
    <row r="4768" spans="1:15" x14ac:dyDescent="0.25">
      <c r="A4768">
        <v>4767</v>
      </c>
      <c r="B4768">
        <v>45</v>
      </c>
      <c r="C4768" t="s">
        <v>16</v>
      </c>
      <c r="D4768" t="s">
        <v>33</v>
      </c>
      <c r="E4768" t="s">
        <v>40</v>
      </c>
      <c r="F4768" s="1">
        <v>239.66</v>
      </c>
      <c r="G4768" t="s">
        <v>19</v>
      </c>
      <c r="H4768" t="s">
        <v>15</v>
      </c>
      <c r="I4768" s="2">
        <v>4.7</v>
      </c>
      <c r="J4768" s="4">
        <v>12</v>
      </c>
      <c r="K4768" s="3">
        <v>6</v>
      </c>
      <c r="L4768" s="1">
        <f t="shared" si="222"/>
        <v>210.9008</v>
      </c>
      <c r="M4768" t="str" cm="1">
        <f t="array" ref="M4768">_xlfn.IFS(B4768&lt;18,"Under 18",B4768 &lt;=25,"18-25",B4768&lt;=35,"26-35",B4768&lt;=45,"36-45",B4768&lt;=60,"46-60",TRUE,"60+")</f>
        <v>36-45</v>
      </c>
      <c r="N4768" t="str">
        <f t="shared" si="223"/>
        <v>Discounted</v>
      </c>
      <c r="O4768" t="str">
        <f t="shared" si="224"/>
        <v>Returning</v>
      </c>
    </row>
    <row r="4769" spans="1:15" x14ac:dyDescent="0.25">
      <c r="A4769">
        <v>4768</v>
      </c>
      <c r="B4769">
        <v>30</v>
      </c>
      <c r="C4769" t="s">
        <v>16</v>
      </c>
      <c r="D4769" t="s">
        <v>17</v>
      </c>
      <c r="E4769" t="s">
        <v>35</v>
      </c>
      <c r="F4769" s="1">
        <v>56.45</v>
      </c>
      <c r="G4769" t="s">
        <v>24</v>
      </c>
      <c r="H4769" t="s">
        <v>15</v>
      </c>
      <c r="I4769" s="2">
        <v>3.7</v>
      </c>
      <c r="J4769" s="4">
        <v>24</v>
      </c>
      <c r="K4769" s="3">
        <v>7</v>
      </c>
      <c r="L4769" s="1">
        <f t="shared" si="222"/>
        <v>42.902000000000001</v>
      </c>
      <c r="M4769" t="str" cm="1">
        <f t="array" ref="M4769">_xlfn.IFS(B4769&lt;18,"Under 18",B4769 &lt;=25,"18-25",B4769&lt;=35,"26-35",B4769&lt;=45,"36-45",B4769&lt;=60,"46-60",TRUE,"60+")</f>
        <v>26-35</v>
      </c>
      <c r="N4769" t="str">
        <f t="shared" si="223"/>
        <v>Discounted</v>
      </c>
      <c r="O4769" t="str">
        <f t="shared" si="224"/>
        <v>Returning</v>
      </c>
    </row>
    <row r="4770" spans="1:15" x14ac:dyDescent="0.25">
      <c r="A4770">
        <v>4769</v>
      </c>
      <c r="B4770">
        <v>69</v>
      </c>
      <c r="C4770" t="s">
        <v>11</v>
      </c>
      <c r="D4770" t="s">
        <v>33</v>
      </c>
      <c r="E4770" t="s">
        <v>34</v>
      </c>
      <c r="F4770" s="1">
        <v>114.1</v>
      </c>
      <c r="G4770" t="s">
        <v>24</v>
      </c>
      <c r="H4770" t="s">
        <v>15</v>
      </c>
      <c r="I4770" s="2">
        <v>3.4</v>
      </c>
      <c r="J4770" s="4">
        <v>28</v>
      </c>
      <c r="K4770" s="3">
        <v>9</v>
      </c>
      <c r="L4770" s="1">
        <f t="shared" si="222"/>
        <v>82.151999999999987</v>
      </c>
      <c r="M4770" t="str" cm="1">
        <f t="array" ref="M4770">_xlfn.IFS(B4770&lt;18,"Under 18",B4770 &lt;=25,"18-25",B4770&lt;=35,"26-35",B4770&lt;=45,"36-45",B4770&lt;=60,"46-60",TRUE,"60+")</f>
        <v>60+</v>
      </c>
      <c r="N4770" t="str">
        <f t="shared" si="223"/>
        <v>Discounted</v>
      </c>
      <c r="O4770" t="str">
        <f t="shared" si="224"/>
        <v>Returning</v>
      </c>
    </row>
    <row r="4771" spans="1:15" x14ac:dyDescent="0.25">
      <c r="A4771">
        <v>4770</v>
      </c>
      <c r="B4771">
        <v>48</v>
      </c>
      <c r="C4771" t="s">
        <v>11</v>
      </c>
      <c r="D4771" t="s">
        <v>41</v>
      </c>
      <c r="E4771" t="s">
        <v>44</v>
      </c>
      <c r="F4771" s="1">
        <v>180.95</v>
      </c>
      <c r="G4771" t="s">
        <v>14</v>
      </c>
      <c r="H4771" t="s">
        <v>15</v>
      </c>
      <c r="I4771" s="2">
        <v>4</v>
      </c>
      <c r="J4771" s="4">
        <v>10</v>
      </c>
      <c r="K4771" s="3">
        <v>5</v>
      </c>
      <c r="L4771" s="1">
        <f t="shared" si="222"/>
        <v>162.85499999999999</v>
      </c>
      <c r="M4771" t="str" cm="1">
        <f t="array" ref="M4771">_xlfn.IFS(B4771&lt;18,"Under 18",B4771 &lt;=25,"18-25",B4771&lt;=35,"26-35",B4771&lt;=45,"36-45",B4771&lt;=60,"46-60",TRUE,"60+")</f>
        <v>46-60</v>
      </c>
      <c r="N4771" t="str">
        <f t="shared" si="223"/>
        <v>Discounted</v>
      </c>
      <c r="O4771" t="str">
        <f t="shared" si="224"/>
        <v>Returning</v>
      </c>
    </row>
    <row r="4772" spans="1:15" x14ac:dyDescent="0.25">
      <c r="A4772">
        <v>4771</v>
      </c>
      <c r="B4772">
        <v>44</v>
      </c>
      <c r="C4772" t="s">
        <v>11</v>
      </c>
      <c r="D4772" t="s">
        <v>41</v>
      </c>
      <c r="E4772" t="s">
        <v>42</v>
      </c>
      <c r="F4772" s="1">
        <v>45.18</v>
      </c>
      <c r="G4772" t="s">
        <v>19</v>
      </c>
      <c r="H4772" t="s">
        <v>15</v>
      </c>
      <c r="I4772" s="2">
        <v>4.4000000000000004</v>
      </c>
      <c r="J4772" s="4">
        <v>15</v>
      </c>
      <c r="K4772" s="3">
        <v>5</v>
      </c>
      <c r="L4772" s="1">
        <f t="shared" si="222"/>
        <v>38.402999999999999</v>
      </c>
      <c r="M4772" t="str" cm="1">
        <f t="array" ref="M4772">_xlfn.IFS(B4772&lt;18,"Under 18",B4772 &lt;=25,"18-25",B4772&lt;=35,"26-35",B4772&lt;=45,"36-45",B4772&lt;=60,"46-60",TRUE,"60+")</f>
        <v>36-45</v>
      </c>
      <c r="N4772" t="str">
        <f t="shared" si="223"/>
        <v>Discounted</v>
      </c>
      <c r="O4772" t="str">
        <f t="shared" si="224"/>
        <v>Returning</v>
      </c>
    </row>
    <row r="4773" spans="1:15" x14ac:dyDescent="0.25">
      <c r="A4773">
        <v>4772</v>
      </c>
      <c r="B4773">
        <v>30</v>
      </c>
      <c r="C4773" t="s">
        <v>16</v>
      </c>
      <c r="D4773" t="s">
        <v>33</v>
      </c>
      <c r="E4773" t="s">
        <v>34</v>
      </c>
      <c r="F4773" s="1">
        <v>243.11</v>
      </c>
      <c r="G4773" t="s">
        <v>24</v>
      </c>
      <c r="H4773" t="s">
        <v>15</v>
      </c>
      <c r="I4773" s="2">
        <v>3.4</v>
      </c>
      <c r="J4773" s="4">
        <v>18</v>
      </c>
      <c r="K4773" s="3">
        <v>9</v>
      </c>
      <c r="L4773" s="1">
        <f t="shared" si="222"/>
        <v>199.35020000000003</v>
      </c>
      <c r="M4773" t="str" cm="1">
        <f t="array" ref="M4773">_xlfn.IFS(B4773&lt;18,"Under 18",B4773 &lt;=25,"18-25",B4773&lt;=35,"26-35",B4773&lt;=45,"36-45",B4773&lt;=60,"46-60",TRUE,"60+")</f>
        <v>26-35</v>
      </c>
      <c r="N4773" t="str">
        <f t="shared" si="223"/>
        <v>Discounted</v>
      </c>
      <c r="O4773" t="str">
        <f t="shared" si="224"/>
        <v>Returning</v>
      </c>
    </row>
    <row r="4774" spans="1:15" x14ac:dyDescent="0.25">
      <c r="A4774">
        <v>4773</v>
      </c>
      <c r="B4774">
        <v>66</v>
      </c>
      <c r="C4774" t="s">
        <v>16</v>
      </c>
      <c r="D4774" t="s">
        <v>33</v>
      </c>
      <c r="E4774" t="s">
        <v>38</v>
      </c>
      <c r="F4774" s="1">
        <v>200.45</v>
      </c>
      <c r="G4774" t="s">
        <v>19</v>
      </c>
      <c r="H4774" t="s">
        <v>15</v>
      </c>
      <c r="I4774" s="2">
        <v>4.4000000000000004</v>
      </c>
      <c r="J4774" s="4">
        <v>18</v>
      </c>
      <c r="K4774" s="3">
        <v>4</v>
      </c>
      <c r="L4774" s="1">
        <f t="shared" si="222"/>
        <v>164.369</v>
      </c>
      <c r="M4774" t="str" cm="1">
        <f t="array" ref="M4774">_xlfn.IFS(B4774&lt;18,"Under 18",B4774 &lt;=25,"18-25",B4774&lt;=35,"26-35",B4774&lt;=45,"36-45",B4774&lt;=60,"46-60",TRUE,"60+")</f>
        <v>60+</v>
      </c>
      <c r="N4774" t="str">
        <f t="shared" si="223"/>
        <v>Discounted</v>
      </c>
      <c r="O4774" t="str">
        <f t="shared" si="224"/>
        <v>Returning</v>
      </c>
    </row>
    <row r="4775" spans="1:15" x14ac:dyDescent="0.25">
      <c r="A4775">
        <v>4774</v>
      </c>
      <c r="B4775">
        <v>33</v>
      </c>
      <c r="C4775" t="s">
        <v>11</v>
      </c>
      <c r="D4775" t="s">
        <v>29</v>
      </c>
      <c r="E4775" t="s">
        <v>55</v>
      </c>
      <c r="F4775" s="1">
        <v>121.83</v>
      </c>
      <c r="G4775" t="s">
        <v>24</v>
      </c>
      <c r="H4775" t="s">
        <v>15</v>
      </c>
      <c r="I4775" s="2">
        <v>4.4000000000000004</v>
      </c>
      <c r="J4775" s="4">
        <v>8</v>
      </c>
      <c r="K4775" s="3">
        <v>4</v>
      </c>
      <c r="L4775" s="1">
        <f t="shared" si="222"/>
        <v>112.0836</v>
      </c>
      <c r="M4775" t="str" cm="1">
        <f t="array" ref="M4775">_xlfn.IFS(B4775&lt;18,"Under 18",B4775 &lt;=25,"18-25",B4775&lt;=35,"26-35",B4775&lt;=45,"36-45",B4775&lt;=60,"46-60",TRUE,"60+")</f>
        <v>26-35</v>
      </c>
      <c r="N4775" t="str">
        <f t="shared" si="223"/>
        <v>Discounted</v>
      </c>
      <c r="O4775" t="str">
        <f t="shared" si="224"/>
        <v>Returning</v>
      </c>
    </row>
    <row r="4776" spans="1:15" x14ac:dyDescent="0.25">
      <c r="A4776">
        <v>4775</v>
      </c>
      <c r="B4776">
        <v>41</v>
      </c>
      <c r="C4776" t="s">
        <v>11</v>
      </c>
      <c r="D4776" t="s">
        <v>25</v>
      </c>
      <c r="E4776" t="s">
        <v>47</v>
      </c>
      <c r="F4776" s="1">
        <v>28.73</v>
      </c>
      <c r="G4776" t="s">
        <v>31</v>
      </c>
      <c r="H4776" t="s">
        <v>15</v>
      </c>
      <c r="I4776" s="2">
        <v>3.9</v>
      </c>
      <c r="J4776" s="4">
        <v>6</v>
      </c>
      <c r="K4776" s="3">
        <v>3</v>
      </c>
      <c r="L4776" s="1">
        <f t="shared" si="222"/>
        <v>27.0062</v>
      </c>
      <c r="M4776" t="str" cm="1">
        <f t="array" ref="M4776">_xlfn.IFS(B4776&lt;18,"Under 18",B4776 &lt;=25,"18-25",B4776&lt;=35,"26-35",B4776&lt;=45,"36-45",B4776&lt;=60,"46-60",TRUE,"60+")</f>
        <v>36-45</v>
      </c>
      <c r="N4776" t="str">
        <f t="shared" si="223"/>
        <v>Discounted</v>
      </c>
      <c r="O4776" t="str">
        <f t="shared" si="224"/>
        <v>Returning</v>
      </c>
    </row>
    <row r="4777" spans="1:15" x14ac:dyDescent="0.25">
      <c r="A4777">
        <v>4776</v>
      </c>
      <c r="B4777">
        <v>27</v>
      </c>
      <c r="C4777" t="s">
        <v>11</v>
      </c>
      <c r="D4777" t="s">
        <v>33</v>
      </c>
      <c r="E4777" t="s">
        <v>34</v>
      </c>
      <c r="F4777" s="1">
        <v>117.43</v>
      </c>
      <c r="G4777" t="s">
        <v>19</v>
      </c>
      <c r="H4777" t="s">
        <v>15</v>
      </c>
      <c r="I4777" s="2">
        <v>3.4</v>
      </c>
      <c r="J4777" s="4">
        <v>10</v>
      </c>
      <c r="K4777" s="3">
        <v>5</v>
      </c>
      <c r="L4777" s="1">
        <f t="shared" si="222"/>
        <v>105.68700000000001</v>
      </c>
      <c r="M4777" t="str" cm="1">
        <f t="array" ref="M4777">_xlfn.IFS(B4777&lt;18,"Under 18",B4777 &lt;=25,"18-25",B4777&lt;=35,"26-35",B4777&lt;=45,"36-45",B4777&lt;=60,"46-60",TRUE,"60+")</f>
        <v>26-35</v>
      </c>
      <c r="N4777" t="str">
        <f t="shared" si="223"/>
        <v>Discounted</v>
      </c>
      <c r="O4777" t="str">
        <f t="shared" si="224"/>
        <v>Returning</v>
      </c>
    </row>
    <row r="4778" spans="1:15" x14ac:dyDescent="0.25">
      <c r="A4778">
        <v>4777</v>
      </c>
      <c r="B4778">
        <v>57</v>
      </c>
      <c r="C4778" t="s">
        <v>16</v>
      </c>
      <c r="D4778" t="s">
        <v>27</v>
      </c>
      <c r="E4778" t="s">
        <v>53</v>
      </c>
      <c r="F4778" s="1">
        <v>1597.87</v>
      </c>
      <c r="G4778" t="s">
        <v>14</v>
      </c>
      <c r="H4778" t="s">
        <v>15</v>
      </c>
      <c r="I4778" s="2">
        <v>4.2</v>
      </c>
      <c r="J4778" s="4">
        <v>19</v>
      </c>
      <c r="K4778" s="3">
        <v>7</v>
      </c>
      <c r="L4778" s="1">
        <f t="shared" si="222"/>
        <v>1294.2746999999999</v>
      </c>
      <c r="M4778" t="str" cm="1">
        <f t="array" ref="M4778">_xlfn.IFS(B4778&lt;18,"Under 18",B4778 &lt;=25,"18-25",B4778&lt;=35,"26-35",B4778&lt;=45,"36-45",B4778&lt;=60,"46-60",TRUE,"60+")</f>
        <v>46-60</v>
      </c>
      <c r="N4778" t="str">
        <f t="shared" si="223"/>
        <v>Discounted</v>
      </c>
      <c r="O4778" t="str">
        <f t="shared" si="224"/>
        <v>Returning</v>
      </c>
    </row>
    <row r="4779" spans="1:15" x14ac:dyDescent="0.25">
      <c r="A4779">
        <v>4778</v>
      </c>
      <c r="B4779">
        <v>48</v>
      </c>
      <c r="C4779" t="s">
        <v>16</v>
      </c>
      <c r="D4779" t="s">
        <v>20</v>
      </c>
      <c r="E4779" t="s">
        <v>36</v>
      </c>
      <c r="F4779" s="1">
        <v>137.63</v>
      </c>
      <c r="G4779" t="s">
        <v>14</v>
      </c>
      <c r="H4779" t="s">
        <v>15</v>
      </c>
      <c r="I4779" s="2">
        <v>3.5</v>
      </c>
      <c r="J4779" s="4">
        <v>8</v>
      </c>
      <c r="K4779" s="3">
        <v>4</v>
      </c>
      <c r="L4779" s="1">
        <f t="shared" si="222"/>
        <v>126.61960000000001</v>
      </c>
      <c r="M4779" t="str" cm="1">
        <f t="array" ref="M4779">_xlfn.IFS(B4779&lt;18,"Under 18",B4779 &lt;=25,"18-25",B4779&lt;=35,"26-35",B4779&lt;=45,"36-45",B4779&lt;=60,"46-60",TRUE,"60+")</f>
        <v>46-60</v>
      </c>
      <c r="N4779" t="str">
        <f t="shared" si="223"/>
        <v>Discounted</v>
      </c>
      <c r="O4779" t="str">
        <f t="shared" si="224"/>
        <v>Returning</v>
      </c>
    </row>
    <row r="4780" spans="1:15" x14ac:dyDescent="0.25">
      <c r="A4780">
        <v>4779</v>
      </c>
      <c r="B4780">
        <v>67</v>
      </c>
      <c r="C4780" t="s">
        <v>11</v>
      </c>
      <c r="D4780" t="s">
        <v>41</v>
      </c>
      <c r="E4780" t="s">
        <v>44</v>
      </c>
      <c r="F4780" s="1">
        <v>134.72999999999999</v>
      </c>
      <c r="G4780" t="s">
        <v>24</v>
      </c>
      <c r="H4780" t="s">
        <v>15</v>
      </c>
      <c r="I4780" s="2">
        <v>3.9</v>
      </c>
      <c r="J4780" s="4">
        <v>13</v>
      </c>
      <c r="K4780" s="3">
        <v>4</v>
      </c>
      <c r="L4780" s="1">
        <f t="shared" si="222"/>
        <v>117.21509999999999</v>
      </c>
      <c r="M4780" t="str" cm="1">
        <f t="array" ref="M4780">_xlfn.IFS(B4780&lt;18,"Under 18",B4780 &lt;=25,"18-25",B4780&lt;=35,"26-35",B4780&lt;=45,"36-45",B4780&lt;=60,"46-60",TRUE,"60+")</f>
        <v>60+</v>
      </c>
      <c r="N4780" t="str">
        <f t="shared" si="223"/>
        <v>Discounted</v>
      </c>
      <c r="O4780" t="str">
        <f t="shared" si="224"/>
        <v>Returning</v>
      </c>
    </row>
    <row r="4781" spans="1:15" x14ac:dyDescent="0.25">
      <c r="A4781">
        <v>4780</v>
      </c>
      <c r="B4781">
        <v>59</v>
      </c>
      <c r="C4781" t="s">
        <v>11</v>
      </c>
      <c r="D4781" t="s">
        <v>29</v>
      </c>
      <c r="E4781" t="s">
        <v>55</v>
      </c>
      <c r="F4781" s="1">
        <v>42.19</v>
      </c>
      <c r="G4781" t="s">
        <v>31</v>
      </c>
      <c r="H4781" t="s">
        <v>15</v>
      </c>
      <c r="I4781" s="2">
        <v>2.2000000000000002</v>
      </c>
      <c r="J4781" s="4">
        <v>11</v>
      </c>
      <c r="K4781" s="3">
        <v>3</v>
      </c>
      <c r="L4781" s="1">
        <f t="shared" si="222"/>
        <v>37.549099999999996</v>
      </c>
      <c r="M4781" t="str" cm="1">
        <f t="array" ref="M4781">_xlfn.IFS(B4781&lt;18,"Under 18",B4781 &lt;=25,"18-25",B4781&lt;=35,"26-35",B4781&lt;=45,"36-45",B4781&lt;=60,"46-60",TRUE,"60+")</f>
        <v>46-60</v>
      </c>
      <c r="N4781" t="str">
        <f t="shared" si="223"/>
        <v>Discounted</v>
      </c>
      <c r="O4781" t="str">
        <f t="shared" si="224"/>
        <v>Returning</v>
      </c>
    </row>
    <row r="4782" spans="1:15" x14ac:dyDescent="0.25">
      <c r="A4782">
        <v>4781</v>
      </c>
      <c r="B4782">
        <v>66</v>
      </c>
      <c r="C4782" t="s">
        <v>16</v>
      </c>
      <c r="D4782" t="s">
        <v>25</v>
      </c>
      <c r="E4782" t="s">
        <v>54</v>
      </c>
      <c r="F4782" s="1">
        <v>44.99</v>
      </c>
      <c r="G4782" t="s">
        <v>14</v>
      </c>
      <c r="H4782" t="s">
        <v>37</v>
      </c>
      <c r="I4782" s="2">
        <v>4.3</v>
      </c>
      <c r="J4782" s="4">
        <v>19</v>
      </c>
      <c r="K4782" s="3">
        <v>7</v>
      </c>
      <c r="L4782" s="1">
        <f t="shared" si="222"/>
        <v>36.441900000000004</v>
      </c>
      <c r="M4782" t="str" cm="1">
        <f t="array" ref="M4782">_xlfn.IFS(B4782&lt;18,"Under 18",B4782 &lt;=25,"18-25",B4782&lt;=35,"26-35",B4782&lt;=45,"36-45",B4782&lt;=60,"46-60",TRUE,"60+")</f>
        <v>60+</v>
      </c>
      <c r="N4782" t="str">
        <f t="shared" si="223"/>
        <v>Discounted</v>
      </c>
      <c r="O4782" t="str">
        <f t="shared" si="224"/>
        <v>Returning</v>
      </c>
    </row>
    <row r="4783" spans="1:15" x14ac:dyDescent="0.25">
      <c r="A4783">
        <v>4782</v>
      </c>
      <c r="B4783">
        <v>60</v>
      </c>
      <c r="C4783" t="s">
        <v>16</v>
      </c>
      <c r="D4783" t="s">
        <v>25</v>
      </c>
      <c r="E4783" t="s">
        <v>57</v>
      </c>
      <c r="F4783" s="1">
        <v>5.98</v>
      </c>
      <c r="G4783" t="s">
        <v>31</v>
      </c>
      <c r="H4783" t="s">
        <v>37</v>
      </c>
      <c r="I4783" s="2">
        <v>3.7</v>
      </c>
      <c r="J4783" s="4">
        <v>15</v>
      </c>
      <c r="K4783" s="3">
        <v>5</v>
      </c>
      <c r="L4783" s="1">
        <f t="shared" si="222"/>
        <v>5.0830000000000002</v>
      </c>
      <c r="M4783" t="str" cm="1">
        <f t="array" ref="M4783">_xlfn.IFS(B4783&lt;18,"Under 18",B4783 &lt;=25,"18-25",B4783&lt;=35,"26-35",B4783&lt;=45,"36-45",B4783&lt;=60,"46-60",TRUE,"60+")</f>
        <v>46-60</v>
      </c>
      <c r="N4783" t="str">
        <f t="shared" si="223"/>
        <v>Discounted</v>
      </c>
      <c r="O4783" t="str">
        <f t="shared" si="224"/>
        <v>Returning</v>
      </c>
    </row>
    <row r="4784" spans="1:15" x14ac:dyDescent="0.25">
      <c r="A4784">
        <v>4783</v>
      </c>
      <c r="B4784">
        <v>50</v>
      </c>
      <c r="C4784" t="s">
        <v>11</v>
      </c>
      <c r="D4784" t="s">
        <v>41</v>
      </c>
      <c r="E4784" t="s">
        <v>46</v>
      </c>
      <c r="F4784" s="1">
        <v>90.5</v>
      </c>
      <c r="G4784" t="s">
        <v>14</v>
      </c>
      <c r="H4784" t="s">
        <v>37</v>
      </c>
      <c r="I4784" s="2">
        <v>3.6</v>
      </c>
      <c r="J4784" s="4">
        <v>19</v>
      </c>
      <c r="K4784" s="3">
        <v>7</v>
      </c>
      <c r="L4784" s="1">
        <f t="shared" si="222"/>
        <v>73.305000000000007</v>
      </c>
      <c r="M4784" t="str" cm="1">
        <f t="array" ref="M4784">_xlfn.IFS(B4784&lt;18,"Under 18",B4784 &lt;=25,"18-25",B4784&lt;=35,"26-35",B4784&lt;=45,"36-45",B4784&lt;=60,"46-60",TRUE,"60+")</f>
        <v>46-60</v>
      </c>
      <c r="N4784" t="str">
        <f t="shared" si="223"/>
        <v>Discounted</v>
      </c>
      <c r="O4784" t="str">
        <f t="shared" si="224"/>
        <v>Returning</v>
      </c>
    </row>
    <row r="4785" spans="1:15" x14ac:dyDescent="0.25">
      <c r="A4785">
        <v>4784</v>
      </c>
      <c r="B4785">
        <v>67</v>
      </c>
      <c r="C4785" t="s">
        <v>11</v>
      </c>
      <c r="D4785" t="s">
        <v>41</v>
      </c>
      <c r="E4785" t="s">
        <v>42</v>
      </c>
      <c r="F4785" s="1">
        <v>61.64</v>
      </c>
      <c r="G4785" t="s">
        <v>19</v>
      </c>
      <c r="H4785" t="s">
        <v>37</v>
      </c>
      <c r="I4785" s="2">
        <v>3.8</v>
      </c>
      <c r="J4785" s="4">
        <v>14</v>
      </c>
      <c r="K4785" s="3">
        <v>2</v>
      </c>
      <c r="L4785" s="1">
        <f t="shared" si="222"/>
        <v>53.010399999999997</v>
      </c>
      <c r="M4785" t="str" cm="1">
        <f t="array" ref="M4785">_xlfn.IFS(B4785&lt;18,"Under 18",B4785 &lt;=25,"18-25",B4785&lt;=35,"26-35",B4785&lt;=45,"36-45",B4785&lt;=60,"46-60",TRUE,"60+")</f>
        <v>60+</v>
      </c>
      <c r="N4785" t="str">
        <f t="shared" si="223"/>
        <v>Discounted</v>
      </c>
      <c r="O4785" t="str">
        <f t="shared" si="224"/>
        <v>Returning</v>
      </c>
    </row>
    <row r="4786" spans="1:15" x14ac:dyDescent="0.25">
      <c r="A4786">
        <v>4785</v>
      </c>
      <c r="B4786">
        <v>21</v>
      </c>
      <c r="C4786" t="s">
        <v>16</v>
      </c>
      <c r="D4786" t="s">
        <v>17</v>
      </c>
      <c r="E4786" t="s">
        <v>35</v>
      </c>
      <c r="F4786" s="1">
        <v>30.63</v>
      </c>
      <c r="G4786" t="s">
        <v>24</v>
      </c>
      <c r="H4786" t="s">
        <v>15</v>
      </c>
      <c r="I4786" s="2">
        <v>3.2</v>
      </c>
      <c r="J4786" s="4">
        <v>15</v>
      </c>
      <c r="K4786" s="3">
        <v>5</v>
      </c>
      <c r="L4786" s="1">
        <f t="shared" si="222"/>
        <v>26.035499999999999</v>
      </c>
      <c r="M4786" t="str" cm="1">
        <f t="array" ref="M4786">_xlfn.IFS(B4786&lt;18,"Under 18",B4786 &lt;=25,"18-25",B4786&lt;=35,"26-35",B4786&lt;=45,"36-45",B4786&lt;=60,"46-60",TRUE,"60+")</f>
        <v>18-25</v>
      </c>
      <c r="N4786" t="str">
        <f t="shared" si="223"/>
        <v>Discounted</v>
      </c>
      <c r="O4786" t="str">
        <f t="shared" si="224"/>
        <v>Returning</v>
      </c>
    </row>
    <row r="4787" spans="1:15" x14ac:dyDescent="0.25">
      <c r="A4787">
        <v>4786</v>
      </c>
      <c r="B4787">
        <v>31</v>
      </c>
      <c r="C4787" t="s">
        <v>16</v>
      </c>
      <c r="D4787" t="s">
        <v>20</v>
      </c>
      <c r="E4787" t="s">
        <v>39</v>
      </c>
      <c r="F4787" s="1">
        <v>82.96</v>
      </c>
      <c r="G4787" t="s">
        <v>19</v>
      </c>
      <c r="H4787" t="s">
        <v>15</v>
      </c>
      <c r="I4787" s="2">
        <v>3.2</v>
      </c>
      <c r="J4787" s="4">
        <v>13</v>
      </c>
      <c r="K4787" s="3">
        <v>4</v>
      </c>
      <c r="L4787" s="1">
        <f t="shared" si="222"/>
        <v>72.17519999999999</v>
      </c>
      <c r="M4787" t="str" cm="1">
        <f t="array" ref="M4787">_xlfn.IFS(B4787&lt;18,"Under 18",B4787 &lt;=25,"18-25",B4787&lt;=35,"26-35",B4787&lt;=45,"36-45",B4787&lt;=60,"46-60",TRUE,"60+")</f>
        <v>26-35</v>
      </c>
      <c r="N4787" t="str">
        <f t="shared" si="223"/>
        <v>Discounted</v>
      </c>
      <c r="O4787" t="str">
        <f t="shared" si="224"/>
        <v>Returning</v>
      </c>
    </row>
    <row r="4788" spans="1:15" x14ac:dyDescent="0.25">
      <c r="A4788">
        <v>4787</v>
      </c>
      <c r="B4788">
        <v>43</v>
      </c>
      <c r="C4788" t="s">
        <v>11</v>
      </c>
      <c r="D4788" t="s">
        <v>22</v>
      </c>
      <c r="E4788" t="s">
        <v>23</v>
      </c>
      <c r="F4788" s="1">
        <v>162.78</v>
      </c>
      <c r="G4788" t="s">
        <v>14</v>
      </c>
      <c r="H4788" t="s">
        <v>15</v>
      </c>
      <c r="I4788" s="2">
        <v>3.3</v>
      </c>
      <c r="J4788" s="4">
        <v>12</v>
      </c>
      <c r="K4788" s="3">
        <v>1</v>
      </c>
      <c r="L4788" s="1">
        <f t="shared" si="222"/>
        <v>143.24639999999999</v>
      </c>
      <c r="M4788" t="str" cm="1">
        <f t="array" ref="M4788">_xlfn.IFS(B4788&lt;18,"Under 18",B4788 &lt;=25,"18-25",B4788&lt;=35,"26-35",B4788&lt;=45,"36-45",B4788&lt;=60,"46-60",TRUE,"60+")</f>
        <v>36-45</v>
      </c>
      <c r="N4788" t="str">
        <f t="shared" si="223"/>
        <v>Discounted</v>
      </c>
      <c r="O4788" t="str">
        <f t="shared" si="224"/>
        <v>Returning</v>
      </c>
    </row>
    <row r="4789" spans="1:15" x14ac:dyDescent="0.25">
      <c r="A4789">
        <v>4788</v>
      </c>
      <c r="B4789">
        <v>20</v>
      </c>
      <c r="C4789" t="s">
        <v>16</v>
      </c>
      <c r="D4789" t="s">
        <v>20</v>
      </c>
      <c r="E4789" t="s">
        <v>39</v>
      </c>
      <c r="F4789" s="1">
        <v>173.24</v>
      </c>
      <c r="G4789" t="s">
        <v>19</v>
      </c>
      <c r="H4789" t="s">
        <v>15</v>
      </c>
      <c r="I4789" s="2">
        <v>2.9</v>
      </c>
      <c r="J4789" s="4">
        <v>10</v>
      </c>
      <c r="K4789" s="3">
        <v>5</v>
      </c>
      <c r="L4789" s="1">
        <f t="shared" si="222"/>
        <v>155.91600000000003</v>
      </c>
      <c r="M4789" t="str" cm="1">
        <f t="array" ref="M4789">_xlfn.IFS(B4789&lt;18,"Under 18",B4789 &lt;=25,"18-25",B4789&lt;=35,"26-35",B4789&lt;=45,"36-45",B4789&lt;=60,"46-60",TRUE,"60+")</f>
        <v>18-25</v>
      </c>
      <c r="N4789" t="str">
        <f t="shared" si="223"/>
        <v>Discounted</v>
      </c>
      <c r="O4789" t="str">
        <f t="shared" si="224"/>
        <v>Returning</v>
      </c>
    </row>
    <row r="4790" spans="1:15" x14ac:dyDescent="0.25">
      <c r="A4790">
        <v>4789</v>
      </c>
      <c r="B4790">
        <v>58</v>
      </c>
      <c r="C4790" t="s">
        <v>16</v>
      </c>
      <c r="D4790" t="s">
        <v>27</v>
      </c>
      <c r="E4790" t="s">
        <v>53</v>
      </c>
      <c r="F4790" s="1">
        <v>1498.26</v>
      </c>
      <c r="G4790" t="s">
        <v>19</v>
      </c>
      <c r="H4790" t="s">
        <v>15</v>
      </c>
      <c r="I4790" s="2">
        <v>4.2</v>
      </c>
      <c r="J4790" s="4">
        <v>8</v>
      </c>
      <c r="K4790" s="3">
        <v>4</v>
      </c>
      <c r="L4790" s="1">
        <f t="shared" si="222"/>
        <v>1378.3992000000001</v>
      </c>
      <c r="M4790" t="str" cm="1">
        <f t="array" ref="M4790">_xlfn.IFS(B4790&lt;18,"Under 18",B4790 &lt;=25,"18-25",B4790&lt;=35,"26-35",B4790&lt;=45,"36-45",B4790&lt;=60,"46-60",TRUE,"60+")</f>
        <v>46-60</v>
      </c>
      <c r="N4790" t="str">
        <f t="shared" si="223"/>
        <v>Discounted</v>
      </c>
      <c r="O4790" t="str">
        <f t="shared" si="224"/>
        <v>Returning</v>
      </c>
    </row>
    <row r="4791" spans="1:15" x14ac:dyDescent="0.25">
      <c r="A4791">
        <v>4790</v>
      </c>
      <c r="B4791">
        <v>68</v>
      </c>
      <c r="C4791" t="s">
        <v>11</v>
      </c>
      <c r="D4791" t="s">
        <v>12</v>
      </c>
      <c r="E4791" t="s">
        <v>50</v>
      </c>
      <c r="F4791" s="1">
        <v>124.8</v>
      </c>
      <c r="G4791" t="s">
        <v>19</v>
      </c>
      <c r="H4791" t="s">
        <v>15</v>
      </c>
      <c r="I4791" s="2">
        <v>4.0999999999999996</v>
      </c>
      <c r="J4791" s="4">
        <v>11</v>
      </c>
      <c r="K4791" s="3">
        <v>3</v>
      </c>
      <c r="L4791" s="1">
        <f t="shared" si="222"/>
        <v>111.072</v>
      </c>
      <c r="M4791" t="str" cm="1">
        <f t="array" ref="M4791">_xlfn.IFS(B4791&lt;18,"Under 18",B4791 &lt;=25,"18-25",B4791&lt;=35,"26-35",B4791&lt;=45,"36-45",B4791&lt;=60,"46-60",TRUE,"60+")</f>
        <v>60+</v>
      </c>
      <c r="N4791" t="str">
        <f t="shared" si="223"/>
        <v>Discounted</v>
      </c>
      <c r="O4791" t="str">
        <f t="shared" si="224"/>
        <v>Returning</v>
      </c>
    </row>
    <row r="4792" spans="1:15" x14ac:dyDescent="0.25">
      <c r="A4792">
        <v>4791</v>
      </c>
      <c r="B4792">
        <v>57</v>
      </c>
      <c r="C4792" t="s">
        <v>16</v>
      </c>
      <c r="D4792" t="s">
        <v>25</v>
      </c>
      <c r="E4792" t="s">
        <v>57</v>
      </c>
      <c r="F4792" s="1">
        <v>45.07</v>
      </c>
      <c r="G4792" t="s">
        <v>14</v>
      </c>
      <c r="H4792" t="s">
        <v>37</v>
      </c>
      <c r="I4792" s="2">
        <v>4.5</v>
      </c>
      <c r="J4792" s="4">
        <v>9</v>
      </c>
      <c r="K4792" s="3">
        <v>2</v>
      </c>
      <c r="L4792" s="1">
        <f t="shared" si="222"/>
        <v>41.0137</v>
      </c>
      <c r="M4792" t="str" cm="1">
        <f t="array" ref="M4792">_xlfn.IFS(B4792&lt;18,"Under 18",B4792 &lt;=25,"18-25",B4792&lt;=35,"26-35",B4792&lt;=45,"36-45",B4792&lt;=60,"46-60",TRUE,"60+")</f>
        <v>46-60</v>
      </c>
      <c r="N4792" t="str">
        <f t="shared" si="223"/>
        <v>Discounted</v>
      </c>
      <c r="O4792" t="str">
        <f t="shared" si="224"/>
        <v>Returning</v>
      </c>
    </row>
    <row r="4793" spans="1:15" x14ac:dyDescent="0.25">
      <c r="A4793">
        <v>4792</v>
      </c>
      <c r="B4793">
        <v>66</v>
      </c>
      <c r="C4793" t="s">
        <v>11</v>
      </c>
      <c r="D4793" t="s">
        <v>41</v>
      </c>
      <c r="E4793" t="s">
        <v>46</v>
      </c>
      <c r="F4793" s="1">
        <v>121.66</v>
      </c>
      <c r="G4793" t="s">
        <v>24</v>
      </c>
      <c r="H4793" t="s">
        <v>15</v>
      </c>
      <c r="I4793" s="2">
        <v>3.9</v>
      </c>
      <c r="J4793" s="4">
        <v>24</v>
      </c>
      <c r="K4793" s="3">
        <v>7</v>
      </c>
      <c r="L4793" s="1">
        <f t="shared" si="222"/>
        <v>92.461600000000004</v>
      </c>
      <c r="M4793" t="str" cm="1">
        <f t="array" ref="M4793">_xlfn.IFS(B4793&lt;18,"Under 18",B4793 &lt;=25,"18-25",B4793&lt;=35,"26-35",B4793&lt;=45,"36-45",B4793&lt;=60,"46-60",TRUE,"60+")</f>
        <v>60+</v>
      </c>
      <c r="N4793" t="str">
        <f t="shared" si="223"/>
        <v>Discounted</v>
      </c>
      <c r="O4793" t="str">
        <f t="shared" si="224"/>
        <v>Returning</v>
      </c>
    </row>
    <row r="4794" spans="1:15" x14ac:dyDescent="0.25">
      <c r="A4794">
        <v>4793</v>
      </c>
      <c r="B4794">
        <v>55</v>
      </c>
      <c r="C4794" t="s">
        <v>16</v>
      </c>
      <c r="D4794" t="s">
        <v>17</v>
      </c>
      <c r="E4794" t="s">
        <v>18</v>
      </c>
      <c r="F4794" s="1">
        <v>63.17</v>
      </c>
      <c r="G4794" t="s">
        <v>24</v>
      </c>
      <c r="H4794" t="s">
        <v>37</v>
      </c>
      <c r="I4794" s="2">
        <v>2.9</v>
      </c>
      <c r="J4794" s="4">
        <v>12</v>
      </c>
      <c r="K4794" s="3">
        <v>6</v>
      </c>
      <c r="L4794" s="1">
        <f t="shared" si="222"/>
        <v>55.589600000000004</v>
      </c>
      <c r="M4794" t="str" cm="1">
        <f t="array" ref="M4794">_xlfn.IFS(B4794&lt;18,"Under 18",B4794 &lt;=25,"18-25",B4794&lt;=35,"26-35",B4794&lt;=45,"36-45",B4794&lt;=60,"46-60",TRUE,"60+")</f>
        <v>46-60</v>
      </c>
      <c r="N4794" t="str">
        <f t="shared" si="223"/>
        <v>Discounted</v>
      </c>
      <c r="O4794" t="str">
        <f t="shared" si="224"/>
        <v>Returning</v>
      </c>
    </row>
    <row r="4795" spans="1:15" x14ac:dyDescent="0.25">
      <c r="A4795">
        <v>4794</v>
      </c>
      <c r="B4795">
        <v>37</v>
      </c>
      <c r="C4795" t="s">
        <v>16</v>
      </c>
      <c r="D4795" t="s">
        <v>17</v>
      </c>
      <c r="E4795" t="s">
        <v>48</v>
      </c>
      <c r="F4795" s="1">
        <v>34.630000000000003</v>
      </c>
      <c r="G4795" t="s">
        <v>31</v>
      </c>
      <c r="H4795" t="s">
        <v>37</v>
      </c>
      <c r="I4795" s="2">
        <v>2.9</v>
      </c>
      <c r="J4795" s="4">
        <v>10</v>
      </c>
      <c r="K4795" s="3">
        <v>0</v>
      </c>
      <c r="L4795" s="1">
        <f t="shared" si="222"/>
        <v>31.167000000000002</v>
      </c>
      <c r="M4795" t="str" cm="1">
        <f t="array" ref="M4795">_xlfn.IFS(B4795&lt;18,"Under 18",B4795 &lt;=25,"18-25",B4795&lt;=35,"26-35",B4795&lt;=45,"36-45",B4795&lt;=60,"46-60",TRUE,"60+")</f>
        <v>36-45</v>
      </c>
      <c r="N4795" t="str">
        <f t="shared" si="223"/>
        <v>Discounted</v>
      </c>
      <c r="O4795" t="str">
        <f t="shared" si="224"/>
        <v>New</v>
      </c>
    </row>
    <row r="4796" spans="1:15" x14ac:dyDescent="0.25">
      <c r="A4796">
        <v>4795</v>
      </c>
      <c r="B4796">
        <v>24</v>
      </c>
      <c r="C4796" t="s">
        <v>11</v>
      </c>
      <c r="D4796" t="s">
        <v>41</v>
      </c>
      <c r="E4796" t="s">
        <v>45</v>
      </c>
      <c r="F4796" s="1">
        <v>59.95</v>
      </c>
      <c r="G4796" t="s">
        <v>24</v>
      </c>
      <c r="H4796" t="s">
        <v>15</v>
      </c>
      <c r="I4796" s="2">
        <v>3.3</v>
      </c>
      <c r="J4796" s="4">
        <v>14</v>
      </c>
      <c r="K4796" s="3">
        <v>2</v>
      </c>
      <c r="L4796" s="1">
        <f t="shared" si="222"/>
        <v>51.557000000000002</v>
      </c>
      <c r="M4796" t="str" cm="1">
        <f t="array" ref="M4796">_xlfn.IFS(B4796&lt;18,"Under 18",B4796 &lt;=25,"18-25",B4796&lt;=35,"26-35",B4796&lt;=45,"36-45",B4796&lt;=60,"46-60",TRUE,"60+")</f>
        <v>18-25</v>
      </c>
      <c r="N4796" t="str">
        <f t="shared" si="223"/>
        <v>Discounted</v>
      </c>
      <c r="O4796" t="str">
        <f t="shared" si="224"/>
        <v>Returning</v>
      </c>
    </row>
    <row r="4797" spans="1:15" x14ac:dyDescent="0.25">
      <c r="A4797">
        <v>4796</v>
      </c>
      <c r="B4797">
        <v>65</v>
      </c>
      <c r="C4797" t="s">
        <v>11</v>
      </c>
      <c r="D4797" t="s">
        <v>12</v>
      </c>
      <c r="E4797" t="s">
        <v>56</v>
      </c>
      <c r="F4797" s="1">
        <v>177.54</v>
      </c>
      <c r="G4797" t="s">
        <v>24</v>
      </c>
      <c r="H4797" t="s">
        <v>15</v>
      </c>
      <c r="I4797" s="2">
        <v>2.8</v>
      </c>
      <c r="J4797" s="4">
        <v>18</v>
      </c>
      <c r="K4797" s="3">
        <v>4</v>
      </c>
      <c r="L4797" s="1">
        <f t="shared" si="222"/>
        <v>145.58279999999999</v>
      </c>
      <c r="M4797" t="str" cm="1">
        <f t="array" ref="M4797">_xlfn.IFS(B4797&lt;18,"Under 18",B4797 &lt;=25,"18-25",B4797&lt;=35,"26-35",B4797&lt;=45,"36-45",B4797&lt;=60,"46-60",TRUE,"60+")</f>
        <v>60+</v>
      </c>
      <c r="N4797" t="str">
        <f t="shared" si="223"/>
        <v>Discounted</v>
      </c>
      <c r="O4797" t="str">
        <f t="shared" si="224"/>
        <v>Returning</v>
      </c>
    </row>
    <row r="4798" spans="1:15" x14ac:dyDescent="0.25">
      <c r="A4798">
        <v>4797</v>
      </c>
      <c r="B4798">
        <v>66</v>
      </c>
      <c r="C4798" t="s">
        <v>16</v>
      </c>
      <c r="D4798" t="s">
        <v>20</v>
      </c>
      <c r="E4798" t="s">
        <v>36</v>
      </c>
      <c r="F4798" s="1">
        <v>97.98</v>
      </c>
      <c r="G4798" t="s">
        <v>14</v>
      </c>
      <c r="H4798" t="s">
        <v>37</v>
      </c>
      <c r="I4798" s="2">
        <v>3.3</v>
      </c>
      <c r="J4798" s="4">
        <v>18</v>
      </c>
      <c r="K4798" s="3">
        <v>9</v>
      </c>
      <c r="L4798" s="1">
        <f t="shared" si="222"/>
        <v>80.343600000000009</v>
      </c>
      <c r="M4798" t="str" cm="1">
        <f t="array" ref="M4798">_xlfn.IFS(B4798&lt;18,"Under 18",B4798 &lt;=25,"18-25",B4798&lt;=35,"26-35",B4798&lt;=45,"36-45",B4798&lt;=60,"46-60",TRUE,"60+")</f>
        <v>60+</v>
      </c>
      <c r="N4798" t="str">
        <f t="shared" si="223"/>
        <v>Discounted</v>
      </c>
      <c r="O4798" t="str">
        <f t="shared" si="224"/>
        <v>Returning</v>
      </c>
    </row>
    <row r="4799" spans="1:15" x14ac:dyDescent="0.25">
      <c r="A4799">
        <v>4798</v>
      </c>
      <c r="B4799">
        <v>56</v>
      </c>
      <c r="C4799" t="s">
        <v>11</v>
      </c>
      <c r="D4799" t="s">
        <v>12</v>
      </c>
      <c r="E4799" t="s">
        <v>56</v>
      </c>
      <c r="F4799" s="1">
        <v>62.19</v>
      </c>
      <c r="G4799" t="s">
        <v>24</v>
      </c>
      <c r="H4799" t="s">
        <v>37</v>
      </c>
      <c r="I4799" s="2">
        <v>4.4000000000000004</v>
      </c>
      <c r="J4799" s="4">
        <v>7</v>
      </c>
      <c r="K4799" s="3">
        <v>1</v>
      </c>
      <c r="L4799" s="1">
        <f t="shared" si="222"/>
        <v>57.836699999999993</v>
      </c>
      <c r="M4799" t="str" cm="1">
        <f t="array" ref="M4799">_xlfn.IFS(B4799&lt;18,"Under 18",B4799 &lt;=25,"18-25",B4799&lt;=35,"26-35",B4799&lt;=45,"36-45",B4799&lt;=60,"46-60",TRUE,"60+")</f>
        <v>46-60</v>
      </c>
      <c r="N4799" t="str">
        <f t="shared" si="223"/>
        <v>Discounted</v>
      </c>
      <c r="O4799" t="str">
        <f t="shared" si="224"/>
        <v>Returning</v>
      </c>
    </row>
    <row r="4800" spans="1:15" x14ac:dyDescent="0.25">
      <c r="A4800">
        <v>4799</v>
      </c>
      <c r="B4800">
        <v>65</v>
      </c>
      <c r="C4800" t="s">
        <v>11</v>
      </c>
      <c r="D4800" t="s">
        <v>20</v>
      </c>
      <c r="E4800" t="s">
        <v>21</v>
      </c>
      <c r="F4800" s="1">
        <v>36.71</v>
      </c>
      <c r="G4800" t="s">
        <v>14</v>
      </c>
      <c r="H4800" t="s">
        <v>37</v>
      </c>
      <c r="I4800" s="2">
        <v>3.5</v>
      </c>
      <c r="J4800" s="4">
        <v>23</v>
      </c>
      <c r="K4800" s="3">
        <v>9</v>
      </c>
      <c r="L4800" s="1">
        <f t="shared" si="222"/>
        <v>28.2667</v>
      </c>
      <c r="M4800" t="str" cm="1">
        <f t="array" ref="M4800">_xlfn.IFS(B4800&lt;18,"Under 18",B4800 &lt;=25,"18-25",B4800&lt;=35,"26-35",B4800&lt;=45,"36-45",B4800&lt;=60,"46-60",TRUE,"60+")</f>
        <v>60+</v>
      </c>
      <c r="N4800" t="str">
        <f t="shared" si="223"/>
        <v>Discounted</v>
      </c>
      <c r="O4800" t="str">
        <f t="shared" si="224"/>
        <v>Returning</v>
      </c>
    </row>
    <row r="4801" spans="1:15" x14ac:dyDescent="0.25">
      <c r="A4801">
        <v>4800</v>
      </c>
      <c r="B4801">
        <v>50</v>
      </c>
      <c r="C4801" t="s">
        <v>11</v>
      </c>
      <c r="D4801" t="s">
        <v>20</v>
      </c>
      <c r="E4801" t="s">
        <v>36</v>
      </c>
      <c r="F4801" s="1">
        <v>34.659999999999997</v>
      </c>
      <c r="G4801" t="s">
        <v>31</v>
      </c>
      <c r="H4801" t="s">
        <v>15</v>
      </c>
      <c r="I4801" s="2">
        <v>2.8</v>
      </c>
      <c r="J4801" s="4">
        <v>12</v>
      </c>
      <c r="K4801" s="3">
        <v>6</v>
      </c>
      <c r="L4801" s="1">
        <f t="shared" si="222"/>
        <v>30.500799999999998</v>
      </c>
      <c r="M4801" t="str" cm="1">
        <f t="array" ref="M4801">_xlfn.IFS(B4801&lt;18,"Under 18",B4801 &lt;=25,"18-25",B4801&lt;=35,"26-35",B4801&lt;=45,"36-45",B4801&lt;=60,"46-60",TRUE,"60+")</f>
        <v>46-60</v>
      </c>
      <c r="N4801" t="str">
        <f t="shared" si="223"/>
        <v>Discounted</v>
      </c>
      <c r="O4801" t="str">
        <f t="shared" si="224"/>
        <v>Returning</v>
      </c>
    </row>
    <row r="4802" spans="1:15" x14ac:dyDescent="0.25">
      <c r="A4802">
        <v>4801</v>
      </c>
      <c r="B4802">
        <v>22</v>
      </c>
      <c r="C4802" t="s">
        <v>11</v>
      </c>
      <c r="D4802" t="s">
        <v>20</v>
      </c>
      <c r="E4802" t="s">
        <v>36</v>
      </c>
      <c r="F4802" s="1">
        <v>136.51</v>
      </c>
      <c r="G4802" t="s">
        <v>19</v>
      </c>
      <c r="H4802" t="s">
        <v>15</v>
      </c>
      <c r="I4802" s="2">
        <v>4.5</v>
      </c>
      <c r="J4802" s="4">
        <v>22</v>
      </c>
      <c r="K4802" s="3">
        <v>6</v>
      </c>
      <c r="L4802" s="1">
        <f t="shared" si="222"/>
        <v>106.4778</v>
      </c>
      <c r="M4802" t="str" cm="1">
        <f t="array" ref="M4802">_xlfn.IFS(B4802&lt;18,"Under 18",B4802 &lt;=25,"18-25",B4802&lt;=35,"26-35",B4802&lt;=45,"36-45",B4802&lt;=60,"46-60",TRUE,"60+")</f>
        <v>18-25</v>
      </c>
      <c r="N4802" t="str">
        <f t="shared" si="223"/>
        <v>Discounted</v>
      </c>
      <c r="O4802" t="str">
        <f t="shared" si="224"/>
        <v>Returning</v>
      </c>
    </row>
    <row r="4803" spans="1:15" x14ac:dyDescent="0.25">
      <c r="A4803">
        <v>4802</v>
      </c>
      <c r="B4803">
        <v>67</v>
      </c>
      <c r="C4803" t="s">
        <v>11</v>
      </c>
      <c r="D4803" t="s">
        <v>41</v>
      </c>
      <c r="E4803" t="s">
        <v>46</v>
      </c>
      <c r="F4803" s="1">
        <v>81.05</v>
      </c>
      <c r="G4803" t="s">
        <v>19</v>
      </c>
      <c r="H4803" t="s">
        <v>37</v>
      </c>
      <c r="I4803" s="2">
        <v>4.5999999999999996</v>
      </c>
      <c r="J4803" s="4">
        <v>14</v>
      </c>
      <c r="K4803" s="3">
        <v>7</v>
      </c>
      <c r="L4803" s="1">
        <f t="shared" ref="L4803:L4866" si="225">F4803 * (1 - J4803 / 100)</f>
        <v>69.703000000000003</v>
      </c>
      <c r="M4803" t="str" cm="1">
        <f t="array" ref="M4803">_xlfn.IFS(B4803&lt;18,"Under 18",B4803 &lt;=25,"18-25",B4803&lt;=35,"26-35",B4803&lt;=45,"36-45",B4803&lt;=60,"46-60",TRUE,"60+")</f>
        <v>60+</v>
      </c>
      <c r="N4803" t="str">
        <f t="shared" ref="N4803:N4866" si="226">IF(J4803&gt;0,"Discounted","No Discount")</f>
        <v>Discounted</v>
      </c>
      <c r="O4803" t="str">
        <f t="shared" ref="O4803:O4866" si="227">IF(K4803&gt;0,"Returning","New")</f>
        <v>Returning</v>
      </c>
    </row>
    <row r="4804" spans="1:15" x14ac:dyDescent="0.25">
      <c r="A4804">
        <v>4803</v>
      </c>
      <c r="B4804">
        <v>44</v>
      </c>
      <c r="C4804" t="s">
        <v>11</v>
      </c>
      <c r="D4804" t="s">
        <v>20</v>
      </c>
      <c r="E4804" t="s">
        <v>36</v>
      </c>
      <c r="F4804" s="1">
        <v>49.34</v>
      </c>
      <c r="G4804" t="s">
        <v>31</v>
      </c>
      <c r="H4804" t="s">
        <v>37</v>
      </c>
      <c r="I4804" s="2">
        <v>3.3</v>
      </c>
      <c r="J4804" s="4">
        <v>7</v>
      </c>
      <c r="K4804" s="3">
        <v>1</v>
      </c>
      <c r="L4804" s="1">
        <f t="shared" si="225"/>
        <v>45.886200000000002</v>
      </c>
      <c r="M4804" t="str" cm="1">
        <f t="array" ref="M4804">_xlfn.IFS(B4804&lt;18,"Under 18",B4804 &lt;=25,"18-25",B4804&lt;=35,"26-35",B4804&lt;=45,"36-45",B4804&lt;=60,"46-60",TRUE,"60+")</f>
        <v>36-45</v>
      </c>
      <c r="N4804" t="str">
        <f t="shared" si="226"/>
        <v>Discounted</v>
      </c>
      <c r="O4804" t="str">
        <f t="shared" si="227"/>
        <v>Returning</v>
      </c>
    </row>
    <row r="4805" spans="1:15" x14ac:dyDescent="0.25">
      <c r="A4805">
        <v>4804</v>
      </c>
      <c r="B4805">
        <v>31</v>
      </c>
      <c r="C4805" t="s">
        <v>16</v>
      </c>
      <c r="D4805" t="s">
        <v>20</v>
      </c>
      <c r="E4805" t="s">
        <v>36</v>
      </c>
      <c r="F4805" s="1">
        <v>83.98</v>
      </c>
      <c r="G4805" t="s">
        <v>24</v>
      </c>
      <c r="H4805" t="s">
        <v>37</v>
      </c>
      <c r="I4805" s="2">
        <v>4.0999999999999996</v>
      </c>
      <c r="J4805" s="4">
        <v>26</v>
      </c>
      <c r="K4805" s="3">
        <v>8</v>
      </c>
      <c r="L4805" s="1">
        <f t="shared" si="225"/>
        <v>62.145200000000003</v>
      </c>
      <c r="M4805" t="str" cm="1">
        <f t="array" ref="M4805">_xlfn.IFS(B4805&lt;18,"Under 18",B4805 &lt;=25,"18-25",B4805&lt;=35,"26-35",B4805&lt;=45,"36-45",B4805&lt;=60,"46-60",TRUE,"60+")</f>
        <v>26-35</v>
      </c>
      <c r="N4805" t="str">
        <f t="shared" si="226"/>
        <v>Discounted</v>
      </c>
      <c r="O4805" t="str">
        <f t="shared" si="227"/>
        <v>Returning</v>
      </c>
    </row>
    <row r="4806" spans="1:15" x14ac:dyDescent="0.25">
      <c r="A4806">
        <v>4805</v>
      </c>
      <c r="B4806">
        <v>46</v>
      </c>
      <c r="C4806" t="s">
        <v>11</v>
      </c>
      <c r="D4806" t="s">
        <v>41</v>
      </c>
      <c r="E4806" t="s">
        <v>42</v>
      </c>
      <c r="F4806" s="1">
        <v>48.2</v>
      </c>
      <c r="G4806" t="s">
        <v>19</v>
      </c>
      <c r="H4806" t="s">
        <v>37</v>
      </c>
      <c r="I4806" s="2">
        <v>4.0999999999999996</v>
      </c>
      <c r="J4806" s="4">
        <v>12</v>
      </c>
      <c r="K4806" s="3">
        <v>6</v>
      </c>
      <c r="L4806" s="1">
        <f t="shared" si="225"/>
        <v>42.416000000000004</v>
      </c>
      <c r="M4806" t="str" cm="1">
        <f t="array" ref="M4806">_xlfn.IFS(B4806&lt;18,"Under 18",B4806 &lt;=25,"18-25",B4806&lt;=35,"26-35",B4806&lt;=45,"36-45",B4806&lt;=60,"46-60",TRUE,"60+")</f>
        <v>46-60</v>
      </c>
      <c r="N4806" t="str">
        <f t="shared" si="226"/>
        <v>Discounted</v>
      </c>
      <c r="O4806" t="str">
        <f t="shared" si="227"/>
        <v>Returning</v>
      </c>
    </row>
    <row r="4807" spans="1:15" x14ac:dyDescent="0.25">
      <c r="A4807">
        <v>4806</v>
      </c>
      <c r="B4807">
        <v>57</v>
      </c>
      <c r="C4807" t="s">
        <v>11</v>
      </c>
      <c r="D4807" t="s">
        <v>25</v>
      </c>
      <c r="E4807" t="s">
        <v>47</v>
      </c>
      <c r="F4807" s="1">
        <v>44.59</v>
      </c>
      <c r="G4807" t="s">
        <v>19</v>
      </c>
      <c r="H4807" t="s">
        <v>37</v>
      </c>
      <c r="I4807" s="2">
        <v>4.5</v>
      </c>
      <c r="J4807" s="4">
        <v>12</v>
      </c>
      <c r="K4807" s="3">
        <v>6</v>
      </c>
      <c r="L4807" s="1">
        <f t="shared" si="225"/>
        <v>39.239200000000004</v>
      </c>
      <c r="M4807" t="str" cm="1">
        <f t="array" ref="M4807">_xlfn.IFS(B4807&lt;18,"Under 18",B4807 &lt;=25,"18-25",B4807&lt;=35,"26-35",B4807&lt;=45,"36-45",B4807&lt;=60,"46-60",TRUE,"60+")</f>
        <v>46-60</v>
      </c>
      <c r="N4807" t="str">
        <f t="shared" si="226"/>
        <v>Discounted</v>
      </c>
      <c r="O4807" t="str">
        <f t="shared" si="227"/>
        <v>Returning</v>
      </c>
    </row>
    <row r="4808" spans="1:15" x14ac:dyDescent="0.25">
      <c r="A4808">
        <v>4807</v>
      </c>
      <c r="B4808">
        <v>35</v>
      </c>
      <c r="C4808" t="s">
        <v>11</v>
      </c>
      <c r="D4808" t="s">
        <v>12</v>
      </c>
      <c r="E4808" t="s">
        <v>50</v>
      </c>
      <c r="F4808" s="1">
        <v>99.42</v>
      </c>
      <c r="G4808" t="s">
        <v>19</v>
      </c>
      <c r="H4808" t="s">
        <v>15</v>
      </c>
      <c r="I4808" s="2">
        <v>4.3</v>
      </c>
      <c r="J4808" s="4">
        <v>8</v>
      </c>
      <c r="K4808" s="3">
        <v>4</v>
      </c>
      <c r="L4808" s="1">
        <f t="shared" si="225"/>
        <v>91.466400000000007</v>
      </c>
      <c r="M4808" t="str" cm="1">
        <f t="array" ref="M4808">_xlfn.IFS(B4808&lt;18,"Under 18",B4808 &lt;=25,"18-25",B4808&lt;=35,"26-35",B4808&lt;=45,"36-45",B4808&lt;=60,"46-60",TRUE,"60+")</f>
        <v>26-35</v>
      </c>
      <c r="N4808" t="str">
        <f t="shared" si="226"/>
        <v>Discounted</v>
      </c>
      <c r="O4808" t="str">
        <f t="shared" si="227"/>
        <v>Returning</v>
      </c>
    </row>
    <row r="4809" spans="1:15" x14ac:dyDescent="0.25">
      <c r="A4809">
        <v>4808</v>
      </c>
      <c r="B4809">
        <v>47</v>
      </c>
      <c r="C4809" t="s">
        <v>16</v>
      </c>
      <c r="D4809" t="s">
        <v>17</v>
      </c>
      <c r="E4809" t="s">
        <v>35</v>
      </c>
      <c r="F4809" s="1">
        <v>149.88999999999999</v>
      </c>
      <c r="G4809" t="s">
        <v>19</v>
      </c>
      <c r="H4809" t="s">
        <v>15</v>
      </c>
      <c r="I4809" s="2">
        <v>3.7</v>
      </c>
      <c r="J4809" s="4">
        <v>8</v>
      </c>
      <c r="K4809" s="3">
        <v>4</v>
      </c>
      <c r="L4809" s="1">
        <f t="shared" si="225"/>
        <v>137.89879999999999</v>
      </c>
      <c r="M4809" t="str" cm="1">
        <f t="array" ref="M4809">_xlfn.IFS(B4809&lt;18,"Under 18",B4809 &lt;=25,"18-25",B4809&lt;=35,"26-35",B4809&lt;=45,"36-45",B4809&lt;=60,"46-60",TRUE,"60+")</f>
        <v>46-60</v>
      </c>
      <c r="N4809" t="str">
        <f t="shared" si="226"/>
        <v>Discounted</v>
      </c>
      <c r="O4809" t="str">
        <f t="shared" si="227"/>
        <v>Returning</v>
      </c>
    </row>
    <row r="4810" spans="1:15" x14ac:dyDescent="0.25">
      <c r="A4810">
        <v>4809</v>
      </c>
      <c r="B4810">
        <v>51</v>
      </c>
      <c r="C4810" t="s">
        <v>16</v>
      </c>
      <c r="D4810" t="s">
        <v>20</v>
      </c>
      <c r="E4810" t="s">
        <v>21</v>
      </c>
      <c r="F4810" s="1">
        <v>223.89</v>
      </c>
      <c r="G4810" t="s">
        <v>24</v>
      </c>
      <c r="H4810" t="s">
        <v>15</v>
      </c>
      <c r="I4810" s="2">
        <v>3.3</v>
      </c>
      <c r="J4810" s="4">
        <v>15</v>
      </c>
      <c r="K4810" s="3">
        <v>5</v>
      </c>
      <c r="L4810" s="1">
        <f t="shared" si="225"/>
        <v>190.30649999999997</v>
      </c>
      <c r="M4810" t="str" cm="1">
        <f t="array" ref="M4810">_xlfn.IFS(B4810&lt;18,"Under 18",B4810 &lt;=25,"18-25",B4810&lt;=35,"26-35",B4810&lt;=45,"36-45",B4810&lt;=60,"46-60",TRUE,"60+")</f>
        <v>46-60</v>
      </c>
      <c r="N4810" t="str">
        <f t="shared" si="226"/>
        <v>Discounted</v>
      </c>
      <c r="O4810" t="str">
        <f t="shared" si="227"/>
        <v>Returning</v>
      </c>
    </row>
    <row r="4811" spans="1:15" x14ac:dyDescent="0.25">
      <c r="A4811">
        <v>4810</v>
      </c>
      <c r="B4811">
        <v>43</v>
      </c>
      <c r="C4811" t="s">
        <v>11</v>
      </c>
      <c r="D4811" t="s">
        <v>41</v>
      </c>
      <c r="E4811" t="s">
        <v>44</v>
      </c>
      <c r="F4811" s="1">
        <v>163.6</v>
      </c>
      <c r="G4811" t="s">
        <v>31</v>
      </c>
      <c r="H4811" t="s">
        <v>15</v>
      </c>
      <c r="I4811" s="2">
        <v>2.6</v>
      </c>
      <c r="J4811" s="4">
        <v>15</v>
      </c>
      <c r="K4811" s="3">
        <v>5</v>
      </c>
      <c r="L4811" s="1">
        <f t="shared" si="225"/>
        <v>139.06</v>
      </c>
      <c r="M4811" t="str" cm="1">
        <f t="array" ref="M4811">_xlfn.IFS(B4811&lt;18,"Under 18",B4811 &lt;=25,"18-25",B4811&lt;=35,"26-35",B4811&lt;=45,"36-45",B4811&lt;=60,"46-60",TRUE,"60+")</f>
        <v>36-45</v>
      </c>
      <c r="N4811" t="str">
        <f t="shared" si="226"/>
        <v>Discounted</v>
      </c>
      <c r="O4811" t="str">
        <f t="shared" si="227"/>
        <v>Returning</v>
      </c>
    </row>
    <row r="4812" spans="1:15" x14ac:dyDescent="0.25">
      <c r="A4812">
        <v>4811</v>
      </c>
      <c r="B4812">
        <v>27</v>
      </c>
      <c r="C4812" t="s">
        <v>16</v>
      </c>
      <c r="D4812" t="s">
        <v>25</v>
      </c>
      <c r="E4812" t="s">
        <v>57</v>
      </c>
      <c r="F4812" s="1">
        <v>54.58</v>
      </c>
      <c r="G4812" t="s">
        <v>14</v>
      </c>
      <c r="H4812" t="s">
        <v>15</v>
      </c>
      <c r="I4812" s="2">
        <v>3.1</v>
      </c>
      <c r="J4812" s="4">
        <v>10</v>
      </c>
      <c r="K4812" s="3">
        <v>5</v>
      </c>
      <c r="L4812" s="1">
        <f t="shared" si="225"/>
        <v>49.122</v>
      </c>
      <c r="M4812" t="str" cm="1">
        <f t="array" ref="M4812">_xlfn.IFS(B4812&lt;18,"Under 18",B4812 &lt;=25,"18-25",B4812&lt;=35,"26-35",B4812&lt;=45,"36-45",B4812&lt;=60,"46-60",TRUE,"60+")</f>
        <v>26-35</v>
      </c>
      <c r="N4812" t="str">
        <f t="shared" si="226"/>
        <v>Discounted</v>
      </c>
      <c r="O4812" t="str">
        <f t="shared" si="227"/>
        <v>Returning</v>
      </c>
    </row>
    <row r="4813" spans="1:15" x14ac:dyDescent="0.25">
      <c r="A4813">
        <v>4812</v>
      </c>
      <c r="B4813">
        <v>34</v>
      </c>
      <c r="C4813" t="s">
        <v>16</v>
      </c>
      <c r="D4813" t="s">
        <v>33</v>
      </c>
      <c r="E4813" t="s">
        <v>40</v>
      </c>
      <c r="F4813" s="1">
        <v>107.13</v>
      </c>
      <c r="G4813" t="s">
        <v>24</v>
      </c>
      <c r="H4813" t="s">
        <v>15</v>
      </c>
      <c r="I4813" s="2">
        <v>3.4</v>
      </c>
      <c r="J4813" s="4">
        <v>26</v>
      </c>
      <c r="K4813" s="3">
        <v>8</v>
      </c>
      <c r="L4813" s="1">
        <f t="shared" si="225"/>
        <v>79.276199999999989</v>
      </c>
      <c r="M4813" t="str" cm="1">
        <f t="array" ref="M4813">_xlfn.IFS(B4813&lt;18,"Under 18",B4813 &lt;=25,"18-25",B4813&lt;=35,"26-35",B4813&lt;=45,"36-45",B4813&lt;=60,"46-60",TRUE,"60+")</f>
        <v>26-35</v>
      </c>
      <c r="N4813" t="str">
        <f t="shared" si="226"/>
        <v>Discounted</v>
      </c>
      <c r="O4813" t="str">
        <f t="shared" si="227"/>
        <v>Returning</v>
      </c>
    </row>
    <row r="4814" spans="1:15" x14ac:dyDescent="0.25">
      <c r="A4814">
        <v>4813</v>
      </c>
      <c r="B4814">
        <v>55</v>
      </c>
      <c r="C4814" t="s">
        <v>11</v>
      </c>
      <c r="D4814" t="s">
        <v>33</v>
      </c>
      <c r="E4814" t="s">
        <v>38</v>
      </c>
      <c r="F4814" s="1">
        <v>105.16</v>
      </c>
      <c r="G4814" t="s">
        <v>31</v>
      </c>
      <c r="H4814" t="s">
        <v>15</v>
      </c>
      <c r="I4814" s="2">
        <v>3.9</v>
      </c>
      <c r="J4814" s="4">
        <v>20</v>
      </c>
      <c r="K4814" s="3">
        <v>5</v>
      </c>
      <c r="L4814" s="1">
        <f t="shared" si="225"/>
        <v>84.128</v>
      </c>
      <c r="M4814" t="str" cm="1">
        <f t="array" ref="M4814">_xlfn.IFS(B4814&lt;18,"Under 18",B4814 &lt;=25,"18-25",B4814&lt;=35,"26-35",B4814&lt;=45,"36-45",B4814&lt;=60,"46-60",TRUE,"60+")</f>
        <v>46-60</v>
      </c>
      <c r="N4814" t="str">
        <f t="shared" si="226"/>
        <v>Discounted</v>
      </c>
      <c r="O4814" t="str">
        <f t="shared" si="227"/>
        <v>Returning</v>
      </c>
    </row>
    <row r="4815" spans="1:15" x14ac:dyDescent="0.25">
      <c r="A4815">
        <v>4814</v>
      </c>
      <c r="B4815">
        <v>30</v>
      </c>
      <c r="C4815" t="s">
        <v>16</v>
      </c>
      <c r="D4815" t="s">
        <v>27</v>
      </c>
      <c r="E4815" t="s">
        <v>32</v>
      </c>
      <c r="F4815" s="1">
        <v>1843.94</v>
      </c>
      <c r="G4815" t="s">
        <v>14</v>
      </c>
      <c r="H4815" t="s">
        <v>15</v>
      </c>
      <c r="I4815" s="2">
        <v>3.5</v>
      </c>
      <c r="J4815" s="4">
        <v>9</v>
      </c>
      <c r="K4815" s="3">
        <v>2</v>
      </c>
      <c r="L4815" s="1">
        <f t="shared" si="225"/>
        <v>1677.9854</v>
      </c>
      <c r="M4815" t="str" cm="1">
        <f t="array" ref="M4815">_xlfn.IFS(B4815&lt;18,"Under 18",B4815 &lt;=25,"18-25",B4815&lt;=35,"26-35",B4815&lt;=45,"36-45",B4815&lt;=60,"46-60",TRUE,"60+")</f>
        <v>26-35</v>
      </c>
      <c r="N4815" t="str">
        <f t="shared" si="226"/>
        <v>Discounted</v>
      </c>
      <c r="O4815" t="str">
        <f t="shared" si="227"/>
        <v>Returning</v>
      </c>
    </row>
    <row r="4816" spans="1:15" x14ac:dyDescent="0.25">
      <c r="A4816">
        <v>4815</v>
      </c>
      <c r="B4816">
        <v>58</v>
      </c>
      <c r="C4816" t="s">
        <v>16</v>
      </c>
      <c r="D4816" t="s">
        <v>33</v>
      </c>
      <c r="E4816" t="s">
        <v>38</v>
      </c>
      <c r="F4816" s="1">
        <v>64.59</v>
      </c>
      <c r="G4816" t="s">
        <v>24</v>
      </c>
      <c r="H4816" t="s">
        <v>15</v>
      </c>
      <c r="I4816" s="2">
        <v>4.0999999999999996</v>
      </c>
      <c r="J4816" s="4">
        <v>19</v>
      </c>
      <c r="K4816" s="3">
        <v>7</v>
      </c>
      <c r="L4816" s="1">
        <f t="shared" si="225"/>
        <v>52.317900000000009</v>
      </c>
      <c r="M4816" t="str" cm="1">
        <f t="array" ref="M4816">_xlfn.IFS(B4816&lt;18,"Under 18",B4816 &lt;=25,"18-25",B4816&lt;=35,"26-35",B4816&lt;=45,"36-45",B4816&lt;=60,"46-60",TRUE,"60+")</f>
        <v>46-60</v>
      </c>
      <c r="N4816" t="str">
        <f t="shared" si="226"/>
        <v>Discounted</v>
      </c>
      <c r="O4816" t="str">
        <f t="shared" si="227"/>
        <v>Returning</v>
      </c>
    </row>
    <row r="4817" spans="1:15" x14ac:dyDescent="0.25">
      <c r="A4817">
        <v>4816</v>
      </c>
      <c r="B4817">
        <v>67</v>
      </c>
      <c r="C4817" t="s">
        <v>16</v>
      </c>
      <c r="D4817" t="s">
        <v>27</v>
      </c>
      <c r="E4817" t="s">
        <v>28</v>
      </c>
      <c r="F4817" s="1">
        <v>2035.13</v>
      </c>
      <c r="G4817" t="s">
        <v>19</v>
      </c>
      <c r="H4817" t="s">
        <v>15</v>
      </c>
      <c r="I4817" s="2">
        <v>3.7</v>
      </c>
      <c r="J4817" s="4">
        <v>13</v>
      </c>
      <c r="K4817" s="3">
        <v>4</v>
      </c>
      <c r="L4817" s="1">
        <f t="shared" si="225"/>
        <v>1770.5631000000001</v>
      </c>
      <c r="M4817" t="str" cm="1">
        <f t="array" ref="M4817">_xlfn.IFS(B4817&lt;18,"Under 18",B4817 &lt;=25,"18-25",B4817&lt;=35,"26-35",B4817&lt;=45,"36-45",B4817&lt;=60,"46-60",TRUE,"60+")</f>
        <v>60+</v>
      </c>
      <c r="N4817" t="str">
        <f t="shared" si="226"/>
        <v>Discounted</v>
      </c>
      <c r="O4817" t="str">
        <f t="shared" si="227"/>
        <v>Returning</v>
      </c>
    </row>
    <row r="4818" spans="1:15" x14ac:dyDescent="0.25">
      <c r="A4818">
        <v>4817</v>
      </c>
      <c r="B4818">
        <v>26</v>
      </c>
      <c r="C4818" t="s">
        <v>16</v>
      </c>
      <c r="D4818" t="s">
        <v>25</v>
      </c>
      <c r="E4818" t="s">
        <v>47</v>
      </c>
      <c r="F4818" s="1">
        <v>42.57</v>
      </c>
      <c r="G4818" t="s">
        <v>14</v>
      </c>
      <c r="H4818" t="s">
        <v>15</v>
      </c>
      <c r="I4818" s="2">
        <v>4.0999999999999996</v>
      </c>
      <c r="J4818" s="4">
        <v>9</v>
      </c>
      <c r="K4818" s="3">
        <v>2</v>
      </c>
      <c r="L4818" s="1">
        <f t="shared" si="225"/>
        <v>38.738700000000001</v>
      </c>
      <c r="M4818" t="str" cm="1">
        <f t="array" ref="M4818">_xlfn.IFS(B4818&lt;18,"Under 18",B4818 &lt;=25,"18-25",B4818&lt;=35,"26-35",B4818&lt;=45,"36-45",B4818&lt;=60,"46-60",TRUE,"60+")</f>
        <v>26-35</v>
      </c>
      <c r="N4818" t="str">
        <f t="shared" si="226"/>
        <v>Discounted</v>
      </c>
      <c r="O4818" t="str">
        <f t="shared" si="227"/>
        <v>Returning</v>
      </c>
    </row>
    <row r="4819" spans="1:15" x14ac:dyDescent="0.25">
      <c r="A4819">
        <v>4818</v>
      </c>
      <c r="B4819">
        <v>31</v>
      </c>
      <c r="C4819" t="s">
        <v>16</v>
      </c>
      <c r="D4819" t="s">
        <v>27</v>
      </c>
      <c r="E4819" t="s">
        <v>28</v>
      </c>
      <c r="F4819" s="1">
        <v>2124.87</v>
      </c>
      <c r="G4819" t="s">
        <v>24</v>
      </c>
      <c r="H4819" t="s">
        <v>15</v>
      </c>
      <c r="I4819" s="2">
        <v>3.4</v>
      </c>
      <c r="J4819" s="4">
        <v>13</v>
      </c>
      <c r="K4819" s="3">
        <v>4</v>
      </c>
      <c r="L4819" s="1">
        <f t="shared" si="225"/>
        <v>1848.6369</v>
      </c>
      <c r="M4819" t="str" cm="1">
        <f t="array" ref="M4819">_xlfn.IFS(B4819&lt;18,"Under 18",B4819 &lt;=25,"18-25",B4819&lt;=35,"26-35",B4819&lt;=45,"36-45",B4819&lt;=60,"46-60",TRUE,"60+")</f>
        <v>26-35</v>
      </c>
      <c r="N4819" t="str">
        <f t="shared" si="226"/>
        <v>Discounted</v>
      </c>
      <c r="O4819" t="str">
        <f t="shared" si="227"/>
        <v>Returning</v>
      </c>
    </row>
    <row r="4820" spans="1:15" x14ac:dyDescent="0.25">
      <c r="A4820">
        <v>4819</v>
      </c>
      <c r="B4820">
        <v>58</v>
      </c>
      <c r="C4820" t="s">
        <v>16</v>
      </c>
      <c r="D4820" t="s">
        <v>27</v>
      </c>
      <c r="E4820" t="s">
        <v>32</v>
      </c>
      <c r="F4820" s="1">
        <v>1687.48</v>
      </c>
      <c r="G4820" t="s">
        <v>31</v>
      </c>
      <c r="H4820" t="s">
        <v>15</v>
      </c>
      <c r="I4820" s="2">
        <v>3.8</v>
      </c>
      <c r="J4820" s="4">
        <v>13</v>
      </c>
      <c r="K4820" s="3">
        <v>4</v>
      </c>
      <c r="L4820" s="1">
        <f t="shared" si="225"/>
        <v>1468.1076</v>
      </c>
      <c r="M4820" t="str" cm="1">
        <f t="array" ref="M4820">_xlfn.IFS(B4820&lt;18,"Under 18",B4820 &lt;=25,"18-25",B4820&lt;=35,"26-35",B4820&lt;=45,"36-45",B4820&lt;=60,"46-60",TRUE,"60+")</f>
        <v>46-60</v>
      </c>
      <c r="N4820" t="str">
        <f t="shared" si="226"/>
        <v>Discounted</v>
      </c>
      <c r="O4820" t="str">
        <f t="shared" si="227"/>
        <v>Returning</v>
      </c>
    </row>
    <row r="4821" spans="1:15" x14ac:dyDescent="0.25">
      <c r="A4821">
        <v>4820</v>
      </c>
      <c r="B4821">
        <v>38</v>
      </c>
      <c r="C4821" t="s">
        <v>16</v>
      </c>
      <c r="D4821" t="s">
        <v>27</v>
      </c>
      <c r="E4821" t="s">
        <v>28</v>
      </c>
      <c r="F4821" s="1">
        <v>1951.27</v>
      </c>
      <c r="G4821" t="s">
        <v>14</v>
      </c>
      <c r="H4821" t="s">
        <v>15</v>
      </c>
      <c r="I4821" s="2">
        <v>4.5999999999999996</v>
      </c>
      <c r="J4821" s="4">
        <v>6</v>
      </c>
      <c r="K4821" s="3">
        <v>3</v>
      </c>
      <c r="L4821" s="1">
        <f t="shared" si="225"/>
        <v>1834.1937999999998</v>
      </c>
      <c r="M4821" t="str" cm="1">
        <f t="array" ref="M4821">_xlfn.IFS(B4821&lt;18,"Under 18",B4821 &lt;=25,"18-25",B4821&lt;=35,"26-35",B4821&lt;=45,"36-45",B4821&lt;=60,"46-60",TRUE,"60+")</f>
        <v>36-45</v>
      </c>
      <c r="N4821" t="str">
        <f t="shared" si="226"/>
        <v>Discounted</v>
      </c>
      <c r="O4821" t="str">
        <f t="shared" si="227"/>
        <v>Returning</v>
      </c>
    </row>
    <row r="4822" spans="1:15" x14ac:dyDescent="0.25">
      <c r="A4822">
        <v>4821</v>
      </c>
      <c r="B4822">
        <v>37</v>
      </c>
      <c r="C4822" t="s">
        <v>16</v>
      </c>
      <c r="D4822" t="s">
        <v>17</v>
      </c>
      <c r="E4822" t="s">
        <v>42</v>
      </c>
      <c r="F4822" s="1">
        <v>159.61000000000001</v>
      </c>
      <c r="G4822" t="s">
        <v>19</v>
      </c>
      <c r="H4822" t="s">
        <v>15</v>
      </c>
      <c r="I4822" s="2">
        <v>3.7</v>
      </c>
      <c r="J4822" s="4">
        <v>20</v>
      </c>
      <c r="K4822" s="3">
        <v>5</v>
      </c>
      <c r="L4822" s="1">
        <f t="shared" si="225"/>
        <v>127.68800000000002</v>
      </c>
      <c r="M4822" t="str" cm="1">
        <f t="array" ref="M4822">_xlfn.IFS(B4822&lt;18,"Under 18",B4822 &lt;=25,"18-25",B4822&lt;=35,"26-35",B4822&lt;=45,"36-45",B4822&lt;=60,"46-60",TRUE,"60+")</f>
        <v>36-45</v>
      </c>
      <c r="N4822" t="str">
        <f t="shared" si="226"/>
        <v>Discounted</v>
      </c>
      <c r="O4822" t="str">
        <f t="shared" si="227"/>
        <v>Returning</v>
      </c>
    </row>
    <row r="4823" spans="1:15" x14ac:dyDescent="0.25">
      <c r="A4823">
        <v>4822</v>
      </c>
      <c r="B4823">
        <v>28</v>
      </c>
      <c r="C4823" t="s">
        <v>16</v>
      </c>
      <c r="D4823" t="s">
        <v>20</v>
      </c>
      <c r="E4823" t="s">
        <v>21</v>
      </c>
      <c r="F4823" s="1">
        <v>178.42</v>
      </c>
      <c r="G4823" t="s">
        <v>19</v>
      </c>
      <c r="H4823" t="s">
        <v>15</v>
      </c>
      <c r="I4823" s="2">
        <v>4.0999999999999996</v>
      </c>
      <c r="J4823" s="4">
        <v>22</v>
      </c>
      <c r="K4823" s="3">
        <v>6</v>
      </c>
      <c r="L4823" s="1">
        <f t="shared" si="225"/>
        <v>139.16759999999999</v>
      </c>
      <c r="M4823" t="str" cm="1">
        <f t="array" ref="M4823">_xlfn.IFS(B4823&lt;18,"Under 18",B4823 &lt;=25,"18-25",B4823&lt;=35,"26-35",B4823&lt;=45,"36-45",B4823&lt;=60,"46-60",TRUE,"60+")</f>
        <v>26-35</v>
      </c>
      <c r="N4823" t="str">
        <f t="shared" si="226"/>
        <v>Discounted</v>
      </c>
      <c r="O4823" t="str">
        <f t="shared" si="227"/>
        <v>Returning</v>
      </c>
    </row>
    <row r="4824" spans="1:15" x14ac:dyDescent="0.25">
      <c r="A4824">
        <v>4823</v>
      </c>
      <c r="B4824">
        <v>48</v>
      </c>
      <c r="C4824" t="s">
        <v>16</v>
      </c>
      <c r="D4824" t="s">
        <v>33</v>
      </c>
      <c r="E4824" t="s">
        <v>38</v>
      </c>
      <c r="F4824" s="1">
        <v>92.46</v>
      </c>
      <c r="G4824" t="s">
        <v>19</v>
      </c>
      <c r="H4824" t="s">
        <v>15</v>
      </c>
      <c r="I4824" s="2">
        <v>3.3</v>
      </c>
      <c r="J4824" s="4">
        <v>14</v>
      </c>
      <c r="K4824" s="3">
        <v>7</v>
      </c>
      <c r="L4824" s="1">
        <f t="shared" si="225"/>
        <v>79.515599999999992</v>
      </c>
      <c r="M4824" t="str" cm="1">
        <f t="array" ref="M4824">_xlfn.IFS(B4824&lt;18,"Under 18",B4824 &lt;=25,"18-25",B4824&lt;=35,"26-35",B4824&lt;=45,"36-45",B4824&lt;=60,"46-60",TRUE,"60+")</f>
        <v>46-60</v>
      </c>
      <c r="N4824" t="str">
        <f t="shared" si="226"/>
        <v>Discounted</v>
      </c>
      <c r="O4824" t="str">
        <f t="shared" si="227"/>
        <v>Returning</v>
      </c>
    </row>
    <row r="4825" spans="1:15" x14ac:dyDescent="0.25">
      <c r="A4825">
        <v>4824</v>
      </c>
      <c r="B4825">
        <v>36</v>
      </c>
      <c r="C4825" t="s">
        <v>11</v>
      </c>
      <c r="D4825" t="s">
        <v>12</v>
      </c>
      <c r="E4825" t="s">
        <v>56</v>
      </c>
      <c r="F4825" s="1">
        <v>35.9</v>
      </c>
      <c r="G4825" t="s">
        <v>19</v>
      </c>
      <c r="H4825" t="s">
        <v>37</v>
      </c>
      <c r="I4825" s="2">
        <v>4.2</v>
      </c>
      <c r="J4825" s="4">
        <v>11</v>
      </c>
      <c r="K4825" s="3">
        <v>3</v>
      </c>
      <c r="L4825" s="1">
        <f t="shared" si="225"/>
        <v>31.951000000000001</v>
      </c>
      <c r="M4825" t="str" cm="1">
        <f t="array" ref="M4825">_xlfn.IFS(B4825&lt;18,"Under 18",B4825 &lt;=25,"18-25",B4825&lt;=35,"26-35",B4825&lt;=45,"36-45",B4825&lt;=60,"46-60",TRUE,"60+")</f>
        <v>36-45</v>
      </c>
      <c r="N4825" t="str">
        <f t="shared" si="226"/>
        <v>Discounted</v>
      </c>
      <c r="O4825" t="str">
        <f t="shared" si="227"/>
        <v>Returning</v>
      </c>
    </row>
    <row r="4826" spans="1:15" x14ac:dyDescent="0.25">
      <c r="A4826">
        <v>4825</v>
      </c>
      <c r="B4826">
        <v>57</v>
      </c>
      <c r="C4826" t="s">
        <v>16</v>
      </c>
      <c r="D4826" t="s">
        <v>20</v>
      </c>
      <c r="E4826" t="s">
        <v>39</v>
      </c>
      <c r="F4826" s="1">
        <v>235.27</v>
      </c>
      <c r="G4826" t="s">
        <v>24</v>
      </c>
      <c r="H4826" t="s">
        <v>15</v>
      </c>
      <c r="I4826" s="2">
        <v>3.9</v>
      </c>
      <c r="J4826" s="4">
        <v>18</v>
      </c>
      <c r="K4826" s="3">
        <v>4</v>
      </c>
      <c r="L4826" s="1">
        <f t="shared" si="225"/>
        <v>192.92140000000003</v>
      </c>
      <c r="M4826" t="str" cm="1">
        <f t="array" ref="M4826">_xlfn.IFS(B4826&lt;18,"Under 18",B4826 &lt;=25,"18-25",B4826&lt;=35,"26-35",B4826&lt;=45,"36-45",B4826&lt;=60,"46-60",TRUE,"60+")</f>
        <v>46-60</v>
      </c>
      <c r="N4826" t="str">
        <f t="shared" si="226"/>
        <v>Discounted</v>
      </c>
      <c r="O4826" t="str">
        <f t="shared" si="227"/>
        <v>Returning</v>
      </c>
    </row>
    <row r="4827" spans="1:15" x14ac:dyDescent="0.25">
      <c r="A4827">
        <v>4826</v>
      </c>
      <c r="B4827">
        <v>42</v>
      </c>
      <c r="C4827" t="s">
        <v>16</v>
      </c>
      <c r="D4827" t="s">
        <v>25</v>
      </c>
      <c r="E4827" t="s">
        <v>54</v>
      </c>
      <c r="F4827" s="1">
        <v>76.87</v>
      </c>
      <c r="G4827" t="s">
        <v>14</v>
      </c>
      <c r="H4827" t="s">
        <v>37</v>
      </c>
      <c r="I4827" s="2">
        <v>4.5</v>
      </c>
      <c r="J4827" s="4">
        <v>9</v>
      </c>
      <c r="K4827" s="3">
        <v>2</v>
      </c>
      <c r="L4827" s="1">
        <f t="shared" si="225"/>
        <v>69.951700000000002</v>
      </c>
      <c r="M4827" t="str" cm="1">
        <f t="array" ref="M4827">_xlfn.IFS(B4827&lt;18,"Under 18",B4827 &lt;=25,"18-25",B4827&lt;=35,"26-35",B4827&lt;=45,"36-45",B4827&lt;=60,"46-60",TRUE,"60+")</f>
        <v>36-45</v>
      </c>
      <c r="N4827" t="str">
        <f t="shared" si="226"/>
        <v>Discounted</v>
      </c>
      <c r="O4827" t="str">
        <f t="shared" si="227"/>
        <v>Returning</v>
      </c>
    </row>
    <row r="4828" spans="1:15" x14ac:dyDescent="0.25">
      <c r="A4828">
        <v>4827</v>
      </c>
      <c r="B4828">
        <v>47</v>
      </c>
      <c r="C4828" t="s">
        <v>16</v>
      </c>
      <c r="D4828" t="s">
        <v>27</v>
      </c>
      <c r="E4828" t="s">
        <v>32</v>
      </c>
      <c r="F4828" s="1">
        <v>692.45</v>
      </c>
      <c r="G4828" t="s">
        <v>31</v>
      </c>
      <c r="H4828" t="s">
        <v>15</v>
      </c>
      <c r="I4828" s="2">
        <v>4.3</v>
      </c>
      <c r="J4828" s="4">
        <v>9</v>
      </c>
      <c r="K4828" s="3">
        <v>2</v>
      </c>
      <c r="L4828" s="1">
        <f t="shared" si="225"/>
        <v>630.12950000000001</v>
      </c>
      <c r="M4828" t="str" cm="1">
        <f t="array" ref="M4828">_xlfn.IFS(B4828&lt;18,"Under 18",B4828 &lt;=25,"18-25",B4828&lt;=35,"26-35",B4828&lt;=45,"36-45",B4828&lt;=60,"46-60",TRUE,"60+")</f>
        <v>46-60</v>
      </c>
      <c r="N4828" t="str">
        <f t="shared" si="226"/>
        <v>Discounted</v>
      </c>
      <c r="O4828" t="str">
        <f t="shared" si="227"/>
        <v>Returning</v>
      </c>
    </row>
    <row r="4829" spans="1:15" x14ac:dyDescent="0.25">
      <c r="A4829">
        <v>4828</v>
      </c>
      <c r="B4829">
        <v>56</v>
      </c>
      <c r="C4829" t="s">
        <v>11</v>
      </c>
      <c r="D4829" t="s">
        <v>41</v>
      </c>
      <c r="E4829" t="s">
        <v>42</v>
      </c>
      <c r="F4829" s="1">
        <v>128.72999999999999</v>
      </c>
      <c r="G4829" t="s">
        <v>31</v>
      </c>
      <c r="H4829" t="s">
        <v>15</v>
      </c>
      <c r="I4829" s="2">
        <v>4.9000000000000004</v>
      </c>
      <c r="J4829" s="4">
        <v>12</v>
      </c>
      <c r="K4829" s="3">
        <v>6</v>
      </c>
      <c r="L4829" s="1">
        <f t="shared" si="225"/>
        <v>113.2824</v>
      </c>
      <c r="M4829" t="str" cm="1">
        <f t="array" ref="M4829">_xlfn.IFS(B4829&lt;18,"Under 18",B4829 &lt;=25,"18-25",B4829&lt;=35,"26-35",B4829&lt;=45,"36-45",B4829&lt;=60,"46-60",TRUE,"60+")</f>
        <v>46-60</v>
      </c>
      <c r="N4829" t="str">
        <f t="shared" si="226"/>
        <v>Discounted</v>
      </c>
      <c r="O4829" t="str">
        <f t="shared" si="227"/>
        <v>Returning</v>
      </c>
    </row>
    <row r="4830" spans="1:15" x14ac:dyDescent="0.25">
      <c r="A4830">
        <v>4829</v>
      </c>
      <c r="B4830">
        <v>30</v>
      </c>
      <c r="C4830" t="s">
        <v>11</v>
      </c>
      <c r="D4830" t="s">
        <v>29</v>
      </c>
      <c r="E4830" t="s">
        <v>55</v>
      </c>
      <c r="F4830" s="1">
        <v>97.03</v>
      </c>
      <c r="G4830" t="s">
        <v>24</v>
      </c>
      <c r="H4830" t="s">
        <v>37</v>
      </c>
      <c r="I4830" s="2">
        <v>4.0999999999999996</v>
      </c>
      <c r="J4830" s="4">
        <v>19</v>
      </c>
      <c r="K4830" s="3">
        <v>7</v>
      </c>
      <c r="L4830" s="1">
        <f t="shared" si="225"/>
        <v>78.594300000000004</v>
      </c>
      <c r="M4830" t="str" cm="1">
        <f t="array" ref="M4830">_xlfn.IFS(B4830&lt;18,"Under 18",B4830 &lt;=25,"18-25",B4830&lt;=35,"26-35",B4830&lt;=45,"36-45",B4830&lt;=60,"46-60",TRUE,"60+")</f>
        <v>26-35</v>
      </c>
      <c r="N4830" t="str">
        <f t="shared" si="226"/>
        <v>Discounted</v>
      </c>
      <c r="O4830" t="str">
        <f t="shared" si="227"/>
        <v>Returning</v>
      </c>
    </row>
    <row r="4831" spans="1:15" x14ac:dyDescent="0.25">
      <c r="A4831">
        <v>4830</v>
      </c>
      <c r="B4831">
        <v>24</v>
      </c>
      <c r="C4831" t="s">
        <v>11</v>
      </c>
      <c r="D4831" t="s">
        <v>12</v>
      </c>
      <c r="E4831" t="s">
        <v>56</v>
      </c>
      <c r="F4831" s="1">
        <v>156.83000000000001</v>
      </c>
      <c r="G4831" t="s">
        <v>31</v>
      </c>
      <c r="H4831" t="s">
        <v>15</v>
      </c>
      <c r="I4831" s="2">
        <v>2.8</v>
      </c>
      <c r="J4831" s="4">
        <v>8</v>
      </c>
      <c r="K4831" s="3">
        <v>4</v>
      </c>
      <c r="L4831" s="1">
        <f t="shared" si="225"/>
        <v>144.28360000000001</v>
      </c>
      <c r="M4831" t="str" cm="1">
        <f t="array" ref="M4831">_xlfn.IFS(B4831&lt;18,"Under 18",B4831 &lt;=25,"18-25",B4831&lt;=35,"26-35",B4831&lt;=45,"36-45",B4831&lt;=60,"46-60",TRUE,"60+")</f>
        <v>18-25</v>
      </c>
      <c r="N4831" t="str">
        <f t="shared" si="226"/>
        <v>Discounted</v>
      </c>
      <c r="O4831" t="str">
        <f t="shared" si="227"/>
        <v>Returning</v>
      </c>
    </row>
    <row r="4832" spans="1:15" x14ac:dyDescent="0.25">
      <c r="A4832">
        <v>4831</v>
      </c>
      <c r="B4832">
        <v>35</v>
      </c>
      <c r="C4832" t="s">
        <v>11</v>
      </c>
      <c r="D4832" t="s">
        <v>33</v>
      </c>
      <c r="E4832" t="s">
        <v>34</v>
      </c>
      <c r="F4832" s="1">
        <v>233.18</v>
      </c>
      <c r="G4832" t="s">
        <v>19</v>
      </c>
      <c r="H4832" t="s">
        <v>15</v>
      </c>
      <c r="I4832" s="2">
        <v>3.1</v>
      </c>
      <c r="J4832" s="4">
        <v>11</v>
      </c>
      <c r="K4832" s="3">
        <v>3</v>
      </c>
      <c r="L4832" s="1">
        <f t="shared" si="225"/>
        <v>207.53020000000001</v>
      </c>
      <c r="M4832" t="str" cm="1">
        <f t="array" ref="M4832">_xlfn.IFS(B4832&lt;18,"Under 18",B4832 &lt;=25,"18-25",B4832&lt;=35,"26-35",B4832&lt;=45,"36-45",B4832&lt;=60,"46-60",TRUE,"60+")</f>
        <v>26-35</v>
      </c>
      <c r="N4832" t="str">
        <f t="shared" si="226"/>
        <v>Discounted</v>
      </c>
      <c r="O4832" t="str">
        <f t="shared" si="227"/>
        <v>Returning</v>
      </c>
    </row>
    <row r="4833" spans="1:15" x14ac:dyDescent="0.25">
      <c r="A4833">
        <v>4832</v>
      </c>
      <c r="B4833">
        <v>52</v>
      </c>
      <c r="C4833" t="s">
        <v>11</v>
      </c>
      <c r="D4833" t="s">
        <v>20</v>
      </c>
      <c r="E4833" t="s">
        <v>36</v>
      </c>
      <c r="F4833" s="1">
        <v>65.760000000000005</v>
      </c>
      <c r="G4833" t="s">
        <v>24</v>
      </c>
      <c r="H4833" t="s">
        <v>37</v>
      </c>
      <c r="I4833" s="2">
        <v>3.5</v>
      </c>
      <c r="J4833" s="4">
        <v>32</v>
      </c>
      <c r="K4833" s="3">
        <v>11</v>
      </c>
      <c r="L4833" s="1">
        <f t="shared" si="225"/>
        <v>44.716799999999999</v>
      </c>
      <c r="M4833" t="str" cm="1">
        <f t="array" ref="M4833">_xlfn.IFS(B4833&lt;18,"Under 18",B4833 &lt;=25,"18-25",B4833&lt;=35,"26-35",B4833&lt;=45,"36-45",B4833&lt;=60,"46-60",TRUE,"60+")</f>
        <v>46-60</v>
      </c>
      <c r="N4833" t="str">
        <f t="shared" si="226"/>
        <v>Discounted</v>
      </c>
      <c r="O4833" t="str">
        <f t="shared" si="227"/>
        <v>Returning</v>
      </c>
    </row>
    <row r="4834" spans="1:15" x14ac:dyDescent="0.25">
      <c r="A4834">
        <v>4833</v>
      </c>
      <c r="B4834">
        <v>55</v>
      </c>
      <c r="C4834" t="s">
        <v>16</v>
      </c>
      <c r="D4834" t="s">
        <v>20</v>
      </c>
      <c r="E4834" t="s">
        <v>21</v>
      </c>
      <c r="F4834" s="1">
        <v>245.22</v>
      </c>
      <c r="G4834" t="s">
        <v>31</v>
      </c>
      <c r="H4834" t="s">
        <v>15</v>
      </c>
      <c r="I4834" s="2">
        <v>5</v>
      </c>
      <c r="J4834" s="4">
        <v>22</v>
      </c>
      <c r="K4834" s="3">
        <v>11</v>
      </c>
      <c r="L4834" s="1">
        <f t="shared" si="225"/>
        <v>191.27160000000001</v>
      </c>
      <c r="M4834" t="str" cm="1">
        <f t="array" ref="M4834">_xlfn.IFS(B4834&lt;18,"Under 18",B4834 &lt;=25,"18-25",B4834&lt;=35,"26-35",B4834&lt;=45,"36-45",B4834&lt;=60,"46-60",TRUE,"60+")</f>
        <v>46-60</v>
      </c>
      <c r="N4834" t="str">
        <f t="shared" si="226"/>
        <v>Discounted</v>
      </c>
      <c r="O4834" t="str">
        <f t="shared" si="227"/>
        <v>Returning</v>
      </c>
    </row>
    <row r="4835" spans="1:15" x14ac:dyDescent="0.25">
      <c r="A4835">
        <v>4834</v>
      </c>
      <c r="B4835">
        <v>27</v>
      </c>
      <c r="C4835" t="s">
        <v>16</v>
      </c>
      <c r="D4835" t="s">
        <v>27</v>
      </c>
      <c r="E4835" t="s">
        <v>28</v>
      </c>
      <c r="F4835" s="1">
        <v>540.45000000000005</v>
      </c>
      <c r="G4835" t="s">
        <v>19</v>
      </c>
      <c r="H4835" t="s">
        <v>15</v>
      </c>
      <c r="I4835" s="2">
        <v>3.5</v>
      </c>
      <c r="J4835" s="4">
        <v>20</v>
      </c>
      <c r="K4835" s="3">
        <v>5</v>
      </c>
      <c r="L4835" s="1">
        <f t="shared" si="225"/>
        <v>432.36000000000007</v>
      </c>
      <c r="M4835" t="str" cm="1">
        <f t="array" ref="M4835">_xlfn.IFS(B4835&lt;18,"Under 18",B4835 &lt;=25,"18-25",B4835&lt;=35,"26-35",B4835&lt;=45,"36-45",B4835&lt;=60,"46-60",TRUE,"60+")</f>
        <v>26-35</v>
      </c>
      <c r="N4835" t="str">
        <f t="shared" si="226"/>
        <v>Discounted</v>
      </c>
      <c r="O4835" t="str">
        <f t="shared" si="227"/>
        <v>Returning</v>
      </c>
    </row>
    <row r="4836" spans="1:15" x14ac:dyDescent="0.25">
      <c r="A4836">
        <v>4835</v>
      </c>
      <c r="B4836">
        <v>50</v>
      </c>
      <c r="C4836" t="s">
        <v>11</v>
      </c>
      <c r="D4836" t="s">
        <v>29</v>
      </c>
      <c r="E4836" t="s">
        <v>55</v>
      </c>
      <c r="F4836" s="1">
        <v>55.69</v>
      </c>
      <c r="G4836" t="s">
        <v>14</v>
      </c>
      <c r="H4836" t="s">
        <v>15</v>
      </c>
      <c r="I4836" s="2">
        <v>3.7</v>
      </c>
      <c r="J4836" s="4">
        <v>11</v>
      </c>
      <c r="K4836" s="3">
        <v>3</v>
      </c>
      <c r="L4836" s="1">
        <f t="shared" si="225"/>
        <v>49.564099999999996</v>
      </c>
      <c r="M4836" t="str" cm="1">
        <f t="array" ref="M4836">_xlfn.IFS(B4836&lt;18,"Under 18",B4836 &lt;=25,"18-25",B4836&lt;=35,"26-35",B4836&lt;=45,"36-45",B4836&lt;=60,"46-60",TRUE,"60+")</f>
        <v>46-60</v>
      </c>
      <c r="N4836" t="str">
        <f t="shared" si="226"/>
        <v>Discounted</v>
      </c>
      <c r="O4836" t="str">
        <f t="shared" si="227"/>
        <v>Returning</v>
      </c>
    </row>
    <row r="4837" spans="1:15" x14ac:dyDescent="0.25">
      <c r="A4837">
        <v>4836</v>
      </c>
      <c r="B4837">
        <v>62</v>
      </c>
      <c r="C4837" t="s">
        <v>11</v>
      </c>
      <c r="D4837" t="s">
        <v>33</v>
      </c>
      <c r="E4837" t="s">
        <v>40</v>
      </c>
      <c r="F4837" s="1">
        <v>204.43</v>
      </c>
      <c r="G4837" t="s">
        <v>14</v>
      </c>
      <c r="H4837" t="s">
        <v>15</v>
      </c>
      <c r="I4837" s="2">
        <v>4.5</v>
      </c>
      <c r="J4837" s="4">
        <v>14</v>
      </c>
      <c r="K4837" s="3">
        <v>7</v>
      </c>
      <c r="L4837" s="1">
        <f t="shared" si="225"/>
        <v>175.8098</v>
      </c>
      <c r="M4837" t="str" cm="1">
        <f t="array" ref="M4837">_xlfn.IFS(B4837&lt;18,"Under 18",B4837 &lt;=25,"18-25",B4837&lt;=35,"26-35",B4837&lt;=45,"36-45",B4837&lt;=60,"46-60",TRUE,"60+")</f>
        <v>60+</v>
      </c>
      <c r="N4837" t="str">
        <f t="shared" si="226"/>
        <v>Discounted</v>
      </c>
      <c r="O4837" t="str">
        <f t="shared" si="227"/>
        <v>Returning</v>
      </c>
    </row>
    <row r="4838" spans="1:15" x14ac:dyDescent="0.25">
      <c r="A4838">
        <v>4837</v>
      </c>
      <c r="B4838">
        <v>64</v>
      </c>
      <c r="C4838" t="s">
        <v>16</v>
      </c>
      <c r="D4838" t="s">
        <v>17</v>
      </c>
      <c r="E4838" t="s">
        <v>48</v>
      </c>
      <c r="F4838" s="1">
        <v>187.34</v>
      </c>
      <c r="G4838" t="s">
        <v>19</v>
      </c>
      <c r="H4838" t="s">
        <v>15</v>
      </c>
      <c r="I4838" s="2">
        <v>3.8</v>
      </c>
      <c r="J4838" s="4">
        <v>16</v>
      </c>
      <c r="K4838" s="3">
        <v>3</v>
      </c>
      <c r="L4838" s="1">
        <f t="shared" si="225"/>
        <v>157.3656</v>
      </c>
      <c r="M4838" t="str" cm="1">
        <f t="array" ref="M4838">_xlfn.IFS(B4838&lt;18,"Under 18",B4838 &lt;=25,"18-25",B4838&lt;=35,"26-35",B4838&lt;=45,"36-45",B4838&lt;=60,"46-60",TRUE,"60+")</f>
        <v>60+</v>
      </c>
      <c r="N4838" t="str">
        <f t="shared" si="226"/>
        <v>Discounted</v>
      </c>
      <c r="O4838" t="str">
        <f t="shared" si="227"/>
        <v>Returning</v>
      </c>
    </row>
    <row r="4839" spans="1:15" x14ac:dyDescent="0.25">
      <c r="A4839">
        <v>4838</v>
      </c>
      <c r="B4839">
        <v>70</v>
      </c>
      <c r="C4839" t="s">
        <v>11</v>
      </c>
      <c r="D4839" t="s">
        <v>29</v>
      </c>
      <c r="E4839" t="s">
        <v>30</v>
      </c>
      <c r="F4839" s="1">
        <v>119.95</v>
      </c>
      <c r="G4839" t="s">
        <v>31</v>
      </c>
      <c r="H4839" t="s">
        <v>15</v>
      </c>
      <c r="I4839" s="2">
        <v>4.2</v>
      </c>
      <c r="J4839" s="4">
        <v>22</v>
      </c>
      <c r="K4839" s="3">
        <v>6</v>
      </c>
      <c r="L4839" s="1">
        <f t="shared" si="225"/>
        <v>93.561000000000007</v>
      </c>
      <c r="M4839" t="str" cm="1">
        <f t="array" ref="M4839">_xlfn.IFS(B4839&lt;18,"Under 18",B4839 &lt;=25,"18-25",B4839&lt;=35,"26-35",B4839&lt;=45,"36-45",B4839&lt;=60,"46-60",TRUE,"60+")</f>
        <v>60+</v>
      </c>
      <c r="N4839" t="str">
        <f t="shared" si="226"/>
        <v>Discounted</v>
      </c>
      <c r="O4839" t="str">
        <f t="shared" si="227"/>
        <v>Returning</v>
      </c>
    </row>
    <row r="4840" spans="1:15" x14ac:dyDescent="0.25">
      <c r="A4840">
        <v>4839</v>
      </c>
      <c r="B4840">
        <v>38</v>
      </c>
      <c r="C4840" t="s">
        <v>16</v>
      </c>
      <c r="D4840" t="s">
        <v>17</v>
      </c>
      <c r="E4840" t="s">
        <v>35</v>
      </c>
      <c r="F4840" s="1">
        <v>90.72</v>
      </c>
      <c r="G4840" t="s">
        <v>14</v>
      </c>
      <c r="H4840" t="s">
        <v>37</v>
      </c>
      <c r="I4840" s="2">
        <v>4.4000000000000004</v>
      </c>
      <c r="J4840" s="4">
        <v>22</v>
      </c>
      <c r="K4840" s="3">
        <v>6</v>
      </c>
      <c r="L4840" s="1">
        <f t="shared" si="225"/>
        <v>70.761600000000001</v>
      </c>
      <c r="M4840" t="str" cm="1">
        <f t="array" ref="M4840">_xlfn.IFS(B4840&lt;18,"Under 18",B4840 &lt;=25,"18-25",B4840&lt;=35,"26-35",B4840&lt;=45,"36-45",B4840&lt;=60,"46-60",TRUE,"60+")</f>
        <v>36-45</v>
      </c>
      <c r="N4840" t="str">
        <f t="shared" si="226"/>
        <v>Discounted</v>
      </c>
      <c r="O4840" t="str">
        <f t="shared" si="227"/>
        <v>Returning</v>
      </c>
    </row>
    <row r="4841" spans="1:15" x14ac:dyDescent="0.25">
      <c r="A4841">
        <v>4840</v>
      </c>
      <c r="B4841">
        <v>24</v>
      </c>
      <c r="C4841" t="s">
        <v>11</v>
      </c>
      <c r="D4841" t="s">
        <v>25</v>
      </c>
      <c r="E4841" t="s">
        <v>54</v>
      </c>
      <c r="F4841" s="1">
        <v>42.23</v>
      </c>
      <c r="G4841" t="s">
        <v>19</v>
      </c>
      <c r="H4841" t="s">
        <v>37</v>
      </c>
      <c r="I4841" s="2">
        <v>3.8</v>
      </c>
      <c r="J4841" s="4">
        <v>20</v>
      </c>
      <c r="K4841" s="3">
        <v>5</v>
      </c>
      <c r="L4841" s="1">
        <f t="shared" si="225"/>
        <v>33.783999999999999</v>
      </c>
      <c r="M4841" t="str" cm="1">
        <f t="array" ref="M4841">_xlfn.IFS(B4841&lt;18,"Under 18",B4841 &lt;=25,"18-25",B4841&lt;=35,"26-35",B4841&lt;=45,"36-45",B4841&lt;=60,"46-60",TRUE,"60+")</f>
        <v>18-25</v>
      </c>
      <c r="N4841" t="str">
        <f t="shared" si="226"/>
        <v>Discounted</v>
      </c>
      <c r="O4841" t="str">
        <f t="shared" si="227"/>
        <v>Returning</v>
      </c>
    </row>
    <row r="4842" spans="1:15" x14ac:dyDescent="0.25">
      <c r="A4842">
        <v>4841</v>
      </c>
      <c r="B4842">
        <v>26</v>
      </c>
      <c r="C4842" t="s">
        <v>16</v>
      </c>
      <c r="D4842" t="s">
        <v>27</v>
      </c>
      <c r="E4842" t="s">
        <v>32</v>
      </c>
      <c r="F4842" s="1">
        <v>1499.25</v>
      </c>
      <c r="G4842" t="s">
        <v>19</v>
      </c>
      <c r="H4842" t="s">
        <v>15</v>
      </c>
      <c r="I4842" s="2">
        <v>3.3</v>
      </c>
      <c r="J4842" s="4">
        <v>15</v>
      </c>
      <c r="K4842" s="3">
        <v>5</v>
      </c>
      <c r="L4842" s="1">
        <f t="shared" si="225"/>
        <v>1274.3625</v>
      </c>
      <c r="M4842" t="str" cm="1">
        <f t="array" ref="M4842">_xlfn.IFS(B4842&lt;18,"Under 18",B4842 &lt;=25,"18-25",B4842&lt;=35,"26-35",B4842&lt;=45,"36-45",B4842&lt;=60,"46-60",TRUE,"60+")</f>
        <v>26-35</v>
      </c>
      <c r="N4842" t="str">
        <f t="shared" si="226"/>
        <v>Discounted</v>
      </c>
      <c r="O4842" t="str">
        <f t="shared" si="227"/>
        <v>Returning</v>
      </c>
    </row>
    <row r="4843" spans="1:15" x14ac:dyDescent="0.25">
      <c r="A4843">
        <v>4842</v>
      </c>
      <c r="B4843">
        <v>46</v>
      </c>
      <c r="C4843" t="s">
        <v>16</v>
      </c>
      <c r="D4843" t="s">
        <v>17</v>
      </c>
      <c r="E4843" t="s">
        <v>48</v>
      </c>
      <c r="F4843" s="1">
        <v>166.99</v>
      </c>
      <c r="G4843" t="s">
        <v>14</v>
      </c>
      <c r="H4843" t="s">
        <v>15</v>
      </c>
      <c r="I4843" s="2">
        <v>3.3</v>
      </c>
      <c r="J4843" s="4">
        <v>26</v>
      </c>
      <c r="K4843" s="3">
        <v>8</v>
      </c>
      <c r="L4843" s="1">
        <f t="shared" si="225"/>
        <v>123.57260000000001</v>
      </c>
      <c r="M4843" t="str" cm="1">
        <f t="array" ref="M4843">_xlfn.IFS(B4843&lt;18,"Under 18",B4843 &lt;=25,"18-25",B4843&lt;=35,"26-35",B4843&lt;=45,"36-45",B4843&lt;=60,"46-60",TRUE,"60+")</f>
        <v>46-60</v>
      </c>
      <c r="N4843" t="str">
        <f t="shared" si="226"/>
        <v>Discounted</v>
      </c>
      <c r="O4843" t="str">
        <f t="shared" si="227"/>
        <v>Returning</v>
      </c>
    </row>
    <row r="4844" spans="1:15" x14ac:dyDescent="0.25">
      <c r="A4844">
        <v>4843</v>
      </c>
      <c r="B4844">
        <v>36</v>
      </c>
      <c r="C4844" t="s">
        <v>16</v>
      </c>
      <c r="D4844" t="s">
        <v>33</v>
      </c>
      <c r="E4844" t="s">
        <v>34</v>
      </c>
      <c r="F4844" s="1">
        <v>205.73</v>
      </c>
      <c r="G4844" t="s">
        <v>31</v>
      </c>
      <c r="H4844" t="s">
        <v>15</v>
      </c>
      <c r="I4844" s="2">
        <v>4.5999999999999996</v>
      </c>
      <c r="J4844" s="4">
        <v>11</v>
      </c>
      <c r="K4844" s="3">
        <v>3</v>
      </c>
      <c r="L4844" s="1">
        <f t="shared" si="225"/>
        <v>183.09969999999998</v>
      </c>
      <c r="M4844" t="str" cm="1">
        <f t="array" ref="M4844">_xlfn.IFS(B4844&lt;18,"Under 18",B4844 &lt;=25,"18-25",B4844&lt;=35,"26-35",B4844&lt;=45,"36-45",B4844&lt;=60,"46-60",TRUE,"60+")</f>
        <v>36-45</v>
      </c>
      <c r="N4844" t="str">
        <f t="shared" si="226"/>
        <v>Discounted</v>
      </c>
      <c r="O4844" t="str">
        <f t="shared" si="227"/>
        <v>Returning</v>
      </c>
    </row>
    <row r="4845" spans="1:15" x14ac:dyDescent="0.25">
      <c r="A4845">
        <v>4844</v>
      </c>
      <c r="B4845">
        <v>36</v>
      </c>
      <c r="C4845" t="s">
        <v>11</v>
      </c>
      <c r="D4845" t="s">
        <v>22</v>
      </c>
      <c r="E4845" t="s">
        <v>43</v>
      </c>
      <c r="F4845" s="1">
        <v>279.89999999999998</v>
      </c>
      <c r="G4845" t="s">
        <v>14</v>
      </c>
      <c r="H4845" t="s">
        <v>15</v>
      </c>
      <c r="I4845" s="2">
        <v>4.4000000000000004</v>
      </c>
      <c r="J4845" s="4">
        <v>24</v>
      </c>
      <c r="K4845" s="3">
        <v>7</v>
      </c>
      <c r="L4845" s="1">
        <f t="shared" si="225"/>
        <v>212.72399999999999</v>
      </c>
      <c r="M4845" t="str" cm="1">
        <f t="array" ref="M4845">_xlfn.IFS(B4845&lt;18,"Under 18",B4845 &lt;=25,"18-25",B4845&lt;=35,"26-35",B4845&lt;=45,"36-45",B4845&lt;=60,"46-60",TRUE,"60+")</f>
        <v>36-45</v>
      </c>
      <c r="N4845" t="str">
        <f t="shared" si="226"/>
        <v>Discounted</v>
      </c>
      <c r="O4845" t="str">
        <f t="shared" si="227"/>
        <v>Returning</v>
      </c>
    </row>
    <row r="4846" spans="1:15" x14ac:dyDescent="0.25">
      <c r="A4846">
        <v>4845</v>
      </c>
      <c r="B4846">
        <v>65</v>
      </c>
      <c r="C4846" t="s">
        <v>16</v>
      </c>
      <c r="D4846" t="s">
        <v>27</v>
      </c>
      <c r="E4846" t="s">
        <v>32</v>
      </c>
      <c r="F4846" s="1">
        <v>1117.23</v>
      </c>
      <c r="G4846" t="s">
        <v>19</v>
      </c>
      <c r="H4846" t="s">
        <v>15</v>
      </c>
      <c r="I4846" s="2">
        <v>3.8</v>
      </c>
      <c r="J4846" s="4">
        <v>22</v>
      </c>
      <c r="K4846" s="3">
        <v>6</v>
      </c>
      <c r="L4846" s="1">
        <f t="shared" si="225"/>
        <v>871.43940000000009</v>
      </c>
      <c r="M4846" t="str" cm="1">
        <f t="array" ref="M4846">_xlfn.IFS(B4846&lt;18,"Under 18",B4846 &lt;=25,"18-25",B4846&lt;=35,"26-35",B4846&lt;=45,"36-45",B4846&lt;=60,"46-60",TRUE,"60+")</f>
        <v>60+</v>
      </c>
      <c r="N4846" t="str">
        <f t="shared" si="226"/>
        <v>Discounted</v>
      </c>
      <c r="O4846" t="str">
        <f t="shared" si="227"/>
        <v>Returning</v>
      </c>
    </row>
    <row r="4847" spans="1:15" x14ac:dyDescent="0.25">
      <c r="A4847">
        <v>4846</v>
      </c>
      <c r="B4847">
        <v>51</v>
      </c>
      <c r="C4847" t="s">
        <v>11</v>
      </c>
      <c r="D4847" t="s">
        <v>41</v>
      </c>
      <c r="E4847" t="s">
        <v>46</v>
      </c>
      <c r="F4847" s="1">
        <v>75.540000000000006</v>
      </c>
      <c r="G4847" t="s">
        <v>31</v>
      </c>
      <c r="H4847" t="s">
        <v>15</v>
      </c>
      <c r="I4847" s="2">
        <v>4.2</v>
      </c>
      <c r="J4847" s="4">
        <v>11</v>
      </c>
      <c r="K4847" s="3">
        <v>3</v>
      </c>
      <c r="L4847" s="1">
        <f t="shared" si="225"/>
        <v>67.23060000000001</v>
      </c>
      <c r="M4847" t="str" cm="1">
        <f t="array" ref="M4847">_xlfn.IFS(B4847&lt;18,"Under 18",B4847 &lt;=25,"18-25",B4847&lt;=35,"26-35",B4847&lt;=45,"36-45",B4847&lt;=60,"46-60",TRUE,"60+")</f>
        <v>46-60</v>
      </c>
      <c r="N4847" t="str">
        <f t="shared" si="226"/>
        <v>Discounted</v>
      </c>
      <c r="O4847" t="str">
        <f t="shared" si="227"/>
        <v>Returning</v>
      </c>
    </row>
    <row r="4848" spans="1:15" x14ac:dyDescent="0.25">
      <c r="A4848">
        <v>4847</v>
      </c>
      <c r="B4848">
        <v>21</v>
      </c>
      <c r="C4848" t="s">
        <v>11</v>
      </c>
      <c r="D4848" t="s">
        <v>12</v>
      </c>
      <c r="E4848" t="s">
        <v>50</v>
      </c>
      <c r="F4848" s="1">
        <v>31.69</v>
      </c>
      <c r="G4848" t="s">
        <v>24</v>
      </c>
      <c r="H4848" t="s">
        <v>37</v>
      </c>
      <c r="I4848" s="2">
        <v>2.6</v>
      </c>
      <c r="J4848" s="4">
        <v>20</v>
      </c>
      <c r="K4848" s="3">
        <v>5</v>
      </c>
      <c r="L4848" s="1">
        <f t="shared" si="225"/>
        <v>25.352000000000004</v>
      </c>
      <c r="M4848" t="str" cm="1">
        <f t="array" ref="M4848">_xlfn.IFS(B4848&lt;18,"Under 18",B4848 &lt;=25,"18-25",B4848&lt;=35,"26-35",B4848&lt;=45,"36-45",B4848&lt;=60,"46-60",TRUE,"60+")</f>
        <v>18-25</v>
      </c>
      <c r="N4848" t="str">
        <f t="shared" si="226"/>
        <v>Discounted</v>
      </c>
      <c r="O4848" t="str">
        <f t="shared" si="227"/>
        <v>Returning</v>
      </c>
    </row>
    <row r="4849" spans="1:15" x14ac:dyDescent="0.25">
      <c r="A4849">
        <v>4848</v>
      </c>
      <c r="B4849">
        <v>48</v>
      </c>
      <c r="C4849" t="s">
        <v>11</v>
      </c>
      <c r="D4849" t="s">
        <v>29</v>
      </c>
      <c r="E4849" t="s">
        <v>55</v>
      </c>
      <c r="F4849" s="1">
        <v>125.13</v>
      </c>
      <c r="G4849" t="s">
        <v>31</v>
      </c>
      <c r="H4849" t="s">
        <v>15</v>
      </c>
      <c r="I4849" s="2">
        <v>3.6</v>
      </c>
      <c r="J4849" s="4">
        <v>18</v>
      </c>
      <c r="K4849" s="3">
        <v>4</v>
      </c>
      <c r="L4849" s="1">
        <f t="shared" si="225"/>
        <v>102.6066</v>
      </c>
      <c r="M4849" t="str" cm="1">
        <f t="array" ref="M4849">_xlfn.IFS(B4849&lt;18,"Under 18",B4849 &lt;=25,"18-25",B4849&lt;=35,"26-35",B4849&lt;=45,"36-45",B4849&lt;=60,"46-60",TRUE,"60+")</f>
        <v>46-60</v>
      </c>
      <c r="N4849" t="str">
        <f t="shared" si="226"/>
        <v>Discounted</v>
      </c>
      <c r="O4849" t="str">
        <f t="shared" si="227"/>
        <v>Returning</v>
      </c>
    </row>
    <row r="4850" spans="1:15" x14ac:dyDescent="0.25">
      <c r="A4850">
        <v>4849</v>
      </c>
      <c r="B4850">
        <v>51</v>
      </c>
      <c r="C4850" t="s">
        <v>16</v>
      </c>
      <c r="D4850" t="s">
        <v>33</v>
      </c>
      <c r="E4850" t="s">
        <v>34</v>
      </c>
      <c r="F4850" s="1">
        <v>188.35</v>
      </c>
      <c r="G4850" t="s">
        <v>14</v>
      </c>
      <c r="H4850" t="s">
        <v>15</v>
      </c>
      <c r="I4850" s="2">
        <v>4.5999999999999996</v>
      </c>
      <c r="J4850" s="4">
        <v>16</v>
      </c>
      <c r="K4850" s="3">
        <v>8</v>
      </c>
      <c r="L4850" s="1">
        <f t="shared" si="225"/>
        <v>158.214</v>
      </c>
      <c r="M4850" t="str" cm="1">
        <f t="array" ref="M4850">_xlfn.IFS(B4850&lt;18,"Under 18",B4850 &lt;=25,"18-25",B4850&lt;=35,"26-35",B4850&lt;=45,"36-45",B4850&lt;=60,"46-60",TRUE,"60+")</f>
        <v>46-60</v>
      </c>
      <c r="N4850" t="str">
        <f t="shared" si="226"/>
        <v>Discounted</v>
      </c>
      <c r="O4850" t="str">
        <f t="shared" si="227"/>
        <v>Returning</v>
      </c>
    </row>
    <row r="4851" spans="1:15" x14ac:dyDescent="0.25">
      <c r="A4851">
        <v>4850</v>
      </c>
      <c r="B4851">
        <v>46</v>
      </c>
      <c r="C4851" t="s">
        <v>11</v>
      </c>
      <c r="D4851" t="s">
        <v>12</v>
      </c>
      <c r="E4851" t="s">
        <v>56</v>
      </c>
      <c r="F4851" s="1">
        <v>72.39</v>
      </c>
      <c r="G4851" t="s">
        <v>14</v>
      </c>
      <c r="H4851" t="s">
        <v>37</v>
      </c>
      <c r="I4851" s="2">
        <v>4.5999999999999996</v>
      </c>
      <c r="J4851" s="4">
        <v>16</v>
      </c>
      <c r="K4851" s="3">
        <v>3</v>
      </c>
      <c r="L4851" s="1">
        <f t="shared" si="225"/>
        <v>60.807600000000001</v>
      </c>
      <c r="M4851" t="str" cm="1">
        <f t="array" ref="M4851">_xlfn.IFS(B4851&lt;18,"Under 18",B4851 &lt;=25,"18-25",B4851&lt;=35,"26-35",B4851&lt;=45,"36-45",B4851&lt;=60,"46-60",TRUE,"60+")</f>
        <v>46-60</v>
      </c>
      <c r="N4851" t="str">
        <f t="shared" si="226"/>
        <v>Discounted</v>
      </c>
      <c r="O4851" t="str">
        <f t="shared" si="227"/>
        <v>Returning</v>
      </c>
    </row>
    <row r="4852" spans="1:15" x14ac:dyDescent="0.25">
      <c r="A4852">
        <v>4851</v>
      </c>
      <c r="B4852">
        <v>46</v>
      </c>
      <c r="C4852" t="s">
        <v>16</v>
      </c>
      <c r="D4852" t="s">
        <v>22</v>
      </c>
      <c r="E4852" t="s">
        <v>52</v>
      </c>
      <c r="F4852" s="1">
        <v>237.02</v>
      </c>
      <c r="G4852" t="s">
        <v>14</v>
      </c>
      <c r="H4852" t="s">
        <v>15</v>
      </c>
      <c r="I4852" s="2">
        <v>4.0999999999999996</v>
      </c>
      <c r="J4852" s="4">
        <v>12</v>
      </c>
      <c r="K4852" s="3">
        <v>6</v>
      </c>
      <c r="L4852" s="1">
        <f t="shared" si="225"/>
        <v>208.57760000000002</v>
      </c>
      <c r="M4852" t="str" cm="1">
        <f t="array" ref="M4852">_xlfn.IFS(B4852&lt;18,"Under 18",B4852 &lt;=25,"18-25",B4852&lt;=35,"26-35",B4852&lt;=45,"36-45",B4852&lt;=60,"46-60",TRUE,"60+")</f>
        <v>46-60</v>
      </c>
      <c r="N4852" t="str">
        <f t="shared" si="226"/>
        <v>Discounted</v>
      </c>
      <c r="O4852" t="str">
        <f t="shared" si="227"/>
        <v>Returning</v>
      </c>
    </row>
    <row r="4853" spans="1:15" x14ac:dyDescent="0.25">
      <c r="A4853">
        <v>4852</v>
      </c>
      <c r="B4853">
        <v>52</v>
      </c>
      <c r="C4853" t="s">
        <v>11</v>
      </c>
      <c r="D4853" t="s">
        <v>41</v>
      </c>
      <c r="E4853" t="s">
        <v>42</v>
      </c>
      <c r="F4853" s="1">
        <v>177.68</v>
      </c>
      <c r="G4853" t="s">
        <v>19</v>
      </c>
      <c r="H4853" t="s">
        <v>15</v>
      </c>
      <c r="I4853" s="2">
        <v>3.8</v>
      </c>
      <c r="J4853" s="4">
        <v>6</v>
      </c>
      <c r="K4853" s="3">
        <v>3</v>
      </c>
      <c r="L4853" s="1">
        <f t="shared" si="225"/>
        <v>167.01919999999998</v>
      </c>
      <c r="M4853" t="str" cm="1">
        <f t="array" ref="M4853">_xlfn.IFS(B4853&lt;18,"Under 18",B4853 &lt;=25,"18-25",B4853&lt;=35,"26-35",B4853&lt;=45,"36-45",B4853&lt;=60,"46-60",TRUE,"60+")</f>
        <v>46-60</v>
      </c>
      <c r="N4853" t="str">
        <f t="shared" si="226"/>
        <v>Discounted</v>
      </c>
      <c r="O4853" t="str">
        <f t="shared" si="227"/>
        <v>Returning</v>
      </c>
    </row>
    <row r="4854" spans="1:15" x14ac:dyDescent="0.25">
      <c r="A4854">
        <v>4853</v>
      </c>
      <c r="B4854">
        <v>67</v>
      </c>
      <c r="C4854" t="s">
        <v>16</v>
      </c>
      <c r="D4854" t="s">
        <v>27</v>
      </c>
      <c r="E4854" t="s">
        <v>49</v>
      </c>
      <c r="F4854" s="1">
        <v>1464.98</v>
      </c>
      <c r="G4854" t="s">
        <v>24</v>
      </c>
      <c r="H4854" t="s">
        <v>15</v>
      </c>
      <c r="I4854" s="2">
        <v>3.8</v>
      </c>
      <c r="J4854" s="4">
        <v>22</v>
      </c>
      <c r="K4854" s="3">
        <v>11</v>
      </c>
      <c r="L4854" s="1">
        <f t="shared" si="225"/>
        <v>1142.6844000000001</v>
      </c>
      <c r="M4854" t="str" cm="1">
        <f t="array" ref="M4854">_xlfn.IFS(B4854&lt;18,"Under 18",B4854 &lt;=25,"18-25",B4854&lt;=35,"26-35",B4854&lt;=45,"36-45",B4854&lt;=60,"46-60",TRUE,"60+")</f>
        <v>60+</v>
      </c>
      <c r="N4854" t="str">
        <f t="shared" si="226"/>
        <v>Discounted</v>
      </c>
      <c r="O4854" t="str">
        <f t="shared" si="227"/>
        <v>Returning</v>
      </c>
    </row>
    <row r="4855" spans="1:15" x14ac:dyDescent="0.25">
      <c r="A4855">
        <v>4854</v>
      </c>
      <c r="B4855">
        <v>36</v>
      </c>
      <c r="C4855" t="s">
        <v>16</v>
      </c>
      <c r="D4855" t="s">
        <v>33</v>
      </c>
      <c r="E4855" t="s">
        <v>34</v>
      </c>
      <c r="F4855" s="1">
        <v>236.57</v>
      </c>
      <c r="G4855" t="s">
        <v>14</v>
      </c>
      <c r="H4855" t="s">
        <v>15</v>
      </c>
      <c r="I4855" s="2">
        <v>3.2</v>
      </c>
      <c r="J4855" s="4">
        <v>22</v>
      </c>
      <c r="K4855" s="3">
        <v>6</v>
      </c>
      <c r="L4855" s="1">
        <f t="shared" si="225"/>
        <v>184.52459999999999</v>
      </c>
      <c r="M4855" t="str" cm="1">
        <f t="array" ref="M4855">_xlfn.IFS(B4855&lt;18,"Under 18",B4855 &lt;=25,"18-25",B4855&lt;=35,"26-35",B4855&lt;=45,"36-45",B4855&lt;=60,"46-60",TRUE,"60+")</f>
        <v>36-45</v>
      </c>
      <c r="N4855" t="str">
        <f t="shared" si="226"/>
        <v>Discounted</v>
      </c>
      <c r="O4855" t="str">
        <f t="shared" si="227"/>
        <v>Returning</v>
      </c>
    </row>
    <row r="4856" spans="1:15" x14ac:dyDescent="0.25">
      <c r="A4856">
        <v>4855</v>
      </c>
      <c r="B4856">
        <v>38</v>
      </c>
      <c r="C4856" t="s">
        <v>16</v>
      </c>
      <c r="D4856" t="s">
        <v>22</v>
      </c>
      <c r="E4856" t="s">
        <v>43</v>
      </c>
      <c r="F4856" s="1">
        <v>109.44</v>
      </c>
      <c r="G4856" t="s">
        <v>14</v>
      </c>
      <c r="H4856" t="s">
        <v>15</v>
      </c>
      <c r="I4856" s="2">
        <v>2.7</v>
      </c>
      <c r="J4856" s="4">
        <v>10</v>
      </c>
      <c r="K4856" s="3">
        <v>0</v>
      </c>
      <c r="L4856" s="1">
        <f t="shared" si="225"/>
        <v>98.495999999999995</v>
      </c>
      <c r="M4856" t="str" cm="1">
        <f t="array" ref="M4856">_xlfn.IFS(B4856&lt;18,"Under 18",B4856 &lt;=25,"18-25",B4856&lt;=35,"26-35",B4856&lt;=45,"36-45",B4856&lt;=60,"46-60",TRUE,"60+")</f>
        <v>36-45</v>
      </c>
      <c r="N4856" t="str">
        <f t="shared" si="226"/>
        <v>Discounted</v>
      </c>
      <c r="O4856" t="str">
        <f t="shared" si="227"/>
        <v>New</v>
      </c>
    </row>
    <row r="4857" spans="1:15" x14ac:dyDescent="0.25">
      <c r="A4857">
        <v>4856</v>
      </c>
      <c r="B4857">
        <v>45</v>
      </c>
      <c r="C4857" t="s">
        <v>16</v>
      </c>
      <c r="D4857" t="s">
        <v>22</v>
      </c>
      <c r="E4857" t="s">
        <v>43</v>
      </c>
      <c r="F4857" s="1">
        <v>220.75</v>
      </c>
      <c r="G4857" t="s">
        <v>31</v>
      </c>
      <c r="H4857" t="s">
        <v>15</v>
      </c>
      <c r="I4857" s="2">
        <v>4</v>
      </c>
      <c r="J4857" s="4">
        <v>8</v>
      </c>
      <c r="K4857" s="3">
        <v>4</v>
      </c>
      <c r="L4857" s="1">
        <f t="shared" si="225"/>
        <v>203.09</v>
      </c>
      <c r="M4857" t="str" cm="1">
        <f t="array" ref="M4857">_xlfn.IFS(B4857&lt;18,"Under 18",B4857 &lt;=25,"18-25",B4857&lt;=35,"26-35",B4857&lt;=45,"36-45",B4857&lt;=60,"46-60",TRUE,"60+")</f>
        <v>36-45</v>
      </c>
      <c r="N4857" t="str">
        <f t="shared" si="226"/>
        <v>Discounted</v>
      </c>
      <c r="O4857" t="str">
        <f t="shared" si="227"/>
        <v>Returning</v>
      </c>
    </row>
    <row r="4858" spans="1:15" x14ac:dyDescent="0.25">
      <c r="A4858">
        <v>4857</v>
      </c>
      <c r="B4858">
        <v>22</v>
      </c>
      <c r="C4858" t="s">
        <v>11</v>
      </c>
      <c r="D4858" t="s">
        <v>41</v>
      </c>
      <c r="E4858" t="s">
        <v>44</v>
      </c>
      <c r="F4858" s="1">
        <v>171.72</v>
      </c>
      <c r="G4858" t="s">
        <v>24</v>
      </c>
      <c r="H4858" t="s">
        <v>15</v>
      </c>
      <c r="I4858" s="2">
        <v>3.9</v>
      </c>
      <c r="J4858" s="4">
        <v>12</v>
      </c>
      <c r="K4858" s="3">
        <v>6</v>
      </c>
      <c r="L4858" s="1">
        <f t="shared" si="225"/>
        <v>151.11359999999999</v>
      </c>
      <c r="M4858" t="str" cm="1">
        <f t="array" ref="M4858">_xlfn.IFS(B4858&lt;18,"Under 18",B4858 &lt;=25,"18-25",B4858&lt;=35,"26-35",B4858&lt;=45,"36-45",B4858&lt;=60,"46-60",TRUE,"60+")</f>
        <v>18-25</v>
      </c>
      <c r="N4858" t="str">
        <f t="shared" si="226"/>
        <v>Discounted</v>
      </c>
      <c r="O4858" t="str">
        <f t="shared" si="227"/>
        <v>Returning</v>
      </c>
    </row>
    <row r="4859" spans="1:15" x14ac:dyDescent="0.25">
      <c r="A4859">
        <v>4858</v>
      </c>
      <c r="B4859">
        <v>33</v>
      </c>
      <c r="C4859" t="s">
        <v>11</v>
      </c>
      <c r="D4859" t="s">
        <v>12</v>
      </c>
      <c r="E4859" t="s">
        <v>13</v>
      </c>
      <c r="F4859" s="1">
        <v>83.46</v>
      </c>
      <c r="G4859" t="s">
        <v>31</v>
      </c>
      <c r="H4859" t="s">
        <v>37</v>
      </c>
      <c r="I4859" s="2">
        <v>3.7</v>
      </c>
      <c r="J4859" s="4">
        <v>25</v>
      </c>
      <c r="K4859" s="3">
        <v>10</v>
      </c>
      <c r="L4859" s="1">
        <f t="shared" si="225"/>
        <v>62.594999999999999</v>
      </c>
      <c r="M4859" t="str" cm="1">
        <f t="array" ref="M4859">_xlfn.IFS(B4859&lt;18,"Under 18",B4859 &lt;=25,"18-25",B4859&lt;=35,"26-35",B4859&lt;=45,"36-45",B4859&lt;=60,"46-60",TRUE,"60+")</f>
        <v>26-35</v>
      </c>
      <c r="N4859" t="str">
        <f t="shared" si="226"/>
        <v>Discounted</v>
      </c>
      <c r="O4859" t="str">
        <f t="shared" si="227"/>
        <v>Returning</v>
      </c>
    </row>
    <row r="4860" spans="1:15" x14ac:dyDescent="0.25">
      <c r="A4860">
        <v>4859</v>
      </c>
      <c r="B4860">
        <v>60</v>
      </c>
      <c r="C4860" t="s">
        <v>16</v>
      </c>
      <c r="D4860" t="s">
        <v>20</v>
      </c>
      <c r="E4860" t="s">
        <v>21</v>
      </c>
      <c r="F4860" s="1">
        <v>224.01</v>
      </c>
      <c r="G4860" t="s">
        <v>19</v>
      </c>
      <c r="H4860" t="s">
        <v>15</v>
      </c>
      <c r="I4860" s="2">
        <v>3.2</v>
      </c>
      <c r="J4860" s="4">
        <v>23</v>
      </c>
      <c r="K4860" s="3">
        <v>9</v>
      </c>
      <c r="L4860" s="1">
        <f t="shared" si="225"/>
        <v>172.48769999999999</v>
      </c>
      <c r="M4860" t="str" cm="1">
        <f t="array" ref="M4860">_xlfn.IFS(B4860&lt;18,"Under 18",B4860 &lt;=25,"18-25",B4860&lt;=35,"26-35",B4860&lt;=45,"36-45",B4860&lt;=60,"46-60",TRUE,"60+")</f>
        <v>46-60</v>
      </c>
      <c r="N4860" t="str">
        <f t="shared" si="226"/>
        <v>Discounted</v>
      </c>
      <c r="O4860" t="str">
        <f t="shared" si="227"/>
        <v>Returning</v>
      </c>
    </row>
    <row r="4861" spans="1:15" x14ac:dyDescent="0.25">
      <c r="A4861">
        <v>4860</v>
      </c>
      <c r="B4861">
        <v>38</v>
      </c>
      <c r="C4861" t="s">
        <v>11</v>
      </c>
      <c r="D4861" t="s">
        <v>33</v>
      </c>
      <c r="E4861" t="s">
        <v>40</v>
      </c>
      <c r="F4861" s="1">
        <v>211.8</v>
      </c>
      <c r="G4861" t="s">
        <v>24</v>
      </c>
      <c r="H4861" t="s">
        <v>15</v>
      </c>
      <c r="I4861" s="2">
        <v>3.6</v>
      </c>
      <c r="J4861" s="4">
        <v>15</v>
      </c>
      <c r="K4861" s="3">
        <v>5</v>
      </c>
      <c r="L4861" s="1">
        <f t="shared" si="225"/>
        <v>180.03</v>
      </c>
      <c r="M4861" t="str" cm="1">
        <f t="array" ref="M4861">_xlfn.IFS(B4861&lt;18,"Under 18",B4861 &lt;=25,"18-25",B4861&lt;=35,"26-35",B4861&lt;=45,"36-45",B4861&lt;=60,"46-60",TRUE,"60+")</f>
        <v>36-45</v>
      </c>
      <c r="N4861" t="str">
        <f t="shared" si="226"/>
        <v>Discounted</v>
      </c>
      <c r="O4861" t="str">
        <f t="shared" si="227"/>
        <v>Returning</v>
      </c>
    </row>
    <row r="4862" spans="1:15" x14ac:dyDescent="0.25">
      <c r="A4862">
        <v>4861</v>
      </c>
      <c r="B4862">
        <v>57</v>
      </c>
      <c r="C4862" t="s">
        <v>11</v>
      </c>
      <c r="D4862" t="s">
        <v>12</v>
      </c>
      <c r="E4862" t="s">
        <v>50</v>
      </c>
      <c r="F4862" s="1">
        <v>97.86</v>
      </c>
      <c r="G4862" t="s">
        <v>31</v>
      </c>
      <c r="H4862" t="s">
        <v>15</v>
      </c>
      <c r="I4862" s="2">
        <v>4.2</v>
      </c>
      <c r="J4862" s="4">
        <v>16</v>
      </c>
      <c r="K4862" s="3">
        <v>8</v>
      </c>
      <c r="L4862" s="1">
        <f t="shared" si="225"/>
        <v>82.202399999999997</v>
      </c>
      <c r="M4862" t="str" cm="1">
        <f t="array" ref="M4862">_xlfn.IFS(B4862&lt;18,"Under 18",B4862 &lt;=25,"18-25",B4862&lt;=35,"26-35",B4862&lt;=45,"36-45",B4862&lt;=60,"46-60",TRUE,"60+")</f>
        <v>46-60</v>
      </c>
      <c r="N4862" t="str">
        <f t="shared" si="226"/>
        <v>Discounted</v>
      </c>
      <c r="O4862" t="str">
        <f t="shared" si="227"/>
        <v>Returning</v>
      </c>
    </row>
    <row r="4863" spans="1:15" x14ac:dyDescent="0.25">
      <c r="A4863">
        <v>4862</v>
      </c>
      <c r="B4863">
        <v>61</v>
      </c>
      <c r="C4863" t="s">
        <v>16</v>
      </c>
      <c r="D4863" t="s">
        <v>20</v>
      </c>
      <c r="E4863" t="s">
        <v>39</v>
      </c>
      <c r="F4863" s="1">
        <v>166.73</v>
      </c>
      <c r="G4863" t="s">
        <v>19</v>
      </c>
      <c r="H4863" t="s">
        <v>15</v>
      </c>
      <c r="I4863" s="2">
        <v>3.5</v>
      </c>
      <c r="J4863" s="4">
        <v>12</v>
      </c>
      <c r="K4863" s="3">
        <v>1</v>
      </c>
      <c r="L4863" s="1">
        <f t="shared" si="225"/>
        <v>146.72239999999999</v>
      </c>
      <c r="M4863" t="str" cm="1">
        <f t="array" ref="M4863">_xlfn.IFS(B4863&lt;18,"Under 18",B4863 &lt;=25,"18-25",B4863&lt;=35,"26-35",B4863&lt;=45,"36-45",B4863&lt;=60,"46-60",TRUE,"60+")</f>
        <v>60+</v>
      </c>
      <c r="N4863" t="str">
        <f t="shared" si="226"/>
        <v>Discounted</v>
      </c>
      <c r="O4863" t="str">
        <f t="shared" si="227"/>
        <v>Returning</v>
      </c>
    </row>
    <row r="4864" spans="1:15" x14ac:dyDescent="0.25">
      <c r="A4864">
        <v>4863</v>
      </c>
      <c r="B4864">
        <v>45</v>
      </c>
      <c r="C4864" t="s">
        <v>16</v>
      </c>
      <c r="D4864" t="s">
        <v>27</v>
      </c>
      <c r="E4864" t="s">
        <v>28</v>
      </c>
      <c r="F4864" s="1">
        <v>2482.54</v>
      </c>
      <c r="G4864" t="s">
        <v>31</v>
      </c>
      <c r="H4864" t="s">
        <v>15</v>
      </c>
      <c r="I4864" s="2">
        <v>4.0999999999999996</v>
      </c>
      <c r="J4864" s="4">
        <v>4</v>
      </c>
      <c r="K4864" s="3">
        <v>2</v>
      </c>
      <c r="L4864" s="1">
        <f t="shared" si="225"/>
        <v>2383.2383999999997</v>
      </c>
      <c r="M4864" t="str" cm="1">
        <f t="array" ref="M4864">_xlfn.IFS(B4864&lt;18,"Under 18",B4864 &lt;=25,"18-25",B4864&lt;=35,"26-35",B4864&lt;=45,"36-45",B4864&lt;=60,"46-60",TRUE,"60+")</f>
        <v>36-45</v>
      </c>
      <c r="N4864" t="str">
        <f t="shared" si="226"/>
        <v>Discounted</v>
      </c>
      <c r="O4864" t="str">
        <f t="shared" si="227"/>
        <v>Returning</v>
      </c>
    </row>
    <row r="4865" spans="1:15" x14ac:dyDescent="0.25">
      <c r="A4865">
        <v>4864</v>
      </c>
      <c r="B4865">
        <v>26</v>
      </c>
      <c r="C4865" t="s">
        <v>16</v>
      </c>
      <c r="D4865" t="s">
        <v>20</v>
      </c>
      <c r="E4865" t="s">
        <v>36</v>
      </c>
      <c r="F4865" s="1">
        <v>125.43</v>
      </c>
      <c r="G4865" t="s">
        <v>19</v>
      </c>
      <c r="H4865" t="s">
        <v>15</v>
      </c>
      <c r="I4865" s="2">
        <v>2.5</v>
      </c>
      <c r="J4865" s="4">
        <v>18</v>
      </c>
      <c r="K4865" s="3">
        <v>4</v>
      </c>
      <c r="L4865" s="1">
        <f t="shared" si="225"/>
        <v>102.85260000000001</v>
      </c>
      <c r="M4865" t="str" cm="1">
        <f t="array" ref="M4865">_xlfn.IFS(B4865&lt;18,"Under 18",B4865 &lt;=25,"18-25",B4865&lt;=35,"26-35",B4865&lt;=45,"36-45",B4865&lt;=60,"46-60",TRUE,"60+")</f>
        <v>26-35</v>
      </c>
      <c r="N4865" t="str">
        <f t="shared" si="226"/>
        <v>Discounted</v>
      </c>
      <c r="O4865" t="str">
        <f t="shared" si="227"/>
        <v>Returning</v>
      </c>
    </row>
    <row r="4866" spans="1:15" x14ac:dyDescent="0.25">
      <c r="A4866">
        <v>4865</v>
      </c>
      <c r="B4866">
        <v>25</v>
      </c>
      <c r="C4866" t="s">
        <v>11</v>
      </c>
      <c r="D4866" t="s">
        <v>29</v>
      </c>
      <c r="E4866" t="s">
        <v>55</v>
      </c>
      <c r="F4866" s="1">
        <v>62.35</v>
      </c>
      <c r="G4866" t="s">
        <v>19</v>
      </c>
      <c r="H4866" t="s">
        <v>37</v>
      </c>
      <c r="I4866" s="2">
        <v>4</v>
      </c>
      <c r="J4866" s="4">
        <v>18</v>
      </c>
      <c r="K4866" s="3">
        <v>9</v>
      </c>
      <c r="L4866" s="1">
        <f t="shared" si="225"/>
        <v>51.127000000000002</v>
      </c>
      <c r="M4866" t="str" cm="1">
        <f t="array" ref="M4866">_xlfn.IFS(B4866&lt;18,"Under 18",B4866 &lt;=25,"18-25",B4866&lt;=35,"26-35",B4866&lt;=45,"36-45",B4866&lt;=60,"46-60",TRUE,"60+")</f>
        <v>18-25</v>
      </c>
      <c r="N4866" t="str">
        <f t="shared" si="226"/>
        <v>Discounted</v>
      </c>
      <c r="O4866" t="str">
        <f t="shared" si="227"/>
        <v>Returning</v>
      </c>
    </row>
    <row r="4867" spans="1:15" x14ac:dyDescent="0.25">
      <c r="A4867">
        <v>4866</v>
      </c>
      <c r="B4867">
        <v>22</v>
      </c>
      <c r="C4867" t="s">
        <v>11</v>
      </c>
      <c r="D4867" t="s">
        <v>29</v>
      </c>
      <c r="E4867" t="s">
        <v>51</v>
      </c>
      <c r="F4867" s="1">
        <v>93.53</v>
      </c>
      <c r="G4867" t="s">
        <v>14</v>
      </c>
      <c r="H4867" t="s">
        <v>15</v>
      </c>
      <c r="I4867" s="2">
        <v>3.3</v>
      </c>
      <c r="J4867" s="4">
        <v>10</v>
      </c>
      <c r="K4867" s="3">
        <v>5</v>
      </c>
      <c r="L4867" s="1">
        <f t="shared" ref="L4867:L4930" si="228">F4867 * (1 - J4867 / 100)</f>
        <v>84.177000000000007</v>
      </c>
      <c r="M4867" t="str" cm="1">
        <f t="array" ref="M4867">_xlfn.IFS(B4867&lt;18,"Under 18",B4867 &lt;=25,"18-25",B4867&lt;=35,"26-35",B4867&lt;=45,"36-45",B4867&lt;=60,"46-60",TRUE,"60+")</f>
        <v>18-25</v>
      </c>
      <c r="N4867" t="str">
        <f t="shared" ref="N4867:N4930" si="229">IF(J4867&gt;0,"Discounted","No Discount")</f>
        <v>Discounted</v>
      </c>
      <c r="O4867" t="str">
        <f t="shared" ref="O4867:O4930" si="230">IF(K4867&gt;0,"Returning","New")</f>
        <v>Returning</v>
      </c>
    </row>
    <row r="4868" spans="1:15" x14ac:dyDescent="0.25">
      <c r="A4868">
        <v>4867</v>
      </c>
      <c r="B4868">
        <v>61</v>
      </c>
      <c r="C4868" t="s">
        <v>16</v>
      </c>
      <c r="D4868" t="s">
        <v>20</v>
      </c>
      <c r="E4868" t="s">
        <v>21</v>
      </c>
      <c r="F4868" s="1">
        <v>193.47</v>
      </c>
      <c r="G4868" t="s">
        <v>31</v>
      </c>
      <c r="H4868" t="s">
        <v>15</v>
      </c>
      <c r="I4868" s="2">
        <v>4.0999999999999996</v>
      </c>
      <c r="J4868" s="4">
        <v>15</v>
      </c>
      <c r="K4868" s="3">
        <v>5</v>
      </c>
      <c r="L4868" s="1">
        <f t="shared" si="228"/>
        <v>164.4495</v>
      </c>
      <c r="M4868" t="str" cm="1">
        <f t="array" ref="M4868">_xlfn.IFS(B4868&lt;18,"Under 18",B4868 &lt;=25,"18-25",B4868&lt;=35,"26-35",B4868&lt;=45,"36-45",B4868&lt;=60,"46-60",TRUE,"60+")</f>
        <v>60+</v>
      </c>
      <c r="N4868" t="str">
        <f t="shared" si="229"/>
        <v>Discounted</v>
      </c>
      <c r="O4868" t="str">
        <f t="shared" si="230"/>
        <v>Returning</v>
      </c>
    </row>
    <row r="4869" spans="1:15" x14ac:dyDescent="0.25">
      <c r="A4869">
        <v>4868</v>
      </c>
      <c r="B4869">
        <v>34</v>
      </c>
      <c r="C4869" t="s">
        <v>11</v>
      </c>
      <c r="D4869" t="s">
        <v>41</v>
      </c>
      <c r="E4869" t="s">
        <v>42</v>
      </c>
      <c r="F4869" s="1">
        <v>86.21</v>
      </c>
      <c r="G4869" t="s">
        <v>24</v>
      </c>
      <c r="H4869" t="s">
        <v>37</v>
      </c>
      <c r="I4869" s="2">
        <v>3.5</v>
      </c>
      <c r="J4869" s="4">
        <v>24</v>
      </c>
      <c r="K4869" s="3">
        <v>7</v>
      </c>
      <c r="L4869" s="1">
        <f t="shared" si="228"/>
        <v>65.519599999999997</v>
      </c>
      <c r="M4869" t="str" cm="1">
        <f t="array" ref="M4869">_xlfn.IFS(B4869&lt;18,"Under 18",B4869 &lt;=25,"18-25",B4869&lt;=35,"26-35",B4869&lt;=45,"36-45",B4869&lt;=60,"46-60",TRUE,"60+")</f>
        <v>26-35</v>
      </c>
      <c r="N4869" t="str">
        <f t="shared" si="229"/>
        <v>Discounted</v>
      </c>
      <c r="O4869" t="str">
        <f t="shared" si="230"/>
        <v>Returning</v>
      </c>
    </row>
    <row r="4870" spans="1:15" x14ac:dyDescent="0.25">
      <c r="A4870">
        <v>4869</v>
      </c>
      <c r="B4870">
        <v>56</v>
      </c>
      <c r="C4870" t="s">
        <v>16</v>
      </c>
      <c r="D4870" t="s">
        <v>20</v>
      </c>
      <c r="E4870" t="s">
        <v>39</v>
      </c>
      <c r="F4870" s="1">
        <v>184.93</v>
      </c>
      <c r="G4870" t="s">
        <v>31</v>
      </c>
      <c r="H4870" t="s">
        <v>15</v>
      </c>
      <c r="I4870" s="2">
        <v>4.0999999999999996</v>
      </c>
      <c r="J4870" s="4">
        <v>12</v>
      </c>
      <c r="K4870" s="3">
        <v>6</v>
      </c>
      <c r="L4870" s="1">
        <f t="shared" si="228"/>
        <v>162.73840000000001</v>
      </c>
      <c r="M4870" t="str" cm="1">
        <f t="array" ref="M4870">_xlfn.IFS(B4870&lt;18,"Under 18",B4870 &lt;=25,"18-25",B4870&lt;=35,"26-35",B4870&lt;=45,"36-45",B4870&lt;=60,"46-60",TRUE,"60+")</f>
        <v>46-60</v>
      </c>
      <c r="N4870" t="str">
        <f t="shared" si="229"/>
        <v>Discounted</v>
      </c>
      <c r="O4870" t="str">
        <f t="shared" si="230"/>
        <v>Returning</v>
      </c>
    </row>
    <row r="4871" spans="1:15" x14ac:dyDescent="0.25">
      <c r="A4871">
        <v>4870</v>
      </c>
      <c r="B4871">
        <v>53</v>
      </c>
      <c r="C4871" t="s">
        <v>16</v>
      </c>
      <c r="D4871" t="s">
        <v>17</v>
      </c>
      <c r="E4871" t="s">
        <v>35</v>
      </c>
      <c r="F4871" s="1">
        <v>162.06</v>
      </c>
      <c r="G4871" t="s">
        <v>31</v>
      </c>
      <c r="H4871" t="s">
        <v>15</v>
      </c>
      <c r="I4871" s="2">
        <v>5</v>
      </c>
      <c r="J4871" s="4">
        <v>20</v>
      </c>
      <c r="K4871" s="3">
        <v>5</v>
      </c>
      <c r="L4871" s="1">
        <f t="shared" si="228"/>
        <v>129.648</v>
      </c>
      <c r="M4871" t="str" cm="1">
        <f t="array" ref="M4871">_xlfn.IFS(B4871&lt;18,"Under 18",B4871 &lt;=25,"18-25",B4871&lt;=35,"26-35",B4871&lt;=45,"36-45",B4871&lt;=60,"46-60",TRUE,"60+")</f>
        <v>46-60</v>
      </c>
      <c r="N4871" t="str">
        <f t="shared" si="229"/>
        <v>Discounted</v>
      </c>
      <c r="O4871" t="str">
        <f t="shared" si="230"/>
        <v>Returning</v>
      </c>
    </row>
    <row r="4872" spans="1:15" x14ac:dyDescent="0.25">
      <c r="A4872">
        <v>4871</v>
      </c>
      <c r="B4872">
        <v>34</v>
      </c>
      <c r="C4872" t="s">
        <v>16</v>
      </c>
      <c r="D4872" t="s">
        <v>20</v>
      </c>
      <c r="E4872" t="s">
        <v>36</v>
      </c>
      <c r="F4872" s="1">
        <v>75.709999999999994</v>
      </c>
      <c r="G4872" t="s">
        <v>19</v>
      </c>
      <c r="H4872" t="s">
        <v>37</v>
      </c>
      <c r="I4872" s="2">
        <v>4.3</v>
      </c>
      <c r="J4872" s="4">
        <v>26</v>
      </c>
      <c r="K4872" s="3">
        <v>8</v>
      </c>
      <c r="L4872" s="1">
        <f t="shared" si="228"/>
        <v>56.025399999999998</v>
      </c>
      <c r="M4872" t="str" cm="1">
        <f t="array" ref="M4872">_xlfn.IFS(B4872&lt;18,"Under 18",B4872 &lt;=25,"18-25",B4872&lt;=35,"26-35",B4872&lt;=45,"36-45",B4872&lt;=60,"46-60",TRUE,"60+")</f>
        <v>26-35</v>
      </c>
      <c r="N4872" t="str">
        <f t="shared" si="229"/>
        <v>Discounted</v>
      </c>
      <c r="O4872" t="str">
        <f t="shared" si="230"/>
        <v>Returning</v>
      </c>
    </row>
    <row r="4873" spans="1:15" x14ac:dyDescent="0.25">
      <c r="A4873">
        <v>4872</v>
      </c>
      <c r="B4873">
        <v>20</v>
      </c>
      <c r="C4873" t="s">
        <v>16</v>
      </c>
      <c r="D4873" t="s">
        <v>25</v>
      </c>
      <c r="E4873" t="s">
        <v>26</v>
      </c>
      <c r="F4873" s="1">
        <v>59.59</v>
      </c>
      <c r="G4873" t="s">
        <v>31</v>
      </c>
      <c r="H4873" t="s">
        <v>15</v>
      </c>
      <c r="I4873" s="2">
        <v>4.8</v>
      </c>
      <c r="J4873" s="4">
        <v>14</v>
      </c>
      <c r="K4873" s="3">
        <v>2</v>
      </c>
      <c r="L4873" s="1">
        <f t="shared" si="228"/>
        <v>51.247399999999999</v>
      </c>
      <c r="M4873" t="str" cm="1">
        <f t="array" ref="M4873">_xlfn.IFS(B4873&lt;18,"Under 18",B4873 &lt;=25,"18-25",B4873&lt;=35,"26-35",B4873&lt;=45,"36-45",B4873&lt;=60,"46-60",TRUE,"60+")</f>
        <v>18-25</v>
      </c>
      <c r="N4873" t="str">
        <f t="shared" si="229"/>
        <v>Discounted</v>
      </c>
      <c r="O4873" t="str">
        <f t="shared" si="230"/>
        <v>Returning</v>
      </c>
    </row>
    <row r="4874" spans="1:15" x14ac:dyDescent="0.25">
      <c r="A4874">
        <v>4873</v>
      </c>
      <c r="B4874">
        <v>30</v>
      </c>
      <c r="C4874" t="s">
        <v>16</v>
      </c>
      <c r="D4874" t="s">
        <v>33</v>
      </c>
      <c r="E4874" t="s">
        <v>38</v>
      </c>
      <c r="F4874" s="1">
        <v>113.81</v>
      </c>
      <c r="G4874" t="s">
        <v>19</v>
      </c>
      <c r="H4874" t="s">
        <v>15</v>
      </c>
      <c r="I4874" s="2">
        <v>3.6</v>
      </c>
      <c r="J4874" s="4">
        <v>13</v>
      </c>
      <c r="K4874" s="3">
        <v>4</v>
      </c>
      <c r="L4874" s="1">
        <f t="shared" si="228"/>
        <v>99.014700000000005</v>
      </c>
      <c r="M4874" t="str" cm="1">
        <f t="array" ref="M4874">_xlfn.IFS(B4874&lt;18,"Under 18",B4874 &lt;=25,"18-25",B4874&lt;=35,"26-35",B4874&lt;=45,"36-45",B4874&lt;=60,"46-60",TRUE,"60+")</f>
        <v>26-35</v>
      </c>
      <c r="N4874" t="str">
        <f t="shared" si="229"/>
        <v>Discounted</v>
      </c>
      <c r="O4874" t="str">
        <f t="shared" si="230"/>
        <v>Returning</v>
      </c>
    </row>
    <row r="4875" spans="1:15" x14ac:dyDescent="0.25">
      <c r="A4875">
        <v>4874</v>
      </c>
      <c r="B4875">
        <v>28</v>
      </c>
      <c r="C4875" t="s">
        <v>16</v>
      </c>
      <c r="D4875" t="s">
        <v>17</v>
      </c>
      <c r="E4875" t="s">
        <v>35</v>
      </c>
      <c r="F4875" s="1">
        <v>109.99</v>
      </c>
      <c r="G4875" t="s">
        <v>19</v>
      </c>
      <c r="H4875" t="s">
        <v>15</v>
      </c>
      <c r="I4875" s="2">
        <v>4.5999999999999996</v>
      </c>
      <c r="J4875" s="4">
        <v>19</v>
      </c>
      <c r="K4875" s="3">
        <v>7</v>
      </c>
      <c r="L4875" s="1">
        <f t="shared" si="228"/>
        <v>89.091899999999995</v>
      </c>
      <c r="M4875" t="str" cm="1">
        <f t="array" ref="M4875">_xlfn.IFS(B4875&lt;18,"Under 18",B4875 &lt;=25,"18-25",B4875&lt;=35,"26-35",B4875&lt;=45,"36-45",B4875&lt;=60,"46-60",TRUE,"60+")</f>
        <v>26-35</v>
      </c>
      <c r="N4875" t="str">
        <f t="shared" si="229"/>
        <v>Discounted</v>
      </c>
      <c r="O4875" t="str">
        <f t="shared" si="230"/>
        <v>Returning</v>
      </c>
    </row>
    <row r="4876" spans="1:15" x14ac:dyDescent="0.25">
      <c r="A4876">
        <v>4875</v>
      </c>
      <c r="B4876">
        <v>27</v>
      </c>
      <c r="C4876" t="s">
        <v>11</v>
      </c>
      <c r="D4876" t="s">
        <v>12</v>
      </c>
      <c r="E4876" t="s">
        <v>50</v>
      </c>
      <c r="F4876" s="1">
        <v>161.53</v>
      </c>
      <c r="G4876" t="s">
        <v>31</v>
      </c>
      <c r="H4876" t="s">
        <v>15</v>
      </c>
      <c r="I4876" s="2">
        <v>3.8</v>
      </c>
      <c r="J4876" s="4">
        <v>12</v>
      </c>
      <c r="K4876" s="3">
        <v>1</v>
      </c>
      <c r="L4876" s="1">
        <f t="shared" si="228"/>
        <v>142.1464</v>
      </c>
      <c r="M4876" t="str" cm="1">
        <f t="array" ref="M4876">_xlfn.IFS(B4876&lt;18,"Under 18",B4876 &lt;=25,"18-25",B4876&lt;=35,"26-35",B4876&lt;=45,"36-45",B4876&lt;=60,"46-60",TRUE,"60+")</f>
        <v>26-35</v>
      </c>
      <c r="N4876" t="str">
        <f t="shared" si="229"/>
        <v>Discounted</v>
      </c>
      <c r="O4876" t="str">
        <f t="shared" si="230"/>
        <v>Returning</v>
      </c>
    </row>
    <row r="4877" spans="1:15" x14ac:dyDescent="0.25">
      <c r="A4877">
        <v>4876</v>
      </c>
      <c r="B4877">
        <v>38</v>
      </c>
      <c r="C4877" t="s">
        <v>11</v>
      </c>
      <c r="D4877" t="s">
        <v>33</v>
      </c>
      <c r="E4877" t="s">
        <v>38</v>
      </c>
      <c r="F4877" s="1">
        <v>78.34</v>
      </c>
      <c r="G4877" t="s">
        <v>24</v>
      </c>
      <c r="H4877" t="s">
        <v>15</v>
      </c>
      <c r="I4877" s="2">
        <v>3.7</v>
      </c>
      <c r="J4877" s="4">
        <v>15</v>
      </c>
      <c r="K4877" s="3">
        <v>5</v>
      </c>
      <c r="L4877" s="1">
        <f t="shared" si="228"/>
        <v>66.588999999999999</v>
      </c>
      <c r="M4877" t="str" cm="1">
        <f t="array" ref="M4877">_xlfn.IFS(B4877&lt;18,"Under 18",B4877 &lt;=25,"18-25",B4877&lt;=35,"26-35",B4877&lt;=45,"36-45",B4877&lt;=60,"46-60",TRUE,"60+")</f>
        <v>36-45</v>
      </c>
      <c r="N4877" t="str">
        <f t="shared" si="229"/>
        <v>Discounted</v>
      </c>
      <c r="O4877" t="str">
        <f t="shared" si="230"/>
        <v>Returning</v>
      </c>
    </row>
    <row r="4878" spans="1:15" x14ac:dyDescent="0.25">
      <c r="A4878">
        <v>4877</v>
      </c>
      <c r="B4878">
        <v>48</v>
      </c>
      <c r="C4878" t="s">
        <v>16</v>
      </c>
      <c r="D4878" t="s">
        <v>33</v>
      </c>
      <c r="E4878" t="s">
        <v>38</v>
      </c>
      <c r="F4878" s="1">
        <v>228.07</v>
      </c>
      <c r="G4878" t="s">
        <v>14</v>
      </c>
      <c r="H4878" t="s">
        <v>15</v>
      </c>
      <c r="I4878" s="2">
        <v>3.4</v>
      </c>
      <c r="J4878" s="4">
        <v>21</v>
      </c>
      <c r="K4878" s="3">
        <v>8</v>
      </c>
      <c r="L4878" s="1">
        <f t="shared" si="228"/>
        <v>180.17529999999999</v>
      </c>
      <c r="M4878" t="str" cm="1">
        <f t="array" ref="M4878">_xlfn.IFS(B4878&lt;18,"Under 18",B4878 &lt;=25,"18-25",B4878&lt;=35,"26-35",B4878&lt;=45,"36-45",B4878&lt;=60,"46-60",TRUE,"60+")</f>
        <v>46-60</v>
      </c>
      <c r="N4878" t="str">
        <f t="shared" si="229"/>
        <v>Discounted</v>
      </c>
      <c r="O4878" t="str">
        <f t="shared" si="230"/>
        <v>Returning</v>
      </c>
    </row>
    <row r="4879" spans="1:15" x14ac:dyDescent="0.25">
      <c r="A4879">
        <v>4878</v>
      </c>
      <c r="B4879">
        <v>30</v>
      </c>
      <c r="C4879" t="s">
        <v>11</v>
      </c>
      <c r="D4879" t="s">
        <v>29</v>
      </c>
      <c r="E4879" t="s">
        <v>30</v>
      </c>
      <c r="F4879" s="1">
        <v>45.1</v>
      </c>
      <c r="G4879" t="s">
        <v>19</v>
      </c>
      <c r="H4879" t="s">
        <v>15</v>
      </c>
      <c r="I4879" s="2">
        <v>3.1</v>
      </c>
      <c r="J4879" s="4">
        <v>26</v>
      </c>
      <c r="K4879" s="3">
        <v>8</v>
      </c>
      <c r="L4879" s="1">
        <f t="shared" si="228"/>
        <v>33.374000000000002</v>
      </c>
      <c r="M4879" t="str" cm="1">
        <f t="array" ref="M4879">_xlfn.IFS(B4879&lt;18,"Under 18",B4879 &lt;=25,"18-25",B4879&lt;=35,"26-35",B4879&lt;=45,"36-45",B4879&lt;=60,"46-60",TRUE,"60+")</f>
        <v>26-35</v>
      </c>
      <c r="N4879" t="str">
        <f t="shared" si="229"/>
        <v>Discounted</v>
      </c>
      <c r="O4879" t="str">
        <f t="shared" si="230"/>
        <v>Returning</v>
      </c>
    </row>
    <row r="4880" spans="1:15" x14ac:dyDescent="0.25">
      <c r="A4880">
        <v>4879</v>
      </c>
      <c r="B4880">
        <v>50</v>
      </c>
      <c r="C4880" t="s">
        <v>11</v>
      </c>
      <c r="D4880" t="s">
        <v>41</v>
      </c>
      <c r="E4880" t="s">
        <v>46</v>
      </c>
      <c r="F4880" s="1">
        <v>177.6</v>
      </c>
      <c r="G4880" t="s">
        <v>31</v>
      </c>
      <c r="H4880" t="s">
        <v>15</v>
      </c>
      <c r="I4880" s="2">
        <v>3.1</v>
      </c>
      <c r="J4880" s="4">
        <v>8</v>
      </c>
      <c r="K4880" s="3">
        <v>4</v>
      </c>
      <c r="L4880" s="1">
        <f t="shared" si="228"/>
        <v>163.392</v>
      </c>
      <c r="M4880" t="str" cm="1">
        <f t="array" ref="M4880">_xlfn.IFS(B4880&lt;18,"Under 18",B4880 &lt;=25,"18-25",B4880&lt;=35,"26-35",B4880&lt;=45,"36-45",B4880&lt;=60,"46-60",TRUE,"60+")</f>
        <v>46-60</v>
      </c>
      <c r="N4880" t="str">
        <f t="shared" si="229"/>
        <v>Discounted</v>
      </c>
      <c r="O4880" t="str">
        <f t="shared" si="230"/>
        <v>Returning</v>
      </c>
    </row>
    <row r="4881" spans="1:15" x14ac:dyDescent="0.25">
      <c r="A4881">
        <v>4880</v>
      </c>
      <c r="B4881">
        <v>45</v>
      </c>
      <c r="C4881" t="s">
        <v>16</v>
      </c>
      <c r="D4881" t="s">
        <v>27</v>
      </c>
      <c r="E4881" t="s">
        <v>28</v>
      </c>
      <c r="F4881" s="1">
        <v>1054.2</v>
      </c>
      <c r="G4881" t="s">
        <v>14</v>
      </c>
      <c r="H4881" t="s">
        <v>15</v>
      </c>
      <c r="I4881" s="2">
        <v>4.5999999999999996</v>
      </c>
      <c r="J4881" s="4">
        <v>10</v>
      </c>
      <c r="K4881" s="3">
        <v>5</v>
      </c>
      <c r="L4881" s="1">
        <f t="shared" si="228"/>
        <v>948.78000000000009</v>
      </c>
      <c r="M4881" t="str" cm="1">
        <f t="array" ref="M4881">_xlfn.IFS(B4881&lt;18,"Under 18",B4881 &lt;=25,"18-25",B4881&lt;=35,"26-35",B4881&lt;=45,"36-45",B4881&lt;=60,"46-60",TRUE,"60+")</f>
        <v>36-45</v>
      </c>
      <c r="N4881" t="str">
        <f t="shared" si="229"/>
        <v>Discounted</v>
      </c>
      <c r="O4881" t="str">
        <f t="shared" si="230"/>
        <v>Returning</v>
      </c>
    </row>
    <row r="4882" spans="1:15" x14ac:dyDescent="0.25">
      <c r="A4882">
        <v>4881</v>
      </c>
      <c r="B4882">
        <v>67</v>
      </c>
      <c r="C4882" t="s">
        <v>16</v>
      </c>
      <c r="D4882" t="s">
        <v>33</v>
      </c>
      <c r="E4882" t="s">
        <v>38</v>
      </c>
      <c r="F4882" s="1">
        <v>86.51</v>
      </c>
      <c r="G4882" t="s">
        <v>31</v>
      </c>
      <c r="H4882" t="s">
        <v>37</v>
      </c>
      <c r="I4882" s="2">
        <v>4</v>
      </c>
      <c r="J4882" s="4">
        <v>10</v>
      </c>
      <c r="K4882" s="3">
        <v>5</v>
      </c>
      <c r="L4882" s="1">
        <f t="shared" si="228"/>
        <v>77.859000000000009</v>
      </c>
      <c r="M4882" t="str" cm="1">
        <f t="array" ref="M4882">_xlfn.IFS(B4882&lt;18,"Under 18",B4882 &lt;=25,"18-25",B4882&lt;=35,"26-35",B4882&lt;=45,"36-45",B4882&lt;=60,"46-60",TRUE,"60+")</f>
        <v>60+</v>
      </c>
      <c r="N4882" t="str">
        <f t="shared" si="229"/>
        <v>Discounted</v>
      </c>
      <c r="O4882" t="str">
        <f t="shared" si="230"/>
        <v>Returning</v>
      </c>
    </row>
    <row r="4883" spans="1:15" x14ac:dyDescent="0.25">
      <c r="A4883">
        <v>4882</v>
      </c>
      <c r="B4883">
        <v>48</v>
      </c>
      <c r="C4883" t="s">
        <v>16</v>
      </c>
      <c r="D4883" t="s">
        <v>27</v>
      </c>
      <c r="E4883" t="s">
        <v>28</v>
      </c>
      <c r="F4883" s="1">
        <v>2184.4</v>
      </c>
      <c r="G4883" t="s">
        <v>14</v>
      </c>
      <c r="H4883" t="s">
        <v>15</v>
      </c>
      <c r="I4883" s="2">
        <v>4</v>
      </c>
      <c r="J4883" s="4">
        <v>8</v>
      </c>
      <c r="K4883" s="3">
        <v>4</v>
      </c>
      <c r="L4883" s="1">
        <f t="shared" si="228"/>
        <v>2009.6480000000001</v>
      </c>
      <c r="M4883" t="str" cm="1">
        <f t="array" ref="M4883">_xlfn.IFS(B4883&lt;18,"Under 18",B4883 &lt;=25,"18-25",B4883&lt;=35,"26-35",B4883&lt;=45,"36-45",B4883&lt;=60,"46-60",TRUE,"60+")</f>
        <v>46-60</v>
      </c>
      <c r="N4883" t="str">
        <f t="shared" si="229"/>
        <v>Discounted</v>
      </c>
      <c r="O4883" t="str">
        <f t="shared" si="230"/>
        <v>Returning</v>
      </c>
    </row>
    <row r="4884" spans="1:15" x14ac:dyDescent="0.25">
      <c r="A4884">
        <v>4883</v>
      </c>
      <c r="B4884">
        <v>42</v>
      </c>
      <c r="C4884" t="s">
        <v>11</v>
      </c>
      <c r="D4884" t="s">
        <v>12</v>
      </c>
      <c r="E4884" t="s">
        <v>13</v>
      </c>
      <c r="F4884" s="1">
        <v>128.68</v>
      </c>
      <c r="G4884" t="s">
        <v>19</v>
      </c>
      <c r="H4884" t="s">
        <v>15</v>
      </c>
      <c r="I4884" s="2">
        <v>5</v>
      </c>
      <c r="J4884" s="4">
        <v>19</v>
      </c>
      <c r="K4884" s="3">
        <v>7</v>
      </c>
      <c r="L4884" s="1">
        <f t="shared" si="228"/>
        <v>104.23080000000002</v>
      </c>
      <c r="M4884" t="str" cm="1">
        <f t="array" ref="M4884">_xlfn.IFS(B4884&lt;18,"Under 18",B4884 &lt;=25,"18-25",B4884&lt;=35,"26-35",B4884&lt;=45,"36-45",B4884&lt;=60,"46-60",TRUE,"60+")</f>
        <v>36-45</v>
      </c>
      <c r="N4884" t="str">
        <f t="shared" si="229"/>
        <v>Discounted</v>
      </c>
      <c r="O4884" t="str">
        <f t="shared" si="230"/>
        <v>Returning</v>
      </c>
    </row>
    <row r="4885" spans="1:15" x14ac:dyDescent="0.25">
      <c r="A4885">
        <v>4884</v>
      </c>
      <c r="B4885">
        <v>26</v>
      </c>
      <c r="C4885" t="s">
        <v>11</v>
      </c>
      <c r="D4885" t="s">
        <v>29</v>
      </c>
      <c r="E4885" t="s">
        <v>55</v>
      </c>
      <c r="F4885" s="1">
        <v>104.48</v>
      </c>
      <c r="G4885" t="s">
        <v>14</v>
      </c>
      <c r="H4885" t="s">
        <v>15</v>
      </c>
      <c r="I4885" s="2">
        <v>4.2</v>
      </c>
      <c r="J4885" s="4">
        <v>20</v>
      </c>
      <c r="K4885" s="3">
        <v>5</v>
      </c>
      <c r="L4885" s="1">
        <f t="shared" si="228"/>
        <v>83.584000000000003</v>
      </c>
      <c r="M4885" t="str" cm="1">
        <f t="array" ref="M4885">_xlfn.IFS(B4885&lt;18,"Under 18",B4885 &lt;=25,"18-25",B4885&lt;=35,"26-35",B4885&lt;=45,"36-45",B4885&lt;=60,"46-60",TRUE,"60+")</f>
        <v>26-35</v>
      </c>
      <c r="N4885" t="str">
        <f t="shared" si="229"/>
        <v>Discounted</v>
      </c>
      <c r="O4885" t="str">
        <f t="shared" si="230"/>
        <v>Returning</v>
      </c>
    </row>
    <row r="4886" spans="1:15" x14ac:dyDescent="0.25">
      <c r="A4886">
        <v>4885</v>
      </c>
      <c r="B4886">
        <v>47</v>
      </c>
      <c r="C4886" t="s">
        <v>16</v>
      </c>
      <c r="D4886" t="s">
        <v>17</v>
      </c>
      <c r="E4886" t="s">
        <v>35</v>
      </c>
      <c r="F4886" s="1">
        <v>77.72</v>
      </c>
      <c r="G4886" t="s">
        <v>14</v>
      </c>
      <c r="H4886" t="s">
        <v>15</v>
      </c>
      <c r="I4886" s="2">
        <v>4.4000000000000004</v>
      </c>
      <c r="J4886" s="4">
        <v>20</v>
      </c>
      <c r="K4886" s="3">
        <v>5</v>
      </c>
      <c r="L4886" s="1">
        <f t="shared" si="228"/>
        <v>62.176000000000002</v>
      </c>
      <c r="M4886" t="str" cm="1">
        <f t="array" ref="M4886">_xlfn.IFS(B4886&lt;18,"Under 18",B4886 &lt;=25,"18-25",B4886&lt;=35,"26-35",B4886&lt;=45,"36-45",B4886&lt;=60,"46-60",TRUE,"60+")</f>
        <v>46-60</v>
      </c>
      <c r="N4886" t="str">
        <f t="shared" si="229"/>
        <v>Discounted</v>
      </c>
      <c r="O4886" t="str">
        <f t="shared" si="230"/>
        <v>Returning</v>
      </c>
    </row>
    <row r="4887" spans="1:15" x14ac:dyDescent="0.25">
      <c r="A4887">
        <v>4886</v>
      </c>
      <c r="B4887">
        <v>65</v>
      </c>
      <c r="C4887" t="s">
        <v>11</v>
      </c>
      <c r="D4887" t="s">
        <v>12</v>
      </c>
      <c r="E4887" t="s">
        <v>56</v>
      </c>
      <c r="F4887" s="1">
        <v>44.5</v>
      </c>
      <c r="G4887" t="s">
        <v>19</v>
      </c>
      <c r="H4887" t="s">
        <v>37</v>
      </c>
      <c r="I4887" s="2">
        <v>3.9</v>
      </c>
      <c r="J4887" s="4">
        <v>14</v>
      </c>
      <c r="K4887" s="3">
        <v>2</v>
      </c>
      <c r="L4887" s="1">
        <f t="shared" si="228"/>
        <v>38.269999999999996</v>
      </c>
      <c r="M4887" t="str" cm="1">
        <f t="array" ref="M4887">_xlfn.IFS(B4887&lt;18,"Under 18",B4887 &lt;=25,"18-25",B4887&lt;=35,"26-35",B4887&lt;=45,"36-45",B4887&lt;=60,"46-60",TRUE,"60+")</f>
        <v>60+</v>
      </c>
      <c r="N4887" t="str">
        <f t="shared" si="229"/>
        <v>Discounted</v>
      </c>
      <c r="O4887" t="str">
        <f t="shared" si="230"/>
        <v>Returning</v>
      </c>
    </row>
    <row r="4888" spans="1:15" x14ac:dyDescent="0.25">
      <c r="A4888">
        <v>4887</v>
      </c>
      <c r="B4888">
        <v>67</v>
      </c>
      <c r="C4888" t="s">
        <v>16</v>
      </c>
      <c r="D4888" t="s">
        <v>17</v>
      </c>
      <c r="E4888" t="s">
        <v>48</v>
      </c>
      <c r="F4888" s="1">
        <v>194.11</v>
      </c>
      <c r="G4888" t="s">
        <v>19</v>
      </c>
      <c r="H4888" t="s">
        <v>15</v>
      </c>
      <c r="I4888" s="2">
        <v>3.6</v>
      </c>
      <c r="J4888" s="4">
        <v>16</v>
      </c>
      <c r="K4888" s="3">
        <v>3</v>
      </c>
      <c r="L4888" s="1">
        <f t="shared" si="228"/>
        <v>163.05240000000001</v>
      </c>
      <c r="M4888" t="str" cm="1">
        <f t="array" ref="M4888">_xlfn.IFS(B4888&lt;18,"Under 18",B4888 &lt;=25,"18-25",B4888&lt;=35,"26-35",B4888&lt;=45,"36-45",B4888&lt;=60,"46-60",TRUE,"60+")</f>
        <v>60+</v>
      </c>
      <c r="N4888" t="str">
        <f t="shared" si="229"/>
        <v>Discounted</v>
      </c>
      <c r="O4888" t="str">
        <f t="shared" si="230"/>
        <v>Returning</v>
      </c>
    </row>
    <row r="4889" spans="1:15" x14ac:dyDescent="0.25">
      <c r="A4889">
        <v>4888</v>
      </c>
      <c r="B4889">
        <v>42</v>
      </c>
      <c r="C4889" t="s">
        <v>11</v>
      </c>
      <c r="D4889" t="s">
        <v>29</v>
      </c>
      <c r="E4889" t="s">
        <v>55</v>
      </c>
      <c r="F4889" s="1">
        <v>125.66</v>
      </c>
      <c r="G4889" t="s">
        <v>31</v>
      </c>
      <c r="H4889" t="s">
        <v>15</v>
      </c>
      <c r="I4889" s="2">
        <v>3.6</v>
      </c>
      <c r="J4889" s="4">
        <v>12</v>
      </c>
      <c r="K4889" s="3">
        <v>6</v>
      </c>
      <c r="L4889" s="1">
        <f t="shared" si="228"/>
        <v>110.5808</v>
      </c>
      <c r="M4889" t="str" cm="1">
        <f t="array" ref="M4889">_xlfn.IFS(B4889&lt;18,"Under 18",B4889 &lt;=25,"18-25",B4889&lt;=35,"26-35",B4889&lt;=45,"36-45",B4889&lt;=60,"46-60",TRUE,"60+")</f>
        <v>36-45</v>
      </c>
      <c r="N4889" t="str">
        <f t="shared" si="229"/>
        <v>Discounted</v>
      </c>
      <c r="O4889" t="str">
        <f t="shared" si="230"/>
        <v>Returning</v>
      </c>
    </row>
    <row r="4890" spans="1:15" x14ac:dyDescent="0.25">
      <c r="A4890">
        <v>4889</v>
      </c>
      <c r="B4890">
        <v>57</v>
      </c>
      <c r="C4890" t="s">
        <v>11</v>
      </c>
      <c r="D4890" t="s">
        <v>29</v>
      </c>
      <c r="E4890" t="s">
        <v>30</v>
      </c>
      <c r="F4890" s="1">
        <v>35.130000000000003</v>
      </c>
      <c r="G4890" t="s">
        <v>19</v>
      </c>
      <c r="H4890" t="s">
        <v>15</v>
      </c>
      <c r="I4890" s="2">
        <v>3.8</v>
      </c>
      <c r="J4890" s="4">
        <v>11</v>
      </c>
      <c r="K4890" s="3">
        <v>3</v>
      </c>
      <c r="L4890" s="1">
        <f t="shared" si="228"/>
        <v>31.265700000000002</v>
      </c>
      <c r="M4890" t="str" cm="1">
        <f t="array" ref="M4890">_xlfn.IFS(B4890&lt;18,"Under 18",B4890 &lt;=25,"18-25",B4890&lt;=35,"26-35",B4890&lt;=45,"36-45",B4890&lt;=60,"46-60",TRUE,"60+")</f>
        <v>46-60</v>
      </c>
      <c r="N4890" t="str">
        <f t="shared" si="229"/>
        <v>Discounted</v>
      </c>
      <c r="O4890" t="str">
        <f t="shared" si="230"/>
        <v>Returning</v>
      </c>
    </row>
    <row r="4891" spans="1:15" x14ac:dyDescent="0.25">
      <c r="A4891">
        <v>4890</v>
      </c>
      <c r="B4891">
        <v>37</v>
      </c>
      <c r="C4891" t="s">
        <v>16</v>
      </c>
      <c r="D4891" t="s">
        <v>33</v>
      </c>
      <c r="E4891" t="s">
        <v>38</v>
      </c>
      <c r="F4891" s="1">
        <v>62.42</v>
      </c>
      <c r="G4891" t="s">
        <v>14</v>
      </c>
      <c r="H4891" t="s">
        <v>37</v>
      </c>
      <c r="I4891" s="2">
        <v>3.7</v>
      </c>
      <c r="J4891" s="4">
        <v>12</v>
      </c>
      <c r="K4891" s="3">
        <v>6</v>
      </c>
      <c r="L4891" s="1">
        <f t="shared" si="228"/>
        <v>54.929600000000001</v>
      </c>
      <c r="M4891" t="str" cm="1">
        <f t="array" ref="M4891">_xlfn.IFS(B4891&lt;18,"Under 18",B4891 &lt;=25,"18-25",B4891&lt;=35,"26-35",B4891&lt;=45,"36-45",B4891&lt;=60,"46-60",TRUE,"60+")</f>
        <v>36-45</v>
      </c>
      <c r="N4891" t="str">
        <f t="shared" si="229"/>
        <v>Discounted</v>
      </c>
      <c r="O4891" t="str">
        <f t="shared" si="230"/>
        <v>Returning</v>
      </c>
    </row>
    <row r="4892" spans="1:15" x14ac:dyDescent="0.25">
      <c r="A4892">
        <v>4891</v>
      </c>
      <c r="B4892">
        <v>61</v>
      </c>
      <c r="C4892" t="s">
        <v>11</v>
      </c>
      <c r="D4892" t="s">
        <v>12</v>
      </c>
      <c r="E4892" t="s">
        <v>13</v>
      </c>
      <c r="F4892" s="1">
        <v>148.01</v>
      </c>
      <c r="G4892" t="s">
        <v>14</v>
      </c>
      <c r="H4892" t="s">
        <v>15</v>
      </c>
      <c r="I4892" s="2">
        <v>3.5</v>
      </c>
      <c r="J4892" s="4">
        <v>10</v>
      </c>
      <c r="K4892" s="3">
        <v>5</v>
      </c>
      <c r="L4892" s="1">
        <f t="shared" si="228"/>
        <v>133.209</v>
      </c>
      <c r="M4892" t="str" cm="1">
        <f t="array" ref="M4892">_xlfn.IFS(B4892&lt;18,"Under 18",B4892 &lt;=25,"18-25",B4892&lt;=35,"26-35",B4892&lt;=45,"36-45",B4892&lt;=60,"46-60",TRUE,"60+")</f>
        <v>60+</v>
      </c>
      <c r="N4892" t="str">
        <f t="shared" si="229"/>
        <v>Discounted</v>
      </c>
      <c r="O4892" t="str">
        <f t="shared" si="230"/>
        <v>Returning</v>
      </c>
    </row>
    <row r="4893" spans="1:15" x14ac:dyDescent="0.25">
      <c r="A4893">
        <v>4892</v>
      </c>
      <c r="B4893">
        <v>55</v>
      </c>
      <c r="C4893" t="s">
        <v>11</v>
      </c>
      <c r="D4893" t="s">
        <v>20</v>
      </c>
      <c r="E4893" t="s">
        <v>21</v>
      </c>
      <c r="F4893" s="1">
        <v>121.55</v>
      </c>
      <c r="G4893" t="s">
        <v>14</v>
      </c>
      <c r="H4893" t="s">
        <v>15</v>
      </c>
      <c r="I4893" s="2">
        <v>3.5</v>
      </c>
      <c r="J4893" s="4">
        <v>22</v>
      </c>
      <c r="K4893" s="3">
        <v>6</v>
      </c>
      <c r="L4893" s="1">
        <f t="shared" si="228"/>
        <v>94.808999999999997</v>
      </c>
      <c r="M4893" t="str" cm="1">
        <f t="array" ref="M4893">_xlfn.IFS(B4893&lt;18,"Under 18",B4893 &lt;=25,"18-25",B4893&lt;=35,"26-35",B4893&lt;=45,"36-45",B4893&lt;=60,"46-60",TRUE,"60+")</f>
        <v>46-60</v>
      </c>
      <c r="N4893" t="str">
        <f t="shared" si="229"/>
        <v>Discounted</v>
      </c>
      <c r="O4893" t="str">
        <f t="shared" si="230"/>
        <v>Returning</v>
      </c>
    </row>
    <row r="4894" spans="1:15" x14ac:dyDescent="0.25">
      <c r="A4894">
        <v>4893</v>
      </c>
      <c r="B4894">
        <v>70</v>
      </c>
      <c r="C4894" t="s">
        <v>11</v>
      </c>
      <c r="D4894" t="s">
        <v>20</v>
      </c>
      <c r="E4894" t="s">
        <v>21</v>
      </c>
      <c r="F4894" s="1">
        <v>126.71</v>
      </c>
      <c r="G4894" t="s">
        <v>24</v>
      </c>
      <c r="H4894" t="s">
        <v>15</v>
      </c>
      <c r="I4894" s="2">
        <v>4.2</v>
      </c>
      <c r="J4894" s="4">
        <v>14</v>
      </c>
      <c r="K4894" s="3">
        <v>7</v>
      </c>
      <c r="L4894" s="1">
        <f t="shared" si="228"/>
        <v>108.97059999999999</v>
      </c>
      <c r="M4894" t="str" cm="1">
        <f t="array" ref="M4894">_xlfn.IFS(B4894&lt;18,"Under 18",B4894 &lt;=25,"18-25",B4894&lt;=35,"26-35",B4894&lt;=45,"36-45",B4894&lt;=60,"46-60",TRUE,"60+")</f>
        <v>60+</v>
      </c>
      <c r="N4894" t="str">
        <f t="shared" si="229"/>
        <v>Discounted</v>
      </c>
      <c r="O4894" t="str">
        <f t="shared" si="230"/>
        <v>Returning</v>
      </c>
    </row>
    <row r="4895" spans="1:15" x14ac:dyDescent="0.25">
      <c r="A4895">
        <v>4894</v>
      </c>
      <c r="B4895">
        <v>47</v>
      </c>
      <c r="C4895" t="s">
        <v>16</v>
      </c>
      <c r="D4895" t="s">
        <v>20</v>
      </c>
      <c r="E4895" t="s">
        <v>21</v>
      </c>
      <c r="F4895" s="1">
        <v>187.3</v>
      </c>
      <c r="G4895" t="s">
        <v>19</v>
      </c>
      <c r="H4895" t="s">
        <v>15</v>
      </c>
      <c r="I4895" s="2">
        <v>5</v>
      </c>
      <c r="J4895" s="4">
        <v>24</v>
      </c>
      <c r="K4895" s="3">
        <v>7</v>
      </c>
      <c r="L4895" s="1">
        <f t="shared" si="228"/>
        <v>142.34800000000001</v>
      </c>
      <c r="M4895" t="str" cm="1">
        <f t="array" ref="M4895">_xlfn.IFS(B4895&lt;18,"Under 18",B4895 &lt;=25,"18-25",B4895&lt;=35,"26-35",B4895&lt;=45,"36-45",B4895&lt;=60,"46-60",TRUE,"60+")</f>
        <v>46-60</v>
      </c>
      <c r="N4895" t="str">
        <f t="shared" si="229"/>
        <v>Discounted</v>
      </c>
      <c r="O4895" t="str">
        <f t="shared" si="230"/>
        <v>Returning</v>
      </c>
    </row>
    <row r="4896" spans="1:15" x14ac:dyDescent="0.25">
      <c r="A4896">
        <v>4895</v>
      </c>
      <c r="B4896">
        <v>31</v>
      </c>
      <c r="C4896" t="s">
        <v>11</v>
      </c>
      <c r="D4896" t="s">
        <v>41</v>
      </c>
      <c r="E4896" t="s">
        <v>44</v>
      </c>
      <c r="F4896" s="1">
        <v>128.52000000000001</v>
      </c>
      <c r="G4896" t="s">
        <v>24</v>
      </c>
      <c r="H4896" t="s">
        <v>15</v>
      </c>
      <c r="I4896" s="2">
        <v>3.2</v>
      </c>
      <c r="J4896" s="4">
        <v>10</v>
      </c>
      <c r="K4896" s="3">
        <v>5</v>
      </c>
      <c r="L4896" s="1">
        <f t="shared" si="228"/>
        <v>115.66800000000001</v>
      </c>
      <c r="M4896" t="str" cm="1">
        <f t="array" ref="M4896">_xlfn.IFS(B4896&lt;18,"Under 18",B4896 &lt;=25,"18-25",B4896&lt;=35,"26-35",B4896&lt;=45,"36-45",B4896&lt;=60,"46-60",TRUE,"60+")</f>
        <v>26-35</v>
      </c>
      <c r="N4896" t="str">
        <f t="shared" si="229"/>
        <v>Discounted</v>
      </c>
      <c r="O4896" t="str">
        <f t="shared" si="230"/>
        <v>Returning</v>
      </c>
    </row>
    <row r="4897" spans="1:15" x14ac:dyDescent="0.25">
      <c r="A4897">
        <v>4896</v>
      </c>
      <c r="B4897">
        <v>40</v>
      </c>
      <c r="C4897" t="s">
        <v>11</v>
      </c>
      <c r="D4897" t="s">
        <v>29</v>
      </c>
      <c r="E4897" t="s">
        <v>55</v>
      </c>
      <c r="F4897" s="1">
        <v>125.95</v>
      </c>
      <c r="G4897" t="s">
        <v>14</v>
      </c>
      <c r="H4897" t="s">
        <v>15</v>
      </c>
      <c r="I4897" s="2">
        <v>4.0999999999999996</v>
      </c>
      <c r="J4897" s="4">
        <v>15</v>
      </c>
      <c r="K4897" s="3">
        <v>5</v>
      </c>
      <c r="L4897" s="1">
        <f t="shared" si="228"/>
        <v>107.0575</v>
      </c>
      <c r="M4897" t="str" cm="1">
        <f t="array" ref="M4897">_xlfn.IFS(B4897&lt;18,"Under 18",B4897 &lt;=25,"18-25",B4897&lt;=35,"26-35",B4897&lt;=45,"36-45",B4897&lt;=60,"46-60",TRUE,"60+")</f>
        <v>36-45</v>
      </c>
      <c r="N4897" t="str">
        <f t="shared" si="229"/>
        <v>Discounted</v>
      </c>
      <c r="O4897" t="str">
        <f t="shared" si="230"/>
        <v>Returning</v>
      </c>
    </row>
    <row r="4898" spans="1:15" x14ac:dyDescent="0.25">
      <c r="A4898">
        <v>4897</v>
      </c>
      <c r="B4898">
        <v>64</v>
      </c>
      <c r="C4898" t="s">
        <v>16</v>
      </c>
      <c r="D4898" t="s">
        <v>20</v>
      </c>
      <c r="E4898" t="s">
        <v>21</v>
      </c>
      <c r="F4898" s="1">
        <v>131.15</v>
      </c>
      <c r="G4898" t="s">
        <v>24</v>
      </c>
      <c r="H4898" t="s">
        <v>15</v>
      </c>
      <c r="I4898" s="2">
        <v>3.8</v>
      </c>
      <c r="J4898" s="4">
        <v>18</v>
      </c>
      <c r="K4898" s="3">
        <v>4</v>
      </c>
      <c r="L4898" s="1">
        <f t="shared" si="228"/>
        <v>107.54300000000001</v>
      </c>
      <c r="M4898" t="str" cm="1">
        <f t="array" ref="M4898">_xlfn.IFS(B4898&lt;18,"Under 18",B4898 &lt;=25,"18-25",B4898&lt;=35,"26-35",B4898&lt;=45,"36-45",B4898&lt;=60,"46-60",TRUE,"60+")</f>
        <v>60+</v>
      </c>
      <c r="N4898" t="str">
        <f t="shared" si="229"/>
        <v>Discounted</v>
      </c>
      <c r="O4898" t="str">
        <f t="shared" si="230"/>
        <v>Returning</v>
      </c>
    </row>
    <row r="4899" spans="1:15" x14ac:dyDescent="0.25">
      <c r="A4899">
        <v>4898</v>
      </c>
      <c r="B4899">
        <v>57</v>
      </c>
      <c r="C4899" t="s">
        <v>11</v>
      </c>
      <c r="D4899" t="s">
        <v>41</v>
      </c>
      <c r="E4899" t="s">
        <v>44</v>
      </c>
      <c r="F4899" s="1">
        <v>128.19999999999999</v>
      </c>
      <c r="G4899" t="s">
        <v>14</v>
      </c>
      <c r="H4899" t="s">
        <v>15</v>
      </c>
      <c r="I4899" s="2">
        <v>4.2</v>
      </c>
      <c r="J4899" s="4">
        <v>30</v>
      </c>
      <c r="K4899" s="3">
        <v>10</v>
      </c>
      <c r="L4899" s="1">
        <f t="shared" si="228"/>
        <v>89.739999999999981</v>
      </c>
      <c r="M4899" t="str" cm="1">
        <f t="array" ref="M4899">_xlfn.IFS(B4899&lt;18,"Under 18",B4899 &lt;=25,"18-25",B4899&lt;=35,"26-35",B4899&lt;=45,"36-45",B4899&lt;=60,"46-60",TRUE,"60+")</f>
        <v>46-60</v>
      </c>
      <c r="N4899" t="str">
        <f t="shared" si="229"/>
        <v>Discounted</v>
      </c>
      <c r="O4899" t="str">
        <f t="shared" si="230"/>
        <v>Returning</v>
      </c>
    </row>
    <row r="4900" spans="1:15" x14ac:dyDescent="0.25">
      <c r="A4900">
        <v>4899</v>
      </c>
      <c r="B4900">
        <v>55</v>
      </c>
      <c r="C4900" t="s">
        <v>16</v>
      </c>
      <c r="D4900" t="s">
        <v>27</v>
      </c>
      <c r="E4900" t="s">
        <v>28</v>
      </c>
      <c r="F4900" s="1">
        <v>1091.19</v>
      </c>
      <c r="G4900" t="s">
        <v>31</v>
      </c>
      <c r="H4900" t="s">
        <v>15</v>
      </c>
      <c r="I4900" s="2">
        <v>4.7</v>
      </c>
      <c r="J4900" s="4">
        <v>16</v>
      </c>
      <c r="K4900" s="3">
        <v>3</v>
      </c>
      <c r="L4900" s="1">
        <f t="shared" si="228"/>
        <v>916.59960000000001</v>
      </c>
      <c r="M4900" t="str" cm="1">
        <f t="array" ref="M4900">_xlfn.IFS(B4900&lt;18,"Under 18",B4900 &lt;=25,"18-25",B4900&lt;=35,"26-35",B4900&lt;=45,"36-45",B4900&lt;=60,"46-60",TRUE,"60+")</f>
        <v>46-60</v>
      </c>
      <c r="N4900" t="str">
        <f t="shared" si="229"/>
        <v>Discounted</v>
      </c>
      <c r="O4900" t="str">
        <f t="shared" si="230"/>
        <v>Returning</v>
      </c>
    </row>
    <row r="4901" spans="1:15" x14ac:dyDescent="0.25">
      <c r="A4901">
        <v>4900</v>
      </c>
      <c r="B4901">
        <v>48</v>
      </c>
      <c r="C4901" t="s">
        <v>16</v>
      </c>
      <c r="D4901" t="s">
        <v>22</v>
      </c>
      <c r="E4901" t="s">
        <v>23</v>
      </c>
      <c r="F4901" s="1">
        <v>212.33</v>
      </c>
      <c r="G4901" t="s">
        <v>14</v>
      </c>
      <c r="H4901" t="s">
        <v>15</v>
      </c>
      <c r="I4901" s="2">
        <v>3.7</v>
      </c>
      <c r="J4901" s="4">
        <v>12</v>
      </c>
      <c r="K4901" s="3">
        <v>6</v>
      </c>
      <c r="L4901" s="1">
        <f t="shared" si="228"/>
        <v>186.85040000000001</v>
      </c>
      <c r="M4901" t="str" cm="1">
        <f t="array" ref="M4901">_xlfn.IFS(B4901&lt;18,"Under 18",B4901 &lt;=25,"18-25",B4901&lt;=35,"26-35",B4901&lt;=45,"36-45",B4901&lt;=60,"46-60",TRUE,"60+")</f>
        <v>46-60</v>
      </c>
      <c r="N4901" t="str">
        <f t="shared" si="229"/>
        <v>Discounted</v>
      </c>
      <c r="O4901" t="str">
        <f t="shared" si="230"/>
        <v>Returning</v>
      </c>
    </row>
    <row r="4902" spans="1:15" x14ac:dyDescent="0.25">
      <c r="A4902">
        <v>4901</v>
      </c>
      <c r="B4902">
        <v>29</v>
      </c>
      <c r="C4902" t="s">
        <v>16</v>
      </c>
      <c r="D4902" t="s">
        <v>27</v>
      </c>
      <c r="E4902" t="s">
        <v>32</v>
      </c>
      <c r="F4902" s="1">
        <v>2200.34</v>
      </c>
      <c r="G4902" t="s">
        <v>14</v>
      </c>
      <c r="H4902" t="s">
        <v>15</v>
      </c>
      <c r="I4902" s="2">
        <v>4.8</v>
      </c>
      <c r="J4902" s="4">
        <v>19</v>
      </c>
      <c r="K4902" s="3">
        <v>7</v>
      </c>
      <c r="L4902" s="1">
        <f t="shared" si="228"/>
        <v>1782.2754000000002</v>
      </c>
      <c r="M4902" t="str" cm="1">
        <f t="array" ref="M4902">_xlfn.IFS(B4902&lt;18,"Under 18",B4902 &lt;=25,"18-25",B4902&lt;=35,"26-35",B4902&lt;=45,"36-45",B4902&lt;=60,"46-60",TRUE,"60+")</f>
        <v>26-35</v>
      </c>
      <c r="N4902" t="str">
        <f t="shared" si="229"/>
        <v>Discounted</v>
      </c>
      <c r="O4902" t="str">
        <f t="shared" si="230"/>
        <v>Returning</v>
      </c>
    </row>
    <row r="4903" spans="1:15" x14ac:dyDescent="0.25">
      <c r="A4903">
        <v>4902</v>
      </c>
      <c r="B4903">
        <v>69</v>
      </c>
      <c r="C4903" t="s">
        <v>16</v>
      </c>
      <c r="D4903" t="s">
        <v>27</v>
      </c>
      <c r="E4903" t="s">
        <v>28</v>
      </c>
      <c r="F4903" s="1">
        <v>2612.62</v>
      </c>
      <c r="G4903" t="s">
        <v>31</v>
      </c>
      <c r="H4903" t="s">
        <v>15</v>
      </c>
      <c r="I4903" s="2">
        <v>4.4000000000000004</v>
      </c>
      <c r="J4903" s="4">
        <v>26</v>
      </c>
      <c r="K4903" s="3">
        <v>8</v>
      </c>
      <c r="L4903" s="1">
        <f t="shared" si="228"/>
        <v>1933.3388</v>
      </c>
      <c r="M4903" t="str" cm="1">
        <f t="array" ref="M4903">_xlfn.IFS(B4903&lt;18,"Under 18",B4903 &lt;=25,"18-25",B4903&lt;=35,"26-35",B4903&lt;=45,"36-45",B4903&lt;=60,"46-60",TRUE,"60+")</f>
        <v>60+</v>
      </c>
      <c r="N4903" t="str">
        <f t="shared" si="229"/>
        <v>Discounted</v>
      </c>
      <c r="O4903" t="str">
        <f t="shared" si="230"/>
        <v>Returning</v>
      </c>
    </row>
    <row r="4904" spans="1:15" x14ac:dyDescent="0.25">
      <c r="A4904">
        <v>4903</v>
      </c>
      <c r="B4904">
        <v>23</v>
      </c>
      <c r="C4904" t="s">
        <v>11</v>
      </c>
      <c r="D4904" t="s">
        <v>33</v>
      </c>
      <c r="E4904" t="s">
        <v>38</v>
      </c>
      <c r="F4904" s="1">
        <v>115.83</v>
      </c>
      <c r="G4904" t="s">
        <v>19</v>
      </c>
      <c r="H4904" t="s">
        <v>15</v>
      </c>
      <c r="I4904" s="2">
        <v>5</v>
      </c>
      <c r="J4904" s="4">
        <v>14</v>
      </c>
      <c r="K4904" s="3">
        <v>2</v>
      </c>
      <c r="L4904" s="1">
        <f t="shared" si="228"/>
        <v>99.613799999999998</v>
      </c>
      <c r="M4904" t="str" cm="1">
        <f t="array" ref="M4904">_xlfn.IFS(B4904&lt;18,"Under 18",B4904 &lt;=25,"18-25",B4904&lt;=35,"26-35",B4904&lt;=45,"36-45",B4904&lt;=60,"46-60",TRUE,"60+")</f>
        <v>18-25</v>
      </c>
      <c r="N4904" t="str">
        <f t="shared" si="229"/>
        <v>Discounted</v>
      </c>
      <c r="O4904" t="str">
        <f t="shared" si="230"/>
        <v>Returning</v>
      </c>
    </row>
    <row r="4905" spans="1:15" x14ac:dyDescent="0.25">
      <c r="A4905">
        <v>4904</v>
      </c>
      <c r="B4905">
        <v>23</v>
      </c>
      <c r="C4905" t="s">
        <v>16</v>
      </c>
      <c r="D4905" t="s">
        <v>17</v>
      </c>
      <c r="E4905" t="s">
        <v>18</v>
      </c>
      <c r="F4905" s="1">
        <v>75.36</v>
      </c>
      <c r="G4905" t="s">
        <v>31</v>
      </c>
      <c r="H4905" t="s">
        <v>15</v>
      </c>
      <c r="I4905" s="2">
        <v>4.2</v>
      </c>
      <c r="J4905" s="4">
        <v>17</v>
      </c>
      <c r="K4905" s="3">
        <v>6</v>
      </c>
      <c r="L4905" s="1">
        <f t="shared" si="228"/>
        <v>62.5488</v>
      </c>
      <c r="M4905" t="str" cm="1">
        <f t="array" ref="M4905">_xlfn.IFS(B4905&lt;18,"Under 18",B4905 &lt;=25,"18-25",B4905&lt;=35,"26-35",B4905&lt;=45,"36-45",B4905&lt;=60,"46-60",TRUE,"60+")</f>
        <v>18-25</v>
      </c>
      <c r="N4905" t="str">
        <f t="shared" si="229"/>
        <v>Discounted</v>
      </c>
      <c r="O4905" t="str">
        <f t="shared" si="230"/>
        <v>Returning</v>
      </c>
    </row>
    <row r="4906" spans="1:15" x14ac:dyDescent="0.25">
      <c r="A4906">
        <v>4905</v>
      </c>
      <c r="B4906">
        <v>30</v>
      </c>
      <c r="C4906" t="s">
        <v>11</v>
      </c>
      <c r="D4906" t="s">
        <v>29</v>
      </c>
      <c r="E4906" t="s">
        <v>51</v>
      </c>
      <c r="F4906" s="1">
        <v>54.87</v>
      </c>
      <c r="G4906" t="s">
        <v>31</v>
      </c>
      <c r="H4906" t="s">
        <v>37</v>
      </c>
      <c r="I4906" s="2">
        <v>4.0999999999999996</v>
      </c>
      <c r="J4906" s="4">
        <v>6</v>
      </c>
      <c r="K4906" s="3">
        <v>3</v>
      </c>
      <c r="L4906" s="1">
        <f t="shared" si="228"/>
        <v>51.577799999999996</v>
      </c>
      <c r="M4906" t="str" cm="1">
        <f t="array" ref="M4906">_xlfn.IFS(B4906&lt;18,"Under 18",B4906 &lt;=25,"18-25",B4906&lt;=35,"26-35",B4906&lt;=45,"36-45",B4906&lt;=60,"46-60",TRUE,"60+")</f>
        <v>26-35</v>
      </c>
      <c r="N4906" t="str">
        <f t="shared" si="229"/>
        <v>Discounted</v>
      </c>
      <c r="O4906" t="str">
        <f t="shared" si="230"/>
        <v>Returning</v>
      </c>
    </row>
    <row r="4907" spans="1:15" x14ac:dyDescent="0.25">
      <c r="A4907">
        <v>4906</v>
      </c>
      <c r="B4907">
        <v>41</v>
      </c>
      <c r="C4907" t="s">
        <v>11</v>
      </c>
      <c r="D4907" t="s">
        <v>22</v>
      </c>
      <c r="E4907" t="s">
        <v>43</v>
      </c>
      <c r="F4907" s="1">
        <v>151.15</v>
      </c>
      <c r="G4907" t="s">
        <v>24</v>
      </c>
      <c r="H4907" t="s">
        <v>15</v>
      </c>
      <c r="I4907" s="2">
        <v>3.2</v>
      </c>
      <c r="J4907" s="4">
        <v>8</v>
      </c>
      <c r="K4907" s="3">
        <v>4</v>
      </c>
      <c r="L4907" s="1">
        <f t="shared" si="228"/>
        <v>139.05800000000002</v>
      </c>
      <c r="M4907" t="str" cm="1">
        <f t="array" ref="M4907">_xlfn.IFS(B4907&lt;18,"Under 18",B4907 &lt;=25,"18-25",B4907&lt;=35,"26-35",B4907&lt;=45,"36-45",B4907&lt;=60,"46-60",TRUE,"60+")</f>
        <v>36-45</v>
      </c>
      <c r="N4907" t="str">
        <f t="shared" si="229"/>
        <v>Discounted</v>
      </c>
      <c r="O4907" t="str">
        <f t="shared" si="230"/>
        <v>Returning</v>
      </c>
    </row>
    <row r="4908" spans="1:15" x14ac:dyDescent="0.25">
      <c r="A4908">
        <v>4907</v>
      </c>
      <c r="B4908">
        <v>69</v>
      </c>
      <c r="C4908" t="s">
        <v>11</v>
      </c>
      <c r="D4908" t="s">
        <v>25</v>
      </c>
      <c r="E4908" t="s">
        <v>57</v>
      </c>
      <c r="F4908" s="1">
        <v>13.72</v>
      </c>
      <c r="G4908" t="s">
        <v>24</v>
      </c>
      <c r="H4908" t="s">
        <v>37</v>
      </c>
      <c r="I4908" s="2">
        <v>3.5</v>
      </c>
      <c r="J4908" s="4">
        <v>17</v>
      </c>
      <c r="K4908" s="3">
        <v>6</v>
      </c>
      <c r="L4908" s="1">
        <f t="shared" si="228"/>
        <v>11.387600000000001</v>
      </c>
      <c r="M4908" t="str" cm="1">
        <f t="array" ref="M4908">_xlfn.IFS(B4908&lt;18,"Under 18",B4908 &lt;=25,"18-25",B4908&lt;=35,"26-35",B4908&lt;=45,"36-45",B4908&lt;=60,"46-60",TRUE,"60+")</f>
        <v>60+</v>
      </c>
      <c r="N4908" t="str">
        <f t="shared" si="229"/>
        <v>Discounted</v>
      </c>
      <c r="O4908" t="str">
        <f t="shared" si="230"/>
        <v>Returning</v>
      </c>
    </row>
    <row r="4909" spans="1:15" x14ac:dyDescent="0.25">
      <c r="A4909">
        <v>4908</v>
      </c>
      <c r="B4909">
        <v>36</v>
      </c>
      <c r="C4909" t="s">
        <v>11</v>
      </c>
      <c r="D4909" t="s">
        <v>33</v>
      </c>
      <c r="E4909" t="s">
        <v>38</v>
      </c>
      <c r="F4909" s="1">
        <v>46.3</v>
      </c>
      <c r="G4909" t="s">
        <v>19</v>
      </c>
      <c r="H4909" t="s">
        <v>15</v>
      </c>
      <c r="I4909" s="2">
        <v>4.0999999999999996</v>
      </c>
      <c r="J4909" s="4">
        <v>32</v>
      </c>
      <c r="K4909" s="3">
        <v>11</v>
      </c>
      <c r="L4909" s="1">
        <f t="shared" si="228"/>
        <v>31.483999999999995</v>
      </c>
      <c r="M4909" t="str" cm="1">
        <f t="array" ref="M4909">_xlfn.IFS(B4909&lt;18,"Under 18",B4909 &lt;=25,"18-25",B4909&lt;=35,"26-35",B4909&lt;=45,"36-45",B4909&lt;=60,"46-60",TRUE,"60+")</f>
        <v>36-45</v>
      </c>
      <c r="N4909" t="str">
        <f t="shared" si="229"/>
        <v>Discounted</v>
      </c>
      <c r="O4909" t="str">
        <f t="shared" si="230"/>
        <v>Returning</v>
      </c>
    </row>
    <row r="4910" spans="1:15" x14ac:dyDescent="0.25">
      <c r="A4910">
        <v>4909</v>
      </c>
      <c r="B4910">
        <v>68</v>
      </c>
      <c r="C4910" t="s">
        <v>11</v>
      </c>
      <c r="D4910" t="s">
        <v>12</v>
      </c>
      <c r="E4910" t="s">
        <v>13</v>
      </c>
      <c r="F4910" s="1">
        <v>133.47</v>
      </c>
      <c r="G4910" t="s">
        <v>31</v>
      </c>
      <c r="H4910" t="s">
        <v>15</v>
      </c>
      <c r="I4910" s="2">
        <v>4</v>
      </c>
      <c r="J4910" s="4">
        <v>26</v>
      </c>
      <c r="K4910" s="3">
        <v>8</v>
      </c>
      <c r="L4910" s="1">
        <f t="shared" si="228"/>
        <v>98.767799999999994</v>
      </c>
      <c r="M4910" t="str" cm="1">
        <f t="array" ref="M4910">_xlfn.IFS(B4910&lt;18,"Under 18",B4910 &lt;=25,"18-25",B4910&lt;=35,"26-35",B4910&lt;=45,"36-45",B4910&lt;=60,"46-60",TRUE,"60+")</f>
        <v>60+</v>
      </c>
      <c r="N4910" t="str">
        <f t="shared" si="229"/>
        <v>Discounted</v>
      </c>
      <c r="O4910" t="str">
        <f t="shared" si="230"/>
        <v>Returning</v>
      </c>
    </row>
    <row r="4911" spans="1:15" x14ac:dyDescent="0.25">
      <c r="A4911">
        <v>4910</v>
      </c>
      <c r="B4911">
        <v>47</v>
      </c>
      <c r="C4911" t="s">
        <v>11</v>
      </c>
      <c r="D4911" t="s">
        <v>20</v>
      </c>
      <c r="E4911" t="s">
        <v>36</v>
      </c>
      <c r="F4911" s="1">
        <v>61.86</v>
      </c>
      <c r="G4911" t="s">
        <v>24</v>
      </c>
      <c r="H4911" t="s">
        <v>15</v>
      </c>
      <c r="I4911" s="2">
        <v>4.2</v>
      </c>
      <c r="J4911" s="4">
        <v>8</v>
      </c>
      <c r="K4911" s="3">
        <v>4</v>
      </c>
      <c r="L4911" s="1">
        <f t="shared" si="228"/>
        <v>56.911200000000001</v>
      </c>
      <c r="M4911" t="str" cm="1">
        <f t="array" ref="M4911">_xlfn.IFS(B4911&lt;18,"Under 18",B4911 &lt;=25,"18-25",B4911&lt;=35,"26-35",B4911&lt;=45,"36-45",B4911&lt;=60,"46-60",TRUE,"60+")</f>
        <v>46-60</v>
      </c>
      <c r="N4911" t="str">
        <f t="shared" si="229"/>
        <v>Discounted</v>
      </c>
      <c r="O4911" t="str">
        <f t="shared" si="230"/>
        <v>Returning</v>
      </c>
    </row>
    <row r="4912" spans="1:15" x14ac:dyDescent="0.25">
      <c r="A4912">
        <v>4911</v>
      </c>
      <c r="B4912">
        <v>26</v>
      </c>
      <c r="C4912" t="s">
        <v>11</v>
      </c>
      <c r="D4912" t="s">
        <v>20</v>
      </c>
      <c r="E4912" t="s">
        <v>36</v>
      </c>
      <c r="F4912" s="1">
        <v>72.040000000000006</v>
      </c>
      <c r="G4912" t="s">
        <v>19</v>
      </c>
      <c r="H4912" t="s">
        <v>15</v>
      </c>
      <c r="I4912" s="2">
        <v>3.7</v>
      </c>
      <c r="J4912" s="4">
        <v>18</v>
      </c>
      <c r="K4912" s="3">
        <v>4</v>
      </c>
      <c r="L4912" s="1">
        <f t="shared" si="228"/>
        <v>59.072800000000008</v>
      </c>
      <c r="M4912" t="str" cm="1">
        <f t="array" ref="M4912">_xlfn.IFS(B4912&lt;18,"Under 18",B4912 &lt;=25,"18-25",B4912&lt;=35,"26-35",B4912&lt;=45,"36-45",B4912&lt;=60,"46-60",TRUE,"60+")</f>
        <v>26-35</v>
      </c>
      <c r="N4912" t="str">
        <f t="shared" si="229"/>
        <v>Discounted</v>
      </c>
      <c r="O4912" t="str">
        <f t="shared" si="230"/>
        <v>Returning</v>
      </c>
    </row>
    <row r="4913" spans="1:15" x14ac:dyDescent="0.25">
      <c r="A4913">
        <v>4912</v>
      </c>
      <c r="B4913">
        <v>62</v>
      </c>
      <c r="C4913" t="s">
        <v>16</v>
      </c>
      <c r="D4913" t="s">
        <v>17</v>
      </c>
      <c r="E4913" t="s">
        <v>18</v>
      </c>
      <c r="F4913" s="1">
        <v>84.61</v>
      </c>
      <c r="G4913" t="s">
        <v>14</v>
      </c>
      <c r="H4913" t="s">
        <v>15</v>
      </c>
      <c r="I4913" s="2">
        <v>3.9</v>
      </c>
      <c r="J4913" s="4">
        <v>19</v>
      </c>
      <c r="K4913" s="3">
        <v>7</v>
      </c>
      <c r="L4913" s="1">
        <f t="shared" si="228"/>
        <v>68.534100000000009</v>
      </c>
      <c r="M4913" t="str" cm="1">
        <f t="array" ref="M4913">_xlfn.IFS(B4913&lt;18,"Under 18",B4913 &lt;=25,"18-25",B4913&lt;=35,"26-35",B4913&lt;=45,"36-45",B4913&lt;=60,"46-60",TRUE,"60+")</f>
        <v>60+</v>
      </c>
      <c r="N4913" t="str">
        <f t="shared" si="229"/>
        <v>Discounted</v>
      </c>
      <c r="O4913" t="str">
        <f t="shared" si="230"/>
        <v>Returning</v>
      </c>
    </row>
    <row r="4914" spans="1:15" x14ac:dyDescent="0.25">
      <c r="A4914">
        <v>4913</v>
      </c>
      <c r="B4914">
        <v>30</v>
      </c>
      <c r="C4914" t="s">
        <v>16</v>
      </c>
      <c r="D4914" t="s">
        <v>17</v>
      </c>
      <c r="E4914" t="s">
        <v>42</v>
      </c>
      <c r="F4914" s="1">
        <v>123.73</v>
      </c>
      <c r="G4914" t="s">
        <v>14</v>
      </c>
      <c r="H4914" t="s">
        <v>15</v>
      </c>
      <c r="I4914" s="2">
        <v>2.1</v>
      </c>
      <c r="J4914" s="4">
        <v>11</v>
      </c>
      <c r="K4914" s="3">
        <v>3</v>
      </c>
      <c r="L4914" s="1">
        <f t="shared" si="228"/>
        <v>110.11970000000001</v>
      </c>
      <c r="M4914" t="str" cm="1">
        <f t="array" ref="M4914">_xlfn.IFS(B4914&lt;18,"Under 18",B4914 &lt;=25,"18-25",B4914&lt;=35,"26-35",B4914&lt;=45,"36-45",B4914&lt;=60,"46-60",TRUE,"60+")</f>
        <v>26-35</v>
      </c>
      <c r="N4914" t="str">
        <f t="shared" si="229"/>
        <v>Discounted</v>
      </c>
      <c r="O4914" t="str">
        <f t="shared" si="230"/>
        <v>Returning</v>
      </c>
    </row>
    <row r="4915" spans="1:15" x14ac:dyDescent="0.25">
      <c r="A4915">
        <v>4914</v>
      </c>
      <c r="B4915">
        <v>44</v>
      </c>
      <c r="C4915" t="s">
        <v>16</v>
      </c>
      <c r="D4915" t="s">
        <v>33</v>
      </c>
      <c r="E4915" t="s">
        <v>34</v>
      </c>
      <c r="F4915" s="1">
        <v>114.66</v>
      </c>
      <c r="G4915" t="s">
        <v>31</v>
      </c>
      <c r="H4915" t="s">
        <v>15</v>
      </c>
      <c r="I4915" s="2">
        <v>4</v>
      </c>
      <c r="J4915" s="4">
        <v>22</v>
      </c>
      <c r="K4915" s="3">
        <v>6</v>
      </c>
      <c r="L4915" s="1">
        <f t="shared" si="228"/>
        <v>89.434799999999996</v>
      </c>
      <c r="M4915" t="str" cm="1">
        <f t="array" ref="M4915">_xlfn.IFS(B4915&lt;18,"Under 18",B4915 &lt;=25,"18-25",B4915&lt;=35,"26-35",B4915&lt;=45,"36-45",B4915&lt;=60,"46-60",TRUE,"60+")</f>
        <v>36-45</v>
      </c>
      <c r="N4915" t="str">
        <f t="shared" si="229"/>
        <v>Discounted</v>
      </c>
      <c r="O4915" t="str">
        <f t="shared" si="230"/>
        <v>Returning</v>
      </c>
    </row>
    <row r="4916" spans="1:15" x14ac:dyDescent="0.25">
      <c r="A4916">
        <v>4915</v>
      </c>
      <c r="B4916">
        <v>44</v>
      </c>
      <c r="C4916" t="s">
        <v>11</v>
      </c>
      <c r="D4916" t="s">
        <v>33</v>
      </c>
      <c r="E4916" t="s">
        <v>38</v>
      </c>
      <c r="F4916" s="1">
        <v>235.77</v>
      </c>
      <c r="G4916" t="s">
        <v>14</v>
      </c>
      <c r="H4916" t="s">
        <v>15</v>
      </c>
      <c r="I4916" s="2">
        <v>2</v>
      </c>
      <c r="J4916" s="4">
        <v>12</v>
      </c>
      <c r="K4916" s="3">
        <v>6</v>
      </c>
      <c r="L4916" s="1">
        <f t="shared" si="228"/>
        <v>207.47760000000002</v>
      </c>
      <c r="M4916" t="str" cm="1">
        <f t="array" ref="M4916">_xlfn.IFS(B4916&lt;18,"Under 18",B4916 &lt;=25,"18-25",B4916&lt;=35,"26-35",B4916&lt;=45,"36-45",B4916&lt;=60,"46-60",TRUE,"60+")</f>
        <v>36-45</v>
      </c>
      <c r="N4916" t="str">
        <f t="shared" si="229"/>
        <v>Discounted</v>
      </c>
      <c r="O4916" t="str">
        <f t="shared" si="230"/>
        <v>Returning</v>
      </c>
    </row>
    <row r="4917" spans="1:15" x14ac:dyDescent="0.25">
      <c r="A4917">
        <v>4916</v>
      </c>
      <c r="B4917">
        <v>44</v>
      </c>
      <c r="C4917" t="s">
        <v>11</v>
      </c>
      <c r="D4917" t="s">
        <v>25</v>
      </c>
      <c r="E4917" t="s">
        <v>54</v>
      </c>
      <c r="F4917" s="1">
        <v>62.94</v>
      </c>
      <c r="G4917" t="s">
        <v>31</v>
      </c>
      <c r="H4917" t="s">
        <v>37</v>
      </c>
      <c r="I4917" s="2">
        <v>3.6</v>
      </c>
      <c r="J4917" s="4">
        <v>2</v>
      </c>
      <c r="K4917" s="3">
        <v>1</v>
      </c>
      <c r="L4917" s="1">
        <f t="shared" si="228"/>
        <v>61.681199999999997</v>
      </c>
      <c r="M4917" t="str" cm="1">
        <f t="array" ref="M4917">_xlfn.IFS(B4917&lt;18,"Under 18",B4917 &lt;=25,"18-25",B4917&lt;=35,"26-35",B4917&lt;=45,"36-45",B4917&lt;=60,"46-60",TRUE,"60+")</f>
        <v>36-45</v>
      </c>
      <c r="N4917" t="str">
        <f t="shared" si="229"/>
        <v>Discounted</v>
      </c>
      <c r="O4917" t="str">
        <f t="shared" si="230"/>
        <v>Returning</v>
      </c>
    </row>
    <row r="4918" spans="1:15" x14ac:dyDescent="0.25">
      <c r="A4918">
        <v>4917</v>
      </c>
      <c r="B4918">
        <v>39</v>
      </c>
      <c r="C4918" t="s">
        <v>11</v>
      </c>
      <c r="D4918" t="s">
        <v>25</v>
      </c>
      <c r="E4918" t="s">
        <v>54</v>
      </c>
      <c r="F4918" s="1">
        <v>70.150000000000006</v>
      </c>
      <c r="G4918" t="s">
        <v>14</v>
      </c>
      <c r="H4918" t="s">
        <v>37</v>
      </c>
      <c r="I4918" s="2">
        <v>4.0999999999999996</v>
      </c>
      <c r="J4918" s="4">
        <v>14</v>
      </c>
      <c r="K4918" s="3">
        <v>2</v>
      </c>
      <c r="L4918" s="1">
        <f t="shared" si="228"/>
        <v>60.329000000000001</v>
      </c>
      <c r="M4918" t="str" cm="1">
        <f t="array" ref="M4918">_xlfn.IFS(B4918&lt;18,"Under 18",B4918 &lt;=25,"18-25",B4918&lt;=35,"26-35",B4918&lt;=45,"36-45",B4918&lt;=60,"46-60",TRUE,"60+")</f>
        <v>36-45</v>
      </c>
      <c r="N4918" t="str">
        <f t="shared" si="229"/>
        <v>Discounted</v>
      </c>
      <c r="O4918" t="str">
        <f t="shared" si="230"/>
        <v>Returning</v>
      </c>
    </row>
    <row r="4919" spans="1:15" x14ac:dyDescent="0.25">
      <c r="A4919">
        <v>4918</v>
      </c>
      <c r="B4919">
        <v>35</v>
      </c>
      <c r="C4919" t="s">
        <v>11</v>
      </c>
      <c r="D4919" t="s">
        <v>25</v>
      </c>
      <c r="E4919" t="s">
        <v>26</v>
      </c>
      <c r="F4919" s="1">
        <v>69.099999999999994</v>
      </c>
      <c r="G4919" t="s">
        <v>14</v>
      </c>
      <c r="H4919" t="s">
        <v>15</v>
      </c>
      <c r="I4919" s="2">
        <v>4.3</v>
      </c>
      <c r="J4919" s="4">
        <v>22</v>
      </c>
      <c r="K4919" s="3">
        <v>6</v>
      </c>
      <c r="L4919" s="1">
        <f t="shared" si="228"/>
        <v>53.897999999999996</v>
      </c>
      <c r="M4919" t="str" cm="1">
        <f t="array" ref="M4919">_xlfn.IFS(B4919&lt;18,"Under 18",B4919 &lt;=25,"18-25",B4919&lt;=35,"26-35",B4919&lt;=45,"36-45",B4919&lt;=60,"46-60",TRUE,"60+")</f>
        <v>26-35</v>
      </c>
      <c r="N4919" t="str">
        <f t="shared" si="229"/>
        <v>Discounted</v>
      </c>
      <c r="O4919" t="str">
        <f t="shared" si="230"/>
        <v>Returning</v>
      </c>
    </row>
    <row r="4920" spans="1:15" x14ac:dyDescent="0.25">
      <c r="A4920">
        <v>4919</v>
      </c>
      <c r="B4920">
        <v>43</v>
      </c>
      <c r="C4920" t="s">
        <v>11</v>
      </c>
      <c r="D4920" t="s">
        <v>33</v>
      </c>
      <c r="E4920" t="s">
        <v>40</v>
      </c>
      <c r="F4920" s="1">
        <v>63.79</v>
      </c>
      <c r="G4920" t="s">
        <v>19</v>
      </c>
      <c r="H4920" t="s">
        <v>37</v>
      </c>
      <c r="I4920" s="2">
        <v>4.0999999999999996</v>
      </c>
      <c r="J4920" s="4">
        <v>14</v>
      </c>
      <c r="K4920" s="3">
        <v>7</v>
      </c>
      <c r="L4920" s="1">
        <f t="shared" si="228"/>
        <v>54.859400000000001</v>
      </c>
      <c r="M4920" t="str" cm="1">
        <f t="array" ref="M4920">_xlfn.IFS(B4920&lt;18,"Under 18",B4920 &lt;=25,"18-25",B4920&lt;=35,"26-35",B4920&lt;=45,"36-45",B4920&lt;=60,"46-60",TRUE,"60+")</f>
        <v>36-45</v>
      </c>
      <c r="N4920" t="str">
        <f t="shared" si="229"/>
        <v>Discounted</v>
      </c>
      <c r="O4920" t="str">
        <f t="shared" si="230"/>
        <v>Returning</v>
      </c>
    </row>
    <row r="4921" spans="1:15" x14ac:dyDescent="0.25">
      <c r="A4921">
        <v>4920</v>
      </c>
      <c r="B4921">
        <v>44</v>
      </c>
      <c r="C4921" t="s">
        <v>11</v>
      </c>
      <c r="D4921" t="s">
        <v>41</v>
      </c>
      <c r="E4921" t="s">
        <v>42</v>
      </c>
      <c r="F4921" s="1">
        <v>47.12</v>
      </c>
      <c r="G4921" t="s">
        <v>14</v>
      </c>
      <c r="H4921" t="s">
        <v>37</v>
      </c>
      <c r="I4921" s="2">
        <v>2.2999999999999998</v>
      </c>
      <c r="J4921" s="4">
        <v>9</v>
      </c>
      <c r="K4921" s="3">
        <v>2</v>
      </c>
      <c r="L4921" s="1">
        <f t="shared" si="228"/>
        <v>42.879199999999997</v>
      </c>
      <c r="M4921" t="str" cm="1">
        <f t="array" ref="M4921">_xlfn.IFS(B4921&lt;18,"Under 18",B4921 &lt;=25,"18-25",B4921&lt;=35,"26-35",B4921&lt;=45,"36-45",B4921&lt;=60,"46-60",TRUE,"60+")</f>
        <v>36-45</v>
      </c>
      <c r="N4921" t="str">
        <f t="shared" si="229"/>
        <v>Discounted</v>
      </c>
      <c r="O4921" t="str">
        <f t="shared" si="230"/>
        <v>Returning</v>
      </c>
    </row>
    <row r="4922" spans="1:15" x14ac:dyDescent="0.25">
      <c r="A4922">
        <v>4921</v>
      </c>
      <c r="B4922">
        <v>69</v>
      </c>
      <c r="C4922" t="s">
        <v>16</v>
      </c>
      <c r="D4922" t="s">
        <v>20</v>
      </c>
      <c r="E4922" t="s">
        <v>21</v>
      </c>
      <c r="F4922" s="1">
        <v>205.85</v>
      </c>
      <c r="G4922" t="s">
        <v>24</v>
      </c>
      <c r="H4922" t="s">
        <v>15</v>
      </c>
      <c r="I4922" s="2">
        <v>3.3</v>
      </c>
      <c r="J4922" s="4">
        <v>16</v>
      </c>
      <c r="K4922" s="3">
        <v>3</v>
      </c>
      <c r="L4922" s="1">
        <f t="shared" si="228"/>
        <v>172.91399999999999</v>
      </c>
      <c r="M4922" t="str" cm="1">
        <f t="array" ref="M4922">_xlfn.IFS(B4922&lt;18,"Under 18",B4922 &lt;=25,"18-25",B4922&lt;=35,"26-35",B4922&lt;=45,"36-45",B4922&lt;=60,"46-60",TRUE,"60+")</f>
        <v>60+</v>
      </c>
      <c r="N4922" t="str">
        <f t="shared" si="229"/>
        <v>Discounted</v>
      </c>
      <c r="O4922" t="str">
        <f t="shared" si="230"/>
        <v>Returning</v>
      </c>
    </row>
    <row r="4923" spans="1:15" x14ac:dyDescent="0.25">
      <c r="A4923">
        <v>4922</v>
      </c>
      <c r="B4923">
        <v>25</v>
      </c>
      <c r="C4923" t="s">
        <v>11</v>
      </c>
      <c r="D4923" t="s">
        <v>12</v>
      </c>
      <c r="E4923" t="s">
        <v>50</v>
      </c>
      <c r="F4923" s="1">
        <v>33.380000000000003</v>
      </c>
      <c r="G4923" t="s">
        <v>14</v>
      </c>
      <c r="H4923" t="s">
        <v>15</v>
      </c>
      <c r="I4923" s="2">
        <v>3.5</v>
      </c>
      <c r="J4923" s="4">
        <v>8</v>
      </c>
      <c r="K4923" s="3">
        <v>4</v>
      </c>
      <c r="L4923" s="1">
        <f t="shared" si="228"/>
        <v>30.709600000000005</v>
      </c>
      <c r="M4923" t="str" cm="1">
        <f t="array" ref="M4923">_xlfn.IFS(B4923&lt;18,"Under 18",B4923 &lt;=25,"18-25",B4923&lt;=35,"26-35",B4923&lt;=45,"36-45",B4923&lt;=60,"46-60",TRUE,"60+")</f>
        <v>18-25</v>
      </c>
      <c r="N4923" t="str">
        <f t="shared" si="229"/>
        <v>Discounted</v>
      </c>
      <c r="O4923" t="str">
        <f t="shared" si="230"/>
        <v>Returning</v>
      </c>
    </row>
    <row r="4924" spans="1:15" x14ac:dyDescent="0.25">
      <c r="A4924">
        <v>4923</v>
      </c>
      <c r="B4924">
        <v>24</v>
      </c>
      <c r="C4924" t="s">
        <v>16</v>
      </c>
      <c r="D4924" t="s">
        <v>25</v>
      </c>
      <c r="E4924" t="s">
        <v>54</v>
      </c>
      <c r="F4924" s="1">
        <v>60.32</v>
      </c>
      <c r="G4924" t="s">
        <v>24</v>
      </c>
      <c r="H4924" t="s">
        <v>37</v>
      </c>
      <c r="I4924" s="2">
        <v>2.7</v>
      </c>
      <c r="J4924" s="4">
        <v>12</v>
      </c>
      <c r="K4924" s="3">
        <v>6</v>
      </c>
      <c r="L4924" s="1">
        <f t="shared" si="228"/>
        <v>53.081600000000002</v>
      </c>
      <c r="M4924" t="str" cm="1">
        <f t="array" ref="M4924">_xlfn.IFS(B4924&lt;18,"Under 18",B4924 &lt;=25,"18-25",B4924&lt;=35,"26-35",B4924&lt;=45,"36-45",B4924&lt;=60,"46-60",TRUE,"60+")</f>
        <v>18-25</v>
      </c>
      <c r="N4924" t="str">
        <f t="shared" si="229"/>
        <v>Discounted</v>
      </c>
      <c r="O4924" t="str">
        <f t="shared" si="230"/>
        <v>Returning</v>
      </c>
    </row>
    <row r="4925" spans="1:15" x14ac:dyDescent="0.25">
      <c r="A4925">
        <v>4924</v>
      </c>
      <c r="B4925">
        <v>45</v>
      </c>
      <c r="C4925" t="s">
        <v>16</v>
      </c>
      <c r="D4925" t="s">
        <v>20</v>
      </c>
      <c r="E4925" t="s">
        <v>39</v>
      </c>
      <c r="F4925" s="1">
        <v>82.4</v>
      </c>
      <c r="G4925" t="s">
        <v>19</v>
      </c>
      <c r="H4925" t="s">
        <v>15</v>
      </c>
      <c r="I4925" s="2">
        <v>3.4</v>
      </c>
      <c r="J4925" s="4">
        <v>10</v>
      </c>
      <c r="K4925" s="3">
        <v>5</v>
      </c>
      <c r="L4925" s="1">
        <f t="shared" si="228"/>
        <v>74.160000000000011</v>
      </c>
      <c r="M4925" t="str" cm="1">
        <f t="array" ref="M4925">_xlfn.IFS(B4925&lt;18,"Under 18",B4925 &lt;=25,"18-25",B4925&lt;=35,"26-35",B4925&lt;=45,"36-45",B4925&lt;=60,"46-60",TRUE,"60+")</f>
        <v>36-45</v>
      </c>
      <c r="N4925" t="str">
        <f t="shared" si="229"/>
        <v>Discounted</v>
      </c>
      <c r="O4925" t="str">
        <f t="shared" si="230"/>
        <v>Returning</v>
      </c>
    </row>
    <row r="4926" spans="1:15" x14ac:dyDescent="0.25">
      <c r="A4926">
        <v>4925</v>
      </c>
      <c r="B4926">
        <v>55</v>
      </c>
      <c r="C4926" t="s">
        <v>16</v>
      </c>
      <c r="D4926" t="s">
        <v>25</v>
      </c>
      <c r="E4926" t="s">
        <v>26</v>
      </c>
      <c r="F4926" s="1">
        <v>32.01</v>
      </c>
      <c r="G4926" t="s">
        <v>24</v>
      </c>
      <c r="H4926" t="s">
        <v>15</v>
      </c>
      <c r="I4926" s="2">
        <v>3.7</v>
      </c>
      <c r="J4926" s="4">
        <v>15</v>
      </c>
      <c r="K4926" s="3">
        <v>5</v>
      </c>
      <c r="L4926" s="1">
        <f t="shared" si="228"/>
        <v>27.208499999999997</v>
      </c>
      <c r="M4926" t="str" cm="1">
        <f t="array" ref="M4926">_xlfn.IFS(B4926&lt;18,"Under 18",B4926 &lt;=25,"18-25",B4926&lt;=35,"26-35",B4926&lt;=45,"36-45",B4926&lt;=60,"46-60",TRUE,"60+")</f>
        <v>46-60</v>
      </c>
      <c r="N4926" t="str">
        <f t="shared" si="229"/>
        <v>Discounted</v>
      </c>
      <c r="O4926" t="str">
        <f t="shared" si="230"/>
        <v>Returning</v>
      </c>
    </row>
    <row r="4927" spans="1:15" x14ac:dyDescent="0.25">
      <c r="A4927">
        <v>4926</v>
      </c>
      <c r="B4927">
        <v>33</v>
      </c>
      <c r="C4927" t="s">
        <v>16</v>
      </c>
      <c r="D4927" t="s">
        <v>20</v>
      </c>
      <c r="E4927" t="s">
        <v>39</v>
      </c>
      <c r="F4927" s="1">
        <v>40.549999999999997</v>
      </c>
      <c r="G4927" t="s">
        <v>24</v>
      </c>
      <c r="H4927" t="s">
        <v>37</v>
      </c>
      <c r="I4927" s="2">
        <v>4.5999999999999996</v>
      </c>
      <c r="J4927" s="4">
        <v>4</v>
      </c>
      <c r="K4927" s="3">
        <v>2</v>
      </c>
      <c r="L4927" s="1">
        <f t="shared" si="228"/>
        <v>38.927999999999997</v>
      </c>
      <c r="M4927" t="str" cm="1">
        <f t="array" ref="M4927">_xlfn.IFS(B4927&lt;18,"Under 18",B4927 &lt;=25,"18-25",B4927&lt;=35,"26-35",B4927&lt;=45,"36-45",B4927&lt;=60,"46-60",TRUE,"60+")</f>
        <v>26-35</v>
      </c>
      <c r="N4927" t="str">
        <f t="shared" si="229"/>
        <v>Discounted</v>
      </c>
      <c r="O4927" t="str">
        <f t="shared" si="230"/>
        <v>Returning</v>
      </c>
    </row>
    <row r="4928" spans="1:15" x14ac:dyDescent="0.25">
      <c r="A4928">
        <v>4927</v>
      </c>
      <c r="B4928">
        <v>47</v>
      </c>
      <c r="C4928" t="s">
        <v>11</v>
      </c>
      <c r="D4928" t="s">
        <v>29</v>
      </c>
      <c r="E4928" t="s">
        <v>51</v>
      </c>
      <c r="F4928" s="1">
        <v>100.37</v>
      </c>
      <c r="G4928" t="s">
        <v>19</v>
      </c>
      <c r="H4928" t="s">
        <v>15</v>
      </c>
      <c r="I4928" s="2">
        <v>3</v>
      </c>
      <c r="J4928" s="4">
        <v>4</v>
      </c>
      <c r="K4928" s="3">
        <v>2</v>
      </c>
      <c r="L4928" s="1">
        <f t="shared" si="228"/>
        <v>96.355199999999996</v>
      </c>
      <c r="M4928" t="str" cm="1">
        <f t="array" ref="M4928">_xlfn.IFS(B4928&lt;18,"Under 18",B4928 &lt;=25,"18-25",B4928&lt;=35,"26-35",B4928&lt;=45,"36-45",B4928&lt;=60,"46-60",TRUE,"60+")</f>
        <v>46-60</v>
      </c>
      <c r="N4928" t="str">
        <f t="shared" si="229"/>
        <v>Discounted</v>
      </c>
      <c r="O4928" t="str">
        <f t="shared" si="230"/>
        <v>Returning</v>
      </c>
    </row>
    <row r="4929" spans="1:15" x14ac:dyDescent="0.25">
      <c r="A4929">
        <v>4928</v>
      </c>
      <c r="B4929">
        <v>67</v>
      </c>
      <c r="C4929" t="s">
        <v>16</v>
      </c>
      <c r="D4929" t="s">
        <v>27</v>
      </c>
      <c r="E4929" t="s">
        <v>28</v>
      </c>
      <c r="F4929" s="1">
        <v>1360.46</v>
      </c>
      <c r="G4929" t="s">
        <v>31</v>
      </c>
      <c r="H4929" t="s">
        <v>15</v>
      </c>
      <c r="I4929" s="2">
        <v>5</v>
      </c>
      <c r="J4929" s="4">
        <v>24</v>
      </c>
      <c r="K4929" s="3">
        <v>7</v>
      </c>
      <c r="L4929" s="1">
        <f t="shared" si="228"/>
        <v>1033.9496000000001</v>
      </c>
      <c r="M4929" t="str" cm="1">
        <f t="array" ref="M4929">_xlfn.IFS(B4929&lt;18,"Under 18",B4929 &lt;=25,"18-25",B4929&lt;=35,"26-35",B4929&lt;=45,"36-45",B4929&lt;=60,"46-60",TRUE,"60+")</f>
        <v>60+</v>
      </c>
      <c r="N4929" t="str">
        <f t="shared" si="229"/>
        <v>Discounted</v>
      </c>
      <c r="O4929" t="str">
        <f t="shared" si="230"/>
        <v>Returning</v>
      </c>
    </row>
    <row r="4930" spans="1:15" x14ac:dyDescent="0.25">
      <c r="A4930">
        <v>4929</v>
      </c>
      <c r="B4930">
        <v>36</v>
      </c>
      <c r="C4930" t="s">
        <v>11</v>
      </c>
      <c r="D4930" t="s">
        <v>12</v>
      </c>
      <c r="E4930" t="s">
        <v>50</v>
      </c>
      <c r="F4930" s="1">
        <v>141.63</v>
      </c>
      <c r="G4930" t="s">
        <v>14</v>
      </c>
      <c r="H4930" t="s">
        <v>15</v>
      </c>
      <c r="I4930" s="2">
        <v>4.4000000000000004</v>
      </c>
      <c r="J4930" s="4">
        <v>17</v>
      </c>
      <c r="K4930" s="3">
        <v>6</v>
      </c>
      <c r="L4930" s="1">
        <f t="shared" si="228"/>
        <v>117.55289999999999</v>
      </c>
      <c r="M4930" t="str" cm="1">
        <f t="array" ref="M4930">_xlfn.IFS(B4930&lt;18,"Under 18",B4930 &lt;=25,"18-25",B4930&lt;=35,"26-35",B4930&lt;=45,"36-45",B4930&lt;=60,"46-60",TRUE,"60+")</f>
        <v>36-45</v>
      </c>
      <c r="N4930" t="str">
        <f t="shared" si="229"/>
        <v>Discounted</v>
      </c>
      <c r="O4930" t="str">
        <f t="shared" si="230"/>
        <v>Returning</v>
      </c>
    </row>
    <row r="4931" spans="1:15" x14ac:dyDescent="0.25">
      <c r="A4931">
        <v>4930</v>
      </c>
      <c r="B4931">
        <v>30</v>
      </c>
      <c r="C4931" t="s">
        <v>16</v>
      </c>
      <c r="D4931" t="s">
        <v>33</v>
      </c>
      <c r="E4931" t="s">
        <v>34</v>
      </c>
      <c r="F4931" s="1">
        <v>131.47</v>
      </c>
      <c r="G4931" t="s">
        <v>31</v>
      </c>
      <c r="H4931" t="s">
        <v>15</v>
      </c>
      <c r="I4931" s="2">
        <v>3.9</v>
      </c>
      <c r="J4931" s="4">
        <v>18</v>
      </c>
      <c r="K4931" s="3">
        <v>4</v>
      </c>
      <c r="L4931" s="1">
        <f t="shared" ref="L4931:L4994" si="231">F4931 * (1 - J4931 / 100)</f>
        <v>107.80540000000001</v>
      </c>
      <c r="M4931" t="str" cm="1">
        <f t="array" ref="M4931">_xlfn.IFS(B4931&lt;18,"Under 18",B4931 &lt;=25,"18-25",B4931&lt;=35,"26-35",B4931&lt;=45,"36-45",B4931&lt;=60,"46-60",TRUE,"60+")</f>
        <v>26-35</v>
      </c>
      <c r="N4931" t="str">
        <f t="shared" ref="N4931:N4994" si="232">IF(J4931&gt;0,"Discounted","No Discount")</f>
        <v>Discounted</v>
      </c>
      <c r="O4931" t="str">
        <f t="shared" ref="O4931:O4994" si="233">IF(K4931&gt;0,"Returning","New")</f>
        <v>Returning</v>
      </c>
    </row>
    <row r="4932" spans="1:15" x14ac:dyDescent="0.25">
      <c r="A4932">
        <v>4931</v>
      </c>
      <c r="B4932">
        <v>36</v>
      </c>
      <c r="C4932" t="s">
        <v>16</v>
      </c>
      <c r="D4932" t="s">
        <v>17</v>
      </c>
      <c r="E4932" t="s">
        <v>42</v>
      </c>
      <c r="F4932" s="1">
        <v>106.54</v>
      </c>
      <c r="G4932" t="s">
        <v>24</v>
      </c>
      <c r="H4932" t="s">
        <v>15</v>
      </c>
      <c r="I4932" s="2">
        <v>5</v>
      </c>
      <c r="J4932" s="4">
        <v>22</v>
      </c>
      <c r="K4932" s="3">
        <v>6</v>
      </c>
      <c r="L4932" s="1">
        <f t="shared" si="231"/>
        <v>83.101200000000006</v>
      </c>
      <c r="M4932" t="str" cm="1">
        <f t="array" ref="M4932">_xlfn.IFS(B4932&lt;18,"Under 18",B4932 &lt;=25,"18-25",B4932&lt;=35,"26-35",B4932&lt;=45,"36-45",B4932&lt;=60,"46-60",TRUE,"60+")</f>
        <v>36-45</v>
      </c>
      <c r="N4932" t="str">
        <f t="shared" si="232"/>
        <v>Discounted</v>
      </c>
      <c r="O4932" t="str">
        <f t="shared" si="233"/>
        <v>Returning</v>
      </c>
    </row>
    <row r="4933" spans="1:15" x14ac:dyDescent="0.25">
      <c r="A4933">
        <v>4932</v>
      </c>
      <c r="B4933">
        <v>21</v>
      </c>
      <c r="C4933" t="s">
        <v>16</v>
      </c>
      <c r="D4933" t="s">
        <v>27</v>
      </c>
      <c r="E4933" t="s">
        <v>28</v>
      </c>
      <c r="F4933" s="1">
        <v>845.23</v>
      </c>
      <c r="G4933" t="s">
        <v>24</v>
      </c>
      <c r="H4933" t="s">
        <v>15</v>
      </c>
      <c r="I4933" s="2">
        <v>3.7</v>
      </c>
      <c r="J4933" s="4">
        <v>16</v>
      </c>
      <c r="K4933" s="3">
        <v>8</v>
      </c>
      <c r="L4933" s="1">
        <f t="shared" si="231"/>
        <v>709.9932</v>
      </c>
      <c r="M4933" t="str" cm="1">
        <f t="array" ref="M4933">_xlfn.IFS(B4933&lt;18,"Under 18",B4933 &lt;=25,"18-25",B4933&lt;=35,"26-35",B4933&lt;=45,"36-45",B4933&lt;=60,"46-60",TRUE,"60+")</f>
        <v>18-25</v>
      </c>
      <c r="N4933" t="str">
        <f t="shared" si="232"/>
        <v>Discounted</v>
      </c>
      <c r="O4933" t="str">
        <f t="shared" si="233"/>
        <v>Returning</v>
      </c>
    </row>
    <row r="4934" spans="1:15" x14ac:dyDescent="0.25">
      <c r="A4934">
        <v>4933</v>
      </c>
      <c r="B4934">
        <v>49</v>
      </c>
      <c r="C4934" t="s">
        <v>16</v>
      </c>
      <c r="D4934" t="s">
        <v>27</v>
      </c>
      <c r="E4934" t="s">
        <v>28</v>
      </c>
      <c r="F4934" s="1">
        <v>2662.07</v>
      </c>
      <c r="G4934" t="s">
        <v>24</v>
      </c>
      <c r="H4934" t="s">
        <v>15</v>
      </c>
      <c r="I4934" s="2">
        <v>4.7</v>
      </c>
      <c r="J4934" s="4">
        <v>20</v>
      </c>
      <c r="K4934" s="3">
        <v>5</v>
      </c>
      <c r="L4934" s="1">
        <f t="shared" si="231"/>
        <v>2129.6560000000004</v>
      </c>
      <c r="M4934" t="str" cm="1">
        <f t="array" ref="M4934">_xlfn.IFS(B4934&lt;18,"Under 18",B4934 &lt;=25,"18-25",B4934&lt;=35,"26-35",B4934&lt;=45,"36-45",B4934&lt;=60,"46-60",TRUE,"60+")</f>
        <v>46-60</v>
      </c>
      <c r="N4934" t="str">
        <f t="shared" si="232"/>
        <v>Discounted</v>
      </c>
      <c r="O4934" t="str">
        <f t="shared" si="233"/>
        <v>Returning</v>
      </c>
    </row>
    <row r="4935" spans="1:15" x14ac:dyDescent="0.25">
      <c r="A4935">
        <v>4934</v>
      </c>
      <c r="B4935">
        <v>50</v>
      </c>
      <c r="C4935" t="s">
        <v>16</v>
      </c>
      <c r="D4935" t="s">
        <v>20</v>
      </c>
      <c r="E4935" t="s">
        <v>39</v>
      </c>
      <c r="F4935" s="1">
        <v>186.83</v>
      </c>
      <c r="G4935" t="s">
        <v>19</v>
      </c>
      <c r="H4935" t="s">
        <v>15</v>
      </c>
      <c r="I4935" s="2">
        <v>3</v>
      </c>
      <c r="J4935" s="4">
        <v>11</v>
      </c>
      <c r="K4935" s="3">
        <v>3</v>
      </c>
      <c r="L4935" s="1">
        <f t="shared" si="231"/>
        <v>166.27870000000001</v>
      </c>
      <c r="M4935" t="str" cm="1">
        <f t="array" ref="M4935">_xlfn.IFS(B4935&lt;18,"Under 18",B4935 &lt;=25,"18-25",B4935&lt;=35,"26-35",B4935&lt;=45,"36-45",B4935&lt;=60,"46-60",TRUE,"60+")</f>
        <v>46-60</v>
      </c>
      <c r="N4935" t="str">
        <f t="shared" si="232"/>
        <v>Discounted</v>
      </c>
      <c r="O4935" t="str">
        <f t="shared" si="233"/>
        <v>Returning</v>
      </c>
    </row>
    <row r="4936" spans="1:15" x14ac:dyDescent="0.25">
      <c r="A4936">
        <v>4935</v>
      </c>
      <c r="B4936">
        <v>66</v>
      </c>
      <c r="C4936" t="s">
        <v>11</v>
      </c>
      <c r="D4936" t="s">
        <v>12</v>
      </c>
      <c r="E4936" t="s">
        <v>13</v>
      </c>
      <c r="F4936" s="1">
        <v>143.75</v>
      </c>
      <c r="G4936" t="s">
        <v>14</v>
      </c>
      <c r="H4936" t="s">
        <v>15</v>
      </c>
      <c r="I4936" s="2">
        <v>3.7</v>
      </c>
      <c r="J4936" s="4">
        <v>20</v>
      </c>
      <c r="K4936" s="3">
        <v>5</v>
      </c>
      <c r="L4936" s="1">
        <f t="shared" si="231"/>
        <v>115</v>
      </c>
      <c r="M4936" t="str" cm="1">
        <f t="array" ref="M4936">_xlfn.IFS(B4936&lt;18,"Under 18",B4936 &lt;=25,"18-25",B4936&lt;=35,"26-35",B4936&lt;=45,"36-45",B4936&lt;=60,"46-60",TRUE,"60+")</f>
        <v>60+</v>
      </c>
      <c r="N4936" t="str">
        <f t="shared" si="232"/>
        <v>Discounted</v>
      </c>
      <c r="O4936" t="str">
        <f t="shared" si="233"/>
        <v>Returning</v>
      </c>
    </row>
    <row r="4937" spans="1:15" x14ac:dyDescent="0.25">
      <c r="A4937">
        <v>4936</v>
      </c>
      <c r="B4937">
        <v>23</v>
      </c>
      <c r="C4937" t="s">
        <v>16</v>
      </c>
      <c r="D4937" t="s">
        <v>27</v>
      </c>
      <c r="E4937" t="s">
        <v>28</v>
      </c>
      <c r="F4937" s="1">
        <v>2876.27</v>
      </c>
      <c r="G4937" t="s">
        <v>19</v>
      </c>
      <c r="H4937" t="s">
        <v>15</v>
      </c>
      <c r="I4937" s="2">
        <v>3</v>
      </c>
      <c r="J4937" s="4">
        <v>16</v>
      </c>
      <c r="K4937" s="3">
        <v>3</v>
      </c>
      <c r="L4937" s="1">
        <f t="shared" si="231"/>
        <v>2416.0668000000001</v>
      </c>
      <c r="M4937" t="str" cm="1">
        <f t="array" ref="M4937">_xlfn.IFS(B4937&lt;18,"Under 18",B4937 &lt;=25,"18-25",B4937&lt;=35,"26-35",B4937&lt;=45,"36-45",B4937&lt;=60,"46-60",TRUE,"60+")</f>
        <v>18-25</v>
      </c>
      <c r="N4937" t="str">
        <f t="shared" si="232"/>
        <v>Discounted</v>
      </c>
      <c r="O4937" t="str">
        <f t="shared" si="233"/>
        <v>Returning</v>
      </c>
    </row>
    <row r="4938" spans="1:15" x14ac:dyDescent="0.25">
      <c r="A4938">
        <v>4937</v>
      </c>
      <c r="B4938">
        <v>31</v>
      </c>
      <c r="C4938" t="s">
        <v>16</v>
      </c>
      <c r="D4938" t="s">
        <v>27</v>
      </c>
      <c r="E4938" t="s">
        <v>49</v>
      </c>
      <c r="F4938" s="1">
        <v>2686.88</v>
      </c>
      <c r="G4938" t="s">
        <v>24</v>
      </c>
      <c r="H4938" t="s">
        <v>15</v>
      </c>
      <c r="I4938" s="2">
        <v>3.3</v>
      </c>
      <c r="J4938" s="4">
        <v>9</v>
      </c>
      <c r="K4938" s="3">
        <v>2</v>
      </c>
      <c r="L4938" s="1">
        <f t="shared" si="231"/>
        <v>2445.0608000000002</v>
      </c>
      <c r="M4938" t="str" cm="1">
        <f t="array" ref="M4938">_xlfn.IFS(B4938&lt;18,"Under 18",B4938 &lt;=25,"18-25",B4938&lt;=35,"26-35",B4938&lt;=45,"36-45",B4938&lt;=60,"46-60",TRUE,"60+")</f>
        <v>26-35</v>
      </c>
      <c r="N4938" t="str">
        <f t="shared" si="232"/>
        <v>Discounted</v>
      </c>
      <c r="O4938" t="str">
        <f t="shared" si="233"/>
        <v>Returning</v>
      </c>
    </row>
    <row r="4939" spans="1:15" x14ac:dyDescent="0.25">
      <c r="A4939">
        <v>4938</v>
      </c>
      <c r="B4939">
        <v>54</v>
      </c>
      <c r="C4939" t="s">
        <v>11</v>
      </c>
      <c r="D4939" t="s">
        <v>41</v>
      </c>
      <c r="E4939" t="s">
        <v>42</v>
      </c>
      <c r="F4939" s="1">
        <v>35.299999999999997</v>
      </c>
      <c r="G4939" t="s">
        <v>14</v>
      </c>
      <c r="H4939" t="s">
        <v>15</v>
      </c>
      <c r="I4939" s="2">
        <v>3.6</v>
      </c>
      <c r="J4939" s="4">
        <v>26</v>
      </c>
      <c r="K4939" s="3">
        <v>8</v>
      </c>
      <c r="L4939" s="1">
        <f t="shared" si="231"/>
        <v>26.121999999999996</v>
      </c>
      <c r="M4939" t="str" cm="1">
        <f t="array" ref="M4939">_xlfn.IFS(B4939&lt;18,"Under 18",B4939 &lt;=25,"18-25",B4939&lt;=35,"26-35",B4939&lt;=45,"36-45",B4939&lt;=60,"46-60",TRUE,"60+")</f>
        <v>46-60</v>
      </c>
      <c r="N4939" t="str">
        <f t="shared" si="232"/>
        <v>Discounted</v>
      </c>
      <c r="O4939" t="str">
        <f t="shared" si="233"/>
        <v>Returning</v>
      </c>
    </row>
    <row r="4940" spans="1:15" x14ac:dyDescent="0.25">
      <c r="A4940">
        <v>4939</v>
      </c>
      <c r="B4940">
        <v>64</v>
      </c>
      <c r="C4940" t="s">
        <v>16</v>
      </c>
      <c r="D4940" t="s">
        <v>27</v>
      </c>
      <c r="E4940" t="s">
        <v>53</v>
      </c>
      <c r="F4940" s="1">
        <v>2546.2600000000002</v>
      </c>
      <c r="G4940" t="s">
        <v>14</v>
      </c>
      <c r="H4940" t="s">
        <v>15</v>
      </c>
      <c r="I4940" s="2">
        <v>4.9000000000000004</v>
      </c>
      <c r="J4940" s="4">
        <v>15</v>
      </c>
      <c r="K4940" s="3">
        <v>5</v>
      </c>
      <c r="L4940" s="1">
        <f t="shared" si="231"/>
        <v>2164.3209999999999</v>
      </c>
      <c r="M4940" t="str" cm="1">
        <f t="array" ref="M4940">_xlfn.IFS(B4940&lt;18,"Under 18",B4940 &lt;=25,"18-25",B4940&lt;=35,"26-35",B4940&lt;=45,"36-45",B4940&lt;=60,"46-60",TRUE,"60+")</f>
        <v>60+</v>
      </c>
      <c r="N4940" t="str">
        <f t="shared" si="232"/>
        <v>Discounted</v>
      </c>
      <c r="O4940" t="str">
        <f t="shared" si="233"/>
        <v>Returning</v>
      </c>
    </row>
    <row r="4941" spans="1:15" x14ac:dyDescent="0.25">
      <c r="A4941">
        <v>4940</v>
      </c>
      <c r="B4941">
        <v>31</v>
      </c>
      <c r="C4941" t="s">
        <v>16</v>
      </c>
      <c r="D4941" t="s">
        <v>33</v>
      </c>
      <c r="E4941" t="s">
        <v>38</v>
      </c>
      <c r="F4941" s="1">
        <v>248.37</v>
      </c>
      <c r="G4941" t="s">
        <v>31</v>
      </c>
      <c r="H4941" t="s">
        <v>15</v>
      </c>
      <c r="I4941" s="2">
        <v>4.4000000000000004</v>
      </c>
      <c r="J4941" s="4">
        <v>20</v>
      </c>
      <c r="K4941" s="3">
        <v>5</v>
      </c>
      <c r="L4941" s="1">
        <f t="shared" si="231"/>
        <v>198.69600000000003</v>
      </c>
      <c r="M4941" t="str" cm="1">
        <f t="array" ref="M4941">_xlfn.IFS(B4941&lt;18,"Under 18",B4941 &lt;=25,"18-25",B4941&lt;=35,"26-35",B4941&lt;=45,"36-45",B4941&lt;=60,"46-60",TRUE,"60+")</f>
        <v>26-35</v>
      </c>
      <c r="N4941" t="str">
        <f t="shared" si="232"/>
        <v>Discounted</v>
      </c>
      <c r="O4941" t="str">
        <f t="shared" si="233"/>
        <v>Returning</v>
      </c>
    </row>
    <row r="4942" spans="1:15" x14ac:dyDescent="0.25">
      <c r="A4942">
        <v>4941</v>
      </c>
      <c r="B4942">
        <v>31</v>
      </c>
      <c r="C4942" t="s">
        <v>11</v>
      </c>
      <c r="D4942" t="s">
        <v>29</v>
      </c>
      <c r="E4942" t="s">
        <v>30</v>
      </c>
      <c r="F4942" s="1">
        <v>45.08</v>
      </c>
      <c r="G4942" t="s">
        <v>24</v>
      </c>
      <c r="H4942" t="s">
        <v>37</v>
      </c>
      <c r="I4942" s="2">
        <v>4.0999999999999996</v>
      </c>
      <c r="J4942" s="4">
        <v>22</v>
      </c>
      <c r="K4942" s="3">
        <v>6</v>
      </c>
      <c r="L4942" s="1">
        <f t="shared" si="231"/>
        <v>35.162399999999998</v>
      </c>
      <c r="M4942" t="str" cm="1">
        <f t="array" ref="M4942">_xlfn.IFS(B4942&lt;18,"Under 18",B4942 &lt;=25,"18-25",B4942&lt;=35,"26-35",B4942&lt;=45,"36-45",B4942&lt;=60,"46-60",TRUE,"60+")</f>
        <v>26-35</v>
      </c>
      <c r="N4942" t="str">
        <f t="shared" si="232"/>
        <v>Discounted</v>
      </c>
      <c r="O4942" t="str">
        <f t="shared" si="233"/>
        <v>Returning</v>
      </c>
    </row>
    <row r="4943" spans="1:15" x14ac:dyDescent="0.25">
      <c r="A4943">
        <v>4942</v>
      </c>
      <c r="B4943">
        <v>22</v>
      </c>
      <c r="C4943" t="s">
        <v>16</v>
      </c>
      <c r="D4943" t="s">
        <v>20</v>
      </c>
      <c r="E4943" t="s">
        <v>36</v>
      </c>
      <c r="F4943" s="1">
        <v>193.77</v>
      </c>
      <c r="G4943" t="s">
        <v>14</v>
      </c>
      <c r="H4943" t="s">
        <v>15</v>
      </c>
      <c r="I4943" s="2">
        <v>4.9000000000000004</v>
      </c>
      <c r="J4943" s="4">
        <v>14</v>
      </c>
      <c r="K4943" s="3">
        <v>7</v>
      </c>
      <c r="L4943" s="1">
        <f t="shared" si="231"/>
        <v>166.6422</v>
      </c>
      <c r="M4943" t="str" cm="1">
        <f t="array" ref="M4943">_xlfn.IFS(B4943&lt;18,"Under 18",B4943 &lt;=25,"18-25",B4943&lt;=35,"26-35",B4943&lt;=45,"36-45",B4943&lt;=60,"46-60",TRUE,"60+")</f>
        <v>18-25</v>
      </c>
      <c r="N4943" t="str">
        <f t="shared" si="232"/>
        <v>Discounted</v>
      </c>
      <c r="O4943" t="str">
        <f t="shared" si="233"/>
        <v>Returning</v>
      </c>
    </row>
    <row r="4944" spans="1:15" x14ac:dyDescent="0.25">
      <c r="A4944">
        <v>4943</v>
      </c>
      <c r="B4944">
        <v>40</v>
      </c>
      <c r="C4944" t="s">
        <v>11</v>
      </c>
      <c r="D4944" t="s">
        <v>29</v>
      </c>
      <c r="E4944" t="s">
        <v>30</v>
      </c>
      <c r="F4944" s="1">
        <v>98.85</v>
      </c>
      <c r="G4944" t="s">
        <v>14</v>
      </c>
      <c r="H4944" t="s">
        <v>15</v>
      </c>
      <c r="I4944" s="2">
        <v>4.7</v>
      </c>
      <c r="J4944" s="4">
        <v>16</v>
      </c>
      <c r="K4944" s="3">
        <v>3</v>
      </c>
      <c r="L4944" s="1">
        <f t="shared" si="231"/>
        <v>83.033999999999992</v>
      </c>
      <c r="M4944" t="str" cm="1">
        <f t="array" ref="M4944">_xlfn.IFS(B4944&lt;18,"Under 18",B4944 &lt;=25,"18-25",B4944&lt;=35,"26-35",B4944&lt;=45,"36-45",B4944&lt;=60,"46-60",TRUE,"60+")</f>
        <v>36-45</v>
      </c>
      <c r="N4944" t="str">
        <f t="shared" si="232"/>
        <v>Discounted</v>
      </c>
      <c r="O4944" t="str">
        <f t="shared" si="233"/>
        <v>Returning</v>
      </c>
    </row>
    <row r="4945" spans="1:15" x14ac:dyDescent="0.25">
      <c r="A4945">
        <v>4944</v>
      </c>
      <c r="B4945">
        <v>28</v>
      </c>
      <c r="C4945" t="s">
        <v>16</v>
      </c>
      <c r="D4945" t="s">
        <v>33</v>
      </c>
      <c r="E4945" t="s">
        <v>40</v>
      </c>
      <c r="F4945" s="1">
        <v>216.39</v>
      </c>
      <c r="G4945" t="s">
        <v>14</v>
      </c>
      <c r="H4945" t="s">
        <v>15</v>
      </c>
      <c r="I4945" s="2">
        <v>1.5</v>
      </c>
      <c r="J4945" s="4">
        <v>7</v>
      </c>
      <c r="K4945" s="3">
        <v>1</v>
      </c>
      <c r="L4945" s="1">
        <f t="shared" si="231"/>
        <v>201.24269999999999</v>
      </c>
      <c r="M4945" t="str" cm="1">
        <f t="array" ref="M4945">_xlfn.IFS(B4945&lt;18,"Under 18",B4945 &lt;=25,"18-25",B4945&lt;=35,"26-35",B4945&lt;=45,"36-45",B4945&lt;=60,"46-60",TRUE,"60+")</f>
        <v>26-35</v>
      </c>
      <c r="N4945" t="str">
        <f t="shared" si="232"/>
        <v>Discounted</v>
      </c>
      <c r="O4945" t="str">
        <f t="shared" si="233"/>
        <v>Returning</v>
      </c>
    </row>
    <row r="4946" spans="1:15" x14ac:dyDescent="0.25">
      <c r="A4946">
        <v>4945</v>
      </c>
      <c r="B4946">
        <v>64</v>
      </c>
      <c r="C4946" t="s">
        <v>11</v>
      </c>
      <c r="D4946" t="s">
        <v>33</v>
      </c>
      <c r="E4946" t="s">
        <v>38</v>
      </c>
      <c r="F4946" s="1">
        <v>197.46</v>
      </c>
      <c r="G4946" t="s">
        <v>14</v>
      </c>
      <c r="H4946" t="s">
        <v>15</v>
      </c>
      <c r="I4946" s="2">
        <v>4.4000000000000004</v>
      </c>
      <c r="J4946" s="4">
        <v>10</v>
      </c>
      <c r="K4946" s="3">
        <v>5</v>
      </c>
      <c r="L4946" s="1">
        <f t="shared" si="231"/>
        <v>177.714</v>
      </c>
      <c r="M4946" t="str" cm="1">
        <f t="array" ref="M4946">_xlfn.IFS(B4946&lt;18,"Under 18",B4946 &lt;=25,"18-25",B4946&lt;=35,"26-35",B4946&lt;=45,"36-45",B4946&lt;=60,"46-60",TRUE,"60+")</f>
        <v>60+</v>
      </c>
      <c r="N4946" t="str">
        <f t="shared" si="232"/>
        <v>Discounted</v>
      </c>
      <c r="O4946" t="str">
        <f t="shared" si="233"/>
        <v>Returning</v>
      </c>
    </row>
    <row r="4947" spans="1:15" x14ac:dyDescent="0.25">
      <c r="A4947">
        <v>4946</v>
      </c>
      <c r="B4947">
        <v>48</v>
      </c>
      <c r="C4947" t="s">
        <v>11</v>
      </c>
      <c r="D4947" t="s">
        <v>25</v>
      </c>
      <c r="E4947" t="s">
        <v>47</v>
      </c>
      <c r="F4947" s="1">
        <v>75.400000000000006</v>
      </c>
      <c r="G4947" t="s">
        <v>19</v>
      </c>
      <c r="H4947" t="s">
        <v>15</v>
      </c>
      <c r="I4947" s="2">
        <v>3.7</v>
      </c>
      <c r="J4947" s="4">
        <v>8</v>
      </c>
      <c r="K4947" s="3">
        <v>4</v>
      </c>
      <c r="L4947" s="1">
        <f t="shared" si="231"/>
        <v>69.368000000000009</v>
      </c>
      <c r="M4947" t="str" cm="1">
        <f t="array" ref="M4947">_xlfn.IFS(B4947&lt;18,"Under 18",B4947 &lt;=25,"18-25",B4947&lt;=35,"26-35",B4947&lt;=45,"36-45",B4947&lt;=60,"46-60",TRUE,"60+")</f>
        <v>46-60</v>
      </c>
      <c r="N4947" t="str">
        <f t="shared" si="232"/>
        <v>Discounted</v>
      </c>
      <c r="O4947" t="str">
        <f t="shared" si="233"/>
        <v>Returning</v>
      </c>
    </row>
    <row r="4948" spans="1:15" x14ac:dyDescent="0.25">
      <c r="A4948">
        <v>4947</v>
      </c>
      <c r="B4948">
        <v>24</v>
      </c>
      <c r="C4948" t="s">
        <v>11</v>
      </c>
      <c r="D4948" t="s">
        <v>29</v>
      </c>
      <c r="E4948" t="s">
        <v>55</v>
      </c>
      <c r="F4948" s="1">
        <v>78.11</v>
      </c>
      <c r="G4948" t="s">
        <v>31</v>
      </c>
      <c r="H4948" t="s">
        <v>37</v>
      </c>
      <c r="I4948" s="2">
        <v>3.6</v>
      </c>
      <c r="J4948" s="4">
        <v>12</v>
      </c>
      <c r="K4948" s="3">
        <v>6</v>
      </c>
      <c r="L4948" s="1">
        <f t="shared" si="231"/>
        <v>68.736800000000002</v>
      </c>
      <c r="M4948" t="str" cm="1">
        <f t="array" ref="M4948">_xlfn.IFS(B4948&lt;18,"Under 18",B4948 &lt;=25,"18-25",B4948&lt;=35,"26-35",B4948&lt;=45,"36-45",B4948&lt;=60,"46-60",TRUE,"60+")</f>
        <v>18-25</v>
      </c>
      <c r="N4948" t="str">
        <f t="shared" si="232"/>
        <v>Discounted</v>
      </c>
      <c r="O4948" t="str">
        <f t="shared" si="233"/>
        <v>Returning</v>
      </c>
    </row>
    <row r="4949" spans="1:15" x14ac:dyDescent="0.25">
      <c r="A4949">
        <v>4948</v>
      </c>
      <c r="B4949">
        <v>20</v>
      </c>
      <c r="C4949" t="s">
        <v>11</v>
      </c>
      <c r="D4949" t="s">
        <v>29</v>
      </c>
      <c r="E4949" t="s">
        <v>55</v>
      </c>
      <c r="F4949" s="1">
        <v>32.659999999999997</v>
      </c>
      <c r="G4949" t="s">
        <v>19</v>
      </c>
      <c r="H4949" t="s">
        <v>37</v>
      </c>
      <c r="I4949" s="2">
        <v>2.9</v>
      </c>
      <c r="J4949" s="4">
        <v>8</v>
      </c>
      <c r="K4949" s="3">
        <v>4</v>
      </c>
      <c r="L4949" s="1">
        <f t="shared" si="231"/>
        <v>30.047199999999997</v>
      </c>
      <c r="M4949" t="str" cm="1">
        <f t="array" ref="M4949">_xlfn.IFS(B4949&lt;18,"Under 18",B4949 &lt;=25,"18-25",B4949&lt;=35,"26-35",B4949&lt;=45,"36-45",B4949&lt;=60,"46-60",TRUE,"60+")</f>
        <v>18-25</v>
      </c>
      <c r="N4949" t="str">
        <f t="shared" si="232"/>
        <v>Discounted</v>
      </c>
      <c r="O4949" t="str">
        <f t="shared" si="233"/>
        <v>Returning</v>
      </c>
    </row>
    <row r="4950" spans="1:15" x14ac:dyDescent="0.25">
      <c r="A4950">
        <v>4949</v>
      </c>
      <c r="B4950">
        <v>21</v>
      </c>
      <c r="C4950" t="s">
        <v>11</v>
      </c>
      <c r="D4950" t="s">
        <v>33</v>
      </c>
      <c r="E4950" t="s">
        <v>34</v>
      </c>
      <c r="F4950" s="1">
        <v>91.71</v>
      </c>
      <c r="G4950" t="s">
        <v>14</v>
      </c>
      <c r="H4950" t="s">
        <v>37</v>
      </c>
      <c r="I4950" s="2">
        <v>3</v>
      </c>
      <c r="J4950" s="4">
        <v>8</v>
      </c>
      <c r="K4950" s="3">
        <v>4</v>
      </c>
      <c r="L4950" s="1">
        <f t="shared" si="231"/>
        <v>84.373199999999997</v>
      </c>
      <c r="M4950" t="str" cm="1">
        <f t="array" ref="M4950">_xlfn.IFS(B4950&lt;18,"Under 18",B4950 &lt;=25,"18-25",B4950&lt;=35,"26-35",B4950&lt;=45,"36-45",B4950&lt;=60,"46-60",TRUE,"60+")</f>
        <v>18-25</v>
      </c>
      <c r="N4950" t="str">
        <f t="shared" si="232"/>
        <v>Discounted</v>
      </c>
      <c r="O4950" t="str">
        <f t="shared" si="233"/>
        <v>Returning</v>
      </c>
    </row>
    <row r="4951" spans="1:15" x14ac:dyDescent="0.25">
      <c r="A4951">
        <v>4950</v>
      </c>
      <c r="B4951">
        <v>70</v>
      </c>
      <c r="C4951" t="s">
        <v>11</v>
      </c>
      <c r="D4951" t="s">
        <v>29</v>
      </c>
      <c r="E4951" t="s">
        <v>55</v>
      </c>
      <c r="F4951" s="1">
        <v>70.739999999999995</v>
      </c>
      <c r="G4951" t="s">
        <v>14</v>
      </c>
      <c r="H4951" t="s">
        <v>37</v>
      </c>
      <c r="I4951" s="2">
        <v>4.7</v>
      </c>
      <c r="J4951" s="4">
        <v>28</v>
      </c>
      <c r="K4951" s="3">
        <v>9</v>
      </c>
      <c r="L4951" s="1">
        <f t="shared" si="231"/>
        <v>50.932799999999993</v>
      </c>
      <c r="M4951" t="str" cm="1">
        <f t="array" ref="M4951">_xlfn.IFS(B4951&lt;18,"Under 18",B4951 &lt;=25,"18-25",B4951&lt;=35,"26-35",B4951&lt;=45,"36-45",B4951&lt;=60,"46-60",TRUE,"60+")</f>
        <v>60+</v>
      </c>
      <c r="N4951" t="str">
        <f t="shared" si="232"/>
        <v>Discounted</v>
      </c>
      <c r="O4951" t="str">
        <f t="shared" si="233"/>
        <v>Returning</v>
      </c>
    </row>
    <row r="4952" spans="1:15" x14ac:dyDescent="0.25">
      <c r="A4952">
        <v>4951</v>
      </c>
      <c r="B4952">
        <v>39</v>
      </c>
      <c r="C4952" t="s">
        <v>11</v>
      </c>
      <c r="D4952" t="s">
        <v>33</v>
      </c>
      <c r="E4952" t="s">
        <v>38</v>
      </c>
      <c r="F4952" s="1">
        <v>92.58</v>
      </c>
      <c r="G4952" t="s">
        <v>31</v>
      </c>
      <c r="H4952" t="s">
        <v>15</v>
      </c>
      <c r="I4952" s="2">
        <v>3.6</v>
      </c>
      <c r="J4952" s="4">
        <v>11</v>
      </c>
      <c r="K4952" s="3">
        <v>3</v>
      </c>
      <c r="L4952" s="1">
        <f t="shared" si="231"/>
        <v>82.396199999999993</v>
      </c>
      <c r="M4952" t="str" cm="1">
        <f t="array" ref="M4952">_xlfn.IFS(B4952&lt;18,"Under 18",B4952 &lt;=25,"18-25",B4952&lt;=35,"26-35",B4952&lt;=45,"36-45",B4952&lt;=60,"46-60",TRUE,"60+")</f>
        <v>36-45</v>
      </c>
      <c r="N4952" t="str">
        <f t="shared" si="232"/>
        <v>Discounted</v>
      </c>
      <c r="O4952" t="str">
        <f t="shared" si="233"/>
        <v>Returning</v>
      </c>
    </row>
    <row r="4953" spans="1:15" x14ac:dyDescent="0.25">
      <c r="A4953">
        <v>4952</v>
      </c>
      <c r="B4953">
        <v>53</v>
      </c>
      <c r="C4953" t="s">
        <v>11</v>
      </c>
      <c r="D4953" t="s">
        <v>29</v>
      </c>
      <c r="E4953" t="s">
        <v>51</v>
      </c>
      <c r="F4953" s="1">
        <v>92.62</v>
      </c>
      <c r="G4953" t="s">
        <v>31</v>
      </c>
      <c r="H4953" t="s">
        <v>15</v>
      </c>
      <c r="I4953" s="2">
        <v>4.9000000000000004</v>
      </c>
      <c r="J4953" s="4">
        <v>11</v>
      </c>
      <c r="K4953" s="3">
        <v>3</v>
      </c>
      <c r="L4953" s="1">
        <f t="shared" si="231"/>
        <v>82.43180000000001</v>
      </c>
      <c r="M4953" t="str" cm="1">
        <f t="array" ref="M4953">_xlfn.IFS(B4953&lt;18,"Under 18",B4953 &lt;=25,"18-25",B4953&lt;=35,"26-35",B4953&lt;=45,"36-45",B4953&lt;=60,"46-60",TRUE,"60+")</f>
        <v>46-60</v>
      </c>
      <c r="N4953" t="str">
        <f t="shared" si="232"/>
        <v>Discounted</v>
      </c>
      <c r="O4953" t="str">
        <f t="shared" si="233"/>
        <v>Returning</v>
      </c>
    </row>
    <row r="4954" spans="1:15" x14ac:dyDescent="0.25">
      <c r="A4954">
        <v>4953</v>
      </c>
      <c r="B4954">
        <v>24</v>
      </c>
      <c r="C4954" t="s">
        <v>16</v>
      </c>
      <c r="D4954" t="s">
        <v>33</v>
      </c>
      <c r="E4954" t="s">
        <v>40</v>
      </c>
      <c r="F4954" s="1">
        <v>201.33</v>
      </c>
      <c r="G4954" t="s">
        <v>24</v>
      </c>
      <c r="H4954" t="s">
        <v>15</v>
      </c>
      <c r="I4954" s="2">
        <v>3.4</v>
      </c>
      <c r="J4954" s="4">
        <v>0</v>
      </c>
      <c r="K4954" s="3">
        <v>0</v>
      </c>
      <c r="L4954" s="1">
        <f t="shared" si="231"/>
        <v>201.33</v>
      </c>
      <c r="M4954" t="str" cm="1">
        <f t="array" ref="M4954">_xlfn.IFS(B4954&lt;18,"Under 18",B4954 &lt;=25,"18-25",B4954&lt;=35,"26-35",B4954&lt;=45,"36-45",B4954&lt;=60,"46-60",TRUE,"60+")</f>
        <v>18-25</v>
      </c>
      <c r="N4954" t="str">
        <f t="shared" si="232"/>
        <v>No Discount</v>
      </c>
      <c r="O4954" t="str">
        <f t="shared" si="233"/>
        <v>New</v>
      </c>
    </row>
    <row r="4955" spans="1:15" x14ac:dyDescent="0.25">
      <c r="A4955">
        <v>4954</v>
      </c>
      <c r="B4955">
        <v>22</v>
      </c>
      <c r="C4955" t="s">
        <v>11</v>
      </c>
      <c r="D4955" t="s">
        <v>41</v>
      </c>
      <c r="E4955" t="s">
        <v>44</v>
      </c>
      <c r="F4955" s="1">
        <v>107.7</v>
      </c>
      <c r="G4955" t="s">
        <v>14</v>
      </c>
      <c r="H4955" t="s">
        <v>15</v>
      </c>
      <c r="I4955" s="2">
        <v>3.2</v>
      </c>
      <c r="J4955" s="4">
        <v>28</v>
      </c>
      <c r="K4955" s="3">
        <v>9</v>
      </c>
      <c r="L4955" s="1">
        <f t="shared" si="231"/>
        <v>77.543999999999997</v>
      </c>
      <c r="M4955" t="str" cm="1">
        <f t="array" ref="M4955">_xlfn.IFS(B4955&lt;18,"Under 18",B4955 &lt;=25,"18-25",B4955&lt;=35,"26-35",B4955&lt;=45,"36-45",B4955&lt;=60,"46-60",TRUE,"60+")</f>
        <v>18-25</v>
      </c>
      <c r="N4955" t="str">
        <f t="shared" si="232"/>
        <v>Discounted</v>
      </c>
      <c r="O4955" t="str">
        <f t="shared" si="233"/>
        <v>Returning</v>
      </c>
    </row>
    <row r="4956" spans="1:15" x14ac:dyDescent="0.25">
      <c r="A4956">
        <v>4955</v>
      </c>
      <c r="B4956">
        <v>29</v>
      </c>
      <c r="C4956" t="s">
        <v>16</v>
      </c>
      <c r="D4956" t="s">
        <v>20</v>
      </c>
      <c r="E4956" t="s">
        <v>21</v>
      </c>
      <c r="F4956" s="1">
        <v>48.66</v>
      </c>
      <c r="G4956" t="s">
        <v>19</v>
      </c>
      <c r="H4956" t="s">
        <v>15</v>
      </c>
      <c r="I4956" s="2">
        <v>3.5</v>
      </c>
      <c r="J4956" s="4">
        <v>4</v>
      </c>
      <c r="K4956" s="3">
        <v>2</v>
      </c>
      <c r="L4956" s="1">
        <f t="shared" si="231"/>
        <v>46.713599999999992</v>
      </c>
      <c r="M4956" t="str" cm="1">
        <f t="array" ref="M4956">_xlfn.IFS(B4956&lt;18,"Under 18",B4956 &lt;=25,"18-25",B4956&lt;=35,"26-35",B4956&lt;=45,"36-45",B4956&lt;=60,"46-60",TRUE,"60+")</f>
        <v>26-35</v>
      </c>
      <c r="N4956" t="str">
        <f t="shared" si="232"/>
        <v>Discounted</v>
      </c>
      <c r="O4956" t="str">
        <f t="shared" si="233"/>
        <v>Returning</v>
      </c>
    </row>
    <row r="4957" spans="1:15" x14ac:dyDescent="0.25">
      <c r="A4957">
        <v>4956</v>
      </c>
      <c r="B4957">
        <v>37</v>
      </c>
      <c r="C4957" t="s">
        <v>16</v>
      </c>
      <c r="D4957" t="s">
        <v>25</v>
      </c>
      <c r="E4957" t="s">
        <v>47</v>
      </c>
      <c r="F4957" s="1">
        <v>43.47</v>
      </c>
      <c r="G4957" t="s">
        <v>14</v>
      </c>
      <c r="H4957" t="s">
        <v>37</v>
      </c>
      <c r="I4957" s="2">
        <v>4.0999999999999996</v>
      </c>
      <c r="J4957" s="4">
        <v>16</v>
      </c>
      <c r="K4957" s="3">
        <v>3</v>
      </c>
      <c r="L4957" s="1">
        <f t="shared" si="231"/>
        <v>36.514800000000001</v>
      </c>
      <c r="M4957" t="str" cm="1">
        <f t="array" ref="M4957">_xlfn.IFS(B4957&lt;18,"Under 18",B4957 &lt;=25,"18-25",B4957&lt;=35,"26-35",B4957&lt;=45,"36-45",B4957&lt;=60,"46-60",TRUE,"60+")</f>
        <v>36-45</v>
      </c>
      <c r="N4957" t="str">
        <f t="shared" si="232"/>
        <v>Discounted</v>
      </c>
      <c r="O4957" t="str">
        <f t="shared" si="233"/>
        <v>Returning</v>
      </c>
    </row>
    <row r="4958" spans="1:15" x14ac:dyDescent="0.25">
      <c r="A4958">
        <v>4957</v>
      </c>
      <c r="B4958">
        <v>47</v>
      </c>
      <c r="C4958" t="s">
        <v>16</v>
      </c>
      <c r="D4958" t="s">
        <v>17</v>
      </c>
      <c r="E4958" t="s">
        <v>42</v>
      </c>
      <c r="F4958" s="1">
        <v>179.91</v>
      </c>
      <c r="G4958" t="s">
        <v>31</v>
      </c>
      <c r="H4958" t="s">
        <v>15</v>
      </c>
      <c r="I4958" s="2">
        <v>4.4000000000000004</v>
      </c>
      <c r="J4958" s="4">
        <v>12</v>
      </c>
      <c r="K4958" s="3">
        <v>6</v>
      </c>
      <c r="L4958" s="1">
        <f t="shared" si="231"/>
        <v>158.32079999999999</v>
      </c>
      <c r="M4958" t="str" cm="1">
        <f t="array" ref="M4958">_xlfn.IFS(B4958&lt;18,"Under 18",B4958 &lt;=25,"18-25",B4958&lt;=35,"26-35",B4958&lt;=45,"36-45",B4958&lt;=60,"46-60",TRUE,"60+")</f>
        <v>46-60</v>
      </c>
      <c r="N4958" t="str">
        <f t="shared" si="232"/>
        <v>Discounted</v>
      </c>
      <c r="O4958" t="str">
        <f t="shared" si="233"/>
        <v>Returning</v>
      </c>
    </row>
    <row r="4959" spans="1:15" x14ac:dyDescent="0.25">
      <c r="A4959">
        <v>4958</v>
      </c>
      <c r="B4959">
        <v>69</v>
      </c>
      <c r="C4959" t="s">
        <v>16</v>
      </c>
      <c r="D4959" t="s">
        <v>25</v>
      </c>
      <c r="E4959" t="s">
        <v>57</v>
      </c>
      <c r="F4959" s="1">
        <v>60.23</v>
      </c>
      <c r="G4959" t="s">
        <v>14</v>
      </c>
      <c r="H4959" t="s">
        <v>37</v>
      </c>
      <c r="I4959" s="2">
        <v>3.3</v>
      </c>
      <c r="J4959" s="4">
        <v>14</v>
      </c>
      <c r="K4959" s="3">
        <v>7</v>
      </c>
      <c r="L4959" s="1">
        <f t="shared" si="231"/>
        <v>51.797799999999995</v>
      </c>
      <c r="M4959" t="str" cm="1">
        <f t="array" ref="M4959">_xlfn.IFS(B4959&lt;18,"Under 18",B4959 &lt;=25,"18-25",B4959&lt;=35,"26-35",B4959&lt;=45,"36-45",B4959&lt;=60,"46-60",TRUE,"60+")</f>
        <v>60+</v>
      </c>
      <c r="N4959" t="str">
        <f t="shared" si="232"/>
        <v>Discounted</v>
      </c>
      <c r="O4959" t="str">
        <f t="shared" si="233"/>
        <v>Returning</v>
      </c>
    </row>
    <row r="4960" spans="1:15" x14ac:dyDescent="0.25">
      <c r="A4960">
        <v>4959</v>
      </c>
      <c r="B4960">
        <v>36</v>
      </c>
      <c r="C4960" t="s">
        <v>11</v>
      </c>
      <c r="D4960" t="s">
        <v>25</v>
      </c>
      <c r="E4960" t="s">
        <v>57</v>
      </c>
      <c r="F4960" s="1">
        <v>33.119999999999997</v>
      </c>
      <c r="G4960" t="s">
        <v>19</v>
      </c>
      <c r="H4960" t="s">
        <v>15</v>
      </c>
      <c r="I4960" s="2">
        <v>4.3</v>
      </c>
      <c r="J4960" s="4">
        <v>15</v>
      </c>
      <c r="K4960" s="3">
        <v>5</v>
      </c>
      <c r="L4960" s="1">
        <f t="shared" si="231"/>
        <v>28.151999999999997</v>
      </c>
      <c r="M4960" t="str" cm="1">
        <f t="array" ref="M4960">_xlfn.IFS(B4960&lt;18,"Under 18",B4960 &lt;=25,"18-25",B4960&lt;=35,"26-35",B4960&lt;=45,"36-45",B4960&lt;=60,"46-60",TRUE,"60+")</f>
        <v>36-45</v>
      </c>
      <c r="N4960" t="str">
        <f t="shared" si="232"/>
        <v>Discounted</v>
      </c>
      <c r="O4960" t="str">
        <f t="shared" si="233"/>
        <v>Returning</v>
      </c>
    </row>
    <row r="4961" spans="1:15" x14ac:dyDescent="0.25">
      <c r="A4961">
        <v>4960</v>
      </c>
      <c r="B4961">
        <v>42</v>
      </c>
      <c r="C4961" t="s">
        <v>16</v>
      </c>
      <c r="D4961" t="s">
        <v>27</v>
      </c>
      <c r="E4961" t="s">
        <v>28</v>
      </c>
      <c r="F4961" s="1">
        <v>2340.63</v>
      </c>
      <c r="G4961" t="s">
        <v>14</v>
      </c>
      <c r="H4961" t="s">
        <v>15</v>
      </c>
      <c r="I4961" s="2">
        <v>3.1</v>
      </c>
      <c r="J4961" s="4">
        <v>9</v>
      </c>
      <c r="K4961" s="3">
        <v>2</v>
      </c>
      <c r="L4961" s="1">
        <f t="shared" si="231"/>
        <v>2129.9733000000001</v>
      </c>
      <c r="M4961" t="str" cm="1">
        <f t="array" ref="M4961">_xlfn.IFS(B4961&lt;18,"Under 18",B4961 &lt;=25,"18-25",B4961&lt;=35,"26-35",B4961&lt;=45,"36-45",B4961&lt;=60,"46-60",TRUE,"60+")</f>
        <v>36-45</v>
      </c>
      <c r="N4961" t="str">
        <f t="shared" si="232"/>
        <v>Discounted</v>
      </c>
      <c r="O4961" t="str">
        <f t="shared" si="233"/>
        <v>Returning</v>
      </c>
    </row>
    <row r="4962" spans="1:15" x14ac:dyDescent="0.25">
      <c r="A4962">
        <v>4961</v>
      </c>
      <c r="B4962">
        <v>23</v>
      </c>
      <c r="C4962" t="s">
        <v>11</v>
      </c>
      <c r="D4962" t="s">
        <v>20</v>
      </c>
      <c r="E4962" t="s">
        <v>39</v>
      </c>
      <c r="F4962" s="1">
        <v>124.64</v>
      </c>
      <c r="G4962" t="s">
        <v>19</v>
      </c>
      <c r="H4962" t="s">
        <v>15</v>
      </c>
      <c r="I4962" s="2">
        <v>4.9000000000000004</v>
      </c>
      <c r="J4962" s="4">
        <v>20</v>
      </c>
      <c r="K4962" s="3">
        <v>5</v>
      </c>
      <c r="L4962" s="1">
        <f t="shared" si="231"/>
        <v>99.712000000000003</v>
      </c>
      <c r="M4962" t="str" cm="1">
        <f t="array" ref="M4962">_xlfn.IFS(B4962&lt;18,"Under 18",B4962 &lt;=25,"18-25",B4962&lt;=35,"26-35",B4962&lt;=45,"36-45",B4962&lt;=60,"46-60",TRUE,"60+")</f>
        <v>18-25</v>
      </c>
      <c r="N4962" t="str">
        <f t="shared" si="232"/>
        <v>Discounted</v>
      </c>
      <c r="O4962" t="str">
        <f t="shared" si="233"/>
        <v>Returning</v>
      </c>
    </row>
    <row r="4963" spans="1:15" x14ac:dyDescent="0.25">
      <c r="A4963">
        <v>4962</v>
      </c>
      <c r="B4963">
        <v>52</v>
      </c>
      <c r="C4963" t="s">
        <v>16</v>
      </c>
      <c r="D4963" t="s">
        <v>25</v>
      </c>
      <c r="E4963" t="s">
        <v>26</v>
      </c>
      <c r="F4963" s="1">
        <v>69.010000000000005</v>
      </c>
      <c r="G4963" t="s">
        <v>31</v>
      </c>
      <c r="H4963" t="s">
        <v>37</v>
      </c>
      <c r="I4963" s="2">
        <v>3.6</v>
      </c>
      <c r="J4963" s="4">
        <v>8</v>
      </c>
      <c r="K4963" s="3">
        <v>4</v>
      </c>
      <c r="L4963" s="1">
        <f t="shared" si="231"/>
        <v>63.489200000000011</v>
      </c>
      <c r="M4963" t="str" cm="1">
        <f t="array" ref="M4963">_xlfn.IFS(B4963&lt;18,"Under 18",B4963 &lt;=25,"18-25",B4963&lt;=35,"26-35",B4963&lt;=45,"36-45",B4963&lt;=60,"46-60",TRUE,"60+")</f>
        <v>46-60</v>
      </c>
      <c r="N4963" t="str">
        <f t="shared" si="232"/>
        <v>Discounted</v>
      </c>
      <c r="O4963" t="str">
        <f t="shared" si="233"/>
        <v>Returning</v>
      </c>
    </row>
    <row r="4964" spans="1:15" x14ac:dyDescent="0.25">
      <c r="A4964">
        <v>4963</v>
      </c>
      <c r="B4964">
        <v>59</v>
      </c>
      <c r="C4964" t="s">
        <v>11</v>
      </c>
      <c r="D4964" t="s">
        <v>12</v>
      </c>
      <c r="E4964" t="s">
        <v>50</v>
      </c>
      <c r="F4964" s="1">
        <v>67.83</v>
      </c>
      <c r="G4964" t="s">
        <v>24</v>
      </c>
      <c r="H4964" t="s">
        <v>37</v>
      </c>
      <c r="I4964" s="2">
        <v>2.7</v>
      </c>
      <c r="J4964" s="4">
        <v>13</v>
      </c>
      <c r="K4964" s="3">
        <v>4</v>
      </c>
      <c r="L4964" s="1">
        <f t="shared" si="231"/>
        <v>59.012099999999997</v>
      </c>
      <c r="M4964" t="str" cm="1">
        <f t="array" ref="M4964">_xlfn.IFS(B4964&lt;18,"Under 18",B4964 &lt;=25,"18-25",B4964&lt;=35,"26-35",B4964&lt;=45,"36-45",B4964&lt;=60,"46-60",TRUE,"60+")</f>
        <v>46-60</v>
      </c>
      <c r="N4964" t="str">
        <f t="shared" si="232"/>
        <v>Discounted</v>
      </c>
      <c r="O4964" t="str">
        <f t="shared" si="233"/>
        <v>Returning</v>
      </c>
    </row>
    <row r="4965" spans="1:15" x14ac:dyDescent="0.25">
      <c r="A4965">
        <v>4964</v>
      </c>
      <c r="B4965">
        <v>21</v>
      </c>
      <c r="C4965" t="s">
        <v>16</v>
      </c>
      <c r="D4965" t="s">
        <v>17</v>
      </c>
      <c r="E4965" t="s">
        <v>35</v>
      </c>
      <c r="F4965" s="1">
        <v>80.010000000000005</v>
      </c>
      <c r="G4965" t="s">
        <v>19</v>
      </c>
      <c r="H4965" t="s">
        <v>15</v>
      </c>
      <c r="I4965" s="2">
        <v>4.5</v>
      </c>
      <c r="J4965" s="4">
        <v>19</v>
      </c>
      <c r="K4965" s="3">
        <v>7</v>
      </c>
      <c r="L4965" s="1">
        <f t="shared" si="231"/>
        <v>64.80810000000001</v>
      </c>
      <c r="M4965" t="str" cm="1">
        <f t="array" ref="M4965">_xlfn.IFS(B4965&lt;18,"Under 18",B4965 &lt;=25,"18-25",B4965&lt;=35,"26-35",B4965&lt;=45,"36-45",B4965&lt;=60,"46-60",TRUE,"60+")</f>
        <v>18-25</v>
      </c>
      <c r="N4965" t="str">
        <f t="shared" si="232"/>
        <v>Discounted</v>
      </c>
      <c r="O4965" t="str">
        <f t="shared" si="233"/>
        <v>Returning</v>
      </c>
    </row>
    <row r="4966" spans="1:15" x14ac:dyDescent="0.25">
      <c r="A4966">
        <v>4965</v>
      </c>
      <c r="B4966">
        <v>50</v>
      </c>
      <c r="C4966" t="s">
        <v>16</v>
      </c>
      <c r="D4966" t="s">
        <v>20</v>
      </c>
      <c r="E4966" t="s">
        <v>36</v>
      </c>
      <c r="F4966" s="1">
        <v>65.650000000000006</v>
      </c>
      <c r="G4966" t="s">
        <v>14</v>
      </c>
      <c r="H4966" t="s">
        <v>37</v>
      </c>
      <c r="I4966" s="2">
        <v>4</v>
      </c>
      <c r="J4966" s="4">
        <v>16</v>
      </c>
      <c r="K4966" s="3">
        <v>8</v>
      </c>
      <c r="L4966" s="1">
        <f t="shared" si="231"/>
        <v>55.146000000000001</v>
      </c>
      <c r="M4966" t="str" cm="1">
        <f t="array" ref="M4966">_xlfn.IFS(B4966&lt;18,"Under 18",B4966 &lt;=25,"18-25",B4966&lt;=35,"26-35",B4966&lt;=45,"36-45",B4966&lt;=60,"46-60",TRUE,"60+")</f>
        <v>46-60</v>
      </c>
      <c r="N4966" t="str">
        <f t="shared" si="232"/>
        <v>Discounted</v>
      </c>
      <c r="O4966" t="str">
        <f t="shared" si="233"/>
        <v>Returning</v>
      </c>
    </row>
    <row r="4967" spans="1:15" x14ac:dyDescent="0.25">
      <c r="A4967">
        <v>4966</v>
      </c>
      <c r="B4967">
        <v>50</v>
      </c>
      <c r="C4967" t="s">
        <v>16</v>
      </c>
      <c r="D4967" t="s">
        <v>33</v>
      </c>
      <c r="E4967" t="s">
        <v>34</v>
      </c>
      <c r="F4967" s="1">
        <v>64.930000000000007</v>
      </c>
      <c r="G4967" t="s">
        <v>19</v>
      </c>
      <c r="H4967" t="s">
        <v>15</v>
      </c>
      <c r="I4967" s="2">
        <v>4.4000000000000004</v>
      </c>
      <c r="J4967" s="4">
        <v>9</v>
      </c>
      <c r="K4967" s="3">
        <v>2</v>
      </c>
      <c r="L4967" s="1">
        <f t="shared" si="231"/>
        <v>59.086300000000008</v>
      </c>
      <c r="M4967" t="str" cm="1">
        <f t="array" ref="M4967">_xlfn.IFS(B4967&lt;18,"Under 18",B4967 &lt;=25,"18-25",B4967&lt;=35,"26-35",B4967&lt;=45,"36-45",B4967&lt;=60,"46-60",TRUE,"60+")</f>
        <v>46-60</v>
      </c>
      <c r="N4967" t="str">
        <f t="shared" si="232"/>
        <v>Discounted</v>
      </c>
      <c r="O4967" t="str">
        <f t="shared" si="233"/>
        <v>Returning</v>
      </c>
    </row>
    <row r="4968" spans="1:15" x14ac:dyDescent="0.25">
      <c r="A4968">
        <v>4967</v>
      </c>
      <c r="B4968">
        <v>57</v>
      </c>
      <c r="C4968" t="s">
        <v>16</v>
      </c>
      <c r="D4968" t="s">
        <v>17</v>
      </c>
      <c r="E4968" t="s">
        <v>42</v>
      </c>
      <c r="F4968" s="1">
        <v>185.82</v>
      </c>
      <c r="G4968" t="s">
        <v>19</v>
      </c>
      <c r="H4968" t="s">
        <v>15</v>
      </c>
      <c r="I4968" s="2">
        <v>3.6</v>
      </c>
      <c r="J4968" s="4">
        <v>17</v>
      </c>
      <c r="K4968" s="3">
        <v>6</v>
      </c>
      <c r="L4968" s="1">
        <f t="shared" si="231"/>
        <v>154.23059999999998</v>
      </c>
      <c r="M4968" t="str" cm="1">
        <f t="array" ref="M4968">_xlfn.IFS(B4968&lt;18,"Under 18",B4968 &lt;=25,"18-25",B4968&lt;=35,"26-35",B4968&lt;=45,"36-45",B4968&lt;=60,"46-60",TRUE,"60+")</f>
        <v>46-60</v>
      </c>
      <c r="N4968" t="str">
        <f t="shared" si="232"/>
        <v>Discounted</v>
      </c>
      <c r="O4968" t="str">
        <f t="shared" si="233"/>
        <v>Returning</v>
      </c>
    </row>
    <row r="4969" spans="1:15" x14ac:dyDescent="0.25">
      <c r="A4969">
        <v>4968</v>
      </c>
      <c r="B4969">
        <v>58</v>
      </c>
      <c r="C4969" t="s">
        <v>11</v>
      </c>
      <c r="D4969" t="s">
        <v>12</v>
      </c>
      <c r="E4969" t="s">
        <v>13</v>
      </c>
      <c r="F4969" s="1">
        <v>60.51</v>
      </c>
      <c r="G4969" t="s">
        <v>31</v>
      </c>
      <c r="H4969" t="s">
        <v>15</v>
      </c>
      <c r="I4969" s="2">
        <v>3.9</v>
      </c>
      <c r="J4969" s="4">
        <v>8</v>
      </c>
      <c r="K4969" s="3">
        <v>4</v>
      </c>
      <c r="L4969" s="1">
        <f t="shared" si="231"/>
        <v>55.669200000000004</v>
      </c>
      <c r="M4969" t="str" cm="1">
        <f t="array" ref="M4969">_xlfn.IFS(B4969&lt;18,"Under 18",B4969 &lt;=25,"18-25",B4969&lt;=35,"26-35",B4969&lt;=45,"36-45",B4969&lt;=60,"46-60",TRUE,"60+")</f>
        <v>46-60</v>
      </c>
      <c r="N4969" t="str">
        <f t="shared" si="232"/>
        <v>Discounted</v>
      </c>
      <c r="O4969" t="str">
        <f t="shared" si="233"/>
        <v>Returning</v>
      </c>
    </row>
    <row r="4970" spans="1:15" x14ac:dyDescent="0.25">
      <c r="A4970">
        <v>4969</v>
      </c>
      <c r="B4970">
        <v>34</v>
      </c>
      <c r="C4970" t="s">
        <v>16</v>
      </c>
      <c r="D4970" t="s">
        <v>22</v>
      </c>
      <c r="E4970" t="s">
        <v>43</v>
      </c>
      <c r="F4970" s="1">
        <v>34.950000000000003</v>
      </c>
      <c r="G4970" t="s">
        <v>24</v>
      </c>
      <c r="H4970" t="s">
        <v>37</v>
      </c>
      <c r="I4970" s="2">
        <v>3.6</v>
      </c>
      <c r="J4970" s="4">
        <v>8</v>
      </c>
      <c r="K4970" s="3">
        <v>4</v>
      </c>
      <c r="L4970" s="1">
        <f t="shared" si="231"/>
        <v>32.154000000000003</v>
      </c>
      <c r="M4970" t="str" cm="1">
        <f t="array" ref="M4970">_xlfn.IFS(B4970&lt;18,"Under 18",B4970 &lt;=25,"18-25",B4970&lt;=35,"26-35",B4970&lt;=45,"36-45",B4970&lt;=60,"46-60",TRUE,"60+")</f>
        <v>26-35</v>
      </c>
      <c r="N4970" t="str">
        <f t="shared" si="232"/>
        <v>Discounted</v>
      </c>
      <c r="O4970" t="str">
        <f t="shared" si="233"/>
        <v>Returning</v>
      </c>
    </row>
    <row r="4971" spans="1:15" x14ac:dyDescent="0.25">
      <c r="A4971">
        <v>4970</v>
      </c>
      <c r="B4971">
        <v>41</v>
      </c>
      <c r="C4971" t="s">
        <v>16</v>
      </c>
      <c r="D4971" t="s">
        <v>27</v>
      </c>
      <c r="E4971" t="s">
        <v>49</v>
      </c>
      <c r="F4971" s="1">
        <v>2442.98</v>
      </c>
      <c r="G4971" t="s">
        <v>19</v>
      </c>
      <c r="H4971" t="s">
        <v>15</v>
      </c>
      <c r="I4971" s="2">
        <v>4.8</v>
      </c>
      <c r="J4971" s="4">
        <v>10</v>
      </c>
      <c r="K4971" s="3">
        <v>5</v>
      </c>
      <c r="L4971" s="1">
        <f t="shared" si="231"/>
        <v>2198.6820000000002</v>
      </c>
      <c r="M4971" t="str" cm="1">
        <f t="array" ref="M4971">_xlfn.IFS(B4971&lt;18,"Under 18",B4971 &lt;=25,"18-25",B4971&lt;=35,"26-35",B4971&lt;=45,"36-45",B4971&lt;=60,"46-60",TRUE,"60+")</f>
        <v>36-45</v>
      </c>
      <c r="N4971" t="str">
        <f t="shared" si="232"/>
        <v>Discounted</v>
      </c>
      <c r="O4971" t="str">
        <f t="shared" si="233"/>
        <v>Returning</v>
      </c>
    </row>
    <row r="4972" spans="1:15" x14ac:dyDescent="0.25">
      <c r="A4972">
        <v>4971</v>
      </c>
      <c r="B4972">
        <v>52</v>
      </c>
      <c r="C4972" t="s">
        <v>11</v>
      </c>
      <c r="D4972" t="s">
        <v>12</v>
      </c>
      <c r="E4972" t="s">
        <v>56</v>
      </c>
      <c r="F4972" s="1">
        <v>177.26</v>
      </c>
      <c r="G4972" t="s">
        <v>31</v>
      </c>
      <c r="H4972" t="s">
        <v>15</v>
      </c>
      <c r="I4972" s="2">
        <v>3.3</v>
      </c>
      <c r="J4972" s="4">
        <v>16</v>
      </c>
      <c r="K4972" s="3">
        <v>3</v>
      </c>
      <c r="L4972" s="1">
        <f t="shared" si="231"/>
        <v>148.89839999999998</v>
      </c>
      <c r="M4972" t="str" cm="1">
        <f t="array" ref="M4972">_xlfn.IFS(B4972&lt;18,"Under 18",B4972 &lt;=25,"18-25",B4972&lt;=35,"26-35",B4972&lt;=45,"36-45",B4972&lt;=60,"46-60",TRUE,"60+")</f>
        <v>46-60</v>
      </c>
      <c r="N4972" t="str">
        <f t="shared" si="232"/>
        <v>Discounted</v>
      </c>
      <c r="O4972" t="str">
        <f t="shared" si="233"/>
        <v>Returning</v>
      </c>
    </row>
    <row r="4973" spans="1:15" x14ac:dyDescent="0.25">
      <c r="A4973">
        <v>4972</v>
      </c>
      <c r="B4973">
        <v>24</v>
      </c>
      <c r="C4973" t="s">
        <v>16</v>
      </c>
      <c r="D4973" t="s">
        <v>17</v>
      </c>
      <c r="E4973" t="s">
        <v>48</v>
      </c>
      <c r="F4973" s="1">
        <v>161.44</v>
      </c>
      <c r="G4973" t="s">
        <v>24</v>
      </c>
      <c r="H4973" t="s">
        <v>15</v>
      </c>
      <c r="I4973" s="2">
        <v>3.7</v>
      </c>
      <c r="J4973" s="4">
        <v>16</v>
      </c>
      <c r="K4973" s="3">
        <v>3</v>
      </c>
      <c r="L4973" s="1">
        <f t="shared" si="231"/>
        <v>135.6096</v>
      </c>
      <c r="M4973" t="str" cm="1">
        <f t="array" ref="M4973">_xlfn.IFS(B4973&lt;18,"Under 18",B4973 &lt;=25,"18-25",B4973&lt;=35,"26-35",B4973&lt;=45,"36-45",B4973&lt;=60,"46-60",TRUE,"60+")</f>
        <v>18-25</v>
      </c>
      <c r="N4973" t="str">
        <f t="shared" si="232"/>
        <v>Discounted</v>
      </c>
      <c r="O4973" t="str">
        <f t="shared" si="233"/>
        <v>Returning</v>
      </c>
    </row>
    <row r="4974" spans="1:15" x14ac:dyDescent="0.25">
      <c r="A4974">
        <v>4973</v>
      </c>
      <c r="B4974">
        <v>42</v>
      </c>
      <c r="C4974" t="s">
        <v>11</v>
      </c>
      <c r="D4974" t="s">
        <v>29</v>
      </c>
      <c r="E4974" t="s">
        <v>30</v>
      </c>
      <c r="F4974" s="1">
        <v>106.4</v>
      </c>
      <c r="G4974" t="s">
        <v>14</v>
      </c>
      <c r="H4974" t="s">
        <v>15</v>
      </c>
      <c r="I4974" s="2">
        <v>3.4</v>
      </c>
      <c r="J4974" s="4">
        <v>6</v>
      </c>
      <c r="K4974" s="3">
        <v>3</v>
      </c>
      <c r="L4974" s="1">
        <f t="shared" si="231"/>
        <v>100.01600000000001</v>
      </c>
      <c r="M4974" t="str" cm="1">
        <f t="array" ref="M4974">_xlfn.IFS(B4974&lt;18,"Under 18",B4974 &lt;=25,"18-25",B4974&lt;=35,"26-35",B4974&lt;=45,"36-45",B4974&lt;=60,"46-60",TRUE,"60+")</f>
        <v>36-45</v>
      </c>
      <c r="N4974" t="str">
        <f t="shared" si="232"/>
        <v>Discounted</v>
      </c>
      <c r="O4974" t="str">
        <f t="shared" si="233"/>
        <v>Returning</v>
      </c>
    </row>
    <row r="4975" spans="1:15" x14ac:dyDescent="0.25">
      <c r="A4975">
        <v>4974</v>
      </c>
      <c r="B4975">
        <v>53</v>
      </c>
      <c r="C4975" t="s">
        <v>16</v>
      </c>
      <c r="D4975" t="s">
        <v>20</v>
      </c>
      <c r="E4975" t="s">
        <v>21</v>
      </c>
      <c r="F4975" s="1">
        <v>130.37</v>
      </c>
      <c r="G4975" t="s">
        <v>19</v>
      </c>
      <c r="H4975" t="s">
        <v>15</v>
      </c>
      <c r="I4975" s="2">
        <v>4.5</v>
      </c>
      <c r="J4975" s="4">
        <v>6</v>
      </c>
      <c r="K4975" s="3">
        <v>3</v>
      </c>
      <c r="L4975" s="1">
        <f t="shared" si="231"/>
        <v>122.5478</v>
      </c>
      <c r="M4975" t="str" cm="1">
        <f t="array" ref="M4975">_xlfn.IFS(B4975&lt;18,"Under 18",B4975 &lt;=25,"18-25",B4975&lt;=35,"26-35",B4975&lt;=45,"36-45",B4975&lt;=60,"46-60",TRUE,"60+")</f>
        <v>46-60</v>
      </c>
      <c r="N4975" t="str">
        <f t="shared" si="232"/>
        <v>Discounted</v>
      </c>
      <c r="O4975" t="str">
        <f t="shared" si="233"/>
        <v>Returning</v>
      </c>
    </row>
    <row r="4976" spans="1:15" x14ac:dyDescent="0.25">
      <c r="A4976">
        <v>4975</v>
      </c>
      <c r="B4976">
        <v>50</v>
      </c>
      <c r="C4976" t="s">
        <v>11</v>
      </c>
      <c r="D4976" t="s">
        <v>33</v>
      </c>
      <c r="E4976" t="s">
        <v>40</v>
      </c>
      <c r="F4976" s="1">
        <v>243.99</v>
      </c>
      <c r="G4976" t="s">
        <v>19</v>
      </c>
      <c r="H4976" t="s">
        <v>15</v>
      </c>
      <c r="I4976" s="2">
        <v>3.7</v>
      </c>
      <c r="J4976" s="4">
        <v>18</v>
      </c>
      <c r="K4976" s="3">
        <v>4</v>
      </c>
      <c r="L4976" s="1">
        <f t="shared" si="231"/>
        <v>200.07180000000002</v>
      </c>
      <c r="M4976" t="str" cm="1">
        <f t="array" ref="M4976">_xlfn.IFS(B4976&lt;18,"Under 18",B4976 &lt;=25,"18-25",B4976&lt;=35,"26-35",B4976&lt;=45,"36-45",B4976&lt;=60,"46-60",TRUE,"60+")</f>
        <v>46-60</v>
      </c>
      <c r="N4976" t="str">
        <f t="shared" si="232"/>
        <v>Discounted</v>
      </c>
      <c r="O4976" t="str">
        <f t="shared" si="233"/>
        <v>Returning</v>
      </c>
    </row>
    <row r="4977" spans="1:15" x14ac:dyDescent="0.25">
      <c r="A4977">
        <v>4976</v>
      </c>
      <c r="B4977">
        <v>47</v>
      </c>
      <c r="C4977" t="s">
        <v>11</v>
      </c>
      <c r="D4977" t="s">
        <v>12</v>
      </c>
      <c r="E4977" t="s">
        <v>13</v>
      </c>
      <c r="F4977" s="1">
        <v>162.51</v>
      </c>
      <c r="G4977" t="s">
        <v>31</v>
      </c>
      <c r="H4977" t="s">
        <v>15</v>
      </c>
      <c r="I4977" s="2">
        <v>5</v>
      </c>
      <c r="J4977" s="4">
        <v>22</v>
      </c>
      <c r="K4977" s="3">
        <v>6</v>
      </c>
      <c r="L4977" s="1">
        <f t="shared" si="231"/>
        <v>126.7578</v>
      </c>
      <c r="M4977" t="str" cm="1">
        <f t="array" ref="M4977">_xlfn.IFS(B4977&lt;18,"Under 18",B4977 &lt;=25,"18-25",B4977&lt;=35,"26-35",B4977&lt;=45,"36-45",B4977&lt;=60,"46-60",TRUE,"60+")</f>
        <v>46-60</v>
      </c>
      <c r="N4977" t="str">
        <f t="shared" si="232"/>
        <v>Discounted</v>
      </c>
      <c r="O4977" t="str">
        <f t="shared" si="233"/>
        <v>Returning</v>
      </c>
    </row>
    <row r="4978" spans="1:15" x14ac:dyDescent="0.25">
      <c r="A4978">
        <v>4977</v>
      </c>
      <c r="B4978">
        <v>32</v>
      </c>
      <c r="C4978" t="s">
        <v>16</v>
      </c>
      <c r="D4978" t="s">
        <v>20</v>
      </c>
      <c r="E4978" t="s">
        <v>36</v>
      </c>
      <c r="F4978" s="1">
        <v>49.17</v>
      </c>
      <c r="G4978" t="s">
        <v>14</v>
      </c>
      <c r="H4978" t="s">
        <v>15</v>
      </c>
      <c r="I4978" s="2">
        <v>4.0999999999999996</v>
      </c>
      <c r="J4978" s="4">
        <v>10</v>
      </c>
      <c r="K4978" s="3">
        <v>5</v>
      </c>
      <c r="L4978" s="1">
        <f t="shared" si="231"/>
        <v>44.253</v>
      </c>
      <c r="M4978" t="str" cm="1">
        <f t="array" ref="M4978">_xlfn.IFS(B4978&lt;18,"Under 18",B4978 &lt;=25,"18-25",B4978&lt;=35,"26-35",B4978&lt;=45,"36-45",B4978&lt;=60,"46-60",TRUE,"60+")</f>
        <v>26-35</v>
      </c>
      <c r="N4978" t="str">
        <f t="shared" si="232"/>
        <v>Discounted</v>
      </c>
      <c r="O4978" t="str">
        <f t="shared" si="233"/>
        <v>Returning</v>
      </c>
    </row>
    <row r="4979" spans="1:15" x14ac:dyDescent="0.25">
      <c r="A4979">
        <v>4978</v>
      </c>
      <c r="B4979">
        <v>28</v>
      </c>
      <c r="C4979" t="s">
        <v>11</v>
      </c>
      <c r="D4979" t="s">
        <v>33</v>
      </c>
      <c r="E4979" t="s">
        <v>40</v>
      </c>
      <c r="F4979" s="1">
        <v>46.58</v>
      </c>
      <c r="G4979" t="s">
        <v>31</v>
      </c>
      <c r="H4979" t="s">
        <v>37</v>
      </c>
      <c r="I4979" s="2">
        <v>4.3</v>
      </c>
      <c r="J4979" s="4">
        <v>15</v>
      </c>
      <c r="K4979" s="3">
        <v>5</v>
      </c>
      <c r="L4979" s="1">
        <f t="shared" si="231"/>
        <v>39.592999999999996</v>
      </c>
      <c r="M4979" t="str" cm="1">
        <f t="array" ref="M4979">_xlfn.IFS(B4979&lt;18,"Under 18",B4979 &lt;=25,"18-25",B4979&lt;=35,"26-35",B4979&lt;=45,"36-45",B4979&lt;=60,"46-60",TRUE,"60+")</f>
        <v>26-35</v>
      </c>
      <c r="N4979" t="str">
        <f t="shared" si="232"/>
        <v>Discounted</v>
      </c>
      <c r="O4979" t="str">
        <f t="shared" si="233"/>
        <v>Returning</v>
      </c>
    </row>
    <row r="4980" spans="1:15" x14ac:dyDescent="0.25">
      <c r="A4980">
        <v>4979</v>
      </c>
      <c r="B4980">
        <v>48</v>
      </c>
      <c r="C4980" t="s">
        <v>16</v>
      </c>
      <c r="D4980" t="s">
        <v>27</v>
      </c>
      <c r="E4980" t="s">
        <v>28</v>
      </c>
      <c r="F4980" s="1">
        <v>1886.39</v>
      </c>
      <c r="G4980" t="s">
        <v>19</v>
      </c>
      <c r="H4980" t="s">
        <v>15</v>
      </c>
      <c r="I4980" s="2">
        <v>4.2</v>
      </c>
      <c r="J4980" s="4">
        <v>22</v>
      </c>
      <c r="K4980" s="3">
        <v>6</v>
      </c>
      <c r="L4980" s="1">
        <f t="shared" si="231"/>
        <v>1471.3842000000002</v>
      </c>
      <c r="M4980" t="str" cm="1">
        <f t="array" ref="M4980">_xlfn.IFS(B4980&lt;18,"Under 18",B4980 &lt;=25,"18-25",B4980&lt;=35,"26-35",B4980&lt;=45,"36-45",B4980&lt;=60,"46-60",TRUE,"60+")</f>
        <v>46-60</v>
      </c>
      <c r="N4980" t="str">
        <f t="shared" si="232"/>
        <v>Discounted</v>
      </c>
      <c r="O4980" t="str">
        <f t="shared" si="233"/>
        <v>Returning</v>
      </c>
    </row>
    <row r="4981" spans="1:15" x14ac:dyDescent="0.25">
      <c r="A4981">
        <v>4980</v>
      </c>
      <c r="B4981">
        <v>65</v>
      </c>
      <c r="C4981" t="s">
        <v>11</v>
      </c>
      <c r="D4981" t="s">
        <v>41</v>
      </c>
      <c r="E4981" t="s">
        <v>42</v>
      </c>
      <c r="F4981" s="1">
        <v>150.06</v>
      </c>
      <c r="G4981" t="s">
        <v>24</v>
      </c>
      <c r="H4981" t="s">
        <v>15</v>
      </c>
      <c r="I4981" s="2">
        <v>3.4</v>
      </c>
      <c r="J4981" s="4">
        <v>12</v>
      </c>
      <c r="K4981" s="3">
        <v>6</v>
      </c>
      <c r="L4981" s="1">
        <f t="shared" si="231"/>
        <v>132.05279999999999</v>
      </c>
      <c r="M4981" t="str" cm="1">
        <f t="array" ref="M4981">_xlfn.IFS(B4981&lt;18,"Under 18",B4981 &lt;=25,"18-25",B4981&lt;=35,"26-35",B4981&lt;=45,"36-45",B4981&lt;=60,"46-60",TRUE,"60+")</f>
        <v>60+</v>
      </c>
      <c r="N4981" t="str">
        <f t="shared" si="232"/>
        <v>Discounted</v>
      </c>
      <c r="O4981" t="str">
        <f t="shared" si="233"/>
        <v>Returning</v>
      </c>
    </row>
    <row r="4982" spans="1:15" x14ac:dyDescent="0.25">
      <c r="A4982">
        <v>4981</v>
      </c>
      <c r="B4982">
        <v>58</v>
      </c>
      <c r="C4982" t="s">
        <v>11</v>
      </c>
      <c r="D4982" t="s">
        <v>29</v>
      </c>
      <c r="E4982" t="s">
        <v>51</v>
      </c>
      <c r="F4982" s="1">
        <v>21.63</v>
      </c>
      <c r="G4982" t="s">
        <v>14</v>
      </c>
      <c r="H4982" t="s">
        <v>15</v>
      </c>
      <c r="I4982" s="2">
        <v>3.8</v>
      </c>
      <c r="J4982" s="4">
        <v>18</v>
      </c>
      <c r="K4982" s="3">
        <v>4</v>
      </c>
      <c r="L4982" s="1">
        <f t="shared" si="231"/>
        <v>17.736599999999999</v>
      </c>
      <c r="M4982" t="str" cm="1">
        <f t="array" ref="M4982">_xlfn.IFS(B4982&lt;18,"Under 18",B4982 &lt;=25,"18-25",B4982&lt;=35,"26-35",B4982&lt;=45,"36-45",B4982&lt;=60,"46-60",TRUE,"60+")</f>
        <v>46-60</v>
      </c>
      <c r="N4982" t="str">
        <f t="shared" si="232"/>
        <v>Discounted</v>
      </c>
      <c r="O4982" t="str">
        <f t="shared" si="233"/>
        <v>Returning</v>
      </c>
    </row>
    <row r="4983" spans="1:15" x14ac:dyDescent="0.25">
      <c r="A4983">
        <v>4982</v>
      </c>
      <c r="B4983">
        <v>31</v>
      </c>
      <c r="C4983" t="s">
        <v>11</v>
      </c>
      <c r="D4983" t="s">
        <v>33</v>
      </c>
      <c r="E4983" t="s">
        <v>40</v>
      </c>
      <c r="F4983" s="1">
        <v>180.25</v>
      </c>
      <c r="G4983" t="s">
        <v>31</v>
      </c>
      <c r="H4983" t="s">
        <v>15</v>
      </c>
      <c r="I4983" s="2">
        <v>5</v>
      </c>
      <c r="J4983" s="4">
        <v>29</v>
      </c>
      <c r="K4983" s="3">
        <v>12</v>
      </c>
      <c r="L4983" s="1">
        <f t="shared" si="231"/>
        <v>127.97749999999999</v>
      </c>
      <c r="M4983" t="str" cm="1">
        <f t="array" ref="M4983">_xlfn.IFS(B4983&lt;18,"Under 18",B4983 &lt;=25,"18-25",B4983&lt;=35,"26-35",B4983&lt;=45,"36-45",B4983&lt;=60,"46-60",TRUE,"60+")</f>
        <v>26-35</v>
      </c>
      <c r="N4983" t="str">
        <f t="shared" si="232"/>
        <v>Discounted</v>
      </c>
      <c r="O4983" t="str">
        <f t="shared" si="233"/>
        <v>Returning</v>
      </c>
    </row>
    <row r="4984" spans="1:15" x14ac:dyDescent="0.25">
      <c r="A4984">
        <v>4983</v>
      </c>
      <c r="B4984">
        <v>31</v>
      </c>
      <c r="C4984" t="s">
        <v>16</v>
      </c>
      <c r="D4984" t="s">
        <v>27</v>
      </c>
      <c r="E4984" t="s">
        <v>32</v>
      </c>
      <c r="F4984" s="1">
        <v>2163.69</v>
      </c>
      <c r="G4984" t="s">
        <v>31</v>
      </c>
      <c r="H4984" t="s">
        <v>15</v>
      </c>
      <c r="I4984" s="2">
        <v>4.0999999999999996</v>
      </c>
      <c r="J4984" s="4">
        <v>10</v>
      </c>
      <c r="K4984" s="3">
        <v>5</v>
      </c>
      <c r="L4984" s="1">
        <f t="shared" si="231"/>
        <v>1947.3210000000001</v>
      </c>
      <c r="M4984" t="str" cm="1">
        <f t="array" ref="M4984">_xlfn.IFS(B4984&lt;18,"Under 18",B4984 &lt;=25,"18-25",B4984&lt;=35,"26-35",B4984&lt;=45,"36-45",B4984&lt;=60,"46-60",TRUE,"60+")</f>
        <v>26-35</v>
      </c>
      <c r="N4984" t="str">
        <f t="shared" si="232"/>
        <v>Discounted</v>
      </c>
      <c r="O4984" t="str">
        <f t="shared" si="233"/>
        <v>Returning</v>
      </c>
    </row>
    <row r="4985" spans="1:15" x14ac:dyDescent="0.25">
      <c r="A4985">
        <v>4984</v>
      </c>
      <c r="B4985">
        <v>47</v>
      </c>
      <c r="C4985" t="s">
        <v>11</v>
      </c>
      <c r="D4985" t="s">
        <v>33</v>
      </c>
      <c r="E4985" t="s">
        <v>34</v>
      </c>
      <c r="F4985" s="1">
        <v>231.35</v>
      </c>
      <c r="G4985" t="s">
        <v>19</v>
      </c>
      <c r="H4985" t="s">
        <v>15</v>
      </c>
      <c r="I4985" s="2">
        <v>2.7</v>
      </c>
      <c r="J4985" s="4">
        <v>16</v>
      </c>
      <c r="K4985" s="3">
        <v>3</v>
      </c>
      <c r="L4985" s="1">
        <f t="shared" si="231"/>
        <v>194.33399999999997</v>
      </c>
      <c r="M4985" t="str" cm="1">
        <f t="array" ref="M4985">_xlfn.IFS(B4985&lt;18,"Under 18",B4985 &lt;=25,"18-25",B4985&lt;=35,"26-35",B4985&lt;=45,"36-45",B4985&lt;=60,"46-60",TRUE,"60+")</f>
        <v>46-60</v>
      </c>
      <c r="N4985" t="str">
        <f t="shared" si="232"/>
        <v>Discounted</v>
      </c>
      <c r="O4985" t="str">
        <f t="shared" si="233"/>
        <v>Returning</v>
      </c>
    </row>
    <row r="4986" spans="1:15" x14ac:dyDescent="0.25">
      <c r="A4986">
        <v>4985</v>
      </c>
      <c r="B4986">
        <v>50</v>
      </c>
      <c r="C4986" t="s">
        <v>16</v>
      </c>
      <c r="D4986" t="s">
        <v>20</v>
      </c>
      <c r="E4986" t="s">
        <v>36</v>
      </c>
      <c r="F4986" s="1">
        <v>133.91</v>
      </c>
      <c r="G4986" t="s">
        <v>14</v>
      </c>
      <c r="H4986" t="s">
        <v>15</v>
      </c>
      <c r="I4986" s="2">
        <v>5</v>
      </c>
      <c r="J4986" s="4">
        <v>12</v>
      </c>
      <c r="K4986" s="3">
        <v>6</v>
      </c>
      <c r="L4986" s="1">
        <f t="shared" si="231"/>
        <v>117.8408</v>
      </c>
      <c r="M4986" t="str" cm="1">
        <f t="array" ref="M4986">_xlfn.IFS(B4986&lt;18,"Under 18",B4986 &lt;=25,"18-25",B4986&lt;=35,"26-35",B4986&lt;=45,"36-45",B4986&lt;=60,"46-60",TRUE,"60+")</f>
        <v>46-60</v>
      </c>
      <c r="N4986" t="str">
        <f t="shared" si="232"/>
        <v>Discounted</v>
      </c>
      <c r="O4986" t="str">
        <f t="shared" si="233"/>
        <v>Returning</v>
      </c>
    </row>
    <row r="4987" spans="1:15" x14ac:dyDescent="0.25">
      <c r="A4987">
        <v>4986</v>
      </c>
      <c r="B4987">
        <v>22</v>
      </c>
      <c r="C4987" t="s">
        <v>11</v>
      </c>
      <c r="D4987" t="s">
        <v>33</v>
      </c>
      <c r="E4987" t="s">
        <v>40</v>
      </c>
      <c r="F4987" s="1">
        <v>158.22999999999999</v>
      </c>
      <c r="G4987" t="s">
        <v>31</v>
      </c>
      <c r="H4987" t="s">
        <v>15</v>
      </c>
      <c r="I4987" s="2">
        <v>3.7</v>
      </c>
      <c r="J4987" s="4">
        <v>9</v>
      </c>
      <c r="K4987" s="3">
        <v>2</v>
      </c>
      <c r="L4987" s="1">
        <f t="shared" si="231"/>
        <v>143.98929999999999</v>
      </c>
      <c r="M4987" t="str" cm="1">
        <f t="array" ref="M4987">_xlfn.IFS(B4987&lt;18,"Under 18",B4987 &lt;=25,"18-25",B4987&lt;=35,"26-35",B4987&lt;=45,"36-45",B4987&lt;=60,"46-60",TRUE,"60+")</f>
        <v>18-25</v>
      </c>
      <c r="N4987" t="str">
        <f t="shared" si="232"/>
        <v>Discounted</v>
      </c>
      <c r="O4987" t="str">
        <f t="shared" si="233"/>
        <v>Returning</v>
      </c>
    </row>
    <row r="4988" spans="1:15" x14ac:dyDescent="0.25">
      <c r="A4988">
        <v>4987</v>
      </c>
      <c r="B4988">
        <v>29</v>
      </c>
      <c r="C4988" t="s">
        <v>16</v>
      </c>
      <c r="D4988" t="s">
        <v>17</v>
      </c>
      <c r="E4988" t="s">
        <v>48</v>
      </c>
      <c r="F4988" s="1">
        <v>62.95</v>
      </c>
      <c r="G4988" t="s">
        <v>24</v>
      </c>
      <c r="H4988" t="s">
        <v>37</v>
      </c>
      <c r="I4988" s="2">
        <v>5</v>
      </c>
      <c r="J4988" s="4">
        <v>22</v>
      </c>
      <c r="K4988" s="3">
        <v>6</v>
      </c>
      <c r="L4988" s="1">
        <f t="shared" si="231"/>
        <v>49.101000000000006</v>
      </c>
      <c r="M4988" t="str" cm="1">
        <f t="array" ref="M4988">_xlfn.IFS(B4988&lt;18,"Under 18",B4988 &lt;=25,"18-25",B4988&lt;=35,"26-35",B4988&lt;=45,"36-45",B4988&lt;=60,"46-60",TRUE,"60+")</f>
        <v>26-35</v>
      </c>
      <c r="N4988" t="str">
        <f t="shared" si="232"/>
        <v>Discounted</v>
      </c>
      <c r="O4988" t="str">
        <f t="shared" si="233"/>
        <v>Returning</v>
      </c>
    </row>
    <row r="4989" spans="1:15" x14ac:dyDescent="0.25">
      <c r="A4989">
        <v>4988</v>
      </c>
      <c r="B4989">
        <v>45</v>
      </c>
      <c r="C4989" t="s">
        <v>16</v>
      </c>
      <c r="D4989" t="s">
        <v>33</v>
      </c>
      <c r="E4989" t="s">
        <v>34</v>
      </c>
      <c r="F4989" s="1">
        <v>214.69</v>
      </c>
      <c r="G4989" t="s">
        <v>31</v>
      </c>
      <c r="H4989" t="s">
        <v>15</v>
      </c>
      <c r="I4989" s="2">
        <v>4.5</v>
      </c>
      <c r="J4989" s="4">
        <v>20</v>
      </c>
      <c r="K4989" s="3">
        <v>5</v>
      </c>
      <c r="L4989" s="1">
        <f t="shared" si="231"/>
        <v>171.75200000000001</v>
      </c>
      <c r="M4989" t="str" cm="1">
        <f t="array" ref="M4989">_xlfn.IFS(B4989&lt;18,"Under 18",B4989 &lt;=25,"18-25",B4989&lt;=35,"26-35",B4989&lt;=45,"36-45",B4989&lt;=60,"46-60",TRUE,"60+")</f>
        <v>36-45</v>
      </c>
      <c r="N4989" t="str">
        <f t="shared" si="232"/>
        <v>Discounted</v>
      </c>
      <c r="O4989" t="str">
        <f t="shared" si="233"/>
        <v>Returning</v>
      </c>
    </row>
    <row r="4990" spans="1:15" x14ac:dyDescent="0.25">
      <c r="A4990">
        <v>4989</v>
      </c>
      <c r="B4990">
        <v>69</v>
      </c>
      <c r="C4990" t="s">
        <v>16</v>
      </c>
      <c r="D4990" t="s">
        <v>33</v>
      </c>
      <c r="E4990" t="s">
        <v>34</v>
      </c>
      <c r="F4990" s="1">
        <v>172.99</v>
      </c>
      <c r="G4990" t="s">
        <v>19</v>
      </c>
      <c r="H4990" t="s">
        <v>15</v>
      </c>
      <c r="I4990" s="2">
        <v>3.9</v>
      </c>
      <c r="J4990" s="4">
        <v>2</v>
      </c>
      <c r="K4990" s="3">
        <v>1</v>
      </c>
      <c r="L4990" s="1">
        <f t="shared" si="231"/>
        <v>169.53020000000001</v>
      </c>
      <c r="M4990" t="str" cm="1">
        <f t="array" ref="M4990">_xlfn.IFS(B4990&lt;18,"Under 18",B4990 &lt;=25,"18-25",B4990&lt;=35,"26-35",B4990&lt;=45,"36-45",B4990&lt;=60,"46-60",TRUE,"60+")</f>
        <v>60+</v>
      </c>
      <c r="N4990" t="str">
        <f t="shared" si="232"/>
        <v>Discounted</v>
      </c>
      <c r="O4990" t="str">
        <f t="shared" si="233"/>
        <v>Returning</v>
      </c>
    </row>
    <row r="4991" spans="1:15" x14ac:dyDescent="0.25">
      <c r="A4991">
        <v>4990</v>
      </c>
      <c r="B4991">
        <v>39</v>
      </c>
      <c r="C4991" t="s">
        <v>11</v>
      </c>
      <c r="D4991" t="s">
        <v>12</v>
      </c>
      <c r="E4991" t="s">
        <v>50</v>
      </c>
      <c r="F4991" s="1">
        <v>147.24</v>
      </c>
      <c r="G4991" t="s">
        <v>24</v>
      </c>
      <c r="H4991" t="s">
        <v>15</v>
      </c>
      <c r="I4991" s="2">
        <v>3.7</v>
      </c>
      <c r="J4991" s="4">
        <v>4</v>
      </c>
      <c r="K4991" s="3">
        <v>2</v>
      </c>
      <c r="L4991" s="1">
        <f t="shared" si="231"/>
        <v>141.35040000000001</v>
      </c>
      <c r="M4991" t="str" cm="1">
        <f t="array" ref="M4991">_xlfn.IFS(B4991&lt;18,"Under 18",B4991 &lt;=25,"18-25",B4991&lt;=35,"26-35",B4991&lt;=45,"36-45",B4991&lt;=60,"46-60",TRUE,"60+")</f>
        <v>36-45</v>
      </c>
      <c r="N4991" t="str">
        <f t="shared" si="232"/>
        <v>Discounted</v>
      </c>
      <c r="O4991" t="str">
        <f t="shared" si="233"/>
        <v>Returning</v>
      </c>
    </row>
    <row r="4992" spans="1:15" x14ac:dyDescent="0.25">
      <c r="A4992">
        <v>4991</v>
      </c>
      <c r="B4992">
        <v>28</v>
      </c>
      <c r="C4992" t="s">
        <v>11</v>
      </c>
      <c r="D4992" t="s">
        <v>25</v>
      </c>
      <c r="E4992" t="s">
        <v>26</v>
      </c>
      <c r="F4992" s="1">
        <v>55.74</v>
      </c>
      <c r="G4992" t="s">
        <v>24</v>
      </c>
      <c r="H4992" t="s">
        <v>15</v>
      </c>
      <c r="I4992" s="2">
        <v>2.6</v>
      </c>
      <c r="J4992" s="4">
        <v>24</v>
      </c>
      <c r="K4992" s="3">
        <v>7</v>
      </c>
      <c r="L4992" s="1">
        <f t="shared" si="231"/>
        <v>42.362400000000001</v>
      </c>
      <c r="M4992" t="str" cm="1">
        <f t="array" ref="M4992">_xlfn.IFS(B4992&lt;18,"Under 18",B4992 &lt;=25,"18-25",B4992&lt;=35,"26-35",B4992&lt;=45,"36-45",B4992&lt;=60,"46-60",TRUE,"60+")</f>
        <v>26-35</v>
      </c>
      <c r="N4992" t="str">
        <f t="shared" si="232"/>
        <v>Discounted</v>
      </c>
      <c r="O4992" t="str">
        <f t="shared" si="233"/>
        <v>Returning</v>
      </c>
    </row>
    <row r="4993" spans="1:15" x14ac:dyDescent="0.25">
      <c r="A4993">
        <v>4992</v>
      </c>
      <c r="B4993">
        <v>41</v>
      </c>
      <c r="C4993" t="s">
        <v>16</v>
      </c>
      <c r="D4993" t="s">
        <v>20</v>
      </c>
      <c r="E4993" t="s">
        <v>21</v>
      </c>
      <c r="F4993" s="1">
        <v>167.22</v>
      </c>
      <c r="G4993" t="s">
        <v>31</v>
      </c>
      <c r="H4993" t="s">
        <v>15</v>
      </c>
      <c r="I4993" s="2">
        <v>3</v>
      </c>
      <c r="J4993" s="4">
        <v>11</v>
      </c>
      <c r="K4993" s="3">
        <v>3</v>
      </c>
      <c r="L4993" s="1">
        <f t="shared" si="231"/>
        <v>148.82580000000002</v>
      </c>
      <c r="M4993" t="str" cm="1">
        <f t="array" ref="M4993">_xlfn.IFS(B4993&lt;18,"Under 18",B4993 &lt;=25,"18-25",B4993&lt;=35,"26-35",B4993&lt;=45,"36-45",B4993&lt;=60,"46-60",TRUE,"60+")</f>
        <v>36-45</v>
      </c>
      <c r="N4993" t="str">
        <f t="shared" si="232"/>
        <v>Discounted</v>
      </c>
      <c r="O4993" t="str">
        <f t="shared" si="233"/>
        <v>Returning</v>
      </c>
    </row>
    <row r="4994" spans="1:15" x14ac:dyDescent="0.25">
      <c r="A4994">
        <v>4993</v>
      </c>
      <c r="B4994">
        <v>48</v>
      </c>
      <c r="C4994" t="s">
        <v>16</v>
      </c>
      <c r="D4994" t="s">
        <v>20</v>
      </c>
      <c r="E4994" t="s">
        <v>21</v>
      </c>
      <c r="F4994" s="1">
        <v>152.94</v>
      </c>
      <c r="G4994" t="s">
        <v>24</v>
      </c>
      <c r="H4994" t="s">
        <v>15</v>
      </c>
      <c r="I4994" s="2">
        <v>4.7</v>
      </c>
      <c r="J4994" s="4">
        <v>12</v>
      </c>
      <c r="K4994" s="3">
        <v>6</v>
      </c>
      <c r="L4994" s="1">
        <f t="shared" si="231"/>
        <v>134.5872</v>
      </c>
      <c r="M4994" t="str" cm="1">
        <f t="array" ref="M4994">_xlfn.IFS(B4994&lt;18,"Under 18",B4994 &lt;=25,"18-25",B4994&lt;=35,"26-35",B4994&lt;=45,"36-45",B4994&lt;=60,"46-60",TRUE,"60+")</f>
        <v>46-60</v>
      </c>
      <c r="N4994" t="str">
        <f t="shared" si="232"/>
        <v>Discounted</v>
      </c>
      <c r="O4994" t="str">
        <f t="shared" si="233"/>
        <v>Returning</v>
      </c>
    </row>
    <row r="4995" spans="1:15" x14ac:dyDescent="0.25">
      <c r="A4995">
        <v>4994</v>
      </c>
      <c r="B4995">
        <v>69</v>
      </c>
      <c r="C4995" t="s">
        <v>11</v>
      </c>
      <c r="D4995" t="s">
        <v>41</v>
      </c>
      <c r="E4995" t="s">
        <v>42</v>
      </c>
      <c r="F4995" s="1">
        <v>63.26</v>
      </c>
      <c r="G4995" t="s">
        <v>14</v>
      </c>
      <c r="H4995" t="s">
        <v>37</v>
      </c>
      <c r="I4995" s="2">
        <v>3.2</v>
      </c>
      <c r="J4995" s="4">
        <v>28</v>
      </c>
      <c r="K4995" s="3">
        <v>9</v>
      </c>
      <c r="L4995" s="1">
        <f t="shared" ref="L4995:L5001" si="234">F4995 * (1 - J4995 / 100)</f>
        <v>45.547199999999997</v>
      </c>
      <c r="M4995" t="str" cm="1">
        <f t="array" ref="M4995">_xlfn.IFS(B4995&lt;18,"Under 18",B4995 &lt;=25,"18-25",B4995&lt;=35,"26-35",B4995&lt;=45,"36-45",B4995&lt;=60,"46-60",TRUE,"60+")</f>
        <v>60+</v>
      </c>
      <c r="N4995" t="str">
        <f t="shared" ref="N4995:N5001" si="235">IF(J4995&gt;0,"Discounted","No Discount")</f>
        <v>Discounted</v>
      </c>
      <c r="O4995" t="str">
        <f t="shared" ref="O4995:O5001" si="236">IF(K4995&gt;0,"Returning","New")</f>
        <v>Returning</v>
      </c>
    </row>
    <row r="4996" spans="1:15" x14ac:dyDescent="0.25">
      <c r="A4996">
        <v>4995</v>
      </c>
      <c r="B4996">
        <v>20</v>
      </c>
      <c r="C4996" t="s">
        <v>16</v>
      </c>
      <c r="D4996" t="s">
        <v>20</v>
      </c>
      <c r="E4996" t="s">
        <v>39</v>
      </c>
      <c r="F4996" s="1">
        <v>124.24</v>
      </c>
      <c r="G4996" t="s">
        <v>19</v>
      </c>
      <c r="H4996" t="s">
        <v>15</v>
      </c>
      <c r="I4996" s="2">
        <v>4.4000000000000004</v>
      </c>
      <c r="J4996" s="4">
        <v>14</v>
      </c>
      <c r="K4996" s="3">
        <v>2</v>
      </c>
      <c r="L4996" s="1">
        <f t="shared" si="234"/>
        <v>106.84639999999999</v>
      </c>
      <c r="M4996" t="str" cm="1">
        <f t="array" ref="M4996">_xlfn.IFS(B4996&lt;18,"Under 18",B4996 &lt;=25,"18-25",B4996&lt;=35,"26-35",B4996&lt;=45,"36-45",B4996&lt;=60,"46-60",TRUE,"60+")</f>
        <v>18-25</v>
      </c>
      <c r="N4996" t="str">
        <f t="shared" si="235"/>
        <v>Discounted</v>
      </c>
      <c r="O4996" t="str">
        <f t="shared" si="236"/>
        <v>Returning</v>
      </c>
    </row>
    <row r="4997" spans="1:15" x14ac:dyDescent="0.25">
      <c r="A4997">
        <v>4996</v>
      </c>
      <c r="B4997">
        <v>44</v>
      </c>
      <c r="C4997" t="s">
        <v>11</v>
      </c>
      <c r="D4997" t="s">
        <v>12</v>
      </c>
      <c r="E4997" t="s">
        <v>50</v>
      </c>
      <c r="F4997" s="1">
        <v>172.64</v>
      </c>
      <c r="G4997" t="s">
        <v>24</v>
      </c>
      <c r="H4997" t="s">
        <v>15</v>
      </c>
      <c r="I4997" s="2">
        <v>3.6</v>
      </c>
      <c r="J4997" s="4">
        <v>20</v>
      </c>
      <c r="K4997" s="3">
        <v>5</v>
      </c>
      <c r="L4997" s="1">
        <f t="shared" si="234"/>
        <v>138.11199999999999</v>
      </c>
      <c r="M4997" t="str" cm="1">
        <f t="array" ref="M4997">_xlfn.IFS(B4997&lt;18,"Under 18",B4997 &lt;=25,"18-25",B4997&lt;=35,"26-35",B4997&lt;=45,"36-45",B4997&lt;=60,"46-60",TRUE,"60+")</f>
        <v>36-45</v>
      </c>
      <c r="N4997" t="str">
        <f t="shared" si="235"/>
        <v>Discounted</v>
      </c>
      <c r="O4997" t="str">
        <f t="shared" si="236"/>
        <v>Returning</v>
      </c>
    </row>
    <row r="4998" spans="1:15" x14ac:dyDescent="0.25">
      <c r="A4998">
        <v>4997</v>
      </c>
      <c r="B4998">
        <v>59</v>
      </c>
      <c r="C4998" t="s">
        <v>16</v>
      </c>
      <c r="D4998" t="s">
        <v>25</v>
      </c>
      <c r="E4998" t="s">
        <v>57</v>
      </c>
      <c r="F4998" s="1">
        <v>54</v>
      </c>
      <c r="G4998" t="s">
        <v>19</v>
      </c>
      <c r="H4998" t="s">
        <v>37</v>
      </c>
      <c r="I4998" s="2">
        <v>3.8</v>
      </c>
      <c r="J4998" s="4">
        <v>14</v>
      </c>
      <c r="K4998" s="3">
        <v>2</v>
      </c>
      <c r="L4998" s="1">
        <f t="shared" si="234"/>
        <v>46.44</v>
      </c>
      <c r="M4998" t="str" cm="1">
        <f t="array" ref="M4998">_xlfn.IFS(B4998&lt;18,"Under 18",B4998 &lt;=25,"18-25",B4998&lt;=35,"26-35",B4998&lt;=45,"36-45",B4998&lt;=60,"46-60",TRUE,"60+")</f>
        <v>46-60</v>
      </c>
      <c r="N4998" t="str">
        <f t="shared" si="235"/>
        <v>Discounted</v>
      </c>
      <c r="O4998" t="str">
        <f t="shared" si="236"/>
        <v>Returning</v>
      </c>
    </row>
    <row r="4999" spans="1:15" x14ac:dyDescent="0.25">
      <c r="A4999">
        <v>4998</v>
      </c>
      <c r="B4999">
        <v>41</v>
      </c>
      <c r="C4999" t="s">
        <v>11</v>
      </c>
      <c r="D4999" t="s">
        <v>12</v>
      </c>
      <c r="E4999" t="s">
        <v>13</v>
      </c>
      <c r="F4999" s="1">
        <v>159.33000000000001</v>
      </c>
      <c r="G4999" t="s">
        <v>14</v>
      </c>
      <c r="H4999" t="s">
        <v>15</v>
      </c>
      <c r="I4999" s="2">
        <v>4.3</v>
      </c>
      <c r="J4999" s="4">
        <v>26</v>
      </c>
      <c r="K4999" s="3">
        <v>8</v>
      </c>
      <c r="L4999" s="1">
        <f t="shared" si="234"/>
        <v>117.9042</v>
      </c>
      <c r="M4999" t="str" cm="1">
        <f t="array" ref="M4999">_xlfn.IFS(B4999&lt;18,"Under 18",B4999 &lt;=25,"18-25",B4999&lt;=35,"26-35",B4999&lt;=45,"36-45",B4999&lt;=60,"46-60",TRUE,"60+")</f>
        <v>36-45</v>
      </c>
      <c r="N4999" t="str">
        <f t="shared" si="235"/>
        <v>Discounted</v>
      </c>
      <c r="O4999" t="str">
        <f t="shared" si="236"/>
        <v>Returning</v>
      </c>
    </row>
    <row r="5000" spans="1:15" x14ac:dyDescent="0.25">
      <c r="A5000">
        <v>4999</v>
      </c>
      <c r="B5000">
        <v>63</v>
      </c>
      <c r="C5000" t="s">
        <v>11</v>
      </c>
      <c r="D5000" t="s">
        <v>41</v>
      </c>
      <c r="E5000" t="s">
        <v>44</v>
      </c>
      <c r="F5000" s="1">
        <v>173.82</v>
      </c>
      <c r="G5000" t="s">
        <v>14</v>
      </c>
      <c r="H5000" t="s">
        <v>15</v>
      </c>
      <c r="I5000" s="2">
        <v>4.8</v>
      </c>
      <c r="J5000" s="4">
        <v>26</v>
      </c>
      <c r="K5000" s="3">
        <v>8</v>
      </c>
      <c r="L5000" s="1">
        <f t="shared" si="234"/>
        <v>128.6268</v>
      </c>
      <c r="M5000" t="str" cm="1">
        <f t="array" ref="M5000">_xlfn.IFS(B5000&lt;18,"Under 18",B5000 &lt;=25,"18-25",B5000&lt;=35,"26-35",B5000&lt;=45,"36-45",B5000&lt;=60,"46-60",TRUE,"60+")</f>
        <v>60+</v>
      </c>
      <c r="N5000" t="str">
        <f t="shared" si="235"/>
        <v>Discounted</v>
      </c>
      <c r="O5000" t="str">
        <f t="shared" si="236"/>
        <v>Returning</v>
      </c>
    </row>
    <row r="5001" spans="1:15" x14ac:dyDescent="0.25">
      <c r="A5001">
        <v>5000</v>
      </c>
      <c r="B5001">
        <v>41</v>
      </c>
      <c r="C5001" t="s">
        <v>11</v>
      </c>
      <c r="D5001" t="s">
        <v>33</v>
      </c>
      <c r="E5001" t="s">
        <v>38</v>
      </c>
      <c r="F5001" s="1">
        <v>55.39</v>
      </c>
      <c r="G5001" t="s">
        <v>14</v>
      </c>
      <c r="H5001" t="s">
        <v>37</v>
      </c>
      <c r="I5001" s="2">
        <v>4.0999999999999996</v>
      </c>
      <c r="J5001" s="4">
        <v>19</v>
      </c>
      <c r="K5001" s="3">
        <v>7</v>
      </c>
      <c r="L5001" s="1">
        <f t="shared" si="234"/>
        <v>44.865900000000003</v>
      </c>
      <c r="M5001" t="str" cm="1">
        <f t="array" ref="M5001">_xlfn.IFS(B5001&lt;18,"Under 18",B5001 &lt;=25,"18-25",B5001&lt;=35,"26-35",B5001&lt;=45,"36-45",B5001&lt;=60,"46-60",TRUE,"60+")</f>
        <v>36-45</v>
      </c>
      <c r="N5001" t="str">
        <f t="shared" si="235"/>
        <v>Discounted</v>
      </c>
      <c r="O5001" t="str">
        <f t="shared" si="236"/>
        <v>Returning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B1EA-C463-4F15-BAA3-458DBE9EA76E}">
  <dimension ref="A2:N36"/>
  <sheetViews>
    <sheetView tabSelected="1" workbookViewId="0">
      <selection activeCell="J22" sqref="J22"/>
    </sheetView>
  </sheetViews>
  <sheetFormatPr defaultRowHeight="15" x14ac:dyDescent="0.25"/>
  <cols>
    <col min="1" max="1" width="16.5703125" bestFit="1" customWidth="1"/>
    <col min="2" max="2" width="21" customWidth="1"/>
    <col min="3" max="3" width="17.7109375" customWidth="1"/>
    <col min="4" max="4" width="9.140625" customWidth="1"/>
  </cols>
  <sheetData>
    <row r="2" spans="1:14" x14ac:dyDescent="0.25">
      <c r="B2" s="8" t="s">
        <v>65</v>
      </c>
      <c r="C2" s="8"/>
      <c r="D2" s="8"/>
      <c r="E2" s="8"/>
      <c r="F2" s="8"/>
      <c r="G2" s="8"/>
      <c r="H2" s="8"/>
      <c r="I2" s="8"/>
    </row>
    <row r="3" spans="1:14" x14ac:dyDescent="0.25">
      <c r="A3" s="6" t="s">
        <v>62</v>
      </c>
      <c r="B3" t="s">
        <v>64</v>
      </c>
    </row>
    <row r="4" spans="1:14" x14ac:dyDescent="0.25">
      <c r="A4" s="7" t="s">
        <v>27</v>
      </c>
      <c r="B4" s="1">
        <v>760419.85909999977</v>
      </c>
    </row>
    <row r="5" spans="1:14" x14ac:dyDescent="0.25">
      <c r="A5" s="7" t="s">
        <v>33</v>
      </c>
      <c r="B5" s="1">
        <v>120112.81409999999</v>
      </c>
    </row>
    <row r="6" spans="1:14" x14ac:dyDescent="0.25">
      <c r="A6" s="7" t="s">
        <v>20</v>
      </c>
      <c r="B6" s="1">
        <v>98274.774699999849</v>
      </c>
    </row>
    <row r="7" spans="1:14" x14ac:dyDescent="0.25">
      <c r="A7" s="7" t="s">
        <v>41</v>
      </c>
      <c r="B7" s="1">
        <v>52225.587699999931</v>
      </c>
    </row>
    <row r="8" spans="1:14" x14ac:dyDescent="0.25">
      <c r="A8" s="7" t="s">
        <v>17</v>
      </c>
      <c r="B8" s="1">
        <v>50994.860299999986</v>
      </c>
    </row>
    <row r="9" spans="1:14" x14ac:dyDescent="0.25">
      <c r="A9" s="7" t="s">
        <v>12</v>
      </c>
      <c r="B9" s="1">
        <v>40516.421000000017</v>
      </c>
    </row>
    <row r="10" spans="1:14" x14ac:dyDescent="0.25">
      <c r="A10" s="7" t="s">
        <v>22</v>
      </c>
      <c r="B10" s="1">
        <v>39313.441699999981</v>
      </c>
    </row>
    <row r="11" spans="1:14" x14ac:dyDescent="0.25">
      <c r="A11" s="7" t="s">
        <v>29</v>
      </c>
      <c r="B11" s="1">
        <v>37415.771400000005</v>
      </c>
    </row>
    <row r="12" spans="1:14" x14ac:dyDescent="0.25">
      <c r="A12" s="7" t="s">
        <v>25</v>
      </c>
      <c r="B12" s="1">
        <v>11886.619800000002</v>
      </c>
    </row>
    <row r="13" spans="1:14" x14ac:dyDescent="0.25">
      <c r="A13" s="7" t="s">
        <v>63</v>
      </c>
      <c r="B13" s="1">
        <v>1211160.1497999998</v>
      </c>
    </row>
    <row r="15" spans="1:14" x14ac:dyDescent="0.25">
      <c r="A15" s="8" t="s">
        <v>75</v>
      </c>
      <c r="B15" s="8"/>
      <c r="C15" s="8"/>
    </row>
    <row r="16" spans="1:14" x14ac:dyDescent="0.25">
      <c r="A16" s="6" t="s">
        <v>62</v>
      </c>
      <c r="B16" t="s">
        <v>71</v>
      </c>
      <c r="F16" s="11" t="s">
        <v>82</v>
      </c>
      <c r="G16" s="11"/>
      <c r="H16" s="9"/>
      <c r="I16" s="9"/>
      <c r="J16" s="9"/>
      <c r="K16" s="9"/>
      <c r="L16" s="9"/>
      <c r="M16" s="9"/>
      <c r="N16" s="9"/>
    </row>
    <row r="17" spans="1:14" x14ac:dyDescent="0.25">
      <c r="A17" s="7" t="s">
        <v>66</v>
      </c>
      <c r="B17" s="1">
        <v>237.00767552083329</v>
      </c>
      <c r="F17" s="10" t="s">
        <v>78</v>
      </c>
      <c r="G17" s="10"/>
      <c r="H17" s="10"/>
      <c r="I17" s="10"/>
      <c r="J17" s="10"/>
      <c r="K17" s="11" t="s">
        <v>83</v>
      </c>
      <c r="L17" s="11"/>
      <c r="M17" s="9"/>
      <c r="N17" s="9"/>
    </row>
    <row r="18" spans="1:14" x14ac:dyDescent="0.25">
      <c r="A18" s="7" t="s">
        <v>67</v>
      </c>
      <c r="B18" s="1">
        <v>241.93342370689675</v>
      </c>
      <c r="F18" s="10" t="s">
        <v>79</v>
      </c>
      <c r="G18" s="10"/>
      <c r="H18" s="10"/>
      <c r="I18" s="10"/>
      <c r="J18" s="10"/>
      <c r="K18" s="11" t="s">
        <v>84</v>
      </c>
      <c r="L18" s="11"/>
      <c r="M18" s="9"/>
      <c r="N18" s="9"/>
    </row>
    <row r="19" spans="1:14" x14ac:dyDescent="0.25">
      <c r="A19" s="7" t="s">
        <v>68</v>
      </c>
      <c r="B19" s="1">
        <v>243.07253714002002</v>
      </c>
      <c r="F19" s="10" t="s">
        <v>80</v>
      </c>
      <c r="G19" s="10"/>
      <c r="H19" s="10"/>
      <c r="I19" s="10"/>
      <c r="J19" s="10"/>
      <c r="K19" s="11" t="s">
        <v>69</v>
      </c>
      <c r="L19" s="11"/>
      <c r="M19" s="9"/>
      <c r="N19" s="9"/>
    </row>
    <row r="20" spans="1:14" x14ac:dyDescent="0.25">
      <c r="A20" s="7" t="s">
        <v>69</v>
      </c>
      <c r="B20" s="1">
        <v>246.65561925829479</v>
      </c>
      <c r="F20" s="10" t="s">
        <v>81</v>
      </c>
      <c r="G20" s="10"/>
      <c r="H20" s="10"/>
      <c r="I20" s="10"/>
      <c r="J20" s="10"/>
      <c r="K20" s="12" t="s">
        <v>19</v>
      </c>
      <c r="L20" s="12"/>
      <c r="M20" s="9"/>
      <c r="N20" s="9"/>
    </row>
    <row r="21" spans="1:14" x14ac:dyDescent="0.25">
      <c r="A21" s="7" t="s">
        <v>70</v>
      </c>
      <c r="B21" s="1">
        <v>237.65313004201667</v>
      </c>
      <c r="G21" s="9"/>
      <c r="H21" s="9"/>
      <c r="I21" s="9"/>
      <c r="J21" s="9"/>
      <c r="K21" s="9"/>
      <c r="L21" s="9"/>
      <c r="M21" s="9"/>
      <c r="N21" s="9"/>
    </row>
    <row r="22" spans="1:14" x14ac:dyDescent="0.25">
      <c r="A22" s="7" t="s">
        <v>63</v>
      </c>
      <c r="B22" s="1">
        <v>242.23202995999875</v>
      </c>
      <c r="G22" s="9"/>
      <c r="H22" s="9"/>
      <c r="I22" s="9"/>
      <c r="J22" s="9"/>
      <c r="K22" s="9"/>
      <c r="L22" s="9"/>
      <c r="M22" s="9"/>
      <c r="N22" s="9"/>
    </row>
    <row r="23" spans="1:14" x14ac:dyDescent="0.25">
      <c r="G23" s="9"/>
      <c r="H23" s="9"/>
      <c r="I23" s="9"/>
      <c r="J23" s="9"/>
      <c r="K23" s="9"/>
      <c r="L23" s="9"/>
      <c r="M23" s="9"/>
      <c r="N23" s="9"/>
    </row>
    <row r="24" spans="1:14" x14ac:dyDescent="0.25">
      <c r="A24" s="8" t="s">
        <v>76</v>
      </c>
      <c r="B24" s="8"/>
      <c r="C24" s="8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A25" s="6" t="s">
        <v>62</v>
      </c>
      <c r="B25" s="6" t="s">
        <v>71</v>
      </c>
      <c r="C25" t="s">
        <v>74</v>
      </c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5">
      <c r="A26" s="7" t="s">
        <v>72</v>
      </c>
      <c r="B26" s="1">
        <v>241.99556597876204</v>
      </c>
      <c r="C26" s="5">
        <v>12477963</v>
      </c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25">
      <c r="A27" s="7" t="s">
        <v>73</v>
      </c>
      <c r="B27" s="1">
        <v>373.36444444444447</v>
      </c>
      <c r="C27" s="5">
        <v>24537</v>
      </c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5">
      <c r="A28" s="7" t="s">
        <v>63</v>
      </c>
      <c r="B28" s="1">
        <v>242.23202996000032</v>
      </c>
      <c r="C28" s="5">
        <v>12502500</v>
      </c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25"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25">
      <c r="A30" s="8" t="s">
        <v>77</v>
      </c>
      <c r="B30" s="8"/>
      <c r="C30" s="8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25">
      <c r="A31" s="6" t="s">
        <v>62</v>
      </c>
      <c r="B31" t="s">
        <v>64</v>
      </c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5">
      <c r="A32" s="7" t="s">
        <v>19</v>
      </c>
      <c r="B32" s="1">
        <v>317694.92940000014</v>
      </c>
    </row>
    <row r="33" spans="1:2" x14ac:dyDescent="0.25">
      <c r="A33" s="7" t="s">
        <v>24</v>
      </c>
      <c r="B33" s="1">
        <v>303428.63260000024</v>
      </c>
    </row>
    <row r="34" spans="1:2" x14ac:dyDescent="0.25">
      <c r="A34" s="7" t="s">
        <v>31</v>
      </c>
      <c r="B34" s="1">
        <v>297913.85700000031</v>
      </c>
    </row>
    <row r="35" spans="1:2" x14ac:dyDescent="0.25">
      <c r="A35" s="7" t="s">
        <v>14</v>
      </c>
      <c r="B35" s="1">
        <v>292122.73080000019</v>
      </c>
    </row>
    <row r="36" spans="1:2" x14ac:dyDescent="0.25">
      <c r="A36" s="7" t="s">
        <v>63</v>
      </c>
      <c r="B36" s="1">
        <v>1211160.1498000007</v>
      </c>
    </row>
  </sheetData>
  <mergeCells count="13">
    <mergeCell ref="F20:J20"/>
    <mergeCell ref="F16:G16"/>
    <mergeCell ref="K17:L17"/>
    <mergeCell ref="K18:L18"/>
    <mergeCell ref="K19:L19"/>
    <mergeCell ref="K20:L20"/>
    <mergeCell ref="B2:I2"/>
    <mergeCell ref="A15:C15"/>
    <mergeCell ref="A24:C24"/>
    <mergeCell ref="A30:C30"/>
    <mergeCell ref="F17:J17"/>
    <mergeCell ref="F18:J18"/>
    <mergeCell ref="F19:J19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store_sales</vt:lpstr>
      <vt:lpstr>excel_analysis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Pochiolo Esguerra</dc:creator>
  <cp:lastModifiedBy>POCHIOLO IÑIGO S. ESGUERRA</cp:lastModifiedBy>
  <dcterms:created xsi:type="dcterms:W3CDTF">2026-02-07T09:25:07Z</dcterms:created>
  <dcterms:modified xsi:type="dcterms:W3CDTF">2026-02-07T09:55:25Z</dcterms:modified>
</cp:coreProperties>
</file>